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<sst xmlns="http://schemas.openxmlformats.org/spreadsheetml/2006/main" count="5520" uniqueCount="1623">
  <si>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</si>
  <si>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</si>
  <si>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</si>
  <si>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</si>
  <si>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</si>
  <si>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</si>
  <si>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</si>
  <si>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</si>
  <si>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</si>
  <si>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</si>
  <si>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</si>
  <si>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</si>
  <si>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</si>
  <si>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</si>
  <si>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</si>
  <si>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</si>
  <si>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</si>
  <si>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</si>
  <si>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</si>
  <si>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</si>
  <si>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</si>
  <si>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</si>
  <si>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</si>
  <si>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</si>
  <si>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</si>
  <si>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</si>
  <si>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</si>
  <si>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</si>
  <si>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</si>
  <si>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</si>
  <si>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</si>
  <si>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</si>
  <si>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</si>
  <si>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</si>
  <si>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</si>
  <si>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</si>
  <si>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</si>
  <si>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</si>
  <si>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</si>
  <si>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</si>
  <si>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</si>
  <si>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</si>
  <si>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</si>
  <si>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</si>
  <si>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</si>
  <si>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</si>
  <si>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</si>
  <si>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</si>
  <si>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</si>
  <si>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</si>
  <si>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</si>
  <si>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</si>
  <si>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</si>
  <si>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</si>
  <si>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</si>
  <si>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</si>
  <si>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</si>
  <si>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</si>
  <si>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</si>
  <si>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</si>
  <si>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</si>
  <si>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</si>
  <si>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</si>
  <si>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</si>
  <si>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</si>
  <si>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</si>
  <si>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</si>
  <si>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</si>
  <si>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</si>
  <si>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</si>
  <si>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</si>
  <si>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</si>
  <si>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</si>
  <si>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</si>
  <si>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</si>
  <si>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</si>
  <si>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</si>
  <si>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</si>
  <si>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</si>
  <si>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</si>
  <si>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</si>
  <si>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</si>
  <si>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</si>
  <si>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</si>
  <si>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</si>
  <si>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</si>
  <si>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</si>
  <si>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</si>
  <si>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</si>
  <si>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</si>
  <si>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</si>
  <si>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</si>
  <si>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</si>
  <si>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</si>
  <si>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</si>
  <si>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</si>
  <si>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</si>
  <si>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</si>
  <si>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</si>
  <si>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</si>
  <si>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</si>
  <si>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</si>
  <si>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</si>
  <si>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</si>
  <si>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</si>
  <si>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</si>
  <si>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</si>
  <si>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</si>
  <si>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</si>
  <si>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</si>
  <si>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</si>
  <si>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</si>
  <si>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</si>
  <si>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</si>
  <si>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</si>
  <si>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</si>
  <si>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</si>
  <si>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</si>
  <si>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</si>
  <si>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</si>
  <si>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</si>
  <si>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</si>
  <si>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</si>
  <si>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</si>
  <si>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</si>
  <si>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</si>
  <si>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</si>
  <si>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</si>
  <si>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</si>
  <si>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</si>
  <si>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</si>
  <si>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</si>
  <si>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</si>
  <si>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</si>
  <si>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</si>
  <si>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</si>
  <si>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</si>
  <si>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</si>
  <si>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</si>
  <si>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</si>
  <si>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</si>
  <si>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</si>
  <si>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</si>
  <si>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</si>
  <si>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</si>
  <si>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</si>
  <si>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</si>
  <si>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</si>
  <si>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</si>
  <si>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</si>
  <si>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</si>
  <si>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</si>
  <si>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</si>
  <si>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</si>
  <si>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</si>
  <si>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</si>
  <si>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</si>
  <si>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</si>
  <si>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</si>
  <si>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</si>
  <si>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</si>
  <si>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</si>
  <si>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</si>
  <si>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</si>
  <si>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</si>
  <si>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</si>
  <si>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</si>
  <si>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</si>
  <si>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</si>
  <si>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</si>
  <si>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</si>
  <si>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</si>
  <si>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</si>
  <si>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</si>
  <si>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</si>
  <si>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</si>
  <si>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</si>
  <si>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</si>
  <si>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</si>
  <si>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</si>
  <si>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</si>
  <si>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</si>
  <si>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</si>
  <si>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</si>
  <si>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</si>
  <si>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</si>
  <si>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</si>
  <si>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</si>
  <si>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</si>
  <si>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</si>
  <si>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</si>
  <si>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</si>
  <si>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</si>
  <si>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</si>
  <si>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</si>
  <si>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</si>
  <si>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</si>
  <si>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</si>
  <si>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</si>
  <si>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</si>
  <si>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</si>
  <si>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</si>
  <si>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</si>
  <si>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</si>
  <si>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</si>
  <si>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</si>
  <si>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</si>
  <si>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</si>
  <si>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</si>
  <si>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</si>
  <si>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</si>
  <si>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</si>
  <si>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</si>
  <si>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</si>
  <si>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</si>
  <si>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</si>
  <si>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</si>
  <si>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</si>
  <si>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</si>
  <si>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</si>
  <si>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</si>
  <si>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</si>
  <si>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</si>
  <si>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</si>
  <si>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</si>
  <si>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</si>
  <si>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</si>
  <si>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</si>
  <si>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</si>
  <si>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</si>
  <si>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</si>
  <si>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</si>
  <si>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</si>
  <si>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</si>
  <si>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</si>
  <si>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</si>
  <si>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</si>
  <si>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</si>
  <si>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</si>
  <si>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</si>
  <si>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</si>
  <si>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</si>
  <si>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</si>
  <si>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</si>
  <si>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</si>
  <si>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</si>
  <si>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</si>
  <si>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</si>
  <si>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</si>
  <si>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</si>
  <si>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</si>
  <si>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</si>
  <si>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</si>
  <si>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</si>
  <si>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</si>
  <si>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</si>
  <si>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</si>
  <si>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</si>
  <si>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</si>
  <si>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</si>
  <si>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</si>
  <si>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</si>
  <si>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</si>
  <si>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</si>
  <si>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</si>
  <si>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</si>
  <si>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</si>
  <si>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</si>
  <si>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</si>
  <si>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</si>
  <si>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</si>
  <si>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</si>
  <si>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</si>
  <si>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</si>
  <si>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</si>
  <si>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</si>
  <si>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</si>
  <si>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</si>
  <si>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</si>
  <si>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</si>
  <si>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</si>
  <si>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</si>
  <si>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</si>
  <si>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</si>
  <si>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</si>
  <si>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</si>
  <si>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</si>
  <si>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</si>
  <si>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</si>
  <si>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</si>
  <si>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</si>
  <si>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</si>
  <si>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</si>
  <si>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</si>
  <si>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</si>
  <si>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</si>
  <si>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</si>
  <si>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</si>
  <si>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</si>
  <si>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</si>
  <si>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</si>
  <si>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</si>
  <si>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</si>
  <si>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</si>
  <si>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</si>
  <si>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</si>
  <si>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</si>
  <si>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</si>
  <si>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</si>
  <si>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</si>
  <si>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</si>
  <si>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</si>
  <si>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</si>
  <si>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</si>
  <si>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</si>
  <si>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</si>
  <si>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</si>
  <si>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</si>
  <si>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</si>
  <si>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</si>
  <si>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</si>
  <si>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</si>
  <si>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</si>
  <si>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</si>
  <si>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</si>
  <si>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</si>
  <si>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</si>
  <si>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</si>
  <si>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</si>
  <si>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</si>
  <si>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</si>
  <si>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</si>
  <si>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</si>
  <si>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</si>
  <si>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</si>
  <si>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</si>
  <si>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</si>
  <si>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</si>
  <si>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</si>
  <si>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</si>
  <si>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</si>
  <si>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</si>
  <si>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</si>
  <si>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</si>
  <si>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</si>
  <si>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</si>
  <si>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</si>
  <si>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</si>
  <si>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</si>
  <si>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</si>
  <si>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</si>
  <si>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</si>
  <si>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</si>
  <si>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</si>
  <si>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</si>
  <si>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</si>
  <si>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</si>
  <si>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</si>
  <si>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</si>
  <si>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</si>
  <si>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</si>
  <si>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</si>
  <si>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</si>
  <si>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</si>
  <si>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</si>
  <si>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</si>
  <si>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</si>
  <si>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</si>
  <si>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</si>
  <si>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</si>
  <si>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</si>
  <si>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</si>
  <si>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</si>
  <si>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</si>
  <si>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</si>
  <si>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</si>
  <si>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</si>
  <si>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</si>
  <si>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</si>
  <si>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</si>
  <si>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</si>
  <si>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</si>
  <si>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</si>
  <si>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</si>
  <si>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</si>
  <si>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</si>
  <si>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</si>
  <si>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</si>
  <si>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</si>
  <si>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</si>
  <si>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</si>
  <si>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</si>
  <si>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</si>
  <si>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</si>
  <si>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</si>
  <si>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</si>
  <si>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</si>
  <si>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</si>
  <si>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</si>
  <si>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</si>
  <si>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</si>
  <si>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</si>
  <si>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</si>
  <si>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</si>
  <si>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</si>
  <si>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</si>
  <si>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</si>
  <si>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</si>
  <si>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</si>
  <si>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</si>
  <si>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</si>
  <si>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</si>
  <si>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</si>
  <si>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</si>
  <si>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</si>
  <si>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</si>
  <si>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</si>
  <si>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</si>
  <si>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</si>
  <si>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</si>
  <si>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</si>
  <si>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</si>
  <si>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</si>
  <si>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</si>
  <si>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</si>
  <si>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</si>
  <si>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</si>
  <si>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</si>
  <si>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</si>
  <si>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</si>
  <si>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</si>
  <si>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</si>
  <si>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</si>
  <si>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</si>
  <si>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</si>
  <si>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</si>
  <si>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</si>
  <si>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</si>
  <si>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</si>
  <si>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</si>
  <si>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</si>
  <si>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</si>
  <si>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</si>
  <si>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</si>
  <si>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</si>
  <si>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</si>
  <si>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</si>
  <si>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</si>
  <si>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</si>
  <si>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</si>
  <si>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</si>
  <si>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</si>
  <si>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</si>
  <si>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</si>
  <si>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</si>
  <si>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</si>
  <si>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</si>
  <si>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</si>
  <si>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</si>
  <si>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</si>
  <si>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</si>
  <si>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</si>
  <si>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</si>
  <si>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</si>
  <si>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</si>
  <si>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</si>
  <si>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</si>
  <si>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</si>
  <si>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</si>
  <si>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</si>
  <si>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</si>
  <si>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</si>
  <si>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</si>
  <si>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</si>
  <si>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</si>
  <si>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</si>
  <si>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</si>
  <si>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</si>
  <si>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</si>
  <si>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</si>
  <si>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</si>
  <si>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</si>
  <si>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</si>
  <si>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</si>
  <si>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</si>
  <si>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</si>
  <si>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</si>
  <si>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</si>
  <si>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</si>
  <si>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</si>
  <si>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</si>
  <si>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</si>
  <si>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</si>
  <si>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</si>
  <si>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</si>
  <si>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</si>
  <si>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</si>
  <si>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</si>
  <si>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</si>
  <si>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</si>
  <si>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</si>
  <si>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</si>
  <si>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</si>
  <si>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</si>
  <si>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</si>
  <si>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</si>
  <si>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</si>
  <si>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</si>
  <si>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</si>
  <si>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</si>
  <si>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</si>
  <si>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</si>
  <si>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</si>
  <si>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</si>
  <si>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</si>
  <si>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</si>
  <si>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</si>
  <si>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</si>
  <si>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</si>
  <si>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</si>
  <si>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</si>
  <si>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</si>
  <si>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</si>
  <si>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</si>
  <si>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</si>
  <si>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</si>
  <si>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</si>
  <si>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</si>
  <si>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</si>
  <si>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</si>
  <si>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</si>
  <si>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</si>
  <si>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</si>
  <si>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</si>
  <si>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</si>
  <si>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</si>
  <si>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</si>
  <si>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</si>
  <si>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</si>
  <si>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</si>
  <si>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</si>
  <si>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</si>
  <si>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</si>
  <si>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</si>
  <si>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</si>
  <si>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</si>
  <si>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</si>
  <si>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</si>
  <si>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</si>
  <si>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</si>
  <si>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</si>
  <si>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</si>
  <si>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</si>
  <si>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</si>
  <si>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</si>
  <si>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</si>
  <si>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</si>
  <si>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</si>
  <si>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</si>
  <si>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</si>
  <si>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</si>
  <si>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</si>
  <si>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</si>
  <si>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</si>
  <si>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</si>
  <si>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</si>
  <si>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</si>
  <si>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</si>
  <si>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</si>
  <si>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</si>
  <si>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</si>
  <si>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</si>
  <si>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</si>
  <si>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</si>
  <si>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</si>
  <si>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</si>
  <si>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</si>
  <si>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</si>
  <si>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</si>
  <si>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</si>
  <si>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</si>
  <si>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</si>
  <si>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</si>
  <si>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</si>
  <si>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</si>
  <si>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</si>
  <si>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</si>
  <si>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</si>
  <si>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</si>
  <si>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</si>
  <si>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</si>
  <si>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</si>
  <si>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</si>
  <si>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</si>
  <si>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</si>
  <si>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</si>
  <si>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</si>
  <si>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</si>
  <si>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</si>
  <si>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</si>
  <si>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</si>
  <si>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</si>
  <si>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</si>
  <si>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</si>
  <si>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</si>
  <si>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</si>
  <si>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</si>
  <si>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</si>
  <si>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</si>
  <si>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</si>
  <si>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</si>
  <si>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</si>
  <si>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</si>
  <si>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</si>
  <si>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</si>
  <si>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</si>
  <si>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</si>
  <si>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</si>
  <si>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</si>
  <si>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</si>
  <si>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</si>
  <si>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</si>
  <si>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</si>
  <si>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</si>
  <si>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</si>
  <si>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</si>
  <si>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</si>
  <si>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</si>
  <si>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</si>
  <si>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</si>
  <si>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</si>
  <si>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</si>
  <si>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</si>
  <si>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</si>
  <si>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</si>
  <si>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</si>
  <si>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</si>
  <si>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</si>
  <si>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</si>
  <si>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</si>
  <si>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</si>
  <si>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</si>
  <si>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</si>
  <si>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</si>
  <si>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</si>
  <si>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</si>
  <si>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</si>
  <si>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</si>
  <si>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</si>
  <si>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</si>
  <si>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</si>
  <si>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</si>
  <si>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</si>
  <si>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</si>
  <si>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</si>
  <si>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</si>
  <si>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</si>
  <si>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</si>
  <si>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</si>
  <si>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</si>
  <si>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</si>
  <si>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</si>
  <si>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</si>
  <si>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</si>
  <si>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</si>
  <si>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</si>
  <si>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</si>
  <si>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</si>
  <si>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</si>
  <si>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</si>
  <si>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</si>
  <si>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</si>
  <si>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</si>
  <si>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</si>
  <si>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</si>
  <si>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</si>
  <si>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</si>
  <si>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</si>
  <si>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</si>
  <si>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</si>
  <si>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</si>
  <si>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</si>
  <si>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</si>
  <si>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</si>
  <si>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</si>
  <si>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</si>
  <si>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</si>
  <si>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</si>
  <si>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</si>
  <si>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</si>
  <si>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</si>
  <si>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</si>
  <si>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</si>
  <si>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</si>
  <si>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</si>
  <si>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</si>
  <si>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</si>
  <si>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</si>
  <si>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</si>
  <si>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</si>
  <si>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</si>
  <si>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</si>
  <si>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</si>
  <si>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</si>
  <si>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</si>
  <si>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</si>
  <si>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</si>
  <si>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</si>
  <si>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</si>
  <si>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</si>
  <si>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</si>
  <si>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</si>
  <si>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</si>
  <si>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</si>
  <si>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</si>
  <si>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</si>
  <si>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</si>
  <si>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</si>
  <si>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</si>
  <si>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</si>
  <si>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</si>
  <si>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</si>
  <si>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</si>
  <si>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</si>
  <si>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</si>
  <si>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</si>
  <si>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</si>
  <si>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</si>
  <si>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</si>
  <si>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</si>
  <si>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</si>
  <si>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</si>
  <si>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</si>
  <si>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</si>
  <si>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</si>
  <si>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</si>
  <si>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</si>
  <si>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</si>
  <si>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</si>
  <si>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</si>
  <si>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</si>
  <si>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</si>
  <si>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</si>
  <si>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</si>
  <si>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</si>
  <si>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</si>
  <si>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</si>
  <si>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</si>
  <si>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</si>
  <si>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</si>
  <si>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</si>
  <si>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</si>
  <si>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</si>
  <si>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</si>
  <si>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</si>
  <si>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</si>
  <si>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</si>
  <si>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</si>
  <si>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</si>
  <si>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</si>
  <si>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</si>
  <si>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</si>
  <si>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</si>
  <si>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</si>
  <si>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</si>
  <si>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</si>
  <si>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</si>
  <si>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</si>
  <si>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</si>
  <si>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</si>
  <si>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</si>
  <si>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</si>
  <si>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</si>
  <si>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</si>
  <si>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</si>
  <si>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</si>
  <si>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</si>
  <si>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</si>
  <si>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</si>
  <si>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</si>
  <si>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</si>
  <si>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</si>
  <si>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</si>
  <si>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</si>
  <si>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</si>
  <si>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</si>
  <si>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</si>
  <si>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</si>
  <si>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</si>
  <si>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</si>
  <si>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</si>
  <si>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</si>
  <si>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</si>
  <si>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</si>
  <si>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</si>
  <si>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</si>
  <si>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</si>
  <si>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</si>
  <si>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</si>
  <si>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</si>
  <si>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</si>
  <si>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</si>
  <si>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</si>
  <si>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</si>
  <si>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</si>
  <si>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</si>
  <si>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</si>
  <si>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</si>
  <si>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</si>
  <si>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</si>
  <si>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</si>
  <si>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</si>
  <si>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</si>
  <si>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</si>
  <si>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</si>
  <si>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</si>
  <si>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</si>
  <si>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</si>
  <si>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</si>
  <si>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</si>
  <si>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</si>
  <si>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</si>
  <si>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</si>
  <si>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</si>
  <si>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</si>
  <si>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</si>
  <si>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</si>
  <si>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</si>
  <si>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</si>
  <si>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</si>
  <si>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</si>
  <si>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</si>
  <si>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</si>
  <si>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</si>
  <si>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</si>
  <si>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</si>
  <si>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</si>
  <si>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</si>
  <si>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</si>
  <si>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</si>
  <si>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</si>
  <si>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</si>
  <si>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</si>
  <si>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</si>
  <si>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</si>
  <si>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</si>
  <si>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</si>
  <si>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</si>
  <si>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</si>
  <si>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</si>
  <si>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</si>
  <si>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</si>
  <si>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</si>
  <si>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</si>
  <si>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</si>
  <si>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</si>
  <si>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</si>
  <si>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</si>
  <si>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</si>
  <si>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</si>
  <si>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</si>
  <si>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</si>
  <si>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</si>
  <si>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</si>
  <si>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</si>
  <si>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</si>
  <si>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</si>
  <si>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</si>
  <si>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</si>
  <si>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</si>
  <si>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</si>
  <si>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</si>
  <si>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</si>
  <si>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</si>
  <si>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</si>
  <si>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</si>
  <si>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</si>
  <si>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</si>
  <si>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</si>
  <si>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</si>
  <si>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</si>
  <si>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</si>
  <si>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</si>
  <si>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</si>
  <si>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</si>
  <si>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</si>
  <si>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</si>
  <si>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</si>
  <si>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</si>
  <si>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</si>
  <si>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</si>
  <si>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</si>
  <si>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</si>
  <si>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</si>
  <si>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</si>
  <si>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</si>
  <si>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</si>
  <si>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</si>
  <si>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</si>
  <si>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</si>
  <si>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</si>
  <si>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</si>
  <si>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</si>
  <si>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</si>
  <si>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</si>
  <si>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</si>
  <si>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</si>
  <si>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</si>
  <si>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</si>
  <si>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</si>
  <si>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</si>
  <si>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</si>
  <si>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</si>
  <si>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</si>
  <si>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</si>
  <si>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</si>
  <si>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</si>
  <si>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</si>
  <si>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</si>
  <si>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</si>
  <si>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</si>
  <si>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</si>
  <si>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</si>
  <si>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</si>
  <si>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</si>
  <si>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</si>
  <si>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</si>
  <si>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</si>
  <si>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</si>
  <si>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</si>
  <si>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</si>
  <si>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</si>
  <si>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</si>
  <si>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</si>
  <si>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</si>
  <si>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</si>
  <si>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</si>
  <si>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</si>
  <si>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</si>
  <si>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</si>
  <si>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</si>
  <si>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</si>
  <si>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</si>
  <si>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</si>
  <si>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</si>
  <si>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</si>
  <si>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</si>
  <si>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</si>
  <si>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</si>
  <si>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</si>
  <si>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</si>
  <si>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</si>
  <si>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</si>
  <si>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</si>
  <si>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</si>
  <si>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</si>
  <si>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</si>
  <si>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</si>
  <si>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</si>
  <si>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</si>
  <si>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</si>
  <si>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</si>
  <si>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</si>
  <si>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</si>
  <si>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</si>
  <si>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</si>
  <si>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</si>
  <si>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</si>
  <si>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</si>
  <si>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</si>
  <si>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</si>
  <si>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</si>
  <si>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</si>
  <si>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</si>
  <si>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</si>
  <si>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</si>
  <si>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</si>
  <si>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</si>
  <si>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</si>
  <si>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</si>
  <si>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</si>
  <si>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</si>
  <si>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</si>
  <si>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</si>
  <si>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</si>
  <si>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</si>
  <si>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</si>
  <si>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</si>
  <si>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</si>
  <si>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</si>
  <si>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</si>
  <si>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</si>
  <si>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</si>
  <si>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</si>
  <si>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</si>
  <si>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</si>
  <si>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</si>
  <si>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</si>
  <si>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</si>
  <si>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</si>
  <si>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</si>
  <si>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</si>
  <si>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</si>
  <si>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</si>
  <si>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</si>
  <si>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</si>
  <si>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</si>
  <si>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</si>
  <si>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</si>
  <si>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</si>
  <si>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</si>
  <si>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</si>
  <si>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</si>
  <si>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</si>
  <si>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</si>
  <si>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</si>
  <si>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</si>
  <si>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</si>
  <si>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</si>
  <si>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</si>
  <si>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</si>
  <si>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</si>
  <si>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</si>
  <si>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</si>
  <si>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</si>
  <si>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</si>
  <si>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</si>
  <si>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</si>
  <si>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</si>
  <si>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</si>
  <si>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</si>
  <si>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</si>
  <si>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</si>
  <si>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</si>
  <si>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</si>
  <si>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</si>
  <si>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</si>
  <si>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</si>
  <si>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</si>
  <si>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</si>
  <si>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</si>
  <si>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</si>
  <si>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</si>
  <si>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</si>
  <si>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</si>
  <si>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</si>
  <si>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</si>
  <si>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</si>
  <si>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</si>
  <si>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</si>
  <si>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</si>
  <si>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</si>
  <si>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</si>
  <si>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</si>
  <si>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</si>
  <si>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</si>
  <si>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</si>
  <si>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</si>
  <si>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</si>
  <si>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</si>
  <si>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</si>
  <si>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</si>
  <si>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</si>
  <si>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</si>
  <si>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</si>
  <si>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</si>
  <si>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</si>
  <si>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</si>
  <si>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</si>
  <si>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</si>
  <si>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</si>
  <si>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</si>
  <si>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</si>
  <si>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</si>
  <si>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</si>
  <si>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</si>
  <si>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</si>
  <si>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</si>
  <si>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</si>
  <si>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</si>
  <si>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</si>
  <si>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</si>
  <si>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</si>
  <si>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</si>
  <si>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</si>
  <si>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</si>
  <si>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</si>
  <si>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</si>
  <si>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</si>
  <si>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</si>
  <si>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</si>
  <si>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</si>
  <si>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</si>
  <si>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</si>
  <si>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</si>
  <si>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</si>
  <si>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</si>
  <si>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</si>
  <si>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</si>
  <si>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</si>
  <si>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</si>
  <si>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</si>
  <si>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</si>
  <si>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</si>
  <si>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</si>
  <si>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</si>
  <si>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</si>
  <si>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</si>
  <si>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</si>
  <si>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</si>
  <si>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</si>
  <si>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</si>
  <si>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</si>
  <si>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</si>
  <si>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</si>
  <si>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</si>
  <si>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</si>
  <si>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</si>
  <si>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</si>
  <si>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</si>
  <si>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</si>
  <si>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</si>
  <si>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</si>
  <si>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</si>
  <si>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</si>
  <si>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</si>
  <si>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</si>
  <si>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</si>
  <si>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</si>
  <si>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</si>
  <si>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</si>
  <si>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</si>
  <si>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</si>
  <si>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</si>
  <si>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</si>
  <si>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</si>
  <si>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</si>
  <si>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</si>
  <si>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</si>
  <si>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</si>
  <si>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</si>
  <si>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</si>
  <si>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</si>
  <si>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</si>
  <si>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</si>
  <si>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</si>
  <si>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</si>
  <si>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</si>
  <si>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</si>
  <si>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</si>
  <si>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</si>
  <si>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</si>
  <si>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</si>
  <si>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</si>
  <si>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</si>
  <si>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</si>
  <si>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</si>
  <si>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</si>
  <si>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</si>
  <si>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</si>
  <si>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</si>
  <si>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</si>
  <si>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</si>
  <si>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</si>
  <si>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</si>
  <si>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</si>
  <si>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</si>
  <si>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</si>
  <si>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</si>
  <si>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</si>
  <si>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</si>
  <si>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</si>
  <si>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</si>
  <si>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</si>
  <si>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</si>
  <si>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</si>
  <si>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</si>
  <si>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</si>
  <si>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</si>
  <si>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</si>
  <si>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</si>
  <si>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</si>
  <si>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</si>
  <si>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</si>
  <si>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</si>
  <si>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</si>
  <si>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</si>
  <si>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</si>
  <si>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</si>
  <si>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</si>
  <si>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</si>
  <si>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</si>
  <si>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</si>
  <si>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</si>
  <si>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</si>
  <si>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</si>
  <si>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</si>
  <si>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</si>
  <si>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</si>
  <si>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</si>
  <si>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</si>
  <si>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</si>
  <si>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</si>
  <si>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</si>
  <si>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</si>
  <si>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</si>
  <si>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</si>
  <si>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</si>
  <si>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</si>
  <si>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</si>
  <si>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</si>
  <si>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</si>
  <si>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</si>
  <si>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</si>
  <si>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</si>
  <si>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</si>
  <si>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</si>
  <si>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</si>
  <si>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</si>
  <si>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</si>
  <si>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</si>
  <si>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</si>
  <si>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</si>
  <si>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</si>
  <si>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</si>
  <si>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</si>
  <si>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</si>
  <si>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</si>
  <si>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</si>
  <si>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</si>
  <si>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</si>
  <si>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</si>
  <si>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</si>
  <si>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</si>
  <si>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</si>
  <si>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</si>
  <si>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</si>
  <si>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</si>
  <si>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</si>
  <si>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</si>
  <si>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</si>
  <si>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</si>
  <si>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</si>
  <si>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</si>
  <si>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</si>
  <si>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</si>
  <si>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</si>
  <si>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</si>
  <si>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</si>
  <si>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</si>
  <si>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</si>
  <si>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</si>
  <si>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</si>
  <si>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</si>
  <si>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</si>
  <si>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</si>
  <si>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</si>
  <si>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</si>
  <si>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</si>
  <si>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</si>
  <si>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</si>
  <si>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</si>
  <si>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</si>
  <si>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</si>
  <si>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</si>
  <si>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</si>
  <si>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</si>
  <si>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</si>
  <si>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</si>
  <si>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</si>
  <si>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</si>
  <si>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</si>
  <si>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</si>
  <si>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</si>
  <si>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</si>
  <si>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</si>
  <si>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</si>
  <si>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</si>
  <si>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</si>
  <si>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</si>
  <si>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</si>
  <si>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</si>
  <si>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</si>
  <si>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</si>
  <si>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</si>
  <si>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</si>
  <si>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</si>
  <si>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</si>
  <si>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</si>
  <si>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</si>
  <si>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</si>
  <si>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</si>
  <si>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</si>
  <si>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</si>
  <si>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</si>
  <si>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</si>
  <si>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</si>
  <si>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</si>
  <si>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</si>
  <si>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</si>
  <si>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</si>
  <si>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</si>
  <si>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</si>
  <si>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</si>
  <si>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</si>
  <si>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</si>
  <si>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</si>
  <si>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</si>
  <si>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</si>
  <si>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</si>
  <si>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</si>
  <si>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</si>
  <si>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</si>
  <si>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</si>
  <si>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</si>
  <si>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</si>
  <si>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</si>
  <si>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</si>
  <si>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</si>
  <si>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</si>
  <si>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</si>
  <si>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</si>
  <si>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</si>
  <si>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</si>
  <si>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</si>
  <si>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</si>
  <si>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</si>
  <si>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</si>
  <si>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</si>
  <si>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</si>
  <si>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</si>
  <si>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</si>
  <si>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</si>
  <si>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</si>
  <si>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</si>
  <si>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</si>
  <si>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</si>
  <si>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</si>
  <si>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</si>
  <si>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</si>
  <si>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</si>
  <si>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</si>
  <si>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</si>
  <si>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</si>
  <si>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</si>
  <si>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</si>
  <si>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</si>
  <si>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</si>
  <si>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</si>
  <si>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</si>
  <si>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</si>
  <si>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</si>
  <si>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</si>
  <si>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</si>
  <si>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</si>
  <si>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</si>
  <si>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</si>
  <si>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</si>
  <si>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</si>
  <si>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</si>
  <si>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</si>
  <si>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</si>
  <si>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</si>
  <si>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</si>
  <si>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</si>
  <si>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</si>
  <si>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</si>
  <si>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</si>
  <si>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</si>
  <si>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</si>
  <si>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</si>
  <si>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</si>
  <si>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</si>
  <si>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</si>
  <si>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</si>
  <si>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</si>
  <si>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</si>
  <si>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</si>
  <si>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</si>
  <si>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</si>
  <si>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</si>
  <si>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</si>
  <si>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</si>
  <si>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</si>
  <si>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</si>
  <si>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</si>
  <si>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</si>
  <si>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</si>
  <si>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</si>
  <si>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</si>
  <si>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</si>
  <si>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</si>
  <si>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</si>
  <si>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</si>
  <si>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</si>
  <si>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</si>
  <si>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</si>
  <si>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</si>
  <si>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</si>
  <si>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</si>
  <si>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</si>
  <si>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</si>
  <si>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</si>
  <si>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</si>
  <si>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</si>
  <si>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</si>
  <si>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</si>
  <si>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</si>
  <si>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</si>
  <si>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</si>
  <si>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</si>
  <si>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</si>
  <si>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</si>
  <si>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</si>
  <si>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</si>
  <si>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</si>
  <si>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</si>
  <si>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</si>
  <si>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</si>
  <si>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</si>
  <si>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</si>
  <si>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</si>
  <si>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</si>
  <si>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</si>
  <si>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</si>
  <si>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</si>
  <si>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</si>
  <si>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</si>
  <si>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</si>
  <si>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</si>
  <si>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</si>
  <si>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</si>
  <si>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</si>
  <si>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</si>
  <si>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</si>
  <si>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</si>
  <si>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</si>
  <si>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</si>
  <si>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</si>
  <si>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</si>
  <si>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</si>
  <si>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</si>
  <si>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</si>
  <si>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</si>
  <si>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</si>
  <si>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</si>
  <si>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</si>
  <si>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</si>
  <si>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</si>
  <si>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</si>
  <si>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</si>
  <si>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</si>
  <si>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</si>
  <si>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</si>
  <si>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</si>
  <si>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</si>
  <si>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</si>
  <si>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</si>
  <si>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</si>
  <si>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</si>
  <si>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</si>
  <si>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</si>
  <si>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</si>
  <si>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</si>
  <si>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</si>
  <si>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</si>
  <si>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</si>
  <si>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</si>
  <si>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</si>
  <si>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</si>
  <si>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</si>
  <si>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</si>
  <si>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</si>
  <si>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</si>
  <si>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</si>
  <si>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</si>
  <si>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</si>
  <si>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</si>
  <si>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</si>
  <si>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</si>
  <si>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</si>
  <si>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</si>
  <si>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</si>
  <si>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</si>
  <si>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</si>
  <si>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</si>
  <si>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</si>
  <si>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</si>
  <si>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</si>
  <si>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</si>
  <si>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</si>
  <si>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</si>
  <si>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</si>
  <si>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</si>
  <si>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</si>
  <si>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</si>
  <si>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</si>
  <si>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</si>
  <si>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</si>
  <si>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</si>
  <si>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</si>
  <si>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</si>
  <si>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</si>
  <si>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</si>
  <si>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</si>
  <si>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</si>
  <si>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</si>
  <si>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</si>
  <si>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</si>
  <si>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</si>
  <si>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</si>
  <si>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</si>
  <si>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</si>
  <si>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</si>
  <si>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</si>
  <si>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</si>
  <si>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</si>
  <si>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</si>
  <si>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</si>
  <si>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</si>
  <si>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</si>
  <si>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</si>
  <si>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</si>
  <si>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</si>
  <si>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</si>
  <si>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</si>
  <si>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</si>
  <si>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</si>
  <si>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</si>
  <si>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</si>
  <si>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</si>
  <si>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</si>
  <si>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</si>
  <si>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</si>
  <si>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</si>
  <si>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</si>
  <si>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</si>
  <si>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</si>
  <si>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</si>
  <si>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</si>
  <si>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</si>
  <si>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</si>
  <si>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</si>
  <si>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</si>
  <si>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</si>
  <si>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</si>
  <si>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</si>
  <si>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</si>
  <si>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</si>
  <si>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</si>
  <si>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</si>
  <si>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</si>
  <si>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</si>
  <si>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</si>
  <si>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</si>
  <si>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</si>
  <si>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</si>
  <si>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</si>
  <si>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</si>
  <si>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</si>
  <si>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</si>
  <si>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</si>
  <si>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</si>
  <si>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</si>
  <si>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Bubník Martin</t>
  </si>
  <si>
    <t>Výdaje</t>
  </si>
  <si>
    <t>Eszenyiová Patrícia</t>
  </si>
  <si>
    <t>Počet zpožděných našich rozvozů +5 min</t>
  </si>
  <si>
    <t>Počet rozvozů</t>
  </si>
  <si>
    <t xml:space="preserve">Vlastní vůz </t>
  </si>
  <si>
    <t>počet výdajových dokadů</t>
  </si>
  <si>
    <t>Jurkovič Martin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</si>
  <si>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</si>
  <si>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</si>
  <si>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</si>
  <si>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</si>
  <si>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</si>
  <si>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102:00</t>
  </si>
  <si>
    <t>29:00</t>
  </si>
  <si>
    <t>Cieslar Marek</t>
  </si>
  <si>
    <t>60:00</t>
  </si>
  <si>
    <t>103:00</t>
  </si>
  <si>
    <t>Kubík Martin</t>
  </si>
  <si>
    <t>Berdar Vasyl</t>
  </si>
  <si>
    <t>47:30</t>
  </si>
  <si>
    <t>Serin David</t>
  </si>
  <si>
    <t>31:30</t>
  </si>
  <si>
    <t>5:00</t>
  </si>
  <si>
    <t>38:00</t>
  </si>
  <si>
    <t>7:00</t>
  </si>
  <si>
    <t>Nedvěd Dominik</t>
  </si>
  <si>
    <t>24:00</t>
  </si>
  <si>
    <t>8:00</t>
  </si>
  <si>
    <t>Dušek Sam</t>
  </si>
  <si>
    <t>56:00</t>
  </si>
  <si>
    <t>Kopic Jakub</t>
  </si>
  <si>
    <t>39:00</t>
  </si>
  <si>
    <t>Coufal Jakub</t>
  </si>
  <si>
    <t>Pavel Břicháč</t>
  </si>
  <si>
    <t>29:30</t>
  </si>
  <si>
    <t>25:00</t>
  </si>
  <si>
    <t>12 min 42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</si>
  <si>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</si>
  <si>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</si>
  <si>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</si>
  <si>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</si>
  <si>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</si>
  <si>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</si>
  <si>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</si>
  <si>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17:00 - 3:00 (Instor)</t>
  </si>
  <si>
    <t>10:00 - 22:00 (Instor)</t>
  </si>
  <si>
    <t>17:00 - 22:00 (Instor)</t>
  </si>
  <si>
    <t>17:00 - 0:00 (Instor)</t>
  </si>
  <si>
    <t>13:00 - 20:00 (Kurýr)</t>
  </si>
  <si>
    <t>17:00 - 21:00 (Kurýr)</t>
  </si>
  <si>
    <t>19:00 - 23:00 (Instor)</t>
  </si>
  <si>
    <t>17:00 - 1:00 (Kurýr)</t>
  </si>
  <si>
    <t>11:00 - 1:00 (Kurýr)</t>
  </si>
  <si>
    <t>17:00 - 0:00 (Kurýr)</t>
  </si>
  <si>
    <t>11:00 - 17:00 (Kurýr)</t>
  </si>
  <si>
    <t>22:00 - 3:00 (Instor)</t>
  </si>
  <si>
    <t>18:00 - 0:00 (Kurýr)</t>
  </si>
  <si>
    <t>10:00 - 0:00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</si>
</sst>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4.0"/>
      <color rgb="FF000000"/>
      <name val="Arial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9" fontId="18" numFmtId="0" xfId="0" applyAlignment="1" applyFont="1">
      <alignment readingOrder="0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0" fillId="9" fontId="20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9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9" numFmtId="0" xfId="0" applyAlignment="1" applyBorder="1" applyFill="1" applyFont="1">
      <alignment horizontal="center" shrinkToFit="0" wrapText="1"/>
    </xf>
    <xf borderId="27" fillId="13" fontId="19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9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9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9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shrinkToFit="0" vertical="center" wrapText="1"/>
    </xf>
    <xf borderId="42" fillId="10" fontId="19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7" fillId="13" fontId="19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9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9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46162.0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Středa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2140.8</v>
      </c>
      <c r="B12" s="52" t="s">
        <v>1564</v>
      </c>
      <c r="C12" s="53" t="s">
        <v>45</v>
      </c>
      <c r="D12" s="53" t="s">
        <v>46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08:00</v>
      </c>
      <c r="G12" s="37"/>
      <c r="I12" s="48"/>
      <c r="J12" s="37"/>
      <c r="K12" s="22"/>
      <c r="L12" s="56" t="s">
        <v>1565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1751.442</v>
      </c>
      <c r="B13" s="52" t="s">
        <v>1566</v>
      </c>
      <c r="C13" s="53" t="s">
        <v>41</v>
      </c>
      <c r="D13" s="53" t="s">
        <v>45</v>
      </c>
      <c r="E13" s="54"/>
      <c r="F13" s="55" t="str">
        <f t="shared" si="1"/>
        <v>07:00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0</v>
      </c>
      <c r="B14" s="60"/>
      <c r="C14" s="53"/>
      <c r="D14" s="53"/>
      <c r="E14" s="54"/>
      <c r="F14" s="55" t="str">
        <f t="shared" si="1"/>
        <v>0:00</v>
      </c>
      <c r="G14" s="61"/>
      <c r="I14" s="22"/>
      <c r="J14" s="37"/>
      <c r="K14" s="22"/>
      <c r="L14" s="62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3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2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2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4" t="s">
        <v>33</v>
      </c>
      <c r="M17" s="65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6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7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8"/>
      <c r="B22" s="69"/>
      <c r="C22" s="29"/>
      <c r="D22" s="29"/>
      <c r="E22" s="29"/>
      <c r="F22" s="29"/>
      <c r="G22" s="29"/>
      <c r="H22" s="29"/>
      <c r="I22" s="20"/>
      <c r="J22" s="70" t="s">
        <v>34</v>
      </c>
      <c r="K22" s="70" t="s">
        <v>35</v>
      </c>
      <c r="L22" s="71" t="s">
        <v>1567</v>
      </c>
      <c r="M22" s="72" t="s">
        <v>37</v>
      </c>
    </row>
    <row r="23">
      <c r="A23" s="68"/>
      <c r="B23" s="40" t="s">
        <v>78</v>
      </c>
      <c r="I23" s="22"/>
      <c r="J23" s="73">
        <f>COUNTIF(RestiaCSV!B:B, "canceled")</f>
        <v>0</v>
      </c>
      <c r="K23" s="74">
        <f>SUMIF(RestiaCSV!B:B, "canceled", RestiaCSV!C:C)</f>
        <v>0</v>
      </c>
      <c r="L23" s="75">
        <f>COUNTIFS(RestiaCSV!L:L, "&gt;5", RestiaCSV!F:F, "delivery")</f>
        <v>0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7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1568</v>
      </c>
      <c r="H24" s="78" t="s">
        <v>1569</v>
      </c>
      <c r="I24" s="46" t="s">
        <v>13</v>
      </c>
      <c r="J24" s="79" t="s">
        <v>1570</v>
      </c>
      <c r="K24" s="80" t="s">
        <v>1470</v>
      </c>
      <c r="L24" s="81" t="s">
        <v>1471</v>
      </c>
      <c r="M24" s="82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680</v>
      </c>
      <c r="B25" s="52" t="s">
        <v>1531</v>
      </c>
      <c r="C25" s="83" t="s">
        <v>45</v>
      </c>
      <c r="D25" s="83" t="s">
        <v>1480</v>
      </c>
      <c r="E25" s="83"/>
      <c r="F25" s="84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04:00</v>
      </c>
      <c r="G25" s="85">
        <f>COUNTIF(RestiaCSV!E:E, B25)</f>
        <v>0</v>
      </c>
      <c r="H25" s="86" t="b">
        <v>1</v>
      </c>
      <c r="I25" s="87">
        <f t="shared" ref="I25:I31" si="4">IF(H25,G25*45, 0)</f>
        <v>0</v>
      </c>
      <c r="J25" s="59"/>
      <c r="K25" s="88"/>
      <c r="L25" s="88"/>
      <c r="M25" s="89"/>
    </row>
    <row r="26">
      <c r="A26" s="51">
        <f t="array" ref="A26">IF(ISBLANK(B26), 0, IF(ISNUMBER(MATCH(B26, HR!A:A, 0)), 0, IF(ISNUMBER(MATCH(B26, HR!B:B, 0)), INDEX(HR!V:V, MATCH(B26, HR!B:B, 0)) * (F26 * 24), 0)))</f>
        <v>900</v>
      </c>
      <c r="B26" s="60" t="s">
        <v>1571</v>
      </c>
      <c r="C26" s="83" t="s">
        <v>63</v>
      </c>
      <c r="D26" s="83" t="s">
        <v>45</v>
      </c>
      <c r="E26" s="83"/>
      <c r="F26" s="84" t="str">
        <f t="shared" si="3"/>
        <v>06:00</v>
      </c>
      <c r="G26" s="85">
        <f>COUNTIF(RestiaCSV!E:E, B26)</f>
        <v>0</v>
      </c>
      <c r="H26" s="86" t="b">
        <v>0</v>
      </c>
      <c r="I26" s="87">
        <f t="shared" si="4"/>
        <v>0</v>
      </c>
      <c r="J26" s="90">
        <f>COUNTIF(I25:I31, "&gt;0")</f>
        <v>0</v>
      </c>
      <c r="K26" s="75">
        <f>IFERROR(__xludf.DUMMYFUNCTION("COUNTA(FILTER(RestiaCSV!B2:B32, RestiaCSV!B2:B32 &lt;&gt; ""canceled""))"),0.0)</f>
        <v>0</v>
      </c>
      <c r="L26" s="75">
        <f>COUNTIF(RestiaCSV!F1:F32, "delivery")</f>
        <v>0</v>
      </c>
      <c r="M26" s="91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2"/>
      <c r="D27" s="92"/>
      <c r="E27" s="83"/>
      <c r="F27" s="84" t="str">
        <f t="shared" si="3"/>
        <v>0:00</v>
      </c>
      <c r="G27" s="85">
        <f>COUNTIF(RestiaCSV!E:E, B27)</f>
        <v>0</v>
      </c>
      <c r="H27" s="86" t="b">
        <v>1</v>
      </c>
      <c r="I27" s="87">
        <f t="shared" si="4"/>
        <v>0</v>
      </c>
      <c r="J27" s="93" t="s">
        <v>1572</v>
      </c>
      <c r="K27" s="94"/>
      <c r="L27" s="81" t="s">
        <v>1474</v>
      </c>
      <c r="M27" s="82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52"/>
      <c r="C28" s="83"/>
      <c r="D28" s="83"/>
      <c r="E28" s="83"/>
      <c r="F28" s="84" t="str">
        <f t="shared" si="3"/>
        <v>0:00</v>
      </c>
      <c r="G28" s="85">
        <f>COUNTIF(RestiaCSV!E:E, B28)</f>
        <v>0</v>
      </c>
      <c r="H28" s="86" t="b">
        <v>0</v>
      </c>
      <c r="I28" s="87">
        <f t="shared" si="4"/>
        <v>0</v>
      </c>
      <c r="J28" s="58"/>
      <c r="K28" s="59"/>
      <c r="L28" s="88"/>
      <c r="M28" s="89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3"/>
      <c r="D29" s="83"/>
      <c r="E29" s="83"/>
      <c r="F29" s="84" t="str">
        <f t="shared" si="3"/>
        <v>0:00</v>
      </c>
      <c r="G29" s="85">
        <f>COUNTIF(RestiaCSV!E:E, B29)</f>
        <v>0</v>
      </c>
      <c r="H29" s="86" t="b">
        <v>0</v>
      </c>
      <c r="I29" s="87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3"/>
      <c r="D30" s="83"/>
      <c r="E30" s="83"/>
      <c r="F30" s="84" t="str">
        <f t="shared" si="3"/>
        <v>0:00</v>
      </c>
      <c r="G30" s="85">
        <f>COUNTIF(RestiaCSV!E:E, B30)</f>
        <v>0</v>
      </c>
      <c r="H30" s="86" t="b">
        <v>0</v>
      </c>
      <c r="I30" s="87">
        <f t="shared" si="4"/>
        <v>0</v>
      </c>
      <c r="J30" s="99"/>
      <c r="K30" s="99"/>
      <c r="L30" s="80" t="s">
        <v>1476</v>
      </c>
      <c r="M30" s="82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3"/>
      <c r="D31" s="83"/>
      <c r="E31" s="83"/>
      <c r="F31" s="84" t="str">
        <f t="shared" si="3"/>
        <v>0:00</v>
      </c>
      <c r="G31" s="85">
        <f>COUNTIF(RestiaCSV!E:E, B31)</f>
        <v>0</v>
      </c>
      <c r="H31" s="86" t="b">
        <v>0</v>
      </c>
      <c r="I31" s="87">
        <f t="shared" si="4"/>
        <v>0</v>
      </c>
      <c r="J31" s="99"/>
      <c r="K31" s="99"/>
      <c r="L31" s="88"/>
      <c r="M31" s="89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David,Pavel Břicháč"</formula1>
    </dataValidation>
    <dataValidation type="list" allowBlank="1" sqref="G11 G19">
      <formula1>"Bubník Martin,Eszenyiová Patrícia"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46143.0</v>
      </c>
      <c r="D1" s="113" t="s">
        <v>1573</v>
      </c>
      <c r="E1" s="114">
        <v>46173.0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0.28660724193714</v>
      </c>
      <c r="H2" s="22"/>
      <c r="I2" s="118">
        <v>782495.35</v>
      </c>
      <c r="K2" s="22"/>
      <c r="L2" s="119" t="s">
        <v>1550</v>
      </c>
      <c r="M2" s="120">
        <v>188519.2</v>
      </c>
      <c r="N2" s="121"/>
    </row>
    <row r="3">
      <c r="A3" s="122"/>
      <c r="B3" s="123" t="str">
        <f>CHOOSE(WEEKDAY(C1), "Neděle", "Pondělí", "Úterý", "Středa", "Čtvrtek", "Pátek", "Sobota")</f>
        <v>Pátek</v>
      </c>
      <c r="C3" s="28"/>
      <c r="D3" s="123" t="str">
        <f>CHOOSE(WEEKDAY(E1), "Neděle", "Pondělí", "Úterý", "Středa", "Čtvrtek", "Pátek", "Sobota")</f>
        <v>Neděle</v>
      </c>
      <c r="E3" s="12"/>
      <c r="H3" s="22"/>
      <c r="K3" s="22"/>
      <c r="L3" s="124" t="s">
        <v>1551</v>
      </c>
      <c r="M3" s="125">
        <v>93764.0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166087.0</v>
      </c>
      <c r="N4" s="121"/>
    </row>
    <row r="5">
      <c r="A5" s="126"/>
      <c r="B5" s="127" t="s">
        <v>1574</v>
      </c>
      <c r="C5" s="28"/>
      <c r="D5" s="28"/>
      <c r="E5" s="12"/>
      <c r="F5" s="128" t="s">
        <v>1575</v>
      </c>
      <c r="G5" s="28"/>
      <c r="H5" s="28"/>
      <c r="I5" s="28"/>
      <c r="J5" s="28"/>
      <c r="K5" s="12"/>
      <c r="L5" s="129" t="s">
        <v>1554</v>
      </c>
      <c r="M5" s="125">
        <v>155522.0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2654.0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360.5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278.5</v>
      </c>
      <c r="G7" s="14"/>
      <c r="H7" s="14"/>
      <c r="I7" s="14"/>
      <c r="J7" s="133"/>
      <c r="K7" s="133"/>
      <c r="L7" s="134" t="s">
        <v>1556</v>
      </c>
      <c r="M7" s="135">
        <v>41778.0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1576</v>
      </c>
      <c r="D9" s="143" t="s">
        <v>1563</v>
      </c>
      <c r="E9" s="144"/>
      <c r="F9" s="142" t="s">
        <v>1559</v>
      </c>
      <c r="G9" s="143" t="s">
        <v>1576</v>
      </c>
      <c r="H9" s="143" t="s">
        <v>1563</v>
      </c>
      <c r="I9" s="145" t="s">
        <v>1568</v>
      </c>
      <c r="J9" s="146">
        <v>1.3499999999985448</v>
      </c>
      <c r="K9" s="12"/>
      <c r="L9" s="147" t="s">
        <v>23</v>
      </c>
      <c r="M9" s="125">
        <v>57220.5</v>
      </c>
      <c r="N9" s="121"/>
    </row>
    <row r="10" ht="18.75" customHeight="1">
      <c r="A10" s="148"/>
      <c r="B10" s="149" t="s">
        <v>1564</v>
      </c>
      <c r="C10" s="150">
        <v>11.0</v>
      </c>
      <c r="D10" s="150" t="s">
        <v>1577</v>
      </c>
      <c r="E10" s="151" t="s">
        <v>1578</v>
      </c>
      <c r="F10" s="149" t="s">
        <v>1579</v>
      </c>
      <c r="G10" s="150">
        <v>10.0</v>
      </c>
      <c r="H10" s="150" t="s">
        <v>1580</v>
      </c>
      <c r="I10" s="152">
        <v>70.0</v>
      </c>
      <c r="J10" s="37"/>
      <c r="K10" s="22"/>
      <c r="L10" s="147" t="s">
        <v>24</v>
      </c>
      <c r="M10" s="125">
        <v>600.0</v>
      </c>
      <c r="N10" s="121"/>
    </row>
    <row r="11" ht="18.75" customHeight="1">
      <c r="A11" s="148"/>
      <c r="B11" s="149" t="s">
        <v>1490</v>
      </c>
      <c r="C11" s="150">
        <v>13.0</v>
      </c>
      <c r="D11" s="150" t="s">
        <v>1581</v>
      </c>
      <c r="E11" s="151" t="s">
        <v>49</v>
      </c>
      <c r="F11" s="149" t="s">
        <v>1582</v>
      </c>
      <c r="G11" s="150">
        <v>2.0</v>
      </c>
      <c r="H11" s="150" t="s">
        <v>1542</v>
      </c>
      <c r="I11" s="152">
        <v>15.0</v>
      </c>
      <c r="J11" s="37"/>
      <c r="K11" s="22"/>
      <c r="L11" s="153" t="s">
        <v>25</v>
      </c>
      <c r="M11" s="154">
        <v>94790.0</v>
      </c>
      <c r="N11" s="121"/>
    </row>
    <row r="12" ht="18.75" customHeight="1">
      <c r="A12" s="148"/>
      <c r="B12" s="149" t="s">
        <v>1583</v>
      </c>
      <c r="C12" s="150">
        <v>3.0</v>
      </c>
      <c r="D12" s="150" t="s">
        <v>1584</v>
      </c>
      <c r="E12" s="151" t="s">
        <v>50</v>
      </c>
      <c r="F12" s="149" t="s">
        <v>1585</v>
      </c>
      <c r="G12" s="150">
        <v>5.0</v>
      </c>
      <c r="H12" s="150" t="s">
        <v>1586</v>
      </c>
      <c r="I12" s="152">
        <v>44.0</v>
      </c>
      <c r="J12" s="37"/>
      <c r="K12" s="22"/>
      <c r="L12" s="155" t="s">
        <v>1565</v>
      </c>
      <c r="M12" s="20"/>
      <c r="N12" s="116"/>
    </row>
    <row r="13" ht="18.75" customHeight="1">
      <c r="A13" s="148"/>
      <c r="B13" s="149" t="s">
        <v>1582</v>
      </c>
      <c r="C13" s="150">
        <v>1.0</v>
      </c>
      <c r="D13" s="150" t="s">
        <v>1587</v>
      </c>
      <c r="E13" s="151" t="s">
        <v>50</v>
      </c>
      <c r="F13" s="149" t="s">
        <v>1531</v>
      </c>
      <c r="G13" s="150">
        <v>7.0</v>
      </c>
      <c r="H13" s="150" t="s">
        <v>1480</v>
      </c>
      <c r="I13" s="152">
        <v>30.0</v>
      </c>
      <c r="J13" s="37"/>
      <c r="K13" s="22"/>
      <c r="L13" s="147" t="s">
        <v>29</v>
      </c>
      <c r="M13" s="125">
        <v>2500.0</v>
      </c>
      <c r="N13" s="121"/>
    </row>
    <row r="14" ht="18.75" customHeight="1">
      <c r="A14" s="148"/>
      <c r="B14" s="149" t="s">
        <v>1566</v>
      </c>
      <c r="C14" s="150">
        <v>6.0</v>
      </c>
      <c r="D14" s="150" t="s">
        <v>1588</v>
      </c>
      <c r="E14" s="151" t="s">
        <v>1589</v>
      </c>
      <c r="F14" s="149" t="s">
        <v>1590</v>
      </c>
      <c r="G14" s="150">
        <v>2.0</v>
      </c>
      <c r="H14" s="150" t="s">
        <v>1591</v>
      </c>
      <c r="I14" s="152">
        <v>19.0</v>
      </c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 t="s">
        <v>1531</v>
      </c>
      <c r="C15" s="150">
        <v>1.0</v>
      </c>
      <c r="D15" s="150" t="s">
        <v>1592</v>
      </c>
      <c r="E15" s="151" t="s">
        <v>1589</v>
      </c>
      <c r="F15" s="149" t="s">
        <v>1593</v>
      </c>
      <c r="G15" s="150">
        <v>6.0</v>
      </c>
      <c r="H15" s="150" t="s">
        <v>1594</v>
      </c>
      <c r="I15" s="152">
        <v>78.0</v>
      </c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 t="s">
        <v>1595</v>
      </c>
      <c r="C16" s="150">
        <v>2.0</v>
      </c>
      <c r="D16" s="150" t="s">
        <v>1484</v>
      </c>
      <c r="E16" s="157"/>
      <c r="F16" s="149" t="s">
        <v>1571</v>
      </c>
      <c r="G16" s="150">
        <v>6.0</v>
      </c>
      <c r="H16" s="150" t="s">
        <v>1596</v>
      </c>
      <c r="I16" s="152">
        <v>40.0</v>
      </c>
      <c r="J16" s="37"/>
      <c r="K16" s="22"/>
      <c r="L16" s="156" t="s">
        <v>32</v>
      </c>
      <c r="M16" s="125">
        <v>9635.0</v>
      </c>
      <c r="N16" s="121"/>
    </row>
    <row r="17" ht="18.75" customHeight="1">
      <c r="A17" s="148"/>
      <c r="B17" s="149" t="s">
        <v>1597</v>
      </c>
      <c r="C17" s="150">
        <v>5.0</v>
      </c>
      <c r="D17" s="150" t="s">
        <v>70</v>
      </c>
      <c r="E17" s="157"/>
      <c r="F17" s="149" t="s">
        <v>1598</v>
      </c>
      <c r="G17" s="150">
        <v>3.0</v>
      </c>
      <c r="H17" s="150" t="s">
        <v>1599</v>
      </c>
      <c r="I17" s="152">
        <v>26.0</v>
      </c>
      <c r="J17" s="19"/>
      <c r="K17" s="20"/>
      <c r="L17" s="158" t="s">
        <v>33</v>
      </c>
      <c r="M17" s="159">
        <v>11205.0</v>
      </c>
      <c r="N17" s="121"/>
    </row>
    <row r="18" ht="18.75" customHeight="1">
      <c r="A18" s="148"/>
      <c r="B18" s="149" t="s">
        <v>1479</v>
      </c>
      <c r="C18" s="150">
        <v>3.0</v>
      </c>
      <c r="D18" s="150" t="s">
        <v>1600</v>
      </c>
      <c r="E18" s="157"/>
      <c r="F18" s="149" t="s">
        <v>1597</v>
      </c>
      <c r="G18" s="150">
        <v>1.0</v>
      </c>
      <c r="H18" s="150" t="s">
        <v>46</v>
      </c>
      <c r="I18" s="152">
        <v>6.0</v>
      </c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/>
      <c r="G19" s="150"/>
      <c r="H19" s="150"/>
      <c r="I19" s="152"/>
      <c r="J19" s="162" t="s">
        <v>34</v>
      </c>
      <c r="K19" s="163" t="s">
        <v>35</v>
      </c>
      <c r="L19" s="164" t="s">
        <v>1567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8"/>
      <c r="L20" s="88"/>
      <c r="M20" s="89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10.0</v>
      </c>
      <c r="K21" s="169">
        <v>5426.0</v>
      </c>
      <c r="L21" s="170">
        <v>67.0</v>
      </c>
      <c r="M21" s="171" t="s">
        <v>1601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1570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8"/>
      <c r="L23" s="88"/>
      <c r="M23" s="89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26.0</v>
      </c>
      <c r="K24" s="170">
        <v>1832.0</v>
      </c>
      <c r="L24" s="170">
        <v>375.0</v>
      </c>
      <c r="M24" s="177">
        <v>19.0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1572</v>
      </c>
      <c r="K25" s="94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8"/>
      <c r="M26" s="89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10.0</v>
      </c>
      <c r="K27" s="96"/>
      <c r="L27" s="182">
        <v>0.16386768180883235</v>
      </c>
      <c r="M27" s="183">
        <v>13.0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8"/>
      <c r="M29" s="89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0.8361323181911677</v>
      </c>
      <c r="M30" s="187">
        <v>0.030619412515964242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88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88"/>
      <c r="F3" s="1"/>
      <c r="G3" s="1"/>
      <c r="H3" s="1"/>
      <c r="I3" s="1"/>
      <c r="J3" s="1"/>
      <c r="K3" s="188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88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"/>
      <c r="F10" s="1"/>
      <c r="G10" s="1"/>
      <c r="H10" s="1"/>
      <c r="I10" s="1"/>
      <c r="J10" s="1"/>
      <c r="K10" s="188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88"/>
      <c r="F11" s="1"/>
      <c r="G11" s="1"/>
      <c r="H11" s="1"/>
      <c r="I11" s="1"/>
      <c r="J11" s="1"/>
      <c r="K11" s="188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88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"/>
      <c r="F15" s="1"/>
      <c r="G15" s="1"/>
      <c r="H15" s="1"/>
      <c r="I15" s="1"/>
      <c r="J15" s="1"/>
      <c r="K15" s="188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88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"/>
      <c r="F21" s="1"/>
      <c r="G21" s="1"/>
      <c r="H21" s="1"/>
      <c r="I21" s="1"/>
      <c r="J21" s="1"/>
      <c r="K21" s="188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"/>
      <c r="F25" s="1"/>
      <c r="G25" s="1"/>
      <c r="H25" s="1"/>
      <c r="I25" s="1"/>
      <c r="J25" s="1"/>
      <c r="K25" s="188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88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88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88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88"/>
      <c r="F33" s="1"/>
      <c r="G33" s="1"/>
      <c r="H33" s="1"/>
      <c r="I33" s="1"/>
      <c r="J33" s="1"/>
      <c r="K33" s="188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"/>
      <c r="F38" s="1"/>
      <c r="G38" s="1"/>
      <c r="H38" s="1"/>
      <c r="I38" s="1"/>
      <c r="J38" s="1"/>
      <c r="K38" s="188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88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88"/>
      <c r="F44" s="1"/>
      <c r="G44" s="1"/>
      <c r="H44" s="1"/>
      <c r="I44" s="1"/>
      <c r="J44" s="1"/>
      <c r="K44" s="188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88"/>
      <c r="F49" s="1"/>
      <c r="G49" s="1"/>
      <c r="H49" s="1"/>
      <c r="I49" s="1"/>
      <c r="J49" s="1"/>
      <c r="K49" s="188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88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"/>
      <c r="C64" s="189"/>
      <c r="D64" s="1"/>
      <c r="E64" s="1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"/>
      <c r="F65" s="1"/>
      <c r="G65" s="1"/>
      <c r="H65" s="1"/>
      <c r="I65" s="1"/>
      <c r="J65" s="1"/>
      <c r="K65" s="188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88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88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"/>
      <c r="D80" s="1"/>
      <c r="E80" s="188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88"/>
      <c r="B84" s="188"/>
      <c r="C84" s="190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88"/>
      <c r="B85" s="188"/>
      <c r="C85" s="190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88"/>
      <c r="B86" s="188"/>
      <c r="C86" s="190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88"/>
      <c r="B87" s="188"/>
      <c r="C87" s="190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88"/>
      <c r="B88" s="188"/>
      <c r="C88" s="190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88"/>
      <c r="B89" s="188"/>
      <c r="C89" s="190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88"/>
      <c r="B90" s="188"/>
      <c r="C90" s="190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88"/>
      <c r="B91" s="188"/>
      <c r="C91" s="190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88"/>
      <c r="B92" s="188"/>
      <c r="C92" s="190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88"/>
      <c r="B93" s="188"/>
      <c r="C93" s="190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88"/>
      <c r="B95" s="188"/>
      <c r="C95" s="190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88"/>
      <c r="B99" s="188"/>
      <c r="C99" s="190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88"/>
      <c r="B100" s="188"/>
      <c r="C100" s="190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88"/>
      <c r="B104" s="188"/>
      <c r="C104" s="190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88"/>
      <c r="B105" s="188"/>
      <c r="C105" s="190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88"/>
      <c r="B106" s="188"/>
      <c r="C106" s="190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88"/>
      <c r="B110" s="188"/>
      <c r="C110" s="190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88"/>
      <c r="B113" s="188"/>
      <c r="C113" s="190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88"/>
      <c r="B121" s="188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88"/>
      <c r="B123" s="188"/>
      <c r="C123" s="190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88"/>
      <c r="B124" s="188"/>
      <c r="C124" s="190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88"/>
      <c r="B127" s="188"/>
      <c r="C127" s="190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88"/>
      <c r="B128" s="188"/>
      <c r="C128" s="190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88"/>
      <c r="B132" s="188"/>
      <c r="C132" s="190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88"/>
      <c r="B138" s="188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""Mzdy!ac1:ad200"")"),31.0)</f>
        <v>31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1602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1603</v>
      </c>
      <c r="B4" s="193" t="s">
        <v>1604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IFERROR(__xludf.DUMMYFUNCTION("""COMPUTED_VALUE"""),"Zličín")</f>
        <v>Zličín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IFERROR(__xludf.DUMMYFUNCTION("""COMPUTED_VALUE"""),"Stepanenko Solomiia")</f>
        <v>Stepanenko Solomiia</v>
      </c>
      <c r="E18" s="6" t="str">
        <f>IFERROR(__xludf.DUMMYFUNCTION("""COMPUTED_VALUE"""),"Výroba")</f>
        <v>Výroba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IFERROR(__xludf.DUMMYFUNCTION("""COMPUTED_VALUE"""),286.332)</f>
        <v>286.332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4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 t="str">
        <f>IFERROR(__xludf.DUMMYFUNCTION("""COMPUTED_VALUE"""),"Rothová Anastasia")</f>
        <v>Rothová Anastasia</v>
      </c>
      <c r="E19" s="6" t="str">
        <f>IFERROR(__xludf.DUMMYFUNCTION("""COMPUTED_VALUE"""),"Bolevec")</f>
        <v>Bolevec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IFERROR(__xludf.DUMMYFUNCTION("""COMPUTED_VALUE"""),341.19)</f>
        <v>341.19</v>
      </c>
      <c r="W19" s="192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IFERROR(__xludf.DUMMYFUNCTION("""COMPUTED_VALUE"""),267.6)</f>
        <v>267.6</v>
      </c>
      <c r="W20" s="192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4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IFERROR(__xludf.DUMMYFUNCTION("""COMPUTED_VALUE"""),432.3078)</f>
        <v>432.3078</v>
      </c>
      <c r="W21" s="192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IFERROR(__xludf.DUMMYFUNCTION("""COMPUTED_VALUE"""),432.3078)</f>
        <v>432.3078</v>
      </c>
      <c r="W22" s="192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IFERROR(__xludf.DUMMYFUNCTION("""COMPUTED_VALUE"""),250.20600000000002)</f>
        <v>250.206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IFERROR(__xludf.DUMMYFUNCTION("""COMPUTED_VALUE"""),267.6)</f>
        <v>267.6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IFERROR(__xludf.DUMMYFUNCTION("""COMPUTED_VALUE"""),0.0)</f>
        <v>0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IFERROR(__xludf.DUMMYFUNCTION("""COMPUTED_VALUE"""),286.332)</f>
        <v>286.332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IFERROR(__xludf.DUMMYFUNCTION("""COMPUTED_VALUE"""),"Chodov")</f>
        <v>Chodov</v>
      </c>
      <c r="F28" s="6" t="str">
        <f>IFERROR(__xludf.DUMMYFUNCTION("""COMPUTED_VALUE"""),"Malešice")</f>
        <v>Malešice</v>
      </c>
      <c r="G28" s="6" t="str">
        <f>IFERROR(__xludf.DUMMYFUNCTION("""COMPUTED_VALUE"""),"Zličín")</f>
        <v>Zličín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IFERROR(__xludf.DUMMYFUNCTION("""COMPUTED_VALUE"""),267.6)</f>
        <v>267.6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 t="str">
        <f>IFERROR(__xludf.DUMMYFUNCTION("""COMPUTED_VALUE"""),"Raboch Tomáš")</f>
        <v>Raboch Tomáš</v>
      </c>
      <c r="E29" s="6" t="str">
        <f>IFERROR(__xludf.DUMMYFUNCTION("""COMPUTED_VALUE"""),"Bolevec")</f>
        <v>Bolevec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IFERROR(__xludf.DUMMYFUNCTION("""COMPUTED_VALUE"""),250.20600000000002)</f>
        <v>250.206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 t="str">
        <f>IFERROR(__xludf.DUMMYFUNCTION("""COMPUTED_VALUE"""),"Prosek")</f>
        <v>Prosek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IFERROR(__xludf.DUMMYFUNCTION("""COMPUTED_VALUE"""),231.474)</f>
        <v>231.474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IFERROR(__xludf.DUMMYFUNCTION("""COMPUTED_VALUE"""),267.6)</f>
        <v>267.6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IFERROR(__xludf.DUMMYFUNCTION("""COMPUTED_VALUE"""),214.08)</f>
        <v>214.08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IFERROR(__xludf.DUMMYFUNCTION("""COMPUTED_VALUE"""),231.474)</f>
        <v>231.474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IFERROR(__xludf.DUMMYFUNCTION("""COMPUTED_VALUE"""),250.20600000000002)</f>
        <v>250.206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IFERROR(__xludf.DUMMYFUNCTION("""COMPUTED_VALUE"""),250.20600000000002)</f>
        <v>250.206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IFERROR(__xludf.DUMMYFUNCTION("""COMPUTED_VALUE"""),250.20600000000002)</f>
        <v>250.206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IFERROR(__xludf.DUMMYFUNCTION("""COMPUTED_VALUE"""),0.0)</f>
        <v>0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IFERROR(__xludf.DUMMYFUNCTION("""COMPUTED_VALUE"""),250.20600000000002)</f>
        <v>250.206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IFERROR(__xludf.DUMMYFUNCTION("""COMPUTED_VALUE"""),231.474)</f>
        <v>231.474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IFERROR(__xludf.DUMMYFUNCTION("""COMPUTED_VALUE"""),250.20600000000002)</f>
        <v>250.206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IFERROR(__xludf.DUMMYFUNCTION("""COMPUTED_VALUE"""),170.0)</f>
        <v>170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IFERROR(__xludf.DUMMYFUNCTION("""COMPUTED_VALUE"""),160.0)</f>
        <v>160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IFERROR(__xludf.DUMMYFUNCTION("""COMPUTED_VALUE"""),0.0)</f>
        <v>0</v>
      </c>
      <c r="W91" s="192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IFERROR(__xludf.DUMMYFUNCTION("""COMPUTED_VALUE"""),0.0)</f>
        <v>0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IFERROR(__xludf.DUMMYFUNCTION("""COMPUTED_VALUE"""),250.20600000000002)</f>
        <v>250.206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IFERROR(__xludf.DUMMYFUNCTION("""COMPUTED_VALUE"""),250.20600000000002)</f>
        <v>250.206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IFERROR(__xludf.DUMMYFUNCTION("""COMPUTED_VALUE"""),0.0)</f>
        <v>0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IFERROR(__xludf.DUMMYFUNCTION("""COMPUTED_VALUE"""),386.68199999999996)</f>
        <v>386.682</v>
      </c>
      <c r="W96" s="192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IFERROR(__xludf.DUMMYFUNCTION("""COMPUTED_VALUE"""),250.20600000000002)</f>
        <v>250.206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IFERROR(__xludf.DUMMYFUNCTION("""COMPUTED_VALUE"""),214.08)</f>
        <v>214.08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IFERROR(__xludf.DUMMYFUNCTION("""COMPUTED_VALUE"""),214.08)</f>
        <v>214.08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IFERROR(__xludf.DUMMYFUNCTION("""COMPUTED_VALUE"""),231.474)</f>
        <v>231.474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IFERROR(__xludf.DUMMYFUNCTION("""COMPUTED_VALUE"""),231.474)</f>
        <v>231.474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IFERROR(__xludf.DUMMYFUNCTION("""COMPUTED_VALUE"""),0.0)</f>
        <v>0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IFERROR(__xludf.DUMMYFUNCTION("""COMPUTED_VALUE"""),0.0)</f>
        <v>0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IFERROR(__xludf.DUMMYFUNCTION("""COMPUTED_VALUE"""),231.474)</f>
        <v>231.474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IFERROR(__xludf.DUMMYFUNCTION("""COMPUTED_VALUE"""),0.0)</f>
        <v>0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IFERROR(__xludf.DUMMYFUNCTION("""COMPUTED_VALUE"""),140.0)</f>
        <v>140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IFERROR(__xludf.DUMMYFUNCTION("""COMPUTED_VALUE"""),250.20600000000002)</f>
        <v>250.206</v>
      </c>
      <c r="W108" s="192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IFERROR(__xludf.DUMMYFUNCTION("""COMPUTED_VALUE"""),231.474)</f>
        <v>231.474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IFERROR(__xludf.DUMMYFUNCTION("""COMPUTED_VALUE"""),214.08)</f>
        <v>214.08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IFERROR(__xludf.DUMMYFUNCTION("""COMPUTED_VALUE"""),231.474)</f>
        <v>231.474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IFERROR(__xludf.DUMMYFUNCTION("""COMPUTED_VALUE"""),214.08)</f>
        <v>214.08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IFERROR(__xludf.DUMMYFUNCTION("""COMPUTED_VALUE"""),214.08)</f>
        <v>214.08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IFERROR(__xludf.DUMMYFUNCTION("""COMPUTED_VALUE"""),214.08)</f>
        <v>214.08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IFERROR(__xludf.DUMMYFUNCTION("""COMPUTED_VALUE"""),250.20600000000002)</f>
        <v>250.206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IFERROR(__xludf.DUMMYFUNCTION("""COMPUTED_VALUE"""),231.474)</f>
        <v>231.474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IFERROR(__xludf.DUMMYFUNCTION("""COMPUTED_VALUE"""),250.20600000000002)</f>
        <v>250.206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IFERROR(__xludf.DUMMYFUNCTION("""COMPUTED_VALUE"""),214.08)</f>
        <v>214.08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IFERROR(__xludf.DUMMYFUNCTION("""COMPUTED_VALUE"""),214.08)</f>
        <v>214.08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IFERROR(__xludf.DUMMYFUNCTION("""COMPUTED_VALUE"""),231.474)</f>
        <v>231.474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IFERROR(__xludf.DUMMYFUNCTION("""COMPUTED_VALUE"""),49506.0)</f>
        <v>49506</v>
      </c>
      <c r="W122" s="192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IFERROR(__xludf.DUMMYFUNCTION("""COMPUTED_VALUE"""),231.474)</f>
        <v>231.474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>Pavel Břicháč</v>
      </c>
      <c r="C126" s="6" t="b">
        <f>IFERROR(__xludf.DUMMYFUNCTION("""COMPUTED_VALUE"""),FALSE)</f>
        <v>0</v>
      </c>
      <c r="D126" s="6" t="str">
        <f>IFERROR(__xludf.DUMMYFUNCTION("""COMPUTED_VALUE"""),"Pavel Břicháč")</f>
        <v>Pavel Břicháč</v>
      </c>
      <c r="E126" s="6" t="str">
        <f>IFERROR(__xludf.DUMMYFUNCTION("""COMPUTED_VALUE"""),"Libuš")</f>
        <v>Libuš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IFERROR(__xludf.DUMMYFUNCTION("""COMPUTED_VALUE"""),231.474)</f>
        <v>231.474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IFERROR(__xludf.DUMMYFUNCTION("""COMPUTED_VALUE"""),0.0)</f>
        <v>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/>
      </c>
      <c r="C128" s="6" t="b">
        <f>IFERROR(__xludf.DUMMYFUNCTION("""COMPUTED_VALUE"""),FALSE)</f>
        <v>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IFERROR(__xludf.DUMMYFUNCTION("""COMPUTED_VALUE"""),0.0)</f>
        <v>0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IFERROR(__xludf.DUMMYFUNCTION("""COMPUTED_VALUE"""),0.0)</f>
        <v>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IFERROR(__xludf.DUMMYFUNCTION("""COMPUTED_VALUE"""),0.0)</f>
        <v>0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IFERROR(__xludf.DUMMYFUNCTION("""COMPUTED_VALUE"""),0.0)</f>
        <v>0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1605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1606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1564</v>
      </c>
      <c r="B3" s="1" t="s">
        <v>1607</v>
      </c>
      <c r="C3" s="1" t="s">
        <v>1608</v>
      </c>
      <c r="D3" s="1" t="s">
        <v>1608</v>
      </c>
      <c r="E3" s="1" t="s">
        <v>1607</v>
      </c>
      <c r="F3" s="1" t="s">
        <v>1609</v>
      </c>
      <c r="G3" s="188"/>
      <c r="H3" s="1" t="s">
        <v>1607</v>
      </c>
    </row>
    <row r="4">
      <c r="A4" s="1" t="s">
        <v>1490</v>
      </c>
      <c r="B4" s="1" t="s">
        <v>1608</v>
      </c>
      <c r="C4" s="1" t="s">
        <v>1610</v>
      </c>
      <c r="D4" s="188"/>
      <c r="E4" s="1" t="s">
        <v>1608</v>
      </c>
      <c r="F4" s="1" t="s">
        <v>1610</v>
      </c>
      <c r="G4" s="1" t="s">
        <v>1611</v>
      </c>
      <c r="H4" s="1" t="s">
        <v>1612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1531</v>
      </c>
      <c r="B5" s="1" t="s">
        <v>1613</v>
      </c>
      <c r="C5" s="188"/>
      <c r="D5" s="1" t="s">
        <v>1614</v>
      </c>
      <c r="E5" s="188"/>
      <c r="F5" s="1" t="s">
        <v>1614</v>
      </c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1597</v>
      </c>
      <c r="B6" s="1" t="s">
        <v>1615</v>
      </c>
      <c r="C6" s="188"/>
      <c r="D6" s="188"/>
      <c r="E6" s="1" t="s">
        <v>1615</v>
      </c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1598</v>
      </c>
      <c r="B7" s="188"/>
      <c r="C7" s="1" t="s">
        <v>1616</v>
      </c>
      <c r="D7" s="188"/>
      <c r="E7" s="1" t="s">
        <v>1617</v>
      </c>
      <c r="F7" s="188"/>
      <c r="G7" s="188"/>
      <c r="H7" s="1" t="s">
        <v>1618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1571</v>
      </c>
      <c r="B8" s="188"/>
      <c r="C8" s="1" t="s">
        <v>1619</v>
      </c>
      <c r="D8" s="1" t="s">
        <v>1619</v>
      </c>
      <c r="E8" s="188"/>
      <c r="F8" s="1" t="s">
        <v>1619</v>
      </c>
      <c r="G8" s="1" t="s">
        <v>1619</v>
      </c>
      <c r="H8" s="1" t="s">
        <v>1619</v>
      </c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1566</v>
      </c>
      <c r="B9" s="188"/>
      <c r="C9" s="188"/>
      <c r="D9" s="1" t="s">
        <v>1607</v>
      </c>
      <c r="E9" s="188"/>
      <c r="F9" s="188"/>
      <c r="G9" s="188"/>
      <c r="H9" s="1" t="s">
        <v>1612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1582</v>
      </c>
      <c r="B10" s="188"/>
      <c r="C10" s="188"/>
      <c r="D10" s="188"/>
      <c r="E10" s="188"/>
      <c r="F10" s="1" t="s">
        <v>1620</v>
      </c>
      <c r="G10" s="1" t="s">
        <v>1620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1585</v>
      </c>
      <c r="B11" s="188"/>
      <c r="C11" s="188"/>
      <c r="D11" s="188"/>
      <c r="E11" s="188"/>
      <c r="F11" s="1" t="s">
        <v>1618</v>
      </c>
      <c r="G11" s="1" t="s">
        <v>1621</v>
      </c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1583</v>
      </c>
      <c r="B12" s="188"/>
      <c r="D12" s="188"/>
      <c r="E12" s="188"/>
      <c r="F12" s="188"/>
      <c r="G12" s="1" t="s">
        <v>1622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