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<sst xmlns="http://schemas.openxmlformats.org/spreadsheetml/2006/main" count="5529" uniqueCount="1630">
  <si>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</si>
  <si>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</si>
  <si>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</si>
  <si>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</si>
  <si>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</si>
  <si>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</si>
  <si>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</si>
  <si>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</si>
  <si>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</si>
  <si>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</si>
  <si>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</si>
  <si>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</si>
  <si>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</si>
  <si>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</si>
  <si>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</si>
  <si>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</si>
  <si>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</si>
  <si>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</si>
  <si>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</si>
  <si>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</si>
  <si>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</si>
  <si>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</si>
  <si>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</si>
  <si>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</si>
  <si>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</si>
  <si>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</si>
  <si>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</si>
  <si>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</si>
  <si>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</si>
  <si>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</si>
  <si>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</si>
  <si>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</si>
  <si>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</si>
  <si>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</si>
  <si>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</si>
  <si>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</si>
  <si>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</si>
  <si>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</si>
  <si>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</si>
  <si>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</si>
  <si>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</si>
  <si>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</si>
  <si>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</si>
  <si>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</si>
  <si>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</si>
  <si>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</si>
  <si>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</si>
  <si>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</si>
  <si>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</si>
  <si>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</si>
  <si>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</si>
  <si>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</si>
  <si>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</si>
  <si>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</si>
  <si>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</si>
  <si>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</si>
  <si>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</si>
  <si>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</si>
  <si>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</si>
  <si>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</si>
  <si>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</si>
  <si>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</si>
  <si>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</si>
  <si>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</si>
  <si>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</si>
  <si>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</si>
  <si>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</si>
  <si>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</si>
  <si>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</si>
  <si>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</si>
  <si>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</si>
  <si>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</si>
  <si>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</si>
  <si>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</si>
  <si>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</si>
  <si>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</si>
  <si>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</si>
  <si>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</si>
  <si>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</si>
  <si>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</si>
  <si>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</si>
  <si>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</si>
  <si>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</si>
  <si>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</si>
  <si>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</si>
  <si>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</si>
  <si>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</si>
  <si>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</si>
  <si>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</si>
  <si>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</si>
  <si>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</si>
  <si>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</si>
  <si>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</si>
  <si>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</si>
  <si>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</si>
  <si>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</si>
  <si>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</si>
  <si>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</si>
  <si>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</si>
  <si>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</si>
  <si>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</si>
  <si>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</si>
  <si>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</si>
  <si>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</si>
  <si>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</si>
  <si>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</si>
  <si>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</si>
  <si>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</si>
  <si>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</si>
  <si>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</si>
  <si>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</si>
  <si>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</si>
  <si>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</si>
  <si>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</si>
  <si>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</si>
  <si>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</si>
  <si>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</si>
  <si>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</si>
  <si>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</si>
  <si>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</si>
  <si>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</si>
  <si>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</si>
  <si>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</si>
  <si>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</si>
  <si>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</si>
  <si>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</si>
  <si>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</si>
  <si>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</si>
  <si>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</si>
  <si>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</si>
  <si>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</si>
  <si>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</si>
  <si>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</si>
  <si>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</si>
  <si>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</si>
  <si>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</si>
  <si>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</si>
  <si>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</si>
  <si>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</si>
  <si>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</si>
  <si>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</si>
  <si>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</si>
  <si>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</si>
  <si>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</si>
  <si>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</si>
  <si>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</si>
  <si>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</si>
  <si>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</si>
  <si>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</si>
  <si>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</si>
  <si>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</si>
  <si>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</si>
  <si>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</si>
  <si>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</si>
  <si>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</si>
  <si>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</si>
  <si>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</si>
  <si>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</si>
  <si>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</si>
  <si>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</si>
  <si>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</si>
  <si>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</si>
  <si>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</si>
  <si>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</si>
  <si>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</si>
  <si>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</si>
  <si>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</si>
  <si>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</si>
  <si>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</si>
  <si>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</si>
  <si>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</si>
  <si>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</si>
  <si>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</si>
  <si>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</si>
  <si>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</si>
  <si>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</si>
  <si>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</si>
  <si>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</si>
  <si>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</si>
  <si>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</si>
  <si>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</si>
  <si>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</si>
  <si>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</si>
  <si>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</si>
  <si>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</si>
  <si>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</si>
  <si>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</si>
  <si>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</si>
  <si>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</si>
  <si>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</si>
  <si>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</si>
  <si>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</si>
  <si>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</si>
  <si>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</si>
  <si>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</si>
  <si>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</si>
  <si>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</si>
  <si>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</si>
  <si>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</si>
  <si>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</si>
  <si>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</si>
  <si>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</si>
  <si>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</si>
  <si>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</si>
  <si>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</si>
  <si>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</si>
  <si>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</si>
  <si>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</si>
  <si>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</si>
  <si>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</si>
  <si>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</si>
  <si>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</si>
  <si>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</si>
  <si>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</si>
  <si>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</si>
  <si>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</si>
  <si>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</si>
  <si>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</si>
  <si>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</si>
  <si>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</si>
  <si>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</si>
  <si>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</si>
  <si>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</si>
  <si>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</si>
  <si>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</si>
  <si>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</si>
  <si>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</si>
  <si>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</si>
  <si>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</si>
  <si>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</si>
  <si>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</si>
  <si>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</si>
  <si>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</si>
  <si>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</si>
  <si>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</si>
  <si>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</si>
  <si>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</si>
  <si>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</si>
  <si>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</si>
  <si>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</si>
  <si>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</si>
  <si>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</si>
  <si>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</si>
  <si>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</si>
  <si>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</si>
  <si>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</si>
  <si>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</si>
  <si>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</si>
  <si>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</si>
  <si>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</si>
  <si>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</si>
  <si>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</si>
  <si>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</si>
  <si>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</si>
  <si>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</si>
  <si>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</si>
  <si>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</si>
  <si>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</si>
  <si>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</si>
  <si>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</si>
  <si>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</si>
  <si>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</si>
  <si>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</si>
  <si>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</si>
  <si>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</si>
  <si>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</si>
  <si>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</si>
  <si>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</si>
  <si>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</si>
  <si>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</si>
  <si>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</si>
  <si>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</si>
  <si>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</si>
  <si>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</si>
  <si>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</si>
  <si>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</si>
  <si>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</si>
  <si>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</si>
  <si>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</si>
  <si>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</si>
  <si>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</si>
  <si>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</si>
  <si>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</si>
  <si>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</si>
  <si>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</si>
  <si>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</si>
  <si>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</si>
  <si>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</si>
  <si>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</si>
  <si>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</si>
  <si>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</si>
  <si>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</si>
  <si>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</si>
  <si>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</si>
  <si>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</si>
  <si>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</si>
  <si>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</si>
  <si>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</si>
  <si>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</si>
  <si>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</si>
  <si>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</si>
  <si>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</si>
  <si>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</si>
  <si>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</si>
  <si>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</si>
  <si>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</si>
  <si>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</si>
  <si>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</si>
  <si>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</si>
  <si>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</si>
  <si>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</si>
  <si>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</si>
  <si>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</si>
  <si>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</si>
  <si>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</si>
  <si>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</si>
  <si>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</si>
  <si>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</si>
  <si>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</si>
  <si>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</si>
  <si>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</si>
  <si>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</si>
  <si>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</si>
  <si>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</si>
  <si>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</si>
  <si>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</si>
  <si>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</si>
  <si>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</si>
  <si>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</si>
  <si>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</si>
  <si>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</si>
  <si>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</si>
  <si>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</si>
  <si>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</si>
  <si>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</si>
  <si>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</si>
  <si>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</si>
  <si>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</si>
  <si>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</si>
  <si>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</si>
  <si>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</si>
  <si>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</si>
  <si>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</si>
  <si>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</si>
  <si>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</si>
  <si>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</si>
  <si>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</si>
  <si>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</si>
  <si>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</si>
  <si>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</si>
  <si>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</si>
  <si>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</si>
  <si>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</si>
  <si>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</si>
  <si>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</si>
  <si>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</si>
  <si>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</si>
  <si>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</si>
  <si>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</si>
  <si>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</si>
  <si>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</si>
  <si>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</si>
  <si>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</si>
  <si>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</si>
  <si>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</si>
  <si>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</si>
  <si>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</si>
  <si>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</si>
  <si>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</si>
  <si>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</si>
  <si>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</si>
  <si>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</si>
  <si>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</si>
  <si>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</si>
  <si>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</si>
  <si>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</si>
  <si>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</si>
  <si>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</si>
  <si>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</si>
  <si>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</si>
  <si>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</si>
  <si>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</si>
  <si>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</si>
  <si>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</si>
  <si>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</si>
  <si>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</si>
  <si>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</si>
  <si>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</si>
  <si>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</si>
  <si>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</si>
  <si>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</si>
  <si>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</si>
  <si>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</si>
  <si>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</si>
  <si>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</si>
  <si>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</si>
  <si>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</si>
  <si>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</si>
  <si>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</si>
  <si>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</si>
  <si>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</si>
  <si>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</si>
  <si>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</si>
  <si>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</si>
  <si>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</si>
  <si>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</si>
  <si>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</si>
  <si>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</si>
  <si>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</si>
  <si>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</si>
  <si>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</si>
  <si>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</si>
  <si>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</si>
  <si>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</si>
  <si>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</si>
  <si>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</si>
  <si>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</si>
  <si>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</si>
  <si>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</si>
  <si>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</si>
  <si>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</si>
  <si>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</si>
  <si>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</si>
  <si>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</si>
  <si>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</si>
  <si>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</si>
  <si>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</si>
  <si>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</si>
  <si>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</si>
  <si>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</si>
  <si>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</si>
  <si>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</si>
  <si>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</si>
  <si>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</si>
  <si>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</si>
  <si>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</si>
  <si>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</si>
  <si>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</si>
  <si>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</si>
  <si>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</si>
  <si>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</si>
  <si>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</si>
  <si>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</si>
  <si>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</si>
  <si>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</si>
  <si>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</si>
  <si>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</si>
  <si>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</si>
  <si>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</si>
  <si>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</si>
  <si>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</si>
  <si>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</si>
  <si>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</si>
  <si>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</si>
  <si>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</si>
  <si>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</si>
  <si>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</si>
  <si>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</si>
  <si>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</si>
  <si>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</si>
  <si>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</si>
  <si>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</si>
  <si>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</si>
  <si>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</si>
  <si>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</si>
  <si>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</si>
  <si>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</si>
  <si>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</si>
  <si>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</si>
  <si>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</si>
  <si>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</si>
  <si>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</si>
  <si>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</si>
  <si>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</si>
  <si>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</si>
  <si>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</si>
  <si>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</si>
  <si>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</si>
  <si>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</si>
  <si>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</si>
  <si>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</si>
  <si>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</si>
  <si>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</si>
  <si>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</si>
  <si>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</si>
  <si>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</si>
  <si>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</si>
  <si>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</si>
  <si>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</si>
  <si>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</si>
  <si>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</si>
  <si>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</si>
  <si>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</si>
  <si>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</si>
  <si>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</si>
  <si>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</si>
  <si>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</si>
  <si>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</si>
  <si>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</si>
  <si>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</si>
  <si>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</si>
  <si>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</si>
  <si>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</si>
  <si>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</si>
  <si>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</si>
  <si>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</si>
  <si>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</si>
  <si>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</si>
  <si>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</si>
  <si>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</si>
  <si>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</si>
  <si>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</si>
  <si>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</si>
  <si>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</si>
  <si>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</si>
  <si>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</si>
  <si>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</si>
  <si>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</si>
  <si>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</si>
  <si>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</si>
  <si>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</si>
  <si>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</si>
  <si>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</si>
  <si>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</si>
  <si>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</si>
  <si>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</si>
  <si>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</si>
  <si>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</si>
  <si>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</si>
  <si>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</si>
  <si>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</si>
  <si>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</si>
  <si>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</si>
  <si>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</si>
  <si>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</si>
  <si>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</si>
  <si>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</si>
  <si>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</si>
  <si>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</si>
  <si>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</si>
  <si>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</si>
  <si>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</si>
  <si>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</si>
  <si>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</si>
  <si>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</si>
  <si>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</si>
  <si>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</si>
  <si>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</si>
  <si>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</si>
  <si>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</si>
  <si>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</si>
  <si>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</si>
  <si>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</si>
  <si>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</si>
  <si>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</si>
  <si>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</si>
  <si>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</si>
  <si>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</si>
  <si>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</si>
  <si>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</si>
  <si>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</si>
  <si>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</si>
  <si>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</si>
  <si>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</si>
  <si>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</si>
  <si>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</si>
  <si>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</si>
  <si>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</si>
  <si>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</si>
  <si>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</si>
  <si>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</si>
  <si>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</si>
  <si>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</si>
  <si>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</si>
  <si>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</si>
  <si>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</si>
  <si>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</si>
  <si>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</si>
  <si>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</si>
  <si>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</si>
  <si>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</si>
  <si>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</si>
  <si>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</si>
  <si>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</si>
  <si>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</si>
  <si>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</si>
  <si>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</si>
  <si>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</si>
  <si>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</si>
  <si>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</si>
  <si>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</si>
  <si>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</si>
  <si>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</si>
  <si>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</si>
  <si>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</si>
  <si>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</si>
  <si>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</si>
  <si>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</si>
  <si>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</si>
  <si>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</si>
  <si>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</si>
  <si>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</si>
  <si>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</si>
  <si>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</si>
  <si>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</si>
  <si>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</si>
  <si>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</si>
  <si>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</si>
  <si>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</si>
  <si>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</si>
  <si>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</si>
  <si>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</si>
  <si>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</si>
  <si>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</si>
  <si>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</si>
  <si>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</si>
  <si>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</si>
  <si>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</si>
  <si>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</si>
  <si>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</si>
  <si>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</si>
  <si>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</si>
  <si>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</si>
  <si>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</si>
  <si>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</si>
  <si>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</si>
  <si>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</si>
  <si>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</si>
  <si>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</si>
  <si>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</si>
  <si>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</si>
  <si>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</si>
  <si>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</si>
  <si>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</si>
  <si>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</si>
  <si>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</si>
  <si>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</si>
  <si>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</si>
  <si>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</si>
  <si>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</si>
  <si>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</si>
  <si>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</si>
  <si>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</si>
  <si>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</si>
  <si>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</si>
  <si>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</si>
  <si>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</si>
  <si>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</si>
  <si>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</si>
  <si>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</si>
  <si>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</si>
  <si>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</si>
  <si>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</si>
  <si>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</si>
  <si>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</si>
  <si>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</si>
  <si>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</si>
  <si>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</si>
  <si>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</si>
  <si>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</si>
  <si>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</si>
  <si>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</si>
  <si>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</si>
  <si>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</si>
  <si>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</si>
  <si>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</si>
  <si>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</si>
  <si>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</si>
  <si>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</si>
  <si>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</si>
  <si>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</si>
  <si>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</si>
  <si>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</si>
  <si>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</si>
  <si>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</si>
  <si>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</si>
  <si>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</si>
  <si>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</si>
  <si>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</si>
  <si>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</si>
  <si>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</si>
  <si>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</si>
  <si>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</si>
  <si>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</si>
  <si>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</si>
  <si>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</si>
  <si>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</si>
  <si>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</si>
  <si>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</si>
  <si>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</si>
  <si>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</si>
  <si>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</si>
  <si>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</si>
  <si>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</si>
  <si>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</si>
  <si>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</si>
  <si>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</si>
  <si>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</si>
  <si>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</si>
  <si>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</si>
  <si>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</si>
  <si>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</si>
  <si>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</si>
  <si>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</si>
  <si>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</si>
  <si>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</si>
  <si>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</si>
  <si>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</si>
  <si>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</si>
  <si>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</si>
  <si>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</si>
  <si>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</si>
  <si>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</si>
  <si>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</si>
  <si>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</si>
  <si>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</si>
  <si>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</si>
  <si>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</si>
  <si>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</si>
  <si>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</si>
  <si>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</si>
  <si>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</si>
  <si>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</si>
  <si>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</si>
  <si>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</si>
  <si>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</si>
  <si>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</si>
  <si>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</si>
  <si>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</si>
  <si>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</si>
  <si>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</si>
  <si>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</si>
  <si>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</si>
  <si>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</si>
  <si>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</si>
  <si>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</si>
  <si>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</si>
  <si>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</si>
  <si>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</si>
  <si>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</si>
  <si>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</si>
  <si>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</si>
  <si>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</si>
  <si>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</si>
  <si>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</si>
  <si>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</si>
  <si>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</si>
  <si>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</si>
  <si>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</si>
  <si>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</si>
  <si>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</si>
  <si>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</si>
  <si>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</si>
  <si>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</si>
  <si>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</si>
  <si>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</si>
  <si>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</si>
  <si>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</si>
  <si>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</si>
  <si>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</si>
  <si>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</si>
  <si>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</si>
  <si>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</si>
  <si>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</si>
  <si>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</si>
  <si>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</si>
  <si>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</si>
  <si>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</si>
  <si>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</si>
  <si>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</si>
  <si>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</si>
  <si>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</si>
  <si>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</si>
  <si>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</si>
  <si>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</si>
  <si>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</si>
  <si>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</si>
  <si>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</si>
  <si>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</si>
  <si>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</si>
  <si>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</si>
  <si>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</si>
  <si>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</si>
  <si>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</si>
  <si>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</si>
  <si>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</si>
  <si>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</si>
  <si>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</si>
  <si>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</si>
  <si>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</si>
  <si>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</si>
  <si>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</si>
  <si>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</si>
  <si>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</si>
  <si>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</si>
  <si>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</si>
  <si>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</si>
  <si>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</si>
  <si>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</si>
  <si>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</si>
  <si>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</si>
  <si>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</si>
  <si>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</si>
  <si>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</si>
  <si>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</si>
  <si>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</si>
  <si>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</si>
  <si>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</si>
  <si>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</si>
  <si>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</si>
  <si>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</si>
  <si>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</si>
  <si>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</si>
  <si>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</si>
  <si>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</si>
  <si>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</si>
  <si>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</si>
  <si>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</si>
  <si>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</si>
  <si>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</si>
  <si>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</si>
  <si>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</si>
  <si>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</si>
  <si>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</si>
  <si>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</si>
  <si>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</si>
  <si>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</si>
  <si>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</si>
  <si>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</si>
  <si>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</si>
  <si>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</si>
  <si>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</si>
  <si>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</si>
  <si>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</si>
  <si>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</si>
  <si>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</si>
  <si>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</si>
  <si>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</si>
  <si>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</si>
  <si>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</si>
  <si>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</si>
  <si>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</si>
  <si>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</si>
  <si>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</si>
  <si>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</si>
  <si>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</si>
  <si>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</si>
  <si>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</si>
  <si>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</si>
  <si>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</si>
  <si>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</si>
  <si>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</si>
  <si>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</si>
  <si>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</si>
  <si>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</si>
  <si>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</si>
  <si>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</si>
  <si>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</si>
  <si>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</si>
  <si>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</si>
  <si>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</si>
  <si>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</si>
  <si>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</si>
  <si>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</si>
  <si>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</si>
  <si>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</si>
  <si>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</si>
  <si>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</si>
  <si>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</si>
  <si>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</si>
  <si>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</si>
  <si>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</si>
  <si>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</si>
  <si>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</si>
  <si>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</si>
  <si>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</si>
  <si>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</si>
  <si>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</si>
  <si>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</si>
  <si>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</si>
  <si>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</si>
  <si>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</si>
  <si>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</si>
  <si>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</si>
  <si>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</si>
  <si>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</si>
  <si>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</si>
  <si>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</si>
  <si>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</si>
  <si>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</si>
  <si>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</si>
  <si>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</si>
  <si>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</si>
  <si>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</si>
  <si>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</si>
  <si>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</si>
  <si>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</si>
  <si>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</si>
  <si>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</si>
  <si>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</si>
  <si>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</si>
  <si>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</si>
  <si>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</si>
  <si>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</si>
  <si>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</si>
  <si>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</si>
  <si>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</si>
  <si>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</si>
  <si>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</si>
  <si>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</si>
  <si>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</si>
  <si>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</si>
  <si>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</si>
  <si>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</si>
  <si>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</si>
  <si>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</si>
  <si>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</si>
  <si>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</si>
  <si>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</si>
  <si>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</si>
  <si>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</si>
  <si>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</si>
  <si>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</si>
  <si>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</si>
  <si>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</si>
  <si>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</si>
  <si>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</si>
  <si>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</si>
  <si>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</si>
  <si>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</si>
  <si>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</si>
  <si>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</si>
  <si>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</si>
  <si>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</si>
  <si>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</si>
  <si>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</si>
  <si>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</si>
  <si>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</si>
  <si>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</si>
  <si>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</si>
  <si>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</si>
  <si>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</si>
  <si>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</si>
  <si>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</si>
  <si>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</si>
  <si>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</si>
  <si>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</si>
  <si>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</si>
  <si>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</si>
  <si>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</si>
  <si>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</si>
  <si>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</si>
  <si>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</si>
  <si>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</si>
  <si>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</si>
  <si>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</si>
  <si>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</si>
  <si>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</si>
  <si>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</si>
  <si>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</si>
  <si>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</si>
  <si>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</si>
  <si>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</si>
  <si>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</si>
  <si>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</si>
  <si>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</si>
  <si>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</si>
  <si>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</si>
  <si>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</si>
  <si>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</si>
  <si>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</si>
  <si>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</si>
  <si>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</si>
  <si>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</si>
  <si>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</si>
  <si>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</si>
  <si>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</si>
  <si>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</si>
  <si>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</si>
  <si>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</si>
  <si>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</si>
  <si>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</si>
  <si>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</si>
  <si>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</si>
  <si>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</si>
  <si>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</si>
  <si>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</si>
  <si>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</si>
  <si>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</si>
  <si>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</si>
  <si>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</si>
  <si>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</si>
  <si>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</si>
  <si>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</si>
  <si>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</si>
  <si>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</si>
  <si>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</si>
  <si>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</si>
  <si>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</si>
  <si>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</si>
  <si>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</si>
  <si>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</si>
  <si>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</si>
  <si>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</si>
  <si>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</si>
  <si>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</si>
  <si>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</si>
  <si>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</si>
  <si>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</si>
  <si>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</si>
  <si>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</si>
  <si>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</si>
  <si>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</si>
  <si>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</si>
  <si>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</si>
  <si>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</si>
  <si>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</si>
  <si>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</si>
  <si>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</si>
  <si>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</si>
  <si>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</si>
  <si>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</si>
  <si>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</si>
  <si>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</si>
  <si>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</si>
  <si>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</si>
  <si>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</si>
  <si>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</si>
  <si>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</si>
  <si>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</si>
  <si>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</si>
  <si>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</si>
  <si>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</si>
  <si>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</si>
  <si>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</si>
  <si>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</si>
  <si>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</si>
  <si>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</si>
  <si>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</si>
  <si>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</si>
  <si>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</si>
  <si>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</si>
  <si>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</si>
  <si>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</si>
  <si>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</si>
  <si>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</si>
  <si>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</si>
  <si>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</si>
  <si>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</si>
  <si>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</si>
  <si>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</si>
  <si>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</si>
  <si>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</si>
  <si>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</si>
  <si>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</si>
  <si>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</si>
  <si>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</si>
  <si>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</si>
  <si>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</si>
  <si>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</si>
  <si>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</si>
  <si>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</si>
  <si>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</si>
  <si>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</si>
  <si>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</si>
  <si>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</si>
  <si>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</si>
  <si>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</si>
  <si>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</si>
  <si>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</si>
  <si>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</si>
  <si>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</si>
  <si>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</si>
  <si>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</si>
  <si>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</si>
  <si>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</si>
  <si>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</si>
  <si>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</si>
  <si>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</si>
  <si>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</si>
  <si>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</si>
  <si>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</si>
  <si>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</si>
  <si>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</si>
  <si>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</si>
  <si>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</si>
  <si>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</si>
  <si>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</si>
  <si>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</si>
  <si>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</si>
  <si>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</si>
  <si>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</si>
  <si>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</si>
  <si>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</si>
  <si>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</si>
  <si>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</si>
  <si>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</si>
  <si>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</si>
  <si>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</si>
  <si>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</si>
  <si>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</si>
  <si>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</si>
  <si>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</si>
  <si>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</si>
  <si>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</si>
  <si>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</si>
  <si>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</si>
  <si>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</si>
  <si>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</si>
  <si>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</si>
  <si>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</si>
  <si>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</si>
  <si>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</si>
  <si>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</si>
  <si>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</si>
  <si>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</si>
  <si>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</si>
  <si>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</si>
  <si>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</si>
  <si>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</si>
  <si>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</si>
  <si>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</si>
  <si>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</si>
  <si>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</si>
  <si>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</si>
  <si>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</si>
  <si>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</si>
  <si>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</si>
  <si>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</si>
  <si>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</si>
  <si>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</si>
  <si>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</si>
  <si>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</si>
  <si>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</si>
  <si>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</si>
  <si>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</si>
  <si>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</si>
  <si>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</si>
  <si>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</si>
  <si>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</si>
  <si>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</si>
  <si>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</si>
  <si>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</si>
  <si>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</si>
  <si>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</si>
  <si>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</si>
  <si>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</si>
  <si>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</si>
  <si>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</si>
  <si>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</si>
  <si>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</si>
  <si>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</si>
  <si>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</si>
  <si>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</si>
  <si>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</si>
  <si>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</si>
  <si>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</si>
  <si>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</si>
  <si>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</si>
  <si>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</si>
  <si>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</si>
  <si>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</si>
  <si>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</si>
  <si>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</si>
  <si>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</si>
  <si>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</si>
  <si>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</si>
  <si>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</si>
  <si>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</si>
  <si>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</si>
  <si>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</si>
  <si>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</si>
  <si>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</si>
  <si>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</si>
  <si>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</si>
  <si>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</si>
  <si>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</si>
  <si>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</si>
  <si>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</si>
  <si>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</si>
  <si>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</si>
  <si>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</si>
  <si>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</si>
  <si>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</si>
  <si>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</si>
  <si>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</si>
  <si>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</si>
  <si>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</si>
  <si>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</si>
  <si>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</si>
  <si>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</si>
  <si>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</si>
  <si>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</si>
  <si>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</si>
  <si>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</si>
  <si>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</si>
  <si>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</si>
  <si>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</si>
  <si>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</si>
  <si>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</si>
  <si>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</si>
  <si>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</si>
  <si>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</si>
  <si>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</si>
  <si>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</si>
  <si>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</si>
  <si>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</si>
  <si>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</si>
  <si>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</si>
  <si>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</si>
  <si>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</si>
  <si>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</si>
  <si>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</si>
  <si>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</si>
  <si>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</si>
  <si>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</si>
  <si>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</si>
  <si>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</si>
  <si>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</si>
  <si>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</si>
  <si>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</si>
  <si>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</si>
  <si>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</si>
  <si>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</si>
  <si>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</si>
  <si>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</si>
  <si>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</si>
  <si>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</si>
  <si>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</si>
  <si>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</si>
  <si>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</si>
  <si>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</si>
  <si>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</si>
  <si>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</si>
  <si>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</si>
  <si>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</si>
  <si>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</si>
  <si>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</si>
  <si>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</si>
  <si>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</si>
  <si>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</si>
  <si>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</si>
  <si>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</si>
  <si>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</si>
  <si>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</si>
  <si>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</si>
  <si>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</si>
  <si>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</si>
  <si>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</si>
  <si>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</si>
  <si>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</si>
  <si>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</si>
  <si>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</si>
  <si>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</si>
  <si>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</si>
  <si>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</si>
  <si>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</si>
  <si>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</si>
  <si>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</si>
  <si>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</si>
  <si>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</si>
  <si>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</si>
  <si>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</si>
  <si>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</si>
  <si>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</si>
  <si>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</si>
  <si>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</si>
  <si>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</si>
  <si>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</si>
  <si>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</si>
  <si>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</si>
  <si>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</si>
  <si>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</si>
  <si>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</si>
  <si>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</si>
  <si>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</si>
  <si>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</si>
  <si>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</si>
  <si>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</si>
  <si>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</si>
  <si>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</si>
  <si>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</si>
  <si>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</si>
  <si>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</si>
  <si>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</si>
  <si>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</si>
  <si>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</si>
  <si>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</si>
  <si>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</si>
  <si>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</si>
  <si>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</si>
  <si>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</si>
  <si>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</si>
  <si>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</si>
  <si>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</si>
  <si>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</si>
  <si>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</si>
  <si>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</si>
  <si>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</si>
  <si>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</si>
  <si>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</si>
  <si>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</si>
  <si>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</si>
  <si>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</si>
  <si>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</si>
  <si>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</si>
  <si>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</si>
  <si>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</si>
  <si>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</si>
  <si>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</si>
  <si>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</si>
  <si>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</si>
  <si>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</si>
  <si>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</si>
  <si>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</si>
  <si>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</si>
  <si>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</si>
  <si>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</si>
  <si>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</si>
  <si>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</si>
  <si>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</si>
  <si>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</si>
  <si>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</si>
  <si>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</si>
  <si>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</si>
  <si>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</si>
  <si>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</si>
  <si>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</si>
  <si>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</si>
  <si>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</si>
  <si>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</si>
  <si>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</si>
  <si>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</si>
  <si>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</si>
  <si>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</si>
  <si>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</si>
  <si>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</si>
  <si>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</si>
  <si>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</si>
  <si>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</si>
  <si>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</si>
  <si>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</si>
  <si>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</si>
  <si>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</si>
  <si>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</si>
  <si>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</si>
  <si>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</si>
  <si>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</si>
  <si>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</si>
  <si>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</si>
  <si>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</si>
  <si>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</si>
  <si>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</si>
  <si>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</si>
  <si>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</si>
  <si>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</si>
  <si>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</si>
  <si>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</si>
  <si>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</si>
  <si>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</si>
  <si>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</si>
  <si>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</si>
  <si>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</si>
  <si>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</si>
  <si>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</si>
  <si>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</si>
  <si>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</si>
  <si>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</si>
  <si>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</si>
  <si>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</si>
  <si>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</si>
  <si>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</si>
  <si>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</si>
  <si>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</si>
  <si>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</si>
  <si>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</si>
  <si>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</si>
  <si>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</si>
  <si>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</si>
  <si>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</si>
  <si>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</si>
  <si>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</si>
  <si>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</si>
  <si>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</si>
  <si>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</si>
  <si>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</si>
  <si>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</si>
  <si>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</si>
  <si>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</si>
  <si>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</si>
  <si>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</si>
  <si>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</si>
  <si>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</si>
  <si>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</si>
  <si>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</si>
  <si>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</si>
  <si>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</si>
  <si>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</si>
  <si>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</si>
  <si>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</si>
  <si>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</si>
  <si>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</si>
  <si>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</si>
  <si>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</si>
  <si>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</si>
  <si>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</si>
  <si>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</si>
  <si>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</si>
  <si>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</si>
  <si>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</si>
  <si>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</si>
  <si>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</si>
  <si>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</si>
  <si>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</si>
  <si>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</si>
  <si>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</si>
  <si>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</si>
  <si>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</si>
  <si>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</si>
  <si>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</si>
  <si>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</si>
  <si>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</si>
  <si>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</si>
  <si>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</si>
  <si>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</si>
  <si>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</si>
  <si>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</si>
  <si>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</si>
  <si>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</si>
  <si>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</si>
  <si>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</si>
  <si>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</si>
  <si>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</si>
  <si>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</si>
  <si>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</si>
  <si>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</si>
  <si>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</si>
  <si>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</si>
  <si>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</si>
  <si>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</si>
  <si>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</si>
  <si>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</si>
  <si>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</si>
  <si>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</si>
  <si>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</si>
  <si>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</si>
  <si>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</si>
  <si>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</si>
  <si>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</si>
  <si>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</si>
  <si>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</si>
  <si>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</si>
  <si>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</si>
  <si>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</si>
  <si>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</si>
  <si>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</si>
  <si>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</si>
  <si>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</si>
  <si>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</si>
  <si>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</si>
  <si>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</si>
  <si>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</si>
  <si>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</si>
  <si>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</si>
  <si>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</si>
  <si>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</si>
  <si>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</si>
  <si>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</si>
  <si>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</si>
  <si>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</si>
  <si>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</si>
  <si>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</si>
  <si>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</si>
  <si>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</si>
  <si>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</si>
  <si>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</si>
  <si>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</si>
  <si>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</si>
  <si>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</si>
  <si>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</si>
  <si>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</si>
  <si>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</si>
  <si>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</si>
  <si>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</si>
  <si>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</si>
  <si>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</si>
  <si>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</si>
  <si>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</si>
  <si>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</si>
  <si>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</si>
  <si>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</si>
  <si>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</si>
  <si>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</si>
  <si>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</si>
  <si>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</si>
  <si>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</si>
  <si>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</si>
  <si>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</si>
  <si>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</si>
  <si>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</si>
  <si>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</si>
  <si>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</si>
  <si>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</si>
  <si>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</si>
  <si>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</si>
  <si>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</si>
  <si>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</si>
  <si>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</si>
  <si>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</si>
  <si>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</si>
  <si>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</si>
  <si>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</si>
  <si>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</si>
  <si>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</si>
  <si>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</si>
  <si>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</si>
  <si>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</si>
  <si>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</si>
  <si>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</si>
  <si>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</si>
  <si>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</si>
  <si>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</si>
  <si>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</si>
  <si>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</si>
  <si>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</si>
  <si>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</si>
  <si>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</si>
  <si>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</si>
  <si>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</si>
  <si>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</si>
  <si>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</si>
  <si>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</si>
  <si>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</si>
  <si>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</si>
  <si>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</si>
  <si>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</si>
  <si>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</si>
  <si>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</si>
  <si>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</si>
  <si>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</si>
  <si>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</si>
  <si>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</si>
  <si>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</si>
  <si>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</si>
  <si>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</si>
  <si>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</si>
  <si>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</si>
  <si>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</si>
  <si>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</si>
  <si>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</si>
  <si>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</si>
  <si>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</si>
  <si>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</si>
  <si>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</si>
  <si>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</si>
  <si>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</si>
  <si>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</si>
  <si>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</si>
  <si>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</si>
  <si>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</si>
  <si>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</si>
  <si>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</si>
  <si>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</si>
  <si>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</si>
  <si>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</si>
  <si>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Bubník Martin</t>
  </si>
  <si>
    <t>Počet zpožděných našich rozvozů +5 min</t>
  </si>
  <si>
    <t>Počet rozvozů</t>
  </si>
  <si>
    <t xml:space="preserve">Vlastní vůz </t>
  </si>
  <si>
    <t>počet výdajových dokadů</t>
  </si>
  <si>
    <t>Cieslar Marek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</si>
  <si>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</si>
  <si>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</si>
  <si>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</si>
  <si>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</si>
  <si>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</si>
  <si>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</si>
  <si>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154:30</t>
  </si>
  <si>
    <t>29:00</t>
  </si>
  <si>
    <t>Dušek Sam</t>
  </si>
  <si>
    <t>126:30</t>
  </si>
  <si>
    <t>112:00</t>
  </si>
  <si>
    <t>Kubík Martin</t>
  </si>
  <si>
    <t>Coufal Jakub</t>
  </si>
  <si>
    <t>32:30</t>
  </si>
  <si>
    <t>58:00</t>
  </si>
  <si>
    <t>Eszenyiová Patrícia</t>
  </si>
  <si>
    <t>74:30</t>
  </si>
  <si>
    <t>51:00</t>
  </si>
  <si>
    <t>Berdar Vasyl</t>
  </si>
  <si>
    <t>24:30</t>
  </si>
  <si>
    <t>7:00</t>
  </si>
  <si>
    <t>Serin David</t>
  </si>
  <si>
    <t>44:30</t>
  </si>
  <si>
    <t>76:00</t>
  </si>
  <si>
    <t>Nedvěd Dominik</t>
  </si>
  <si>
    <t>24:00</t>
  </si>
  <si>
    <t>Kopic Jakub</t>
  </si>
  <si>
    <t>6:30</t>
  </si>
  <si>
    <t>28:30</t>
  </si>
  <si>
    <t>5:30</t>
  </si>
  <si>
    <t>Gorol Patrik</t>
  </si>
  <si>
    <t>12 min 51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</si>
  <si>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</si>
  <si>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</si>
  <si>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</si>
  <si>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</si>
  <si>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</si>
  <si>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10:00 - 14:00 (Instor)</t>
  </si>
  <si>
    <t>10:00 - 13:00 (Instor)</t>
  </si>
  <si>
    <t>14:00 - 19:00 (Instor)</t>
  </si>
  <si>
    <t>13:00 - 20:00 (Instor)</t>
  </si>
  <si>
    <t>19:00 - 23:00 (Instor)</t>
  </si>
  <si>
    <t>11:00 - 22:00 (Kurýr)</t>
  </si>
  <si>
    <t>11:00 - 1:00 (Kurýr)</t>
  </si>
  <si>
    <t>22:00 - 1:00 (Instor)</t>
  </si>
  <si>
    <t>17:00 - 23:00 (Instor)</t>
  </si>
  <si>
    <t>10:00 - 23:00 (Instor)</t>
  </si>
  <si>
    <t>17:00 - 1:00 (Kurýr)</t>
  </si>
  <si>
    <t>17:00 - 1:00 (Instor)</t>
  </si>
  <si>
    <t>17:00 - 3:00 (Instor)</t>
  </si>
  <si>
    <t>11:00 - 17:00 (Kurýr)</t>
  </si>
  <si>
    <t>17:00 - 3:00 (Kurýr)</t>
  </si>
  <si>
    <t>17:00 - 0:00 (Kurýr)</t>
  </si>
  <si>
    <t>17:00 - 21:00 (Kurýr)</t>
  </si>
  <si>
    <t>10:00 - 17:00 (Instor)</t>
  </si>
  <si>
    <t>17:00 - 0:00 (Instor)</t>
  </si>
  <si>
    <t>10:00 - 0:00 (Instor)</t>
  </si>
  <si>
    <t>18:00 - 0:00 (Kurýr)</t>
  </si>
  <si>
    <t>10:00 - 3:00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</si>
</sst>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1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46140.0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Úterý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1296.9234</v>
      </c>
      <c r="B12" s="52" t="s">
        <v>1479</v>
      </c>
      <c r="C12" s="53" t="s">
        <v>41</v>
      </c>
      <c r="D12" s="53" t="s">
        <v>50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03:00</v>
      </c>
      <c r="G12" s="37"/>
      <c r="I12" s="48"/>
      <c r="J12" s="37"/>
      <c r="K12" s="22"/>
      <c r="L12" s="56" t="s">
        <v>1564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1190</v>
      </c>
      <c r="B13" s="52" t="s">
        <v>1531</v>
      </c>
      <c r="C13" s="53" t="s">
        <v>50</v>
      </c>
      <c r="D13" s="53" t="s">
        <v>62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2140.8</v>
      </c>
      <c r="B14" s="52" t="s">
        <v>1565</v>
      </c>
      <c r="C14" s="53" t="s">
        <v>45</v>
      </c>
      <c r="D14" s="53" t="s">
        <v>46</v>
      </c>
      <c r="E14" s="54"/>
      <c r="F14" s="55" t="str">
        <f t="shared" si="1"/>
        <v>08:00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1566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1567</v>
      </c>
      <c r="H24" s="77" t="s">
        <v>1568</v>
      </c>
      <c r="I24" s="46" t="s">
        <v>13</v>
      </c>
      <c r="J24" s="78" t="s">
        <v>1569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1851.792</v>
      </c>
      <c r="B25" s="52" t="s">
        <v>1570</v>
      </c>
      <c r="C25" s="82" t="s">
        <v>45</v>
      </c>
      <c r="D25" s="82" t="s">
        <v>46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4">
        <f>COUNTIF(RestiaCSV!E:E, B25)</f>
        <v>0</v>
      </c>
      <c r="H25" s="85" t="b">
        <v>1</v>
      </c>
      <c r="I25" s="86">
        <f t="shared" ref="I25:I31" si="4">IF(H25,G25*45,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900</v>
      </c>
      <c r="B26" s="52" t="s">
        <v>1571</v>
      </c>
      <c r="C26" s="82" t="s">
        <v>63</v>
      </c>
      <c r="D26" s="82" t="s">
        <v>45</v>
      </c>
      <c r="E26" s="82"/>
      <c r="F26" s="83" t="str">
        <f t="shared" si="3"/>
        <v>06:00</v>
      </c>
      <c r="G26" s="84">
        <f>COUNTIF(RestiaCSV!E:E, B26)</f>
        <v>0</v>
      </c>
      <c r="H26" s="85" t="b">
        <v>1</v>
      </c>
      <c r="I26" s="86">
        <f t="shared" si="4"/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1572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52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4">
        <f>COUNTIFS(RestiaCSV!M:M, "&gt;5", RestiaCSV!L:L, "&gt;5")</f>
        <v>0</v>
      </c>
      <c r="K29" s="95"/>
      <c r="L29" s="96" t="str">
        <f>L23/L26</f>
        <v>#DIV/0!</v>
      </c>
      <c r="M29" s="97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8"/>
      <c r="K30" s="98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8"/>
      <c r="K31" s="98"/>
      <c r="L31" s="87"/>
      <c r="M31" s="88"/>
    </row>
    <row r="32">
      <c r="A32" s="99"/>
      <c r="B32" s="100" t="s">
        <v>90</v>
      </c>
      <c r="C32" s="101" t="s">
        <v>14</v>
      </c>
      <c r="D32" s="29"/>
      <c r="E32" s="29"/>
      <c r="F32" s="102"/>
      <c r="G32" s="103">
        <f>COUNTIFS(RestiaCSV!E:E, "wolt kurýr", RestiaCSV!A:A, "&lt;&gt;wolt")</f>
        <v>0</v>
      </c>
      <c r="H32" s="104" t="b">
        <v>1</v>
      </c>
      <c r="I32" s="105">
        <f>G32*127</f>
        <v>0</v>
      </c>
      <c r="J32" s="106"/>
      <c r="K32" s="106"/>
      <c r="L32" s="107" t="str">
        <f>100%-L29</f>
        <v>#DIV/0!</v>
      </c>
      <c r="M32" s="108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"Ahurieva Viktoriia,Lažek Jaroslav,Bubník Martin"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David,Novák Dalibor"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Libuš</v>
      </c>
      <c r="C1" s="111">
        <v>46113.0</v>
      </c>
      <c r="D1" s="112" t="s">
        <v>1573</v>
      </c>
      <c r="E1" s="113">
        <v>46139.0</v>
      </c>
      <c r="F1" s="114" t="s">
        <v>28</v>
      </c>
      <c r="G1" s="14"/>
      <c r="H1" s="15"/>
      <c r="I1" s="114" t="s">
        <v>26</v>
      </c>
      <c r="J1" s="14"/>
      <c r="K1" s="15"/>
      <c r="L1" s="115" t="s">
        <v>1549</v>
      </c>
      <c r="M1" s="22"/>
      <c r="N1" s="115"/>
    </row>
    <row r="2" ht="19.5" customHeight="1">
      <c r="A2" s="109"/>
      <c r="B2" s="18"/>
      <c r="C2" s="19"/>
      <c r="D2" s="18"/>
      <c r="E2" s="20"/>
      <c r="F2" s="116">
        <v>0.3087019658734952</v>
      </c>
      <c r="H2" s="22"/>
      <c r="I2" s="117">
        <v>1088291.5</v>
      </c>
      <c r="K2" s="22"/>
      <c r="L2" s="118" t="s">
        <v>1550</v>
      </c>
      <c r="M2" s="119">
        <v>262429.6</v>
      </c>
      <c r="N2" s="120"/>
    </row>
    <row r="3">
      <c r="A3" s="121"/>
      <c r="B3" s="122" t="str">
        <f>CHOOSE(WEEKDAY(C1), "Neděle", "Pondělí", "Úterý", "Středa", "Čtvrtek", "Pátek", "Sobota")</f>
        <v>Středa</v>
      </c>
      <c r="C3" s="28"/>
      <c r="D3" s="122" t="str">
        <f>CHOOSE(WEEKDAY(E1), "Neděle", "Pondělí", "Úterý", "Středa", "Čtvrtek", "Pátek", "Sobota")</f>
        <v>Pondělí</v>
      </c>
      <c r="E3" s="12"/>
      <c r="H3" s="22"/>
      <c r="K3" s="22"/>
      <c r="L3" s="123" t="s">
        <v>1551</v>
      </c>
      <c r="M3" s="124">
        <v>172566.0</v>
      </c>
      <c r="N3" s="120"/>
    </row>
    <row r="4">
      <c r="A4" s="121"/>
      <c r="B4" s="19"/>
      <c r="C4" s="29"/>
      <c r="D4" s="19"/>
      <c r="E4" s="20"/>
      <c r="F4" s="29"/>
      <c r="G4" s="29"/>
      <c r="H4" s="20"/>
      <c r="I4" s="29"/>
      <c r="J4" s="29"/>
      <c r="K4" s="20"/>
      <c r="L4" s="123" t="s">
        <v>1552</v>
      </c>
      <c r="M4" s="124">
        <v>224596.0</v>
      </c>
      <c r="N4" s="120"/>
    </row>
    <row r="5">
      <c r="A5" s="125"/>
      <c r="B5" s="126" t="s">
        <v>1574</v>
      </c>
      <c r="C5" s="28"/>
      <c r="D5" s="28"/>
      <c r="E5" s="12"/>
      <c r="F5" s="127" t="s">
        <v>1575</v>
      </c>
      <c r="G5" s="28"/>
      <c r="H5" s="28"/>
      <c r="I5" s="28"/>
      <c r="J5" s="28"/>
      <c r="K5" s="12"/>
      <c r="L5" s="128" t="s">
        <v>1554</v>
      </c>
      <c r="M5" s="124">
        <v>209760.0</v>
      </c>
      <c r="N5" s="120"/>
    </row>
    <row r="6">
      <c r="A6" s="125"/>
      <c r="B6" s="19"/>
      <c r="C6" s="29"/>
      <c r="D6" s="29"/>
      <c r="E6" s="20"/>
      <c r="F6" s="29"/>
      <c r="G6" s="29"/>
      <c r="H6" s="29"/>
      <c r="I6" s="29"/>
      <c r="J6" s="29"/>
      <c r="K6" s="20"/>
      <c r="L6" s="128" t="s">
        <v>1555</v>
      </c>
      <c r="M6" s="124">
        <v>6379.0</v>
      </c>
      <c r="N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486</v>
      </c>
      <c r="C7" s="29"/>
      <c r="D7" s="29"/>
      <c r="E7" s="20"/>
      <c r="F7" s="131">
        <f>TEXT(SUMPRODUCT((IFERROR(LEFT(H10:H30, FIND(":", H10:H30) - 1) * 60, 0) + IFERROR(MID(H10:H30, FIND(":", H10:H30) + 1, LEN(H10:H30) - FIND(":", H10:H30)), 0))), "[h]:mm")/60</f>
        <v>382.5</v>
      </c>
      <c r="G7" s="14"/>
      <c r="H7" s="14"/>
      <c r="I7" s="14"/>
      <c r="J7" s="132"/>
      <c r="K7" s="132"/>
      <c r="L7" s="133" t="s">
        <v>1556</v>
      </c>
      <c r="M7" s="134">
        <v>49825.0</v>
      </c>
      <c r="N7" s="120"/>
    </row>
    <row r="8">
      <c r="A8" s="135"/>
      <c r="B8" s="136" t="s">
        <v>1557</v>
      </c>
      <c r="C8" s="14"/>
      <c r="D8" s="14"/>
      <c r="E8" s="15"/>
      <c r="F8" s="137" t="s">
        <v>78</v>
      </c>
      <c r="G8" s="14"/>
      <c r="H8" s="14"/>
      <c r="I8" s="15"/>
      <c r="J8" s="138" t="s">
        <v>1558</v>
      </c>
      <c r="K8" s="12"/>
      <c r="L8" s="139" t="s">
        <v>25</v>
      </c>
      <c r="M8" s="15"/>
      <c r="N8" s="115"/>
    </row>
    <row r="9">
      <c r="A9" s="140"/>
      <c r="B9" s="141" t="s">
        <v>1559</v>
      </c>
      <c r="C9" s="142" t="s">
        <v>1576</v>
      </c>
      <c r="D9" s="142" t="s">
        <v>1563</v>
      </c>
      <c r="E9" s="143"/>
      <c r="F9" s="141" t="s">
        <v>1559</v>
      </c>
      <c r="G9" s="142" t="s">
        <v>1576</v>
      </c>
      <c r="H9" s="142" t="s">
        <v>1563</v>
      </c>
      <c r="I9" s="144" t="s">
        <v>1567</v>
      </c>
      <c r="J9" s="145">
        <v>0.6000000000130967</v>
      </c>
      <c r="K9" s="12"/>
      <c r="L9" s="146" t="s">
        <v>23</v>
      </c>
      <c r="M9" s="124">
        <v>62677.5</v>
      </c>
      <c r="N9" s="120"/>
    </row>
    <row r="10" ht="18.75" customHeight="1">
      <c r="A10" s="147"/>
      <c r="B10" s="148" t="s">
        <v>1565</v>
      </c>
      <c r="C10" s="149">
        <v>19.0</v>
      </c>
      <c r="D10" s="149" t="s">
        <v>1577</v>
      </c>
      <c r="E10" s="150" t="s">
        <v>1578</v>
      </c>
      <c r="F10" s="148" t="s">
        <v>1579</v>
      </c>
      <c r="G10" s="149">
        <v>11.0</v>
      </c>
      <c r="H10" s="149" t="s">
        <v>1580</v>
      </c>
      <c r="I10" s="151">
        <v>146.0</v>
      </c>
      <c r="J10" s="37"/>
      <c r="K10" s="22"/>
      <c r="L10" s="146" t="s">
        <v>24</v>
      </c>
      <c r="M10" s="124">
        <v>870.0</v>
      </c>
      <c r="N10" s="120"/>
    </row>
    <row r="11" ht="18.75" customHeight="1">
      <c r="A11" s="147"/>
      <c r="B11" s="148" t="s">
        <v>1490</v>
      </c>
      <c r="C11" s="149">
        <v>15.0</v>
      </c>
      <c r="D11" s="149" t="s">
        <v>1581</v>
      </c>
      <c r="E11" s="150" t="s">
        <v>49</v>
      </c>
      <c r="F11" s="148" t="s">
        <v>1582</v>
      </c>
      <c r="G11" s="149">
        <v>1.0</v>
      </c>
      <c r="H11" s="149" t="s">
        <v>1501</v>
      </c>
      <c r="I11" s="151">
        <v>22.0</v>
      </c>
      <c r="J11" s="37"/>
      <c r="K11" s="22"/>
      <c r="L11" s="152" t="s">
        <v>25</v>
      </c>
      <c r="M11" s="153">
        <v>100286.0</v>
      </c>
      <c r="N11" s="120"/>
    </row>
    <row r="12" ht="18.75" customHeight="1">
      <c r="A12" s="147"/>
      <c r="B12" s="148" t="s">
        <v>1583</v>
      </c>
      <c r="C12" s="149">
        <v>6.0</v>
      </c>
      <c r="D12" s="149" t="s">
        <v>1584</v>
      </c>
      <c r="E12" s="150" t="s">
        <v>50</v>
      </c>
      <c r="F12" s="148" t="s">
        <v>1531</v>
      </c>
      <c r="G12" s="149">
        <v>13.0</v>
      </c>
      <c r="H12" s="149" t="s">
        <v>1585</v>
      </c>
      <c r="I12" s="151">
        <v>59.0</v>
      </c>
      <c r="J12" s="37"/>
      <c r="K12" s="22"/>
      <c r="L12" s="154" t="s">
        <v>1564</v>
      </c>
      <c r="M12" s="20"/>
      <c r="N12" s="115"/>
    </row>
    <row r="13" ht="18.75" customHeight="1">
      <c r="A13" s="147"/>
      <c r="B13" s="148" t="s">
        <v>1586</v>
      </c>
      <c r="C13" s="149">
        <v>11.0</v>
      </c>
      <c r="D13" s="149" t="s">
        <v>1587</v>
      </c>
      <c r="E13" s="150" t="s">
        <v>50</v>
      </c>
      <c r="F13" s="148" t="s">
        <v>1571</v>
      </c>
      <c r="G13" s="149">
        <v>8.0</v>
      </c>
      <c r="H13" s="149" t="s">
        <v>1588</v>
      </c>
      <c r="I13" s="151">
        <v>45.0</v>
      </c>
      <c r="J13" s="37"/>
      <c r="K13" s="22"/>
      <c r="L13" s="146" t="s">
        <v>29</v>
      </c>
      <c r="M13" s="124">
        <v>3500.0</v>
      </c>
      <c r="N13" s="120"/>
    </row>
    <row r="14" ht="18.75" customHeight="1">
      <c r="A14" s="147"/>
      <c r="B14" s="148" t="s">
        <v>1589</v>
      </c>
      <c r="C14" s="149">
        <v>2.0</v>
      </c>
      <c r="D14" s="149" t="s">
        <v>1590</v>
      </c>
      <c r="E14" s="150" t="s">
        <v>1591</v>
      </c>
      <c r="F14" s="148" t="s">
        <v>1592</v>
      </c>
      <c r="G14" s="149">
        <v>7.0</v>
      </c>
      <c r="H14" s="149" t="s">
        <v>1593</v>
      </c>
      <c r="I14" s="151">
        <v>78.0</v>
      </c>
      <c r="J14" s="37"/>
      <c r="K14" s="22"/>
      <c r="L14" s="155" t="s">
        <v>30</v>
      </c>
      <c r="M14" s="124">
        <v>225.0</v>
      </c>
      <c r="N14" s="120"/>
    </row>
    <row r="15" ht="18.75" customHeight="1">
      <c r="A15" s="147"/>
      <c r="B15" s="148" t="s">
        <v>1479</v>
      </c>
      <c r="C15" s="149">
        <v>11.0</v>
      </c>
      <c r="D15" s="149" t="s">
        <v>1594</v>
      </c>
      <c r="E15" s="150" t="s">
        <v>1591</v>
      </c>
      <c r="F15" s="148" t="s">
        <v>1595</v>
      </c>
      <c r="G15" s="149">
        <v>4.0</v>
      </c>
      <c r="H15" s="149" t="s">
        <v>1596</v>
      </c>
      <c r="I15" s="151">
        <v>18.0</v>
      </c>
      <c r="J15" s="37"/>
      <c r="K15" s="22"/>
      <c r="L15" s="155" t="s">
        <v>31</v>
      </c>
      <c r="M15" s="124">
        <v>0.0</v>
      </c>
      <c r="N15" s="120"/>
    </row>
    <row r="16" ht="18.75" customHeight="1">
      <c r="A16" s="147"/>
      <c r="B16" s="148" t="s">
        <v>1597</v>
      </c>
      <c r="C16" s="149">
        <v>2.0</v>
      </c>
      <c r="D16" s="149" t="s">
        <v>1598</v>
      </c>
      <c r="E16" s="156"/>
      <c r="F16" s="148" t="s">
        <v>1583</v>
      </c>
      <c r="G16" s="149">
        <v>5.0</v>
      </c>
      <c r="H16" s="149" t="s">
        <v>1599</v>
      </c>
      <c r="I16" s="151">
        <v>38.0</v>
      </c>
      <c r="J16" s="37"/>
      <c r="K16" s="22"/>
      <c r="L16" s="155" t="s">
        <v>32</v>
      </c>
      <c r="M16" s="124">
        <v>28803.0</v>
      </c>
      <c r="N16" s="120"/>
    </row>
    <row r="17" ht="18.75" customHeight="1">
      <c r="A17" s="147"/>
      <c r="B17" s="148" t="s">
        <v>1531</v>
      </c>
      <c r="C17" s="149">
        <v>1.0</v>
      </c>
      <c r="D17" s="149" t="s">
        <v>1600</v>
      </c>
      <c r="E17" s="156"/>
      <c r="F17" s="148" t="s">
        <v>1601</v>
      </c>
      <c r="G17" s="149">
        <v>2.0</v>
      </c>
      <c r="H17" s="149" t="s">
        <v>1484</v>
      </c>
      <c r="I17" s="151">
        <v>4.0</v>
      </c>
      <c r="J17" s="19"/>
      <c r="K17" s="20"/>
      <c r="L17" s="157" t="s">
        <v>33</v>
      </c>
      <c r="M17" s="158">
        <v>16200.0</v>
      </c>
      <c r="N17" s="120"/>
    </row>
    <row r="18" ht="18.75" customHeight="1">
      <c r="A18" s="147"/>
      <c r="B18" s="148"/>
      <c r="C18" s="149"/>
      <c r="D18" s="149"/>
      <c r="E18" s="156"/>
      <c r="F18" s="148" t="s">
        <v>1570</v>
      </c>
      <c r="G18" s="149">
        <v>4.0</v>
      </c>
      <c r="H18" s="149" t="s">
        <v>62</v>
      </c>
      <c r="I18" s="151">
        <v>27.0</v>
      </c>
      <c r="J18" s="159"/>
      <c r="K18" s="14"/>
      <c r="L18" s="14"/>
      <c r="M18" s="15"/>
      <c r="N18" s="160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1" t="s">
        <v>34</v>
      </c>
      <c r="K19" s="162" t="s">
        <v>35</v>
      </c>
      <c r="L19" s="163" t="s">
        <v>1566</v>
      </c>
      <c r="M19" s="164" t="s">
        <v>37</v>
      </c>
      <c r="N19" s="165"/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6"/>
      <c r="K20" s="87"/>
      <c r="L20" s="87"/>
      <c r="M20" s="88"/>
      <c r="N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7">
        <v>13.0</v>
      </c>
      <c r="K21" s="168">
        <v>7674.0</v>
      </c>
      <c r="L21" s="169">
        <v>76.0</v>
      </c>
      <c r="M21" s="170" t="s">
        <v>1602</v>
      </c>
      <c r="N21" s="160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1" t="s">
        <v>1569</v>
      </c>
      <c r="K22" s="172" t="s">
        <v>1470</v>
      </c>
      <c r="L22" s="173" t="s">
        <v>1471</v>
      </c>
      <c r="M22" s="174" t="s">
        <v>1472</v>
      </c>
      <c r="N22" s="160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6"/>
      <c r="K23" s="87"/>
      <c r="L23" s="87"/>
      <c r="M23" s="88"/>
      <c r="N23" s="160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5">
        <v>41.0</v>
      </c>
      <c r="K24" s="169">
        <v>2545.0</v>
      </c>
      <c r="L24" s="169">
        <v>522.0</v>
      </c>
      <c r="M24" s="176">
        <v>24.0</v>
      </c>
      <c r="N24" s="160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7" t="s">
        <v>1572</v>
      </c>
      <c r="K25" s="93"/>
      <c r="L25" s="178" t="s">
        <v>1474</v>
      </c>
      <c r="M25" s="179" t="s">
        <v>1475</v>
      </c>
      <c r="N25" s="160"/>
    </row>
    <row r="26" ht="21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57"/>
      <c r="K26" s="59"/>
      <c r="L26" s="87"/>
      <c r="M26" s="88"/>
      <c r="N26" s="160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80">
        <v>12.0</v>
      </c>
      <c r="K27" s="95"/>
      <c r="L27" s="181">
        <v>0.13125622342998947</v>
      </c>
      <c r="M27" s="182">
        <v>18.0</v>
      </c>
      <c r="N27" s="160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3"/>
      <c r="L28" s="184" t="s">
        <v>1476</v>
      </c>
      <c r="M28" s="179" t="s">
        <v>1477</v>
      </c>
      <c r="N28" s="160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7"/>
      <c r="L29" s="87"/>
      <c r="M29" s="88"/>
      <c r="N29" s="160"/>
    </row>
    <row r="30" ht="18.75" customHeight="1">
      <c r="A30" s="147"/>
      <c r="B30" s="148"/>
      <c r="C30" s="149"/>
      <c r="D30" s="149"/>
      <c r="E30" s="156"/>
      <c r="F30" s="148"/>
      <c r="G30" s="149"/>
      <c r="H30" s="149"/>
      <c r="I30" s="151"/>
      <c r="J30" s="19"/>
      <c r="K30" s="29"/>
      <c r="L30" s="185">
        <v>0.8687437765700105</v>
      </c>
      <c r="M30" s="186">
        <v>0.03543308725723646</v>
      </c>
      <c r="N30" s="160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</row>
    <row r="2">
      <c r="A2" s="1"/>
      <c r="B2" s="1"/>
      <c r="C2" s="188"/>
      <c r="D2" s="1"/>
      <c r="E2" s="1"/>
      <c r="F2" s="1"/>
      <c r="G2" s="1"/>
      <c r="H2" s="1"/>
      <c r="I2" s="1"/>
      <c r="J2" s="1"/>
      <c r="K2" s="187"/>
      <c r="L2" s="1"/>
      <c r="M2" s="1"/>
      <c r="N2" s="1"/>
      <c r="O2" s="1"/>
      <c r="P2" s="1"/>
      <c r="Q2" s="187"/>
      <c r="R2" s="187"/>
      <c r="S2" s="187"/>
      <c r="T2" s="187"/>
      <c r="U2" s="187"/>
      <c r="V2" s="187"/>
      <c r="W2" s="187"/>
      <c r="X2" s="187"/>
      <c r="Y2" s="187"/>
      <c r="Z2" s="187"/>
      <c r="AA2" s="187"/>
      <c r="AB2" s="187"/>
      <c r="AC2" s="187"/>
      <c r="AD2" s="187"/>
      <c r="AE2" s="187"/>
      <c r="AF2" s="187"/>
    </row>
    <row r="3">
      <c r="A3" s="1"/>
      <c r="B3" s="1"/>
      <c r="C3" s="188"/>
      <c r="D3" s="1"/>
      <c r="E3" s="187"/>
      <c r="F3" s="1"/>
      <c r="G3" s="1"/>
      <c r="H3" s="1"/>
      <c r="I3" s="1"/>
      <c r="J3" s="1"/>
      <c r="K3" s="187"/>
      <c r="L3" s="1"/>
      <c r="M3" s="1"/>
      <c r="N3" s="1"/>
      <c r="O3" s="1"/>
      <c r="P3" s="1"/>
      <c r="Q3" s="18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  <c r="AD3" s="187"/>
      <c r="AE3" s="187"/>
      <c r="AF3" s="187"/>
    </row>
    <row r="4">
      <c r="A4" s="1"/>
      <c r="B4" s="1"/>
      <c r="C4" s="188"/>
      <c r="D4" s="1"/>
      <c r="E4" s="187"/>
      <c r="F4" s="1"/>
      <c r="G4" s="1"/>
      <c r="H4" s="1"/>
      <c r="I4" s="1"/>
      <c r="J4" s="1"/>
      <c r="K4" s="187"/>
      <c r="L4" s="1"/>
      <c r="M4" s="1"/>
      <c r="N4" s="1"/>
      <c r="O4" s="1"/>
      <c r="P4" s="1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</row>
    <row r="5">
      <c r="A5" s="1"/>
      <c r="B5" s="1"/>
      <c r="C5" s="188"/>
      <c r="D5" s="1"/>
      <c r="E5" s="1"/>
      <c r="F5" s="1"/>
      <c r="G5" s="1"/>
      <c r="H5" s="1"/>
      <c r="I5" s="1"/>
      <c r="J5" s="1"/>
      <c r="K5" s="187"/>
      <c r="L5" s="1"/>
      <c r="M5" s="1"/>
      <c r="N5" s="1"/>
      <c r="O5" s="1"/>
      <c r="P5" s="1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</row>
    <row r="6">
      <c r="A6" s="1"/>
      <c r="B6" s="1"/>
      <c r="C6" s="188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</row>
    <row r="7">
      <c r="A7" s="1"/>
      <c r="B7" s="1"/>
      <c r="C7" s="188"/>
      <c r="D7" s="1"/>
      <c r="E7" s="187"/>
      <c r="F7" s="1"/>
      <c r="G7" s="1"/>
      <c r="H7" s="1"/>
      <c r="I7" s="1"/>
      <c r="J7" s="1"/>
      <c r="K7" s="187"/>
      <c r="L7" s="1"/>
      <c r="M7" s="1"/>
      <c r="N7" s="1"/>
      <c r="O7" s="1"/>
      <c r="P7" s="1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</row>
    <row r="8">
      <c r="A8" s="1"/>
      <c r="B8" s="1"/>
      <c r="C8" s="188"/>
      <c r="D8" s="1"/>
      <c r="E8" s="1"/>
      <c r="F8" s="1"/>
      <c r="G8" s="1"/>
      <c r="H8" s="1"/>
      <c r="I8" s="1"/>
      <c r="J8" s="1"/>
      <c r="K8" s="187"/>
      <c r="L8" s="1"/>
      <c r="M8" s="1"/>
      <c r="N8" s="1"/>
      <c r="O8" s="1"/>
      <c r="P8" s="1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</row>
    <row r="9">
      <c r="A9" s="1"/>
      <c r="B9" s="1"/>
      <c r="C9" s="188"/>
      <c r="D9" s="1"/>
      <c r="E9" s="1"/>
      <c r="F9" s="1"/>
      <c r="G9" s="1"/>
      <c r="H9" s="1"/>
      <c r="I9" s="1"/>
      <c r="J9" s="1"/>
      <c r="K9" s="187"/>
      <c r="L9" s="1"/>
      <c r="M9" s="1"/>
      <c r="N9" s="1"/>
      <c r="O9" s="1"/>
      <c r="P9" s="1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</row>
    <row r="10">
      <c r="A10" s="1"/>
      <c r="B10" s="188"/>
      <c r="C10" s="188"/>
      <c r="D10" s="1"/>
      <c r="E10" s="187"/>
      <c r="F10" s="1"/>
      <c r="G10" s="1"/>
      <c r="H10" s="1"/>
      <c r="I10" s="1"/>
      <c r="J10" s="1"/>
      <c r="K10" s="187"/>
      <c r="L10" s="1"/>
      <c r="M10" s="1"/>
      <c r="N10" s="1"/>
      <c r="O10" s="1"/>
      <c r="P10" s="1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</row>
    <row r="11">
      <c r="A11" s="1"/>
      <c r="B11" s="1"/>
      <c r="C11" s="188"/>
      <c r="D11" s="1"/>
      <c r="E11" s="187"/>
      <c r="F11" s="1"/>
      <c r="G11" s="1"/>
      <c r="H11" s="1"/>
      <c r="I11" s="1"/>
      <c r="J11" s="1"/>
      <c r="K11" s="187"/>
      <c r="L11" s="1"/>
      <c r="M11" s="1"/>
      <c r="N11" s="1"/>
      <c r="O11" s="1"/>
      <c r="P11" s="1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</row>
    <row r="12">
      <c r="A12" s="1"/>
      <c r="B12" s="1"/>
      <c r="C12" s="188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87"/>
      <c r="R12" s="187"/>
      <c r="S12" s="187"/>
      <c r="T12" s="187"/>
      <c r="U12" s="187"/>
      <c r="V12" s="187"/>
      <c r="W12" s="187"/>
      <c r="X12" s="187"/>
      <c r="Y12" s="187"/>
      <c r="Z12" s="187"/>
      <c r="AA12" s="187"/>
      <c r="AB12" s="187"/>
      <c r="AC12" s="187"/>
      <c r="AD12" s="187"/>
      <c r="AE12" s="187"/>
      <c r="AF12" s="187"/>
    </row>
    <row r="13">
      <c r="A13" s="1"/>
      <c r="B13" s="1"/>
      <c r="C13" s="188"/>
      <c r="D13" s="1"/>
      <c r="E13" s="187"/>
      <c r="F13" s="1"/>
      <c r="G13" s="1"/>
      <c r="H13" s="1"/>
      <c r="I13" s="1"/>
      <c r="J13" s="1"/>
      <c r="K13" s="187"/>
      <c r="L13" s="1"/>
      <c r="M13" s="1"/>
      <c r="N13" s="1"/>
      <c r="O13" s="1"/>
      <c r="P13" s="1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</row>
    <row r="14">
      <c r="A14" s="1"/>
      <c r="B14" s="1"/>
      <c r="C14" s="188"/>
      <c r="D14" s="1"/>
      <c r="E14" s="187"/>
      <c r="F14" s="1"/>
      <c r="G14" s="1"/>
      <c r="H14" s="1"/>
      <c r="I14" s="1"/>
      <c r="J14" s="1"/>
      <c r="K14" s="187"/>
      <c r="L14" s="1"/>
      <c r="M14" s="1"/>
      <c r="N14" s="1"/>
      <c r="O14" s="1"/>
      <c r="P14" s="1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</row>
    <row r="15">
      <c r="A15" s="1"/>
      <c r="B15" s="1"/>
      <c r="C15" s="188"/>
      <c r="D15" s="1"/>
      <c r="E15" s="1"/>
      <c r="F15" s="1"/>
      <c r="G15" s="1"/>
      <c r="H15" s="1"/>
      <c r="I15" s="1"/>
      <c r="J15" s="1"/>
      <c r="K15" s="187"/>
      <c r="L15" s="1"/>
      <c r="M15" s="1"/>
      <c r="N15" s="1"/>
      <c r="O15" s="1"/>
      <c r="P15" s="1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</row>
    <row r="16">
      <c r="A16" s="1"/>
      <c r="B16" s="1"/>
      <c r="C16" s="1"/>
      <c r="D16" s="1"/>
      <c r="E16" s="187"/>
      <c r="F16" s="1"/>
      <c r="G16" s="1"/>
      <c r="H16" s="1"/>
      <c r="I16" s="1"/>
      <c r="J16" s="1"/>
      <c r="K16" s="187"/>
      <c r="L16" s="1"/>
      <c r="M16" s="1"/>
      <c r="N16" s="1"/>
      <c r="O16" s="1"/>
      <c r="P16" s="1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</row>
    <row r="17">
      <c r="A17" s="1"/>
      <c r="B17" s="1"/>
      <c r="C17" s="188"/>
      <c r="D17" s="1"/>
      <c r="E17" s="187"/>
      <c r="F17" s="1"/>
      <c r="G17" s="1"/>
      <c r="H17" s="1"/>
      <c r="I17" s="1"/>
      <c r="J17" s="1"/>
      <c r="K17" s="187"/>
      <c r="L17" s="1"/>
      <c r="M17" s="1"/>
      <c r="N17" s="1"/>
      <c r="O17" s="1"/>
      <c r="P17" s="1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</row>
    <row r="18">
      <c r="A18" s="1"/>
      <c r="B18" s="1"/>
      <c r="C18" s="188"/>
      <c r="D18" s="1"/>
      <c r="E18" s="187"/>
      <c r="F18" s="1"/>
      <c r="G18" s="1"/>
      <c r="H18" s="1"/>
      <c r="I18" s="1"/>
      <c r="J18" s="1"/>
      <c r="K18" s="187"/>
      <c r="L18" s="1"/>
      <c r="M18" s="1"/>
      <c r="N18" s="1"/>
      <c r="O18" s="1"/>
      <c r="P18" s="1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</row>
    <row r="19">
      <c r="A19" s="1"/>
      <c r="B19" s="1"/>
      <c r="C19" s="188"/>
      <c r="D19" s="1"/>
      <c r="E19" s="1"/>
      <c r="F19" s="1"/>
      <c r="G19" s="1"/>
      <c r="H19" s="1"/>
      <c r="I19" s="1"/>
      <c r="J19" s="1"/>
      <c r="K19" s="187"/>
      <c r="L19" s="1"/>
      <c r="M19" s="1"/>
      <c r="N19" s="1"/>
      <c r="O19" s="1"/>
      <c r="P19" s="1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</row>
    <row r="20">
      <c r="A20" s="1"/>
      <c r="B20" s="1"/>
      <c r="C20" s="188"/>
      <c r="D20" s="1"/>
      <c r="E20" s="1"/>
      <c r="F20" s="1"/>
      <c r="G20" s="1"/>
      <c r="H20" s="1"/>
      <c r="I20" s="1"/>
      <c r="J20" s="1"/>
      <c r="K20" s="187"/>
      <c r="L20" s="1"/>
      <c r="M20" s="1"/>
      <c r="N20" s="1"/>
      <c r="O20" s="1"/>
      <c r="P20" s="1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</row>
    <row r="21">
      <c r="A21" s="1"/>
      <c r="B21" s="1"/>
      <c r="C21" s="188"/>
      <c r="D21" s="1"/>
      <c r="E21" s="187"/>
      <c r="F21" s="1"/>
      <c r="G21" s="1"/>
      <c r="H21" s="1"/>
      <c r="I21" s="1"/>
      <c r="J21" s="1"/>
      <c r="K21" s="187"/>
      <c r="L21" s="1"/>
      <c r="M21" s="1"/>
      <c r="N21" s="1"/>
      <c r="O21" s="1"/>
      <c r="P21" s="1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</row>
    <row r="22">
      <c r="A22" s="1"/>
      <c r="B22" s="1"/>
      <c r="C22" s="188"/>
      <c r="D22" s="1"/>
      <c r="E22" s="187"/>
      <c r="F22" s="1"/>
      <c r="G22" s="1"/>
      <c r="H22" s="1"/>
      <c r="I22" s="1"/>
      <c r="J22" s="1"/>
      <c r="K22" s="187"/>
      <c r="L22" s="1"/>
      <c r="M22" s="1"/>
      <c r="N22" s="1"/>
      <c r="O22" s="1"/>
      <c r="P22" s="1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</row>
    <row r="23">
      <c r="A23" s="1"/>
      <c r="B23" s="1"/>
      <c r="C23" s="188"/>
      <c r="D23" s="1"/>
      <c r="E23" s="1"/>
      <c r="F23" s="1"/>
      <c r="G23" s="1"/>
      <c r="H23" s="1"/>
      <c r="I23" s="1"/>
      <c r="J23" s="1"/>
      <c r="K23" s="187"/>
      <c r="L23" s="1"/>
      <c r="M23" s="1"/>
      <c r="N23" s="1"/>
      <c r="O23" s="1"/>
      <c r="P23" s="1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</row>
    <row r="24">
      <c r="A24" s="1"/>
      <c r="B24" s="1"/>
      <c r="C24" s="188"/>
      <c r="D24" s="1"/>
      <c r="E24" s="1"/>
      <c r="F24" s="1"/>
      <c r="G24" s="1"/>
      <c r="H24" s="1"/>
      <c r="I24" s="1"/>
      <c r="J24" s="1"/>
      <c r="K24" s="187"/>
      <c r="L24" s="1"/>
      <c r="M24" s="1"/>
      <c r="N24" s="1"/>
      <c r="O24" s="1"/>
      <c r="P24" s="1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</row>
    <row r="25">
      <c r="A25" s="1"/>
      <c r="B25" s="1"/>
      <c r="C25" s="188"/>
      <c r="D25" s="1"/>
      <c r="E25" s="187"/>
      <c r="F25" s="1"/>
      <c r="G25" s="1"/>
      <c r="H25" s="1"/>
      <c r="I25" s="1"/>
      <c r="J25" s="1"/>
      <c r="K25" s="187"/>
      <c r="L25" s="1"/>
      <c r="M25" s="1"/>
      <c r="N25" s="1"/>
      <c r="O25" s="1"/>
      <c r="P25" s="1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</row>
    <row r="26">
      <c r="A26" s="1"/>
      <c r="B26" s="1"/>
      <c r="C26" s="188"/>
      <c r="D26" s="1"/>
      <c r="E26" s="187"/>
      <c r="F26" s="1"/>
      <c r="G26" s="1"/>
      <c r="H26" s="1"/>
      <c r="I26" s="1"/>
      <c r="J26" s="1"/>
      <c r="K26" s="187"/>
      <c r="L26" s="1"/>
      <c r="M26" s="1"/>
      <c r="N26" s="1"/>
      <c r="O26" s="1"/>
      <c r="P26" s="1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</row>
    <row r="27">
      <c r="A27" s="1"/>
      <c r="B27" s="1"/>
      <c r="C27" s="188"/>
      <c r="D27" s="1"/>
      <c r="E27" s="187"/>
      <c r="F27" s="1"/>
      <c r="G27" s="1"/>
      <c r="H27" s="1"/>
      <c r="I27" s="1"/>
      <c r="J27" s="1"/>
      <c r="K27" s="187"/>
      <c r="L27" s="1"/>
      <c r="M27" s="1"/>
      <c r="N27" s="1"/>
      <c r="O27" s="1"/>
      <c r="P27" s="1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</row>
    <row r="28">
      <c r="A28" s="1"/>
      <c r="B28" s="188"/>
      <c r="C28" s="188"/>
      <c r="D28" s="1"/>
      <c r="E28" s="187"/>
      <c r="F28" s="1"/>
      <c r="G28" s="1"/>
      <c r="H28" s="1"/>
      <c r="I28" s="1"/>
      <c r="J28" s="1"/>
      <c r="K28" s="187"/>
      <c r="L28" s="1"/>
      <c r="M28" s="1"/>
      <c r="N28" s="1"/>
      <c r="O28" s="1"/>
      <c r="P28" s="1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</row>
    <row r="29">
      <c r="A29" s="1"/>
      <c r="B29" s="1"/>
      <c r="C29" s="188"/>
      <c r="D29" s="1"/>
      <c r="E29" s="187"/>
      <c r="F29" s="1"/>
      <c r="G29" s="1"/>
      <c r="H29" s="1"/>
      <c r="I29" s="1"/>
      <c r="J29" s="1"/>
      <c r="K29" s="187"/>
      <c r="L29" s="1"/>
      <c r="M29" s="1"/>
      <c r="N29" s="1"/>
      <c r="O29" s="1"/>
      <c r="P29" s="1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</row>
    <row r="30">
      <c r="A30" s="1"/>
      <c r="B30" s="188"/>
      <c r="C30" s="188"/>
      <c r="D30" s="1"/>
      <c r="E30" s="187"/>
      <c r="F30" s="1"/>
      <c r="G30" s="1"/>
      <c r="H30" s="1"/>
      <c r="I30" s="1"/>
      <c r="J30" s="1"/>
      <c r="K30" s="187"/>
      <c r="L30" s="1"/>
      <c r="M30" s="1"/>
      <c r="N30" s="1"/>
      <c r="O30" s="1"/>
      <c r="P30" s="1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</row>
    <row r="31">
      <c r="A31" s="1"/>
      <c r="B31" s="1"/>
      <c r="C31" s="188"/>
      <c r="D31" s="1"/>
      <c r="E31" s="187"/>
      <c r="F31" s="1"/>
      <c r="G31" s="1"/>
      <c r="H31" s="1"/>
      <c r="I31" s="1"/>
      <c r="J31" s="1"/>
      <c r="K31" s="187"/>
      <c r="L31" s="1"/>
      <c r="M31" s="1"/>
      <c r="N31" s="1"/>
      <c r="O31" s="1"/>
      <c r="P31" s="1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</row>
    <row r="32">
      <c r="A32" s="1"/>
      <c r="B32" s="188"/>
      <c r="C32" s="188"/>
      <c r="D32" s="1"/>
      <c r="E32" s="187"/>
      <c r="F32" s="1"/>
      <c r="G32" s="1"/>
      <c r="H32" s="1"/>
      <c r="I32" s="1"/>
      <c r="J32" s="1"/>
      <c r="K32" s="187"/>
      <c r="L32" s="1"/>
      <c r="M32" s="1"/>
      <c r="N32" s="1"/>
      <c r="O32" s="1"/>
      <c r="P32" s="1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</row>
    <row r="33">
      <c r="A33" s="1"/>
      <c r="B33" s="1"/>
      <c r="C33" s="188"/>
      <c r="D33" s="1"/>
      <c r="E33" s="187"/>
      <c r="F33" s="1"/>
      <c r="G33" s="1"/>
      <c r="H33" s="1"/>
      <c r="I33" s="1"/>
      <c r="J33" s="1"/>
      <c r="K33" s="187"/>
      <c r="L33" s="1"/>
      <c r="M33" s="1"/>
      <c r="N33" s="1"/>
      <c r="O33" s="1"/>
      <c r="P33" s="1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</row>
    <row r="34">
      <c r="A34" s="1"/>
      <c r="B34" s="188"/>
      <c r="C34" s="188"/>
      <c r="D34" s="1"/>
      <c r="E34" s="1"/>
      <c r="F34" s="1"/>
      <c r="G34" s="1"/>
      <c r="H34" s="1"/>
      <c r="I34" s="187"/>
      <c r="J34" s="187"/>
      <c r="K34" s="187"/>
      <c r="L34" s="1"/>
      <c r="M34" s="1"/>
      <c r="N34" s="187"/>
      <c r="O34" s="1"/>
      <c r="P34" s="1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</row>
    <row r="35">
      <c r="A35" s="1"/>
      <c r="B35" s="1"/>
      <c r="C35" s="188"/>
      <c r="D35" s="1"/>
      <c r="E35" s="1"/>
      <c r="F35" s="1"/>
      <c r="G35" s="1"/>
      <c r="H35" s="1"/>
      <c r="I35" s="1"/>
      <c r="J35" s="1"/>
      <c r="K35" s="187"/>
      <c r="L35" s="1"/>
      <c r="M35" s="1"/>
      <c r="N35" s="1"/>
      <c r="O35" s="1"/>
      <c r="P35" s="1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</row>
    <row r="36">
      <c r="A36" s="1"/>
      <c r="B36" s="1"/>
      <c r="C36" s="188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</row>
    <row r="37">
      <c r="A37" s="1"/>
      <c r="B37" s="188"/>
      <c r="C37" s="188"/>
      <c r="D37" s="1"/>
      <c r="E37" s="187"/>
      <c r="F37" s="1"/>
      <c r="G37" s="1"/>
      <c r="H37" s="1"/>
      <c r="I37" s="1"/>
      <c r="J37" s="1"/>
      <c r="K37" s="187"/>
      <c r="L37" s="1"/>
      <c r="M37" s="1"/>
      <c r="N37" s="1"/>
      <c r="O37" s="1"/>
      <c r="P37" s="1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</row>
    <row r="38">
      <c r="A38" s="1"/>
      <c r="B38" s="1"/>
      <c r="C38" s="188"/>
      <c r="D38" s="1"/>
      <c r="E38" s="187"/>
      <c r="F38" s="1"/>
      <c r="G38" s="1"/>
      <c r="H38" s="1"/>
      <c r="I38" s="1"/>
      <c r="J38" s="1"/>
      <c r="K38" s="187"/>
      <c r="L38" s="1"/>
      <c r="M38" s="1"/>
      <c r="N38" s="1"/>
      <c r="O38" s="1"/>
      <c r="P38" s="1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</row>
    <row r="39">
      <c r="A39" s="1"/>
      <c r="B39" s="1"/>
      <c r="C39" s="188"/>
      <c r="D39" s="1"/>
      <c r="E39" s="187"/>
      <c r="F39" s="1"/>
      <c r="G39" s="1"/>
      <c r="H39" s="1"/>
      <c r="I39" s="1"/>
      <c r="J39" s="1"/>
      <c r="K39" s="187"/>
      <c r="L39" s="1"/>
      <c r="M39" s="1"/>
      <c r="N39" s="1"/>
      <c r="O39" s="1"/>
      <c r="P39" s="1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87"/>
      <c r="L40" s="1"/>
      <c r="M40" s="1"/>
      <c r="N40" s="1"/>
      <c r="O40" s="1"/>
      <c r="P40" s="1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87"/>
      <c r="L41" s="1"/>
      <c r="M41" s="1"/>
      <c r="N41" s="1"/>
      <c r="O41" s="1"/>
      <c r="P41" s="1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</row>
    <row r="42">
      <c r="A42" s="1"/>
      <c r="B42" s="1"/>
      <c r="C42" s="188"/>
      <c r="D42" s="1"/>
      <c r="E42" s="187"/>
      <c r="F42" s="1"/>
      <c r="G42" s="1"/>
      <c r="H42" s="1"/>
      <c r="I42" s="1"/>
      <c r="J42" s="1"/>
      <c r="K42" s="187"/>
      <c r="L42" s="1"/>
      <c r="M42" s="1"/>
      <c r="N42" s="1"/>
      <c r="O42" s="1"/>
      <c r="P42" s="1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</row>
    <row r="43">
      <c r="A43" s="1"/>
      <c r="B43" s="1"/>
      <c r="C43" s="188"/>
      <c r="D43" s="1"/>
      <c r="E43" s="187"/>
      <c r="F43" s="1"/>
      <c r="G43" s="1"/>
      <c r="H43" s="1"/>
      <c r="I43" s="1"/>
      <c r="J43" s="1"/>
      <c r="K43" s="187"/>
      <c r="L43" s="1"/>
      <c r="M43" s="1"/>
      <c r="N43" s="1"/>
      <c r="O43" s="1"/>
      <c r="P43" s="1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</row>
    <row r="44">
      <c r="A44" s="1"/>
      <c r="B44" s="1"/>
      <c r="C44" s="188"/>
      <c r="D44" s="1"/>
      <c r="E44" s="1"/>
      <c r="F44" s="1"/>
      <c r="G44" s="1"/>
      <c r="H44" s="1"/>
      <c r="I44" s="1"/>
      <c r="J44" s="1"/>
      <c r="K44" s="187"/>
      <c r="L44" s="1"/>
      <c r="M44" s="1"/>
      <c r="N44" s="1"/>
      <c r="O44" s="1"/>
      <c r="P44" s="1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</row>
    <row r="45">
      <c r="A45" s="1"/>
      <c r="B45" s="1"/>
      <c r="C45" s="188"/>
      <c r="D45" s="1"/>
      <c r="E45" s="1"/>
      <c r="F45" s="1"/>
      <c r="G45" s="1"/>
      <c r="H45" s="1"/>
      <c r="I45" s="1"/>
      <c r="J45" s="1"/>
      <c r="K45" s="187"/>
      <c r="L45" s="1"/>
      <c r="M45" s="1"/>
      <c r="N45" s="1"/>
      <c r="O45" s="1"/>
      <c r="P45" s="1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</row>
    <row r="46">
      <c r="A46" s="1"/>
      <c r="B46" s="1"/>
      <c r="C46" s="188"/>
      <c r="D46" s="1"/>
      <c r="E46" s="1"/>
      <c r="F46" s="1"/>
      <c r="G46" s="1"/>
      <c r="H46" s="1"/>
      <c r="I46" s="1"/>
      <c r="J46" s="1"/>
      <c r="K46" s="187"/>
      <c r="L46" s="1"/>
      <c r="M46" s="1"/>
      <c r="N46" s="1"/>
      <c r="O46" s="1"/>
      <c r="P46" s="1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</row>
    <row r="47">
      <c r="A47" s="1"/>
      <c r="B47" s="1"/>
      <c r="C47" s="188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</row>
    <row r="48">
      <c r="A48" s="1"/>
      <c r="B48" s="1"/>
      <c r="C48" s="188"/>
      <c r="D48" s="1"/>
      <c r="E48" s="187"/>
      <c r="F48" s="1"/>
      <c r="G48" s="1"/>
      <c r="H48" s="1"/>
      <c r="I48" s="1"/>
      <c r="J48" s="1"/>
      <c r="K48" s="187"/>
      <c r="L48" s="1"/>
      <c r="M48" s="1"/>
      <c r="N48" s="1"/>
      <c r="O48" s="1"/>
      <c r="P48" s="1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</row>
    <row r="49">
      <c r="A49" s="1"/>
      <c r="B49" s="1"/>
      <c r="C49" s="1"/>
      <c r="D49" s="1"/>
      <c r="E49" s="187"/>
      <c r="F49" s="1"/>
      <c r="G49" s="1"/>
      <c r="H49" s="1"/>
      <c r="I49" s="1"/>
      <c r="J49" s="1"/>
      <c r="K49" s="187"/>
      <c r="L49" s="1"/>
      <c r="M49" s="1"/>
      <c r="N49" s="1"/>
      <c r="O49" s="1"/>
      <c r="P49" s="1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</row>
    <row r="50">
      <c r="A50" s="1"/>
      <c r="B50" s="1"/>
      <c r="C50" s="188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87"/>
      <c r="L51" s="1"/>
      <c r="M51" s="1"/>
      <c r="N51" s="1"/>
      <c r="O51" s="1"/>
      <c r="P51" s="1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</row>
    <row r="52">
      <c r="A52" s="1"/>
      <c r="B52" s="1"/>
      <c r="C52" s="188"/>
      <c r="D52" s="1"/>
      <c r="E52" s="187"/>
      <c r="F52" s="1"/>
      <c r="G52" s="1"/>
      <c r="H52" s="1"/>
      <c r="I52" s="1"/>
      <c r="J52" s="1"/>
      <c r="K52" s="187"/>
      <c r="L52" s="1"/>
      <c r="M52" s="1"/>
      <c r="N52" s="1"/>
      <c r="O52" s="1"/>
      <c r="P52" s="1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</row>
    <row r="53">
      <c r="A53" s="1"/>
      <c r="B53" s="1"/>
      <c r="C53" s="188"/>
      <c r="D53" s="1"/>
      <c r="E53" s="1"/>
      <c r="F53" s="1"/>
      <c r="G53" s="1"/>
      <c r="H53" s="1"/>
      <c r="I53" s="1"/>
      <c r="J53" s="1"/>
      <c r="K53" s="187"/>
      <c r="L53" s="1"/>
      <c r="M53" s="1"/>
      <c r="N53" s="1"/>
      <c r="O53" s="1"/>
      <c r="P53" s="1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</row>
    <row r="54">
      <c r="A54" s="1"/>
      <c r="B54" s="18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</row>
    <row r="55">
      <c r="A55" s="1"/>
      <c r="B55" s="1"/>
      <c r="C55" s="188"/>
      <c r="D55" s="1"/>
      <c r="E55" s="187"/>
      <c r="F55" s="1"/>
      <c r="G55" s="1"/>
      <c r="H55" s="1"/>
      <c r="I55" s="1"/>
      <c r="J55" s="1"/>
      <c r="K55" s="187"/>
      <c r="L55" s="1"/>
      <c r="M55" s="1"/>
      <c r="N55" s="1"/>
      <c r="O55" s="1"/>
      <c r="P55" s="1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</row>
    <row r="56">
      <c r="A56" s="1"/>
      <c r="B56" s="1"/>
      <c r="C56" s="188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</row>
    <row r="57">
      <c r="A57" s="1"/>
      <c r="B57" s="1"/>
      <c r="C57" s="188"/>
      <c r="D57" s="1"/>
      <c r="E57" s="187"/>
      <c r="F57" s="1"/>
      <c r="G57" s="1"/>
      <c r="H57" s="1"/>
      <c r="I57" s="1"/>
      <c r="J57" s="1"/>
      <c r="K57" s="187"/>
      <c r="L57" s="1"/>
      <c r="M57" s="1"/>
      <c r="N57" s="1"/>
      <c r="O57" s="1"/>
      <c r="P57" s="1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</row>
    <row r="58">
      <c r="A58" s="1"/>
      <c r="B58" s="1"/>
      <c r="C58" s="188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</row>
    <row r="59">
      <c r="A59" s="1"/>
      <c r="B59" s="1"/>
      <c r="C59" s="188"/>
      <c r="D59" s="1"/>
      <c r="E59" s="187"/>
      <c r="F59" s="1"/>
      <c r="G59" s="1"/>
      <c r="H59" s="1"/>
      <c r="I59" s="1"/>
      <c r="J59" s="1"/>
      <c r="K59" s="187"/>
      <c r="L59" s="1"/>
      <c r="M59" s="1"/>
      <c r="N59" s="1"/>
      <c r="O59" s="1"/>
      <c r="P59" s="1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</row>
    <row r="60">
      <c r="A60" s="1"/>
      <c r="B60" s="1"/>
      <c r="C60" s="1"/>
      <c r="D60" s="1"/>
      <c r="E60" s="187"/>
      <c r="F60" s="1"/>
      <c r="G60" s="1"/>
      <c r="H60" s="1"/>
      <c r="I60" s="1"/>
      <c r="J60" s="1"/>
      <c r="K60" s="187"/>
      <c r="L60" s="1"/>
      <c r="M60" s="1"/>
      <c r="N60" s="1"/>
      <c r="O60" s="1"/>
      <c r="P60" s="1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</row>
    <row r="61">
      <c r="A61" s="1"/>
      <c r="B61" s="1"/>
      <c r="C61" s="1"/>
      <c r="D61" s="1"/>
      <c r="E61" s="187"/>
      <c r="F61" s="1"/>
      <c r="G61" s="1"/>
      <c r="H61" s="1"/>
      <c r="I61" s="1"/>
      <c r="J61" s="1"/>
      <c r="K61" s="187"/>
      <c r="L61" s="1"/>
      <c r="M61" s="1"/>
      <c r="N61" s="1"/>
      <c r="O61" s="1"/>
      <c r="P61" s="1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</row>
    <row r="62">
      <c r="A62" s="1"/>
      <c r="B62" s="1"/>
      <c r="C62" s="188"/>
      <c r="D62" s="1"/>
      <c r="E62" s="187"/>
      <c r="F62" s="1"/>
      <c r="G62" s="1"/>
      <c r="H62" s="1"/>
      <c r="I62" s="1"/>
      <c r="J62" s="1"/>
      <c r="K62" s="187"/>
      <c r="L62" s="1"/>
      <c r="M62" s="1"/>
      <c r="N62" s="1"/>
      <c r="O62" s="1"/>
      <c r="P62" s="1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</row>
    <row r="63">
      <c r="A63" s="1"/>
      <c r="B63" s="1"/>
      <c r="C63" s="188"/>
      <c r="D63" s="1"/>
      <c r="E63" s="187"/>
      <c r="F63" s="1"/>
      <c r="G63" s="1"/>
      <c r="H63" s="1"/>
      <c r="I63" s="1"/>
      <c r="J63" s="1"/>
      <c r="K63" s="187"/>
      <c r="L63" s="1"/>
      <c r="M63" s="1"/>
      <c r="N63" s="1"/>
      <c r="O63" s="1"/>
      <c r="P63" s="1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</row>
    <row r="64">
      <c r="A64" s="1"/>
      <c r="B64" s="1"/>
      <c r="C64" s="188"/>
      <c r="D64" s="1"/>
      <c r="E64" s="1"/>
      <c r="F64" s="1"/>
      <c r="G64" s="1"/>
      <c r="H64" s="1"/>
      <c r="I64" s="1"/>
      <c r="J64" s="1"/>
      <c r="K64" s="187"/>
      <c r="L64" s="1"/>
      <c r="M64" s="1"/>
      <c r="N64" s="1"/>
      <c r="O64" s="1"/>
      <c r="P64" s="1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</row>
    <row r="65">
      <c r="A65" s="1"/>
      <c r="B65" s="1"/>
      <c r="C65" s="188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</row>
    <row r="66">
      <c r="A66" s="1"/>
      <c r="B66" s="1"/>
      <c r="C66" s="188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</row>
    <row r="67">
      <c r="A67" s="1"/>
      <c r="B67" s="1"/>
      <c r="C67" s="188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</row>
    <row r="68">
      <c r="A68" s="1"/>
      <c r="B68" s="188"/>
      <c r="C68" s="188"/>
      <c r="D68" s="1"/>
      <c r="E68" s="1"/>
      <c r="F68" s="1"/>
      <c r="G68" s="1"/>
      <c r="H68" s="1"/>
      <c r="I68" s="1"/>
      <c r="J68" s="1"/>
      <c r="K68" s="187"/>
      <c r="L68" s="1"/>
      <c r="M68" s="1"/>
      <c r="N68" s="1"/>
      <c r="O68" s="1"/>
      <c r="P68" s="1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</row>
    <row r="69">
      <c r="A69" s="1"/>
      <c r="B69" s="1"/>
      <c r="C69" s="188"/>
      <c r="D69" s="1"/>
      <c r="E69" s="1"/>
      <c r="F69" s="1"/>
      <c r="G69" s="1"/>
      <c r="H69" s="1"/>
      <c r="I69" s="1"/>
      <c r="J69" s="1"/>
      <c r="K69" s="187"/>
      <c r="L69" s="1"/>
      <c r="M69" s="1"/>
      <c r="N69" s="1"/>
      <c r="O69" s="1"/>
      <c r="P69" s="1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</row>
    <row r="70">
      <c r="A70" s="1"/>
      <c r="B70" s="1"/>
      <c r="C70" s="188"/>
      <c r="D70" s="1"/>
      <c r="E70" s="187"/>
      <c r="F70" s="1"/>
      <c r="G70" s="1"/>
      <c r="H70" s="1"/>
      <c r="I70" s="1"/>
      <c r="J70" s="1"/>
      <c r="K70" s="187"/>
      <c r="L70" s="1"/>
      <c r="M70" s="1"/>
      <c r="N70" s="1"/>
      <c r="O70" s="1"/>
      <c r="P70" s="1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</row>
    <row r="71">
      <c r="A71" s="1"/>
      <c r="B71" s="1"/>
      <c r="C71" s="188"/>
      <c r="D71" s="1"/>
      <c r="E71" s="187"/>
      <c r="F71" s="1"/>
      <c r="G71" s="1"/>
      <c r="H71" s="1"/>
      <c r="I71" s="1"/>
      <c r="J71" s="1"/>
      <c r="K71" s="187"/>
      <c r="L71" s="1"/>
      <c r="M71" s="1"/>
      <c r="N71" s="1"/>
      <c r="O71" s="1"/>
      <c r="P71" s="1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</row>
    <row r="72">
      <c r="A72" s="1"/>
      <c r="B72" s="1"/>
      <c r="C72" s="188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</row>
    <row r="73">
      <c r="A73" s="1"/>
      <c r="B73" s="1"/>
      <c r="C73" s="188"/>
      <c r="D73" s="1"/>
      <c r="E73" s="187"/>
      <c r="F73" s="1"/>
      <c r="G73" s="1"/>
      <c r="H73" s="1"/>
      <c r="I73" s="1"/>
      <c r="J73" s="1"/>
      <c r="K73" s="187"/>
      <c r="L73" s="1"/>
      <c r="M73" s="1"/>
      <c r="N73" s="1"/>
      <c r="O73" s="1"/>
      <c r="P73" s="1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</row>
    <row r="74">
      <c r="A74" s="1"/>
      <c r="B74" s="1"/>
      <c r="C74" s="188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</row>
    <row r="76">
      <c r="A76" s="1"/>
      <c r="B76" s="1"/>
      <c r="C76" s="188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</row>
    <row r="77">
      <c r="A77" s="1"/>
      <c r="B77" s="1"/>
      <c r="C77" s="188"/>
      <c r="D77" s="1"/>
      <c r="E77" s="1"/>
      <c r="F77" s="1"/>
      <c r="G77" s="1"/>
      <c r="H77" s="1"/>
      <c r="I77" s="1"/>
      <c r="J77" s="1"/>
      <c r="K77" s="187"/>
      <c r="L77" s="1"/>
      <c r="M77" s="1"/>
      <c r="N77" s="1"/>
      <c r="O77" s="1"/>
      <c r="P77" s="1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</row>
    <row r="78">
      <c r="A78" s="187"/>
      <c r="B78" s="187"/>
      <c r="C78" s="189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</row>
    <row r="81">
      <c r="A81" s="187"/>
      <c r="B81" s="187"/>
      <c r="C81" s="189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</row>
    <row r="82">
      <c r="A82" s="187"/>
      <c r="B82" s="187"/>
      <c r="C82" s="189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</row>
    <row r="84">
      <c r="A84" s="187"/>
      <c r="B84" s="187"/>
      <c r="C84" s="189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</row>
    <row r="85">
      <c r="A85" s="187"/>
      <c r="B85" s="187"/>
      <c r="C85" s="189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</row>
    <row r="86">
      <c r="A86" s="187"/>
      <c r="B86" s="187"/>
      <c r="C86" s="189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</row>
    <row r="87">
      <c r="A87" s="187"/>
      <c r="B87" s="187"/>
      <c r="C87" s="189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</row>
    <row r="88">
      <c r="A88" s="187"/>
      <c r="B88" s="187"/>
      <c r="C88" s="189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</row>
    <row r="89">
      <c r="A89" s="187"/>
      <c r="B89" s="187"/>
      <c r="C89" s="189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</row>
    <row r="90">
      <c r="A90" s="187"/>
      <c r="B90" s="187"/>
      <c r="C90" s="189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</row>
    <row r="91">
      <c r="A91" s="187"/>
      <c r="B91" s="187"/>
      <c r="C91" s="189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</row>
    <row r="92">
      <c r="A92" s="187"/>
      <c r="B92" s="187"/>
      <c r="C92" s="189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</row>
    <row r="93">
      <c r="A93" s="187"/>
      <c r="B93" s="187"/>
      <c r="C93" s="189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</row>
    <row r="95">
      <c r="A95" s="187"/>
      <c r="B95" s="187"/>
      <c r="C95" s="189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</row>
    <row r="99">
      <c r="A99" s="187"/>
      <c r="B99" s="187"/>
      <c r="C99" s="189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</row>
    <row r="100">
      <c r="A100" s="187"/>
      <c r="B100" s="187"/>
      <c r="C100" s="189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</row>
    <row r="104">
      <c r="A104" s="187"/>
      <c r="B104" s="187"/>
      <c r="C104" s="189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</row>
    <row r="105">
      <c r="A105" s="187"/>
      <c r="B105" s="187"/>
      <c r="C105" s="189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</row>
    <row r="106">
      <c r="A106" s="187"/>
      <c r="B106" s="187"/>
      <c r="C106" s="189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</row>
    <row r="110">
      <c r="A110" s="187"/>
      <c r="B110" s="187"/>
      <c r="C110" s="189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</row>
    <row r="113">
      <c r="A113" s="187"/>
      <c r="B113" s="187"/>
      <c r="C113" s="189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</row>
    <row r="121">
      <c r="A121" s="187"/>
      <c r="B121" s="187"/>
      <c r="C121" s="189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</row>
    <row r="123">
      <c r="A123" s="187"/>
      <c r="B123" s="187"/>
      <c r="C123" s="189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</row>
    <row r="124">
      <c r="A124" s="187"/>
      <c r="B124" s="187"/>
      <c r="C124" s="189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</row>
    <row r="127">
      <c r="A127" s="187"/>
      <c r="B127" s="187"/>
      <c r="C127" s="189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</row>
    <row r="128">
      <c r="A128" s="187"/>
      <c r="B128" s="187"/>
      <c r="C128" s="189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</row>
    <row r="132">
      <c r="A132" s="187"/>
      <c r="B132" s="187"/>
      <c r="C132" s="189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</row>
    <row r="138">
      <c r="A138" s="187"/>
      <c r="B138" s="187"/>
      <c r="C138" s="189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</row>
    <row r="143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</row>
    <row r="144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</row>
    <row r="145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</row>
    <row r="146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</row>
    <row r="147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</row>
    <row r="148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</row>
    <row r="149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</row>
    <row r="150">
      <c r="A150" s="187"/>
      <c r="B150" s="187"/>
      <c r="C150" s="189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</row>
    <row r="15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</row>
    <row r="152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</row>
    <row r="153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</row>
    <row r="154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</row>
    <row r="155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</row>
    <row r="156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</row>
    <row r="157">
      <c r="A157" s="187"/>
      <c r="B157" s="187"/>
      <c r="C157" s="189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</row>
    <row r="158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</row>
    <row r="159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</row>
    <row r="160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</row>
    <row r="161">
      <c r="A161" s="187"/>
      <c r="B161" s="187"/>
      <c r="C161" s="189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</row>
    <row r="162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</row>
    <row r="163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</row>
    <row r="164">
      <c r="A164" s="187"/>
      <c r="B164" s="187"/>
      <c r="C164" s="189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</row>
    <row r="165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</row>
    <row r="166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</row>
    <row r="167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</row>
    <row r="168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</row>
    <row r="169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</row>
    <row r="170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</row>
    <row r="17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</row>
    <row r="172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</row>
    <row r="173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</row>
    <row r="174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</row>
    <row r="175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</row>
    <row r="176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</row>
    <row r="177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</row>
    <row r="178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</row>
    <row r="179">
      <c r="A179" s="187"/>
      <c r="B179" s="187"/>
      <c r="C179" s="189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</row>
    <row r="180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</row>
    <row r="18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</row>
    <row r="182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</row>
    <row r="183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</row>
    <row r="184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</row>
    <row r="185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</row>
    <row r="186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</row>
    <row r="187">
      <c r="A187" s="187"/>
      <c r="B187" s="187"/>
      <c r="C187" s="189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</row>
    <row r="188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</row>
    <row r="189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</row>
    <row r="190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</row>
    <row r="19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</row>
    <row r="192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</row>
    <row r="193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</row>
    <row r="194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</row>
    <row r="195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</row>
    <row r="196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</row>
    <row r="197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</row>
    <row r="198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</row>
    <row r="199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</row>
    <row r="200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</row>
    <row r="20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</row>
    <row r="202">
      <c r="A202" s="187"/>
      <c r="B202" s="187"/>
      <c r="C202" s="189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</row>
    <row r="203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</row>
    <row r="204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</row>
    <row r="205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</row>
    <row r="206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</row>
    <row r="207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</row>
    <row r="208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</row>
    <row r="209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</row>
    <row r="210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</row>
    <row r="21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</row>
    <row r="212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</row>
    <row r="213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</row>
    <row r="214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</row>
    <row r="215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</row>
    <row r="216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</row>
    <row r="217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</row>
    <row r="218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</row>
    <row r="219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</row>
    <row r="220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</row>
    <row r="22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</row>
    <row r="222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</row>
    <row r="223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</row>
    <row r="224">
      <c r="A224" s="187"/>
      <c r="B224" s="187"/>
      <c r="C224" s="189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  <c r="AA224" s="187"/>
      <c r="AB224" s="187"/>
      <c r="AC224" s="187"/>
      <c r="AD224" s="187"/>
      <c r="AE224" s="187"/>
      <c r="AF224" s="187"/>
    </row>
    <row r="225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  <c r="AA225" s="187"/>
      <c r="AB225" s="187"/>
      <c r="AC225" s="187"/>
      <c r="AD225" s="187"/>
      <c r="AE225" s="187"/>
      <c r="AF225" s="187"/>
    </row>
    <row r="226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  <c r="AA226" s="187"/>
      <c r="AB226" s="187"/>
      <c r="AC226" s="187"/>
      <c r="AD226" s="187"/>
      <c r="AE226" s="187"/>
      <c r="AF226" s="187"/>
    </row>
    <row r="227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  <c r="AA227" s="187"/>
      <c r="AB227" s="187"/>
      <c r="AC227" s="187"/>
      <c r="AD227" s="187"/>
      <c r="AE227" s="187"/>
      <c r="AF227" s="187"/>
    </row>
    <row r="228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  <c r="AA228" s="187"/>
      <c r="AB228" s="187"/>
      <c r="AC228" s="187"/>
      <c r="AD228" s="187"/>
      <c r="AE228" s="187"/>
      <c r="AF228" s="187"/>
    </row>
    <row r="229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  <c r="AA229" s="187"/>
      <c r="AB229" s="187"/>
      <c r="AC229" s="187"/>
      <c r="AD229" s="187"/>
      <c r="AE229" s="187"/>
      <c r="AF229" s="187"/>
    </row>
    <row r="230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  <c r="AA230" s="187"/>
      <c r="AB230" s="187"/>
      <c r="AC230" s="187"/>
      <c r="AD230" s="187"/>
      <c r="AE230" s="187"/>
      <c r="AF230" s="187"/>
    </row>
    <row r="23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  <c r="AA231" s="187"/>
      <c r="AB231" s="187"/>
      <c r="AC231" s="187"/>
      <c r="AD231" s="187"/>
      <c r="AE231" s="187"/>
      <c r="AF231" s="187"/>
    </row>
    <row r="232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  <c r="AA232" s="187"/>
      <c r="AB232" s="187"/>
      <c r="AC232" s="187"/>
      <c r="AD232" s="187"/>
      <c r="AE232" s="187"/>
      <c r="AF232" s="187"/>
    </row>
    <row r="233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  <c r="AA233" s="187"/>
      <c r="AB233" s="187"/>
      <c r="AC233" s="187"/>
      <c r="AD233" s="187"/>
      <c r="AE233" s="187"/>
      <c r="AF233" s="187"/>
    </row>
    <row r="234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  <c r="AA234" s="187"/>
      <c r="AB234" s="187"/>
      <c r="AC234" s="187"/>
      <c r="AD234" s="187"/>
      <c r="AE234" s="187"/>
      <c r="AF234" s="187"/>
    </row>
    <row r="235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  <c r="AA235" s="187"/>
      <c r="AB235" s="187"/>
      <c r="AC235" s="187"/>
      <c r="AD235" s="187"/>
      <c r="AE235" s="187"/>
      <c r="AF235" s="187"/>
    </row>
    <row r="236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  <c r="AA236" s="187"/>
      <c r="AB236" s="187"/>
      <c r="AC236" s="187"/>
      <c r="AD236" s="187"/>
      <c r="AE236" s="187"/>
      <c r="AF236" s="187"/>
    </row>
    <row r="237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  <c r="AA237" s="187"/>
      <c r="AB237" s="187"/>
      <c r="AC237" s="187"/>
      <c r="AD237" s="187"/>
      <c r="AE237" s="187"/>
      <c r="AF237" s="187"/>
    </row>
    <row r="238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  <c r="AA238" s="187"/>
      <c r="AB238" s="187"/>
      <c r="AC238" s="187"/>
      <c r="AD238" s="187"/>
      <c r="AE238" s="187"/>
      <c r="AF238" s="187"/>
    </row>
    <row r="239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  <c r="AA239" s="187"/>
      <c r="AB239" s="187"/>
      <c r="AC239" s="187"/>
      <c r="AD239" s="187"/>
      <c r="AE239" s="187"/>
      <c r="AF239" s="187"/>
    </row>
    <row r="240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  <c r="AA240" s="187"/>
      <c r="AB240" s="187"/>
      <c r="AC240" s="187"/>
      <c r="AD240" s="187"/>
      <c r="AE240" s="187"/>
      <c r="AF240" s="187"/>
    </row>
    <row r="24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  <c r="AA241" s="187"/>
      <c r="AB241" s="187"/>
      <c r="AC241" s="187"/>
      <c r="AD241" s="187"/>
      <c r="AE241" s="187"/>
      <c r="AF241" s="187"/>
    </row>
    <row r="242">
      <c r="A242" s="187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  <c r="AA242" s="187"/>
      <c r="AB242" s="187"/>
      <c r="AC242" s="187"/>
      <c r="AD242" s="187"/>
      <c r="AE242" s="187"/>
      <c r="AF242" s="187"/>
    </row>
    <row r="243">
      <c r="A243" s="187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  <c r="AA243" s="187"/>
      <c r="AB243" s="187"/>
      <c r="AC243" s="187"/>
      <c r="AD243" s="187"/>
      <c r="AE243" s="187"/>
      <c r="AF243" s="187"/>
    </row>
    <row r="244">
      <c r="A244" s="187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  <c r="AA244" s="187"/>
      <c r="AB244" s="187"/>
      <c r="AC244" s="187"/>
      <c r="AD244" s="187"/>
      <c r="AE244" s="187"/>
      <c r="AF244" s="187"/>
    </row>
    <row r="245">
      <c r="A245" s="187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  <c r="AA245" s="187"/>
      <c r="AB245" s="187"/>
      <c r="AC245" s="187"/>
      <c r="AD245" s="187"/>
      <c r="AE245" s="187"/>
      <c r="AF245" s="187"/>
    </row>
    <row r="246">
      <c r="A246" s="187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  <c r="AA246" s="187"/>
      <c r="AB246" s="187"/>
      <c r="AC246" s="187"/>
      <c r="AD246" s="187"/>
      <c r="AE246" s="187"/>
      <c r="AF246" s="187"/>
    </row>
    <row r="247">
      <c r="A247" s="187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  <c r="AA247" s="187"/>
      <c r="AB247" s="187"/>
      <c r="AC247" s="187"/>
      <c r="AD247" s="187"/>
      <c r="AE247" s="187"/>
      <c r="AF247" s="187"/>
    </row>
    <row r="248">
      <c r="A248" s="187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  <c r="AA248" s="187"/>
      <c r="AB248" s="187"/>
      <c r="AC248" s="187"/>
      <c r="AD248" s="187"/>
      <c r="AE248" s="187"/>
      <c r="AF248" s="187"/>
    </row>
    <row r="249">
      <c r="A249" s="187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  <c r="AA249" s="187"/>
      <c r="AB249" s="187"/>
      <c r="AC249" s="187"/>
      <c r="AD249" s="187"/>
      <c r="AE249" s="187"/>
      <c r="AF249" s="187"/>
    </row>
    <row r="250">
      <c r="A250" s="187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  <c r="AA250" s="187"/>
      <c r="AB250" s="187"/>
      <c r="AC250" s="187"/>
      <c r="AD250" s="187"/>
      <c r="AE250" s="187"/>
      <c r="AF250" s="187"/>
    </row>
    <row r="251">
      <c r="A251" s="187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  <c r="AA251" s="187"/>
      <c r="AB251" s="187"/>
      <c r="AC251" s="187"/>
      <c r="AD251" s="187"/>
      <c r="AE251" s="187"/>
      <c r="AF251" s="187"/>
    </row>
    <row r="252">
      <c r="A252" s="187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  <c r="AA252" s="187"/>
      <c r="AB252" s="187"/>
      <c r="AC252" s="187"/>
      <c r="AD252" s="187"/>
      <c r="AE252" s="187"/>
      <c r="AF252" s="187"/>
    </row>
    <row r="253">
      <c r="A253" s="187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  <c r="AA253" s="187"/>
      <c r="AB253" s="187"/>
      <c r="AC253" s="187"/>
      <c r="AD253" s="187"/>
      <c r="AE253" s="187"/>
      <c r="AF253" s="187"/>
    </row>
    <row r="254">
      <c r="A254" s="187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  <c r="AA254" s="187"/>
      <c r="AB254" s="187"/>
      <c r="AC254" s="187"/>
      <c r="AD254" s="187"/>
      <c r="AE254" s="187"/>
      <c r="AF254" s="187"/>
    </row>
    <row r="255">
      <c r="A255" s="187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  <c r="AA255" s="187"/>
      <c r="AB255" s="187"/>
      <c r="AC255" s="187"/>
      <c r="AD255" s="187"/>
      <c r="AE255" s="187"/>
      <c r="AF255" s="187"/>
    </row>
    <row r="256">
      <c r="A256" s="187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  <c r="AA256" s="187"/>
      <c r="AB256" s="187"/>
      <c r="AC256" s="187"/>
      <c r="AD256" s="187"/>
      <c r="AE256" s="187"/>
      <c r="AF256" s="187"/>
    </row>
    <row r="257">
      <c r="A257" s="187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  <c r="AA257" s="187"/>
      <c r="AB257" s="187"/>
      <c r="AC257" s="187"/>
      <c r="AD257" s="187"/>
      <c r="AE257" s="187"/>
      <c r="AF257" s="187"/>
    </row>
    <row r="258">
      <c r="A258" s="187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  <c r="AA258" s="187"/>
      <c r="AB258" s="187"/>
      <c r="AC258" s="187"/>
      <c r="AD258" s="187"/>
      <c r="AE258" s="187"/>
      <c r="AF258" s="187"/>
    </row>
    <row r="259">
      <c r="A259" s="187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  <c r="AA259" s="187"/>
      <c r="AB259" s="187"/>
      <c r="AC259" s="187"/>
      <c r="AD259" s="187"/>
      <c r="AE259" s="187"/>
      <c r="AF259" s="187"/>
    </row>
    <row r="260">
      <c r="A260" s="187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  <c r="AA260" s="187"/>
      <c r="AB260" s="187"/>
      <c r="AC260" s="187"/>
      <c r="AD260" s="187"/>
      <c r="AE260" s="187"/>
      <c r="AF260" s="187"/>
    </row>
    <row r="261">
      <c r="A261" s="187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  <c r="AA261" s="187"/>
      <c r="AB261" s="187"/>
      <c r="AC261" s="187"/>
      <c r="AD261" s="187"/>
      <c r="AE261" s="187"/>
      <c r="AF261" s="187"/>
    </row>
    <row r="262">
      <c r="A262" s="187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  <c r="AA262" s="187"/>
      <c r="AB262" s="187"/>
      <c r="AC262" s="187"/>
      <c r="AD262" s="187"/>
      <c r="AE262" s="187"/>
      <c r="AF262" s="187"/>
    </row>
    <row r="263">
      <c r="A263" s="187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  <c r="AA263" s="187"/>
      <c r="AB263" s="187"/>
      <c r="AC263" s="187"/>
      <c r="AD263" s="187"/>
      <c r="AE263" s="187"/>
      <c r="AF263" s="187"/>
    </row>
    <row r="264">
      <c r="A264" s="187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  <c r="AA264" s="187"/>
      <c r="AB264" s="187"/>
      <c r="AC264" s="187"/>
      <c r="AD264" s="187"/>
      <c r="AE264" s="187"/>
      <c r="AF264" s="187"/>
    </row>
    <row r="265">
      <c r="A265" s="187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  <c r="AA265" s="187"/>
      <c r="AB265" s="187"/>
      <c r="AC265" s="187"/>
      <c r="AD265" s="187"/>
      <c r="AE265" s="187"/>
      <c r="AF265" s="187"/>
    </row>
    <row r="266">
      <c r="A266" s="187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  <c r="AA266" s="187"/>
      <c r="AB266" s="187"/>
      <c r="AC266" s="187"/>
      <c r="AD266" s="187"/>
      <c r="AE266" s="187"/>
      <c r="AF266" s="187"/>
    </row>
    <row r="267">
      <c r="A267" s="187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  <c r="AA267" s="187"/>
      <c r="AB267" s="187"/>
      <c r="AC267" s="187"/>
      <c r="AD267" s="187"/>
      <c r="AE267" s="187"/>
      <c r="AF267" s="187"/>
    </row>
    <row r="268">
      <c r="A268" s="187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  <c r="AA268" s="187"/>
      <c r="AB268" s="187"/>
      <c r="AC268" s="187"/>
      <c r="AD268" s="187"/>
      <c r="AE268" s="187"/>
      <c r="AF268" s="187"/>
    </row>
    <row r="269">
      <c r="A269" s="187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  <c r="AA269" s="187"/>
      <c r="AB269" s="187"/>
      <c r="AC269" s="187"/>
      <c r="AD269" s="187"/>
      <c r="AE269" s="187"/>
      <c r="AF269" s="187"/>
    </row>
    <row r="270">
      <c r="A270" s="187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  <c r="AA270" s="187"/>
      <c r="AB270" s="187"/>
      <c r="AC270" s="187"/>
      <c r="AD270" s="187"/>
      <c r="AE270" s="187"/>
      <c r="AF270" s="187"/>
    </row>
    <row r="271">
      <c r="A271" s="187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  <c r="AA271" s="187"/>
      <c r="AB271" s="187"/>
      <c r="AC271" s="187"/>
      <c r="AD271" s="187"/>
      <c r="AE271" s="187"/>
      <c r="AF271" s="187"/>
    </row>
    <row r="272">
      <c r="A272" s="187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  <c r="AA272" s="187"/>
      <c r="AB272" s="187"/>
      <c r="AC272" s="187"/>
      <c r="AD272" s="187"/>
      <c r="AE272" s="187"/>
      <c r="AF272" s="187"/>
    </row>
    <row r="273">
      <c r="A273" s="187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  <c r="AA273" s="187"/>
      <c r="AB273" s="187"/>
      <c r="AC273" s="187"/>
      <c r="AD273" s="187"/>
      <c r="AE273" s="187"/>
      <c r="AF273" s="187"/>
    </row>
    <row r="274">
      <c r="A274" s="187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  <c r="AA274" s="187"/>
      <c r="AB274" s="187"/>
      <c r="AC274" s="187"/>
      <c r="AD274" s="187"/>
      <c r="AE274" s="187"/>
      <c r="AF274" s="187"/>
    </row>
    <row r="275">
      <c r="A275" s="187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  <c r="AA275" s="187"/>
      <c r="AB275" s="187"/>
      <c r="AC275" s="187"/>
      <c r="AD275" s="187"/>
      <c r="AE275" s="187"/>
      <c r="AF275" s="187"/>
    </row>
    <row r="276">
      <c r="A276" s="187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  <c r="AA276" s="187"/>
      <c r="AB276" s="187"/>
      <c r="AC276" s="187"/>
      <c r="AD276" s="187"/>
      <c r="AE276" s="187"/>
      <c r="AF276" s="187"/>
    </row>
    <row r="277">
      <c r="A277" s="187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  <c r="AA277" s="187"/>
      <c r="AB277" s="187"/>
      <c r="AC277" s="187"/>
      <c r="AD277" s="187"/>
      <c r="AE277" s="187"/>
      <c r="AF277" s="187"/>
    </row>
    <row r="278">
      <c r="A278" s="187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  <c r="AA278" s="187"/>
      <c r="AB278" s="187"/>
      <c r="AC278" s="187"/>
      <c r="AD278" s="187"/>
      <c r="AE278" s="187"/>
      <c r="AF278" s="187"/>
    </row>
    <row r="279">
      <c r="A279" s="187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  <c r="AA279" s="187"/>
      <c r="AB279" s="187"/>
      <c r="AC279" s="187"/>
      <c r="AD279" s="187"/>
      <c r="AE279" s="187"/>
      <c r="AF279" s="187"/>
    </row>
    <row r="280">
      <c r="A280" s="187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  <c r="AA280" s="187"/>
      <c r="AB280" s="187"/>
      <c r="AC280" s="187"/>
      <c r="AD280" s="187"/>
      <c r="AE280" s="187"/>
      <c r="AF280" s="187"/>
    </row>
    <row r="281">
      <c r="A281" s="187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  <c r="AA281" s="187"/>
      <c r="AB281" s="187"/>
      <c r="AC281" s="187"/>
      <c r="AD281" s="187"/>
      <c r="AE281" s="187"/>
      <c r="AF281" s="187"/>
    </row>
    <row r="282">
      <c r="A282" s="187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  <c r="AA282" s="187"/>
      <c r="AB282" s="187"/>
      <c r="AC282" s="187"/>
      <c r="AD282" s="187"/>
      <c r="AE282" s="187"/>
      <c r="AF282" s="187"/>
    </row>
    <row r="283">
      <c r="A283" s="187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  <c r="AA283" s="187"/>
      <c r="AB283" s="187"/>
      <c r="AC283" s="187"/>
      <c r="AD283" s="187"/>
      <c r="AE283" s="187"/>
      <c r="AF283" s="187"/>
    </row>
    <row r="284">
      <c r="A284" s="187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  <c r="AA284" s="187"/>
      <c r="AB284" s="187"/>
      <c r="AC284" s="187"/>
      <c r="AD284" s="187"/>
      <c r="AE284" s="187"/>
      <c r="AF284" s="187"/>
    </row>
    <row r="285">
      <c r="A285" s="187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  <c r="AA285" s="187"/>
      <c r="AB285" s="187"/>
      <c r="AC285" s="187"/>
      <c r="AD285" s="187"/>
      <c r="AE285" s="187"/>
      <c r="AF285" s="187"/>
    </row>
    <row r="286">
      <c r="A286" s="187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  <c r="AA286" s="187"/>
      <c r="AB286" s="187"/>
      <c r="AC286" s="187"/>
      <c r="AD286" s="187"/>
      <c r="AE286" s="187"/>
      <c r="AF286" s="187"/>
    </row>
    <row r="287">
      <c r="A287" s="187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  <c r="AA287" s="187"/>
      <c r="AB287" s="187"/>
      <c r="AC287" s="187"/>
      <c r="AD287" s="187"/>
      <c r="AE287" s="187"/>
      <c r="AF287" s="187"/>
    </row>
    <row r="288">
      <c r="A288" s="187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  <c r="AA288" s="187"/>
      <c r="AB288" s="187"/>
      <c r="AC288" s="187"/>
      <c r="AD288" s="187"/>
      <c r="AE288" s="187"/>
      <c r="AF288" s="187"/>
    </row>
    <row r="289">
      <c r="A289" s="187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  <c r="AA289" s="187"/>
      <c r="AB289" s="187"/>
      <c r="AC289" s="187"/>
      <c r="AD289" s="187"/>
      <c r="AE289" s="187"/>
      <c r="AF289" s="187"/>
    </row>
    <row r="290">
      <c r="A290" s="187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  <c r="AA290" s="187"/>
      <c r="AB290" s="187"/>
      <c r="AC290" s="187"/>
      <c r="AD290" s="187"/>
      <c r="AE290" s="187"/>
      <c r="AF290" s="187"/>
    </row>
    <row r="291">
      <c r="A291" s="187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  <c r="AA291" s="187"/>
      <c r="AB291" s="187"/>
      <c r="AC291" s="187"/>
      <c r="AD291" s="187"/>
      <c r="AE291" s="187"/>
      <c r="AF291" s="187"/>
    </row>
    <row r="292">
      <c r="A292" s="187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  <c r="AA292" s="187"/>
      <c r="AB292" s="187"/>
      <c r="AC292" s="187"/>
      <c r="AD292" s="187"/>
      <c r="AE292" s="187"/>
      <c r="AF292" s="187"/>
    </row>
    <row r="293">
      <c r="A293" s="187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  <c r="AA293" s="187"/>
      <c r="AB293" s="187"/>
      <c r="AC293" s="187"/>
      <c r="AD293" s="187"/>
      <c r="AE293" s="187"/>
      <c r="AF293" s="187"/>
    </row>
    <row r="294">
      <c r="A294" s="187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  <c r="AA294" s="187"/>
      <c r="AB294" s="187"/>
      <c r="AC294" s="187"/>
      <c r="AD294" s="187"/>
      <c r="AE294" s="187"/>
      <c r="AF294" s="187"/>
    </row>
    <row r="295">
      <c r="A295" s="187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  <c r="AA295" s="187"/>
      <c r="AB295" s="187"/>
      <c r="AC295" s="187"/>
      <c r="AD295" s="187"/>
      <c r="AE295" s="187"/>
      <c r="AF295" s="187"/>
    </row>
    <row r="296">
      <c r="A296" s="187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  <c r="AA296" s="187"/>
      <c r="AB296" s="187"/>
      <c r="AC296" s="187"/>
      <c r="AD296" s="187"/>
      <c r="AE296" s="187"/>
      <c r="AF296" s="187"/>
    </row>
    <row r="297">
      <c r="A297" s="187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  <c r="AA297" s="187"/>
      <c r="AB297" s="187"/>
      <c r="AC297" s="187"/>
      <c r="AD297" s="187"/>
      <c r="AE297" s="187"/>
      <c r="AF297" s="187"/>
    </row>
    <row r="298">
      <c r="A298" s="187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  <c r="AA298" s="187"/>
      <c r="AB298" s="187"/>
      <c r="AC298" s="187"/>
      <c r="AD298" s="187"/>
      <c r="AE298" s="187"/>
      <c r="AF298" s="187"/>
    </row>
    <row r="299">
      <c r="A299" s="187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  <c r="AA299" s="187"/>
      <c r="AB299" s="187"/>
      <c r="AC299" s="187"/>
      <c r="AD299" s="187"/>
      <c r="AE299" s="187"/>
      <c r="AF299" s="187"/>
    </row>
    <row r="300">
      <c r="A300" s="187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  <c r="AA300" s="187"/>
      <c r="AB300" s="187"/>
      <c r="AC300" s="187"/>
      <c r="AD300" s="187"/>
      <c r="AE300" s="187"/>
      <c r="AF300" s="187"/>
    </row>
    <row r="301">
      <c r="A301" s="187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  <c r="AA301" s="187"/>
      <c r="AB301" s="187"/>
      <c r="AC301" s="187"/>
      <c r="AD301" s="187"/>
      <c r="AE301" s="187"/>
      <c r="AF301" s="187"/>
    </row>
    <row r="302">
      <c r="A302" s="187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  <c r="AA302" s="187"/>
      <c r="AB302" s="187"/>
      <c r="AC302" s="187"/>
      <c r="AD302" s="187"/>
      <c r="AE302" s="187"/>
      <c r="AF302" s="187"/>
    </row>
    <row r="303">
      <c r="A303" s="187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  <c r="AA303" s="187"/>
      <c r="AB303" s="187"/>
      <c r="AC303" s="187"/>
      <c r="AD303" s="187"/>
      <c r="AE303" s="187"/>
      <c r="AF303" s="187"/>
    </row>
    <row r="304">
      <c r="A304" s="187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  <c r="AA304" s="187"/>
      <c r="AB304" s="187"/>
      <c r="AC304" s="187"/>
      <c r="AD304" s="187"/>
      <c r="AE304" s="187"/>
      <c r="AF304" s="187"/>
    </row>
    <row r="305">
      <c r="A305" s="187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  <c r="AA305" s="187"/>
      <c r="AB305" s="187"/>
      <c r="AC305" s="187"/>
      <c r="AD305" s="187"/>
      <c r="AE305" s="187"/>
      <c r="AF305" s="187"/>
    </row>
    <row r="306">
      <c r="A306" s="187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  <c r="AA306" s="187"/>
      <c r="AB306" s="187"/>
      <c r="AC306" s="187"/>
      <c r="AD306" s="187"/>
      <c r="AE306" s="187"/>
      <c r="AF306" s="187"/>
    </row>
    <row r="307">
      <c r="A307" s="187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  <c r="AA307" s="187"/>
      <c r="AB307" s="187"/>
      <c r="AC307" s="187"/>
      <c r="AD307" s="187"/>
      <c r="AE307" s="187"/>
      <c r="AF307" s="187"/>
    </row>
    <row r="308">
      <c r="A308" s="187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  <c r="AA308" s="187"/>
      <c r="AB308" s="187"/>
      <c r="AC308" s="187"/>
      <c r="AD308" s="187"/>
      <c r="AE308" s="187"/>
      <c r="AF308" s="187"/>
    </row>
    <row r="309">
      <c r="A309" s="187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  <c r="AA309" s="187"/>
      <c r="AB309" s="187"/>
      <c r="AC309" s="187"/>
      <c r="AD309" s="187"/>
      <c r="AE309" s="187"/>
      <c r="AF309" s="187"/>
    </row>
    <row r="310">
      <c r="A310" s="187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  <c r="AA310" s="187"/>
      <c r="AB310" s="187"/>
      <c r="AC310" s="187"/>
      <c r="AD310" s="187"/>
      <c r="AE310" s="187"/>
      <c r="AF310" s="187"/>
    </row>
    <row r="311">
      <c r="A311" s="187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  <c r="AA311" s="187"/>
      <c r="AB311" s="187"/>
      <c r="AC311" s="187"/>
      <c r="AD311" s="187"/>
      <c r="AE311" s="187"/>
      <c r="AF311" s="187"/>
    </row>
    <row r="312">
      <c r="A312" s="187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  <c r="AA312" s="187"/>
      <c r="AB312" s="187"/>
      <c r="AC312" s="187"/>
      <c r="AD312" s="187"/>
      <c r="AE312" s="187"/>
      <c r="AF312" s="187"/>
    </row>
    <row r="313">
      <c r="A313" s="187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  <c r="AA313" s="187"/>
      <c r="AB313" s="187"/>
      <c r="AC313" s="187"/>
      <c r="AD313" s="187"/>
      <c r="AE313" s="187"/>
      <c r="AF313" s="187"/>
    </row>
    <row r="314">
      <c r="A314" s="187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  <c r="AA314" s="187"/>
      <c r="AB314" s="187"/>
      <c r="AC314" s="187"/>
      <c r="AD314" s="187"/>
      <c r="AE314" s="187"/>
      <c r="AF314" s="187"/>
    </row>
    <row r="315">
      <c r="A315" s="187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  <c r="AA315" s="187"/>
      <c r="AB315" s="187"/>
      <c r="AC315" s="187"/>
      <c r="AD315" s="187"/>
      <c r="AE315" s="187"/>
      <c r="AF315" s="187"/>
    </row>
    <row r="316">
      <c r="A316" s="187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  <c r="AA316" s="187"/>
      <c r="AB316" s="187"/>
      <c r="AC316" s="187"/>
      <c r="AD316" s="187"/>
      <c r="AE316" s="187"/>
      <c r="AF316" s="187"/>
    </row>
    <row r="317">
      <c r="A317" s="187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  <c r="AA317" s="187"/>
      <c r="AB317" s="187"/>
      <c r="AC317" s="187"/>
      <c r="AD317" s="187"/>
      <c r="AE317" s="187"/>
      <c r="AF317" s="187"/>
    </row>
    <row r="318">
      <c r="A318" s="187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  <c r="AA318" s="187"/>
      <c r="AB318" s="187"/>
      <c r="AC318" s="187"/>
      <c r="AD318" s="187"/>
      <c r="AE318" s="187"/>
      <c r="AF318" s="187"/>
    </row>
    <row r="319">
      <c r="A319" s="187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  <c r="AA319" s="187"/>
      <c r="AB319" s="187"/>
      <c r="AC319" s="187"/>
      <c r="AD319" s="187"/>
      <c r="AE319" s="187"/>
      <c r="AF319" s="187"/>
    </row>
    <row r="320">
      <c r="A320" s="187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  <c r="AA320" s="187"/>
      <c r="AB320" s="187"/>
      <c r="AC320" s="187"/>
      <c r="AD320" s="187"/>
      <c r="AE320" s="187"/>
      <c r="AF320" s="187"/>
    </row>
    <row r="321">
      <c r="A321" s="187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  <c r="AA321" s="187"/>
      <c r="AB321" s="187"/>
      <c r="AC321" s="187"/>
      <c r="AD321" s="187"/>
      <c r="AE321" s="187"/>
      <c r="AF321" s="187"/>
    </row>
    <row r="322">
      <c r="A322" s="187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  <c r="AA322" s="187"/>
      <c r="AB322" s="187"/>
      <c r="AC322" s="187"/>
      <c r="AD322" s="187"/>
      <c r="AE322" s="187"/>
      <c r="AF322" s="187"/>
    </row>
    <row r="323">
      <c r="A323" s="187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  <c r="AA323" s="187"/>
      <c r="AB323" s="187"/>
      <c r="AC323" s="187"/>
      <c r="AD323" s="187"/>
      <c r="AE323" s="187"/>
      <c r="AF323" s="187"/>
    </row>
    <row r="324">
      <c r="A324" s="187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  <c r="AA324" s="187"/>
      <c r="AB324" s="187"/>
      <c r="AC324" s="187"/>
      <c r="AD324" s="187"/>
      <c r="AE324" s="187"/>
      <c r="AF324" s="187"/>
    </row>
    <row r="325">
      <c r="A325" s="187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  <c r="AA325" s="187"/>
      <c r="AB325" s="187"/>
      <c r="AC325" s="187"/>
      <c r="AD325" s="187"/>
      <c r="AE325" s="187"/>
      <c r="AF325" s="187"/>
    </row>
    <row r="326">
      <c r="A326" s="187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  <c r="AA326" s="187"/>
      <c r="AB326" s="187"/>
      <c r="AC326" s="187"/>
      <c r="AD326" s="187"/>
      <c r="AE326" s="187"/>
      <c r="AF326" s="187"/>
    </row>
    <row r="327">
      <c r="A327" s="187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  <c r="AA327" s="187"/>
      <c r="AB327" s="187"/>
      <c r="AC327" s="187"/>
      <c r="AD327" s="187"/>
      <c r="AE327" s="187"/>
      <c r="AF327" s="187"/>
    </row>
    <row r="328">
      <c r="A328" s="187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  <c r="AA328" s="187"/>
      <c r="AB328" s="187"/>
      <c r="AC328" s="187"/>
      <c r="AD328" s="187"/>
      <c r="AE328" s="187"/>
      <c r="AF328" s="187"/>
    </row>
    <row r="329">
      <c r="A329" s="187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  <c r="AA329" s="187"/>
      <c r="AB329" s="187"/>
      <c r="AC329" s="187"/>
      <c r="AD329" s="187"/>
      <c r="AE329" s="187"/>
      <c r="AF329" s="187"/>
    </row>
    <row r="330">
      <c r="A330" s="187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  <c r="AA330" s="187"/>
      <c r="AB330" s="187"/>
      <c r="AC330" s="187"/>
      <c r="AD330" s="187"/>
      <c r="AE330" s="187"/>
      <c r="AF330" s="187"/>
    </row>
    <row r="331">
      <c r="A331" s="187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  <c r="AA331" s="187"/>
      <c r="AB331" s="187"/>
      <c r="AC331" s="187"/>
      <c r="AD331" s="187"/>
      <c r="AE331" s="187"/>
      <c r="AF331" s="187"/>
    </row>
    <row r="332">
      <c r="A332" s="187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  <c r="AA332" s="187"/>
      <c r="AB332" s="187"/>
      <c r="AC332" s="187"/>
      <c r="AD332" s="187"/>
      <c r="AE332" s="187"/>
      <c r="AF332" s="187"/>
    </row>
    <row r="333">
      <c r="A333" s="187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  <c r="AA333" s="187"/>
      <c r="AB333" s="187"/>
      <c r="AC333" s="187"/>
      <c r="AD333" s="187"/>
      <c r="AE333" s="187"/>
      <c r="AF333" s="187"/>
    </row>
    <row r="334">
      <c r="A334" s="187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  <c r="AA334" s="187"/>
      <c r="AB334" s="187"/>
      <c r="AC334" s="187"/>
      <c r="AD334" s="187"/>
      <c r="AE334" s="187"/>
      <c r="AF334" s="187"/>
    </row>
    <row r="335">
      <c r="A335" s="187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  <c r="AA335" s="187"/>
      <c r="AB335" s="187"/>
      <c r="AC335" s="187"/>
      <c r="AD335" s="187"/>
      <c r="AE335" s="187"/>
      <c r="AF335" s="187"/>
    </row>
    <row r="336">
      <c r="A336" s="187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  <c r="AA336" s="187"/>
      <c r="AB336" s="187"/>
      <c r="AC336" s="187"/>
      <c r="AD336" s="187"/>
      <c r="AE336" s="187"/>
      <c r="AF336" s="187"/>
    </row>
    <row r="337">
      <c r="A337" s="187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  <c r="AA337" s="187"/>
      <c r="AB337" s="187"/>
      <c r="AC337" s="187"/>
      <c r="AD337" s="187"/>
      <c r="AE337" s="187"/>
      <c r="AF337" s="187"/>
    </row>
    <row r="338">
      <c r="A338" s="187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  <c r="AA338" s="187"/>
      <c r="AB338" s="187"/>
      <c r="AC338" s="187"/>
      <c r="AD338" s="187"/>
      <c r="AE338" s="187"/>
      <c r="AF338" s="187"/>
    </row>
    <row r="339">
      <c r="A339" s="187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  <c r="AA339" s="187"/>
      <c r="AB339" s="187"/>
      <c r="AC339" s="187"/>
      <c r="AD339" s="187"/>
      <c r="AE339" s="187"/>
      <c r="AF339" s="187"/>
    </row>
    <row r="340">
      <c r="A340" s="187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  <c r="AA340" s="187"/>
      <c r="AB340" s="187"/>
      <c r="AC340" s="187"/>
      <c r="AD340" s="187"/>
      <c r="AE340" s="187"/>
      <c r="AF340" s="187"/>
    </row>
    <row r="341">
      <c r="A341" s="187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  <c r="AA341" s="187"/>
      <c r="AB341" s="187"/>
      <c r="AC341" s="187"/>
      <c r="AD341" s="187"/>
      <c r="AE341" s="187"/>
      <c r="AF341" s="187"/>
    </row>
    <row r="342">
      <c r="A342" s="187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  <c r="AA342" s="187"/>
      <c r="AB342" s="187"/>
      <c r="AC342" s="187"/>
      <c r="AD342" s="187"/>
      <c r="AE342" s="187"/>
      <c r="AF342" s="187"/>
    </row>
    <row r="343">
      <c r="A343" s="187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  <c r="AA343" s="187"/>
      <c r="AB343" s="187"/>
      <c r="AC343" s="187"/>
      <c r="AD343" s="187"/>
      <c r="AE343" s="187"/>
      <c r="AF343" s="187"/>
    </row>
    <row r="344">
      <c r="A344" s="187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  <c r="AA344" s="187"/>
      <c r="AB344" s="187"/>
      <c r="AC344" s="187"/>
      <c r="AD344" s="187"/>
      <c r="AE344" s="187"/>
      <c r="AF344" s="187"/>
    </row>
    <row r="345">
      <c r="A345" s="187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  <c r="AA345" s="187"/>
      <c r="AB345" s="187"/>
      <c r="AC345" s="187"/>
      <c r="AD345" s="187"/>
      <c r="AE345" s="187"/>
      <c r="AF345" s="187"/>
    </row>
    <row r="346">
      <c r="A346" s="187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  <c r="AA346" s="187"/>
      <c r="AB346" s="187"/>
      <c r="AC346" s="187"/>
      <c r="AD346" s="187"/>
      <c r="AE346" s="187"/>
      <c r="AF346" s="187"/>
    </row>
    <row r="347">
      <c r="A347" s="187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  <c r="AA347" s="187"/>
      <c r="AB347" s="187"/>
      <c r="AC347" s="187"/>
      <c r="AD347" s="187"/>
      <c r="AE347" s="187"/>
      <c r="AF347" s="187"/>
    </row>
    <row r="348">
      <c r="A348" s="187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  <c r="AA348" s="187"/>
      <c r="AB348" s="187"/>
      <c r="AC348" s="187"/>
      <c r="AD348" s="187"/>
      <c r="AE348" s="187"/>
      <c r="AF348" s="187"/>
    </row>
    <row r="349">
      <c r="A349" s="187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  <c r="AA349" s="187"/>
      <c r="AB349" s="187"/>
      <c r="AC349" s="187"/>
      <c r="AD349" s="187"/>
      <c r="AE349" s="187"/>
      <c r="AF349" s="187"/>
    </row>
    <row r="350">
      <c r="A350" s="187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  <c r="AA350" s="187"/>
      <c r="AB350" s="187"/>
      <c r="AC350" s="187"/>
      <c r="AD350" s="187"/>
      <c r="AE350" s="187"/>
      <c r="AF350" s="187"/>
    </row>
    <row r="351">
      <c r="A351" s="187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  <c r="AA351" s="187"/>
      <c r="AB351" s="187"/>
      <c r="AC351" s="187"/>
      <c r="AD351" s="187"/>
      <c r="AE351" s="187"/>
      <c r="AF351" s="187"/>
    </row>
    <row r="352">
      <c r="A352" s="187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  <c r="AA352" s="187"/>
      <c r="AB352" s="187"/>
      <c r="AC352" s="187"/>
      <c r="AD352" s="187"/>
      <c r="AE352" s="187"/>
      <c r="AF352" s="187"/>
    </row>
    <row r="353">
      <c r="A353" s="187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  <c r="AA353" s="187"/>
      <c r="AB353" s="187"/>
      <c r="AC353" s="187"/>
      <c r="AD353" s="187"/>
      <c r="AE353" s="187"/>
      <c r="AF353" s="187"/>
    </row>
    <row r="354">
      <c r="A354" s="187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  <c r="AA354" s="187"/>
      <c r="AB354" s="187"/>
      <c r="AC354" s="187"/>
      <c r="AD354" s="187"/>
      <c r="AE354" s="187"/>
      <c r="AF354" s="187"/>
    </row>
    <row r="355">
      <c r="A355" s="187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  <c r="AA355" s="187"/>
      <c r="AB355" s="187"/>
      <c r="AC355" s="187"/>
      <c r="AD355" s="187"/>
      <c r="AE355" s="187"/>
      <c r="AF355" s="187"/>
    </row>
    <row r="356">
      <c r="A356" s="187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  <c r="AA356" s="187"/>
      <c r="AB356" s="187"/>
      <c r="AC356" s="187"/>
      <c r="AD356" s="187"/>
      <c r="AE356" s="187"/>
      <c r="AF356" s="187"/>
    </row>
    <row r="357">
      <c r="A357" s="187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  <c r="AA357" s="187"/>
      <c r="AB357" s="187"/>
      <c r="AC357" s="187"/>
      <c r="AD357" s="187"/>
      <c r="AE357" s="187"/>
      <c r="AF357" s="187"/>
    </row>
    <row r="358">
      <c r="A358" s="187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  <c r="AA358" s="187"/>
      <c r="AB358" s="187"/>
      <c r="AC358" s="187"/>
      <c r="AD358" s="187"/>
      <c r="AE358" s="187"/>
      <c r="AF358" s="187"/>
    </row>
    <row r="359">
      <c r="A359" s="187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  <c r="AA359" s="187"/>
      <c r="AB359" s="187"/>
      <c r="AC359" s="187"/>
      <c r="AD359" s="187"/>
      <c r="AE359" s="187"/>
      <c r="AF359" s="187"/>
    </row>
    <row r="360">
      <c r="A360" s="187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  <c r="AA360" s="187"/>
      <c r="AB360" s="187"/>
      <c r="AC360" s="187"/>
      <c r="AD360" s="187"/>
      <c r="AE360" s="187"/>
      <c r="AF360" s="187"/>
    </row>
    <row r="361">
      <c r="A361" s="187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  <c r="AA361" s="187"/>
      <c r="AB361" s="187"/>
      <c r="AC361" s="187"/>
      <c r="AD361" s="187"/>
      <c r="AE361" s="187"/>
      <c r="AF361" s="187"/>
    </row>
    <row r="362">
      <c r="A362" s="187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  <c r="AA362" s="187"/>
      <c r="AB362" s="187"/>
      <c r="AC362" s="187"/>
      <c r="AD362" s="187"/>
      <c r="AE362" s="187"/>
      <c r="AF362" s="187"/>
    </row>
    <row r="363">
      <c r="A363" s="187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  <c r="AA363" s="187"/>
      <c r="AB363" s="187"/>
      <c r="AC363" s="187"/>
      <c r="AD363" s="187"/>
      <c r="AE363" s="187"/>
      <c r="AF363" s="187"/>
    </row>
    <row r="364">
      <c r="A364" s="187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  <c r="AA364" s="187"/>
      <c r="AB364" s="187"/>
      <c r="AC364" s="187"/>
      <c r="AD364" s="187"/>
      <c r="AE364" s="187"/>
      <c r="AF364" s="187"/>
    </row>
    <row r="365">
      <c r="A365" s="187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  <c r="AA365" s="187"/>
      <c r="AB365" s="187"/>
      <c r="AC365" s="187"/>
      <c r="AD365" s="187"/>
      <c r="AE365" s="187"/>
      <c r="AF365" s="187"/>
    </row>
    <row r="366">
      <c r="A366" s="187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  <c r="AA366" s="187"/>
      <c r="AB366" s="187"/>
      <c r="AC366" s="187"/>
      <c r="AD366" s="187"/>
      <c r="AE366" s="187"/>
      <c r="AF366" s="187"/>
    </row>
    <row r="367">
      <c r="A367" s="187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  <c r="AA367" s="187"/>
      <c r="AB367" s="187"/>
      <c r="AC367" s="187"/>
      <c r="AD367" s="187"/>
      <c r="AE367" s="187"/>
      <c r="AF367" s="187"/>
    </row>
    <row r="368">
      <c r="A368" s="187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  <c r="AA368" s="187"/>
      <c r="AB368" s="187"/>
      <c r="AC368" s="187"/>
      <c r="AD368" s="187"/>
      <c r="AE368" s="187"/>
      <c r="AF368" s="187"/>
    </row>
    <row r="369">
      <c r="A369" s="187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  <c r="AA369" s="187"/>
      <c r="AB369" s="187"/>
      <c r="AC369" s="187"/>
      <c r="AD369" s="187"/>
      <c r="AE369" s="187"/>
      <c r="AF369" s="187"/>
    </row>
    <row r="370">
      <c r="A370" s="187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  <c r="AA370" s="187"/>
      <c r="AB370" s="187"/>
      <c r="AC370" s="187"/>
      <c r="AD370" s="187"/>
      <c r="AE370" s="187"/>
      <c r="AF370" s="187"/>
    </row>
    <row r="371">
      <c r="A371" s="187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  <c r="AA371" s="187"/>
      <c r="AB371" s="187"/>
      <c r="AC371" s="187"/>
      <c r="AD371" s="187"/>
      <c r="AE371" s="187"/>
      <c r="AF371" s="187"/>
    </row>
    <row r="372">
      <c r="A372" s="187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  <c r="AA372" s="187"/>
      <c r="AB372" s="187"/>
      <c r="AC372" s="187"/>
      <c r="AD372" s="187"/>
      <c r="AE372" s="187"/>
      <c r="AF372" s="187"/>
    </row>
    <row r="373">
      <c r="A373" s="187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  <c r="AA373" s="187"/>
      <c r="AB373" s="187"/>
      <c r="AC373" s="187"/>
      <c r="AD373" s="187"/>
      <c r="AE373" s="187"/>
      <c r="AF373" s="187"/>
    </row>
    <row r="374">
      <c r="A374" s="187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  <c r="AA374" s="187"/>
      <c r="AB374" s="187"/>
      <c r="AC374" s="187"/>
      <c r="AD374" s="187"/>
      <c r="AE374" s="187"/>
      <c r="AF374" s="187"/>
    </row>
    <row r="375">
      <c r="A375" s="187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  <c r="AA375" s="187"/>
      <c r="AB375" s="187"/>
      <c r="AC375" s="187"/>
      <c r="AD375" s="187"/>
      <c r="AE375" s="187"/>
      <c r="AF375" s="187"/>
    </row>
    <row r="376">
      <c r="A376" s="187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  <c r="AA376" s="187"/>
      <c r="AB376" s="187"/>
      <c r="AC376" s="187"/>
      <c r="AD376" s="187"/>
      <c r="AE376" s="187"/>
      <c r="AF376" s="187"/>
    </row>
    <row r="377">
      <c r="A377" s="187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  <c r="AA377" s="187"/>
      <c r="AB377" s="187"/>
      <c r="AC377" s="187"/>
      <c r="AD377" s="187"/>
      <c r="AE377" s="187"/>
      <c r="AF377" s="187"/>
    </row>
    <row r="378">
      <c r="A378" s="187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  <c r="AA378" s="187"/>
      <c r="AB378" s="187"/>
      <c r="AC378" s="187"/>
      <c r="AD378" s="187"/>
      <c r="AE378" s="187"/>
      <c r="AF378" s="187"/>
    </row>
    <row r="379">
      <c r="A379" s="187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  <c r="AA379" s="187"/>
      <c r="AB379" s="187"/>
      <c r="AC379" s="187"/>
      <c r="AD379" s="187"/>
      <c r="AE379" s="187"/>
      <c r="AF379" s="187"/>
    </row>
    <row r="380">
      <c r="A380" s="187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  <c r="AA380" s="187"/>
      <c r="AB380" s="187"/>
      <c r="AC380" s="187"/>
      <c r="AD380" s="187"/>
      <c r="AE380" s="187"/>
      <c r="AF380" s="187"/>
    </row>
    <row r="381">
      <c r="A381" s="187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  <c r="AA381" s="187"/>
      <c r="AB381" s="187"/>
      <c r="AC381" s="187"/>
      <c r="AD381" s="187"/>
      <c r="AE381" s="187"/>
      <c r="AF381" s="187"/>
    </row>
    <row r="382">
      <c r="A382" s="187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  <c r="AA382" s="187"/>
      <c r="AB382" s="187"/>
      <c r="AC382" s="187"/>
      <c r="AD382" s="187"/>
      <c r="AE382" s="187"/>
      <c r="AF382" s="187"/>
    </row>
    <row r="383">
      <c r="A383" s="187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  <c r="AA383" s="187"/>
      <c r="AB383" s="187"/>
      <c r="AC383" s="187"/>
      <c r="AD383" s="187"/>
      <c r="AE383" s="187"/>
      <c r="AF383" s="187"/>
    </row>
    <row r="384">
      <c r="A384" s="187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  <c r="AA384" s="187"/>
      <c r="AB384" s="187"/>
      <c r="AC384" s="187"/>
      <c r="AD384" s="187"/>
      <c r="AE384" s="187"/>
      <c r="AF384" s="187"/>
    </row>
    <row r="385">
      <c r="A385" s="187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  <c r="AA385" s="187"/>
      <c r="AB385" s="187"/>
      <c r="AC385" s="187"/>
      <c r="AD385" s="187"/>
      <c r="AE385" s="187"/>
      <c r="AF385" s="187"/>
    </row>
    <row r="386">
      <c r="A386" s="187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  <c r="AA386" s="187"/>
      <c r="AB386" s="187"/>
      <c r="AC386" s="187"/>
      <c r="AD386" s="187"/>
      <c r="AE386" s="187"/>
      <c r="AF386" s="187"/>
    </row>
    <row r="387">
      <c r="A387" s="187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  <c r="AA387" s="187"/>
      <c r="AB387" s="187"/>
      <c r="AC387" s="187"/>
      <c r="AD387" s="187"/>
      <c r="AE387" s="187"/>
      <c r="AF387" s="187"/>
    </row>
    <row r="388">
      <c r="A388" s="187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  <c r="AA388" s="187"/>
      <c r="AB388" s="187"/>
      <c r="AC388" s="187"/>
      <c r="AD388" s="187"/>
      <c r="AE388" s="187"/>
      <c r="AF388" s="187"/>
    </row>
    <row r="389">
      <c r="A389" s="187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  <c r="AA389" s="187"/>
      <c r="AB389" s="187"/>
      <c r="AC389" s="187"/>
      <c r="AD389" s="187"/>
      <c r="AE389" s="187"/>
      <c r="AF389" s="187"/>
    </row>
    <row r="390">
      <c r="A390" s="187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  <c r="AA390" s="187"/>
      <c r="AB390" s="187"/>
      <c r="AC390" s="187"/>
      <c r="AD390" s="187"/>
      <c r="AE390" s="187"/>
      <c r="AF390" s="187"/>
    </row>
    <row r="391">
      <c r="A391" s="187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  <c r="AA391" s="187"/>
      <c r="AB391" s="187"/>
      <c r="AC391" s="187"/>
      <c r="AD391" s="187"/>
      <c r="AE391" s="187"/>
      <c r="AF391" s="187"/>
    </row>
    <row r="392">
      <c r="A392" s="187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  <c r="AA392" s="187"/>
      <c r="AB392" s="187"/>
      <c r="AC392" s="187"/>
      <c r="AD392" s="187"/>
      <c r="AE392" s="187"/>
      <c r="AF392" s="187"/>
    </row>
    <row r="393">
      <c r="A393" s="187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  <c r="AA393" s="187"/>
      <c r="AB393" s="187"/>
      <c r="AC393" s="187"/>
      <c r="AD393" s="187"/>
      <c r="AE393" s="187"/>
      <c r="AF393" s="187"/>
    </row>
    <row r="394">
      <c r="A394" s="187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  <c r="AA394" s="187"/>
      <c r="AB394" s="187"/>
      <c r="AC394" s="187"/>
      <c r="AD394" s="187"/>
      <c r="AE394" s="187"/>
      <c r="AF394" s="187"/>
    </row>
    <row r="395">
      <c r="A395" s="187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  <c r="AA395" s="187"/>
      <c r="AB395" s="187"/>
      <c r="AC395" s="187"/>
      <c r="AD395" s="187"/>
      <c r="AE395" s="187"/>
      <c r="AF395" s="187"/>
    </row>
    <row r="396">
      <c r="A396" s="187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  <c r="AA396" s="187"/>
      <c r="AB396" s="187"/>
      <c r="AC396" s="187"/>
      <c r="AD396" s="187"/>
      <c r="AE396" s="187"/>
      <c r="AF396" s="187"/>
    </row>
    <row r="397">
      <c r="A397" s="187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  <c r="AA397" s="187"/>
      <c r="AB397" s="187"/>
      <c r="AC397" s="187"/>
      <c r="AD397" s="187"/>
      <c r="AE397" s="187"/>
      <c r="AF397" s="187"/>
    </row>
    <row r="398">
      <c r="A398" s="187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  <c r="AA398" s="187"/>
      <c r="AB398" s="187"/>
      <c r="AC398" s="187"/>
      <c r="AD398" s="187"/>
      <c r="AE398" s="187"/>
      <c r="AF398" s="187"/>
    </row>
    <row r="399">
      <c r="A399" s="187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  <c r="AA399" s="187"/>
      <c r="AB399" s="187"/>
      <c r="AC399" s="187"/>
      <c r="AD399" s="187"/>
      <c r="AE399" s="187"/>
      <c r="AF399" s="187"/>
    </row>
    <row r="400">
      <c r="A400" s="187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  <c r="AA400" s="187"/>
      <c r="AB400" s="187"/>
      <c r="AC400" s="187"/>
      <c r="AD400" s="187"/>
      <c r="AE400" s="187"/>
      <c r="AF400" s="187"/>
    </row>
    <row r="401">
      <c r="A401" s="187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  <c r="AA401" s="187"/>
      <c r="AB401" s="187"/>
      <c r="AC401" s="187"/>
      <c r="AD401" s="187"/>
      <c r="AE401" s="187"/>
      <c r="AF401" s="187"/>
    </row>
    <row r="402">
      <c r="A402" s="187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  <c r="AA402" s="187"/>
      <c r="AB402" s="187"/>
      <c r="AC402" s="187"/>
      <c r="AD402" s="187"/>
      <c r="AE402" s="187"/>
      <c r="AF402" s="187"/>
    </row>
    <row r="403">
      <c r="A403" s="187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  <c r="AA403" s="187"/>
      <c r="AB403" s="187"/>
      <c r="AC403" s="187"/>
      <c r="AD403" s="187"/>
      <c r="AE403" s="187"/>
      <c r="AF403" s="187"/>
    </row>
    <row r="404">
      <c r="A404" s="187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  <c r="AA404" s="187"/>
      <c r="AB404" s="187"/>
      <c r="AC404" s="187"/>
      <c r="AD404" s="187"/>
      <c r="AE404" s="187"/>
      <c r="AF404" s="187"/>
    </row>
    <row r="405">
      <c r="A405" s="187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  <c r="AA405" s="187"/>
      <c r="AB405" s="187"/>
      <c r="AC405" s="187"/>
      <c r="AD405" s="187"/>
      <c r="AE405" s="187"/>
      <c r="AF405" s="187"/>
    </row>
    <row r="406">
      <c r="A406" s="187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  <c r="AA406" s="187"/>
      <c r="AB406" s="187"/>
      <c r="AC406" s="187"/>
      <c r="AD406" s="187"/>
      <c r="AE406" s="187"/>
      <c r="AF406" s="187"/>
    </row>
    <row r="407">
      <c r="A407" s="187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  <c r="AA407" s="187"/>
      <c r="AB407" s="187"/>
      <c r="AC407" s="187"/>
      <c r="AD407" s="187"/>
      <c r="AE407" s="187"/>
      <c r="AF407" s="187"/>
    </row>
    <row r="408">
      <c r="A408" s="187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  <c r="AA408" s="187"/>
      <c r="AB408" s="187"/>
      <c r="AC408" s="187"/>
      <c r="AD408" s="187"/>
      <c r="AE408" s="187"/>
      <c r="AF408" s="187"/>
    </row>
    <row r="409">
      <c r="A409" s="187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  <c r="AA409" s="187"/>
      <c r="AB409" s="187"/>
      <c r="AC409" s="187"/>
      <c r="AD409" s="187"/>
      <c r="AE409" s="187"/>
      <c r="AF409" s="187"/>
    </row>
    <row r="410">
      <c r="A410" s="187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  <c r="AA410" s="187"/>
      <c r="AB410" s="187"/>
      <c r="AC410" s="187"/>
      <c r="AD410" s="187"/>
      <c r="AE410" s="187"/>
      <c r="AF410" s="187"/>
    </row>
    <row r="411">
      <c r="A411" s="187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  <c r="AA411" s="187"/>
      <c r="AB411" s="187"/>
      <c r="AC411" s="187"/>
      <c r="AD411" s="187"/>
      <c r="AE411" s="187"/>
      <c r="AF411" s="187"/>
    </row>
    <row r="412">
      <c r="A412" s="187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O412" s="187"/>
      <c r="P412" s="187"/>
      <c r="Q412" s="187"/>
      <c r="S412" s="187"/>
      <c r="T412" s="187"/>
      <c r="U412" s="187"/>
      <c r="V412" s="187"/>
      <c r="W412" s="187"/>
      <c r="X412" s="187"/>
      <c r="Y412" s="187"/>
      <c r="Z412" s="187"/>
      <c r="AB412" s="187"/>
      <c r="AC412" s="187"/>
      <c r="AD412" s="187"/>
      <c r="AE412" s="187"/>
      <c r="AF412" s="187"/>
    </row>
    <row r="413">
      <c r="A413" s="187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O413" s="187"/>
      <c r="P413" s="187"/>
      <c r="Q413" s="187"/>
      <c r="S413" s="187"/>
      <c r="T413" s="187"/>
      <c r="U413" s="187"/>
      <c r="V413" s="187"/>
      <c r="W413" s="187"/>
      <c r="X413" s="187"/>
      <c r="Y413" s="187"/>
      <c r="Z413" s="187"/>
      <c r="AB413" s="187"/>
      <c r="AC413" s="187"/>
      <c r="AD413" s="187"/>
      <c r="AE413" s="187"/>
      <c r="AF413" s="187"/>
    </row>
    <row r="414">
      <c r="A414" s="187"/>
      <c r="B414" s="187"/>
      <c r="C414" s="189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O414" s="187"/>
      <c r="P414" s="187"/>
      <c r="Q414" s="187"/>
      <c r="S414" s="187"/>
      <c r="T414" s="187"/>
      <c r="U414" s="187"/>
      <c r="V414" s="187"/>
      <c r="W414" s="187"/>
      <c r="X414" s="187"/>
      <c r="Y414" s="187"/>
      <c r="Z414" s="187"/>
      <c r="AB414" s="187"/>
      <c r="AC414" s="187"/>
      <c r="AD414" s="187"/>
      <c r="AE414" s="187"/>
      <c r="AF414" s="187"/>
    </row>
    <row r="415">
      <c r="A415" s="187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O415" s="187"/>
      <c r="P415" s="187"/>
      <c r="Q415" s="187"/>
      <c r="S415" s="187"/>
      <c r="T415" s="187"/>
      <c r="U415" s="187"/>
      <c r="V415" s="187"/>
      <c r="W415" s="187"/>
      <c r="X415" s="187"/>
      <c r="Y415" s="187"/>
      <c r="Z415" s="187"/>
      <c r="AB415" s="187"/>
      <c r="AC415" s="187"/>
      <c r="AD415" s="187"/>
      <c r="AE415" s="187"/>
      <c r="AF415" s="187"/>
    </row>
    <row r="416">
      <c r="A416" s="187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S416" s="187"/>
      <c r="T416" s="187"/>
      <c r="U416" s="187"/>
      <c r="V416" s="187"/>
      <c r="W416" s="187"/>
      <c r="X416" s="187"/>
      <c r="Y416" s="187"/>
      <c r="Z416" s="187"/>
      <c r="AB416" s="187"/>
      <c r="AC416" s="187"/>
      <c r="AD416" s="187"/>
      <c r="AE416" s="187"/>
      <c r="AF416" s="187"/>
    </row>
    <row r="417">
      <c r="A417" s="187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O417" s="187"/>
      <c r="P417" s="187"/>
      <c r="Q417" s="187"/>
      <c r="S417" s="187"/>
      <c r="T417" s="187"/>
      <c r="U417" s="187"/>
      <c r="V417" s="187"/>
      <c r="W417" s="187"/>
      <c r="X417" s="187"/>
      <c r="Y417" s="187"/>
      <c r="Z417" s="187"/>
      <c r="AB417" s="187"/>
      <c r="AC417" s="187"/>
      <c r="AD417" s="187"/>
      <c r="AE417" s="187"/>
      <c r="AF417" s="187"/>
    </row>
    <row r="418">
      <c r="A418" s="187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  <c r="AA418" s="187"/>
      <c r="AB418" s="187"/>
      <c r="AC418" s="187"/>
      <c r="AD418" s="187"/>
      <c r="AE418" s="187"/>
      <c r="AF418" s="187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0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0">
        <f>IFERROR(__xludf.DUMMYFUNCTION("IMPORTRANGE(""1TpIiNTfR1pnpn85VWQTTdvQ2Xcr0GStmWJ2UvfKxG_A"", ""Mzdy!ac1:ad200"")"),30.0)</f>
        <v>30</v>
      </c>
      <c r="W1" s="191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1603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1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1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2" t="s">
        <v>1604</v>
      </c>
      <c r="B4" s="192" t="s">
        <v>1605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1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3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1">
        <f>IFERROR(__xludf.DUMMYFUNCTION("""COMPUTED_VALUE"""),432.3078)</f>
        <v>432.3078</v>
      </c>
      <c r="W5" s="191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3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1">
        <f>IFERROR(__xludf.DUMMYFUNCTION("""COMPUTED_VALUE"""),432.3078)</f>
        <v>432.3078</v>
      </c>
      <c r="W6" s="191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3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1">
        <f>IFERROR(__xludf.DUMMYFUNCTION("""COMPUTED_VALUE"""),341.19)</f>
        <v>341.19</v>
      </c>
      <c r="W7" s="191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3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IFERROR(__xludf.DUMMYFUNCTION("""COMPUTED_VALUE"""),"Chodov")</f>
        <v>Chodov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1">
        <f>IFERROR(__xludf.DUMMYFUNCTION("""COMPUTED_VALUE"""),432.3078)</f>
        <v>432.3078</v>
      </c>
      <c r="W8" s="191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3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1">
        <f>IFERROR(__xludf.DUMMYFUNCTION("""COMPUTED_VALUE"""),341.19)</f>
        <v>341.19</v>
      </c>
      <c r="W9" s="191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3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1">
        <f>IFERROR(__xludf.DUMMYFUNCTION("""COMPUTED_VALUE"""),432.3078)</f>
        <v>432.3078</v>
      </c>
      <c r="W10" s="191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3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1">
        <f>IFERROR(__xludf.DUMMYFUNCTION("""COMPUTED_VALUE"""),295.698)</f>
        <v>295.698</v>
      </c>
      <c r="W11" s="191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3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1">
        <f>IFERROR(__xludf.DUMMYFUNCTION("""COMPUTED_VALUE"""),0.0)</f>
        <v>0</v>
      </c>
      <c r="W12" s="191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3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1">
        <f>IFERROR(__xludf.DUMMYFUNCTION("""COMPUTED_VALUE"""),341.19)</f>
        <v>341.19</v>
      </c>
      <c r="W13" s="191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3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1">
        <f>IFERROR(__xludf.DUMMYFUNCTION("""COMPUTED_VALUE"""),250.20600000000002)</f>
        <v>250.206</v>
      </c>
      <c r="W14" s="191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3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1">
        <f>IFERROR(__xludf.DUMMYFUNCTION("""COMPUTED_VALUE"""),341.19)</f>
        <v>341.19</v>
      </c>
      <c r="W15" s="191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3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1">
        <f>IFERROR(__xludf.DUMMYFUNCTION("""COMPUTED_VALUE"""),341.19)</f>
        <v>341.19</v>
      </c>
      <c r="W16" s="191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3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1">
        <f>IFERROR(__xludf.DUMMYFUNCTION("""COMPUTED_VALUE"""),267.6)</f>
        <v>267.6</v>
      </c>
      <c r="W17" s="191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3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1">
        <f>IFERROR(__xludf.DUMMYFUNCTION("""COMPUTED_VALUE"""),286.332)</f>
        <v>286.332</v>
      </c>
      <c r="W18" s="191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3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1">
        <f>IFERROR(__xludf.DUMMYFUNCTION("""COMPUTED_VALUE"""),341.19)</f>
        <v>341.19</v>
      </c>
      <c r="W19" s="191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3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1">
        <f>IFERROR(__xludf.DUMMYFUNCTION("""COMPUTED_VALUE"""),267.6)</f>
        <v>267.6</v>
      </c>
      <c r="W20" s="191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3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1">
        <f>IFERROR(__xludf.DUMMYFUNCTION("""COMPUTED_VALUE"""),432.3078)</f>
        <v>432.3078</v>
      </c>
      <c r="W21" s="191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3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1">
        <f>IFERROR(__xludf.DUMMYFUNCTION("""COMPUTED_VALUE"""),432.3078)</f>
        <v>432.3078</v>
      </c>
      <c r="W22" s="191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3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1">
        <f>IFERROR(__xludf.DUMMYFUNCTION("""COMPUTED_VALUE"""),250.20600000000002)</f>
        <v>250.206</v>
      </c>
      <c r="W23" s="191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3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1">
        <f>IFERROR(__xludf.DUMMYFUNCTION("""COMPUTED_VALUE"""),267.6)</f>
        <v>267.6</v>
      </c>
      <c r="W24" s="191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3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1">
        <f>IFERROR(__xludf.DUMMYFUNCTION("""COMPUTED_VALUE"""),231.474)</f>
        <v>231.474</v>
      </c>
      <c r="W25" s="191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3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 t="str">
        <f>IFERROR(__xludf.DUMMYFUNCTION("""COMPUTED_VALUE"""),"Bušek Pavel")</f>
        <v>Bušek Pavel</v>
      </c>
      <c r="E26" s="6" t="str">
        <f>IFERROR(__xludf.DUMMYFUNCTION("""COMPUTED_VALUE"""),"Prosek")</f>
        <v>Prosek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1">
        <f>IFERROR(__xludf.DUMMYFUNCTION("""COMPUTED_VALUE"""),250.20600000000002)</f>
        <v>250.206</v>
      </c>
      <c r="W26" s="191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3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1">
        <f>IFERROR(__xludf.DUMMYFUNCTION("""COMPUTED_VALUE"""),286.332)</f>
        <v>286.332</v>
      </c>
      <c r="W27" s="191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3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IFERROR(__xludf.DUMMYFUNCTION("""COMPUTED_VALUE"""),"Chodov")</f>
        <v>Chodov</v>
      </c>
      <c r="F28" s="6" t="str">
        <f>IFERROR(__xludf.DUMMYFUNCTION("""COMPUTED_VALUE"""),"Malešice")</f>
        <v>Malešice</v>
      </c>
      <c r="G28" s="6" t="str">
        <f>IFERROR(__xludf.DUMMYFUNCTION("""COMPUTED_VALUE"""),"Zličín")</f>
        <v>Zličín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1">
        <f>IFERROR(__xludf.DUMMYFUNCTION("""COMPUTED_VALUE"""),267.6)</f>
        <v>267.6</v>
      </c>
      <c r="W28" s="191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3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1">
        <f>IFERROR(__xludf.DUMMYFUNCTION("""COMPUTED_VALUE"""),250.20600000000002)</f>
        <v>250.206</v>
      </c>
      <c r="W29" s="191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3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1">
        <f>IFERROR(__xludf.DUMMYFUNCTION("""COMPUTED_VALUE"""),250.20600000000002)</f>
        <v>250.206</v>
      </c>
      <c r="W30" s="191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3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1">
        <f>IFERROR(__xludf.DUMMYFUNCTION("""COMPUTED_VALUE"""),231.474)</f>
        <v>231.474</v>
      </c>
      <c r="W31" s="191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3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1">
        <f>IFERROR(__xludf.DUMMYFUNCTION("""COMPUTED_VALUE"""),267.6)</f>
        <v>267.6</v>
      </c>
      <c r="W32" s="191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3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1">
        <f>IFERROR(__xludf.DUMMYFUNCTION("""COMPUTED_VALUE"""),214.08)</f>
        <v>214.08</v>
      </c>
      <c r="W33" s="191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3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1">
        <f>IFERROR(__xludf.DUMMYFUNCTION("""COMPUTED_VALUE"""),231.474)</f>
        <v>231.474</v>
      </c>
      <c r="W34" s="191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3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1">
        <f>IFERROR(__xludf.DUMMYFUNCTION("""COMPUTED_VALUE"""),250.20600000000002)</f>
        <v>250.206</v>
      </c>
      <c r="W35" s="191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3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1">
        <f>IFERROR(__xludf.DUMMYFUNCTION("""COMPUTED_VALUE"""),250.20600000000002)</f>
        <v>250.206</v>
      </c>
      <c r="W36" s="191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3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1">
        <f>IFERROR(__xludf.DUMMYFUNCTION("""COMPUTED_VALUE"""),250.20600000000002)</f>
        <v>250.206</v>
      </c>
      <c r="W37" s="191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3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1">
        <f>IFERROR(__xludf.DUMMYFUNCTION("""COMPUTED_VALUE"""),250.20600000000002)</f>
        <v>250.206</v>
      </c>
      <c r="W38" s="191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3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1">
        <f>IFERROR(__xludf.DUMMYFUNCTION("""COMPUTED_VALUE"""),250.20600000000002)</f>
        <v>250.206</v>
      </c>
      <c r="W39" s="191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3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1">
        <f>IFERROR(__xludf.DUMMYFUNCTION("""COMPUTED_VALUE"""),250.20600000000002)</f>
        <v>250.206</v>
      </c>
      <c r="W40" s="191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3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1">
        <f>IFERROR(__xludf.DUMMYFUNCTION("""COMPUTED_VALUE"""),250.20600000000002)</f>
        <v>250.206</v>
      </c>
      <c r="W41" s="191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3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 t="str">
        <f>IFERROR(__xludf.DUMMYFUNCTION("""COMPUTED_VALUE"""),"Kuzníková Nicol")</f>
        <v>Kuzníková Nicol</v>
      </c>
      <c r="E42" s="6" t="str">
        <f>IFERROR(__xludf.DUMMYFUNCTION("""COMPUTED_VALUE"""),"Zličín")</f>
        <v>Zličín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1">
        <f>IFERROR(__xludf.DUMMYFUNCTION("""COMPUTED_VALUE"""),250.20600000000002)</f>
        <v>250.206</v>
      </c>
      <c r="W42" s="191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3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1">
        <f>IFERROR(__xludf.DUMMYFUNCTION("""COMPUTED_VALUE"""),0.0)</f>
        <v>0</v>
      </c>
      <c r="W43" s="191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4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1">
        <f>IFERROR(__xludf.DUMMYFUNCTION("""COMPUTED_VALUE"""),0.0)</f>
        <v>0</v>
      </c>
      <c r="W44" s="191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4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1">
        <f>IFERROR(__xludf.DUMMYFUNCTION("""COMPUTED_VALUE"""),0.0)</f>
        <v>0</v>
      </c>
      <c r="W45" s="191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4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1">
        <f>IFERROR(__xludf.DUMMYFUNCTION("""COMPUTED_VALUE"""),0.0)</f>
        <v>0</v>
      </c>
      <c r="W46" s="191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4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1">
        <f>IFERROR(__xludf.DUMMYFUNCTION("""COMPUTED_VALUE"""),0.0)</f>
        <v>0</v>
      </c>
      <c r="W47" s="191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4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1">
        <f>IFERROR(__xludf.DUMMYFUNCTION("""COMPUTED_VALUE"""),0.0)</f>
        <v>0</v>
      </c>
      <c r="W48" s="191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4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1">
        <f>IFERROR(__xludf.DUMMYFUNCTION("""COMPUTED_VALUE"""),0.0)</f>
        <v>0</v>
      </c>
      <c r="W49" s="191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4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1">
        <f>IFERROR(__xludf.DUMMYFUNCTION("""COMPUTED_VALUE"""),0.0)</f>
        <v>0</v>
      </c>
      <c r="W50" s="191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4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1">
        <f>IFERROR(__xludf.DUMMYFUNCTION("""COMPUTED_VALUE"""),0.0)</f>
        <v>0</v>
      </c>
      <c r="W51" s="191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4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1">
        <f>IFERROR(__xludf.DUMMYFUNCTION("""COMPUTED_VALUE"""),0.0)</f>
        <v>0</v>
      </c>
      <c r="W52" s="191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4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1">
        <f>IFERROR(__xludf.DUMMYFUNCTION("""COMPUTED_VALUE"""),0.0)</f>
        <v>0</v>
      </c>
      <c r="W53" s="191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4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1">
        <f>IFERROR(__xludf.DUMMYFUNCTION("""COMPUTED_VALUE"""),0.0)</f>
        <v>0</v>
      </c>
      <c r="W54" s="191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4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1">
        <f>IFERROR(__xludf.DUMMYFUNCTION("""COMPUTED_VALUE"""),0.0)</f>
        <v>0</v>
      </c>
      <c r="W55" s="191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4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1">
        <f>IFERROR(__xludf.DUMMYFUNCTION("""COMPUTED_VALUE"""),250.20600000000002)</f>
        <v>250.206</v>
      </c>
      <c r="W56" s="191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4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1">
        <f>IFERROR(__xludf.DUMMYFUNCTION("""COMPUTED_VALUE"""),0.0)</f>
        <v>0</v>
      </c>
      <c r="W57" s="191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4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1">
        <f>IFERROR(__xludf.DUMMYFUNCTION("""COMPUTED_VALUE"""),0.0)</f>
        <v>0</v>
      </c>
      <c r="W58" s="191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4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1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4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1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3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1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3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1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3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1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3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1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3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1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3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1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3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1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3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1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3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1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3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1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3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1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3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1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3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1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3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1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3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1">
        <f>IFERROR(__xludf.DUMMYFUNCTION("""COMPUTED_VALUE"""),150.0)</f>
        <v>150</v>
      </c>
      <c r="W75" s="191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3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1">
        <f>IFERROR(__xludf.DUMMYFUNCTION("""COMPUTED_VALUE"""),267.6)</f>
        <v>267.6</v>
      </c>
      <c r="W76" s="191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3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1">
        <f>IFERROR(__xludf.DUMMYFUNCTION("""COMPUTED_VALUE"""),231.474)</f>
        <v>231.474</v>
      </c>
      <c r="W77" s="191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3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1">
        <f>IFERROR(__xludf.DUMMYFUNCTION("""COMPUTED_VALUE"""),267.6)</f>
        <v>267.6</v>
      </c>
      <c r="W78" s="191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3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1">
        <f>IFERROR(__xludf.DUMMYFUNCTION("""COMPUTED_VALUE"""),231.474)</f>
        <v>231.474</v>
      </c>
      <c r="W79" s="191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3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1">
        <f>IFERROR(__xludf.DUMMYFUNCTION("""COMPUTED_VALUE"""),250.20600000000002)</f>
        <v>250.206</v>
      </c>
      <c r="W80" s="191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3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1">
        <f>IFERROR(__xludf.DUMMYFUNCTION("""COMPUTED_VALUE"""),214.08)</f>
        <v>214.08</v>
      </c>
      <c r="W81" s="191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3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1">
        <f>IFERROR(__xludf.DUMMYFUNCTION("""COMPUTED_VALUE"""),231.474)</f>
        <v>231.474</v>
      </c>
      <c r="W82" s="191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3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1">
        <f>IFERROR(__xludf.DUMMYFUNCTION("""COMPUTED_VALUE"""),231.474)</f>
        <v>231.474</v>
      </c>
      <c r="W83" s="191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3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1">
        <f>IFERROR(__xludf.DUMMYFUNCTION("""COMPUTED_VALUE"""),250.20600000000002)</f>
        <v>250.206</v>
      </c>
      <c r="W84" s="191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3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1">
        <f>IFERROR(__xludf.DUMMYFUNCTION("""COMPUTED_VALUE"""),150.0)</f>
        <v>150</v>
      </c>
      <c r="W85" s="191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3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1">
        <f>IFERROR(__xludf.DUMMYFUNCTION("""COMPUTED_VALUE"""),250.20600000000002)</f>
        <v>250.206</v>
      </c>
      <c r="W86" s="191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3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1">
        <f>IFERROR(__xludf.DUMMYFUNCTION("""COMPUTED_VALUE"""),231.474)</f>
        <v>231.474</v>
      </c>
      <c r="W87" s="191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3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1">
        <f>IFERROR(__xludf.DUMMYFUNCTION("""COMPUTED_VALUE"""),250.20600000000002)</f>
        <v>250.206</v>
      </c>
      <c r="W88" s="191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3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1">
        <f>IFERROR(__xludf.DUMMYFUNCTION("""COMPUTED_VALUE"""),170.0)</f>
        <v>170</v>
      </c>
      <c r="W89" s="191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3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1">
        <f>IFERROR(__xludf.DUMMYFUNCTION("""COMPUTED_VALUE"""),160.0)</f>
        <v>160</v>
      </c>
      <c r="W90" s="191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3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 t="str">
        <f>IFERROR(__xludf.DUMMYFUNCTION("""COMPUTED_VALUE"""),"Čermák Jakub")</f>
        <v>Čermák Jakub</v>
      </c>
      <c r="E91" s="6" t="str">
        <f>IFERROR(__xludf.DUMMYFUNCTION("""COMPUTED_VALUE"""),"Chodov")</f>
        <v>Chodov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1">
        <f>IFERROR(__xludf.DUMMYFUNCTION("""COMPUTED_VALUE"""),231.474)</f>
        <v>231.474</v>
      </c>
      <c r="W91" s="191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3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 t="str">
        <f>IFERROR(__xludf.DUMMYFUNCTION("""COMPUTED_VALUE"""),"Killiakov Andrei")</f>
        <v>Killiakov Andrei</v>
      </c>
      <c r="E92" s="6" t="str">
        <f>IFERROR(__xludf.DUMMYFUNCTION("""COMPUTED_VALUE"""),"Zličín")</f>
        <v>Zličín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1">
        <f>IFERROR(__xludf.DUMMYFUNCTION("""COMPUTED_VALUE"""),231.474)</f>
        <v>231.474</v>
      </c>
      <c r="W92" s="191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3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1">
        <f>IFERROR(__xludf.DUMMYFUNCTION("""COMPUTED_VALUE"""),250.20600000000002)</f>
        <v>250.206</v>
      </c>
      <c r="W93" s="191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3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1">
        <f>IFERROR(__xludf.DUMMYFUNCTION("""COMPUTED_VALUE"""),250.20600000000002)</f>
        <v>250.206</v>
      </c>
      <c r="W94" s="191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3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 t="str">
        <f>IFERROR(__xludf.DUMMYFUNCTION("""COMPUTED_VALUE"""),"Dvořák Radim")</f>
        <v>Dvořák Radim</v>
      </c>
      <c r="E95" s="6" t="str">
        <f>IFERROR(__xludf.DUMMYFUNCTION("""COMPUTED_VALUE"""),"Prosek")</f>
        <v>Prosek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1">
        <f>IFERROR(__xludf.DUMMYFUNCTION("""COMPUTED_VALUE"""),250.20600000000002)</f>
        <v>250.206</v>
      </c>
      <c r="W95" s="191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3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1">
        <f>IFERROR(__xludf.DUMMYFUNCTION("""COMPUTED_VALUE"""),389.6925)</f>
        <v>389.6925</v>
      </c>
      <c r="W96" s="191">
        <f>IFERROR(__xludf.DUMMYFUNCTION("""COMPUTED_VALUE"""),2597.95)</f>
        <v>2597.95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3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1">
        <f>IFERROR(__xludf.DUMMYFUNCTION("""COMPUTED_VALUE"""),250.20600000000002)</f>
        <v>250.206</v>
      </c>
      <c r="W97" s="191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3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1">
        <f>IFERROR(__xludf.DUMMYFUNCTION("""COMPUTED_VALUE"""),214.08)</f>
        <v>214.08</v>
      </c>
      <c r="W98" s="191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3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1">
        <f>IFERROR(__xludf.DUMMYFUNCTION("""COMPUTED_VALUE"""),214.08)</f>
        <v>214.08</v>
      </c>
      <c r="W99" s="191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3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1">
        <f>IFERROR(__xludf.DUMMYFUNCTION("""COMPUTED_VALUE"""),231.474)</f>
        <v>231.474</v>
      </c>
      <c r="W100" s="191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3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1">
        <f>IFERROR(__xludf.DUMMYFUNCTION("""COMPUTED_VALUE"""),231.474)</f>
        <v>231.474</v>
      </c>
      <c r="W101" s="191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3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 t="str">
        <f>IFERROR(__xludf.DUMMYFUNCTION("""COMPUTED_VALUE"""),"Kináč Jozef")</f>
        <v>Kináč Jozef</v>
      </c>
      <c r="E102" s="6" t="str">
        <f>IFERROR(__xludf.DUMMYFUNCTION("""COMPUTED_VALUE"""),"Prosek")</f>
        <v>Prosek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1">
        <f>IFERROR(__xludf.DUMMYFUNCTION("""COMPUTED_VALUE"""),231.474)</f>
        <v>231.474</v>
      </c>
      <c r="W102" s="191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3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 t="str">
        <f>IFERROR(__xludf.DUMMYFUNCTION("""COMPUTED_VALUE"""),"Bednařík Peter")</f>
        <v>Bednařík Peter</v>
      </c>
      <c r="E103" s="6" t="str">
        <f>IFERROR(__xludf.DUMMYFUNCTION("""COMPUTED_VALUE"""),"Prosek")</f>
        <v>Prosek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1">
        <f>IFERROR(__xludf.DUMMYFUNCTION("""COMPUTED_VALUE"""),231.474)</f>
        <v>231.474</v>
      </c>
      <c r="W103" s="191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3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1">
        <f>IFERROR(__xludf.DUMMYFUNCTION("""COMPUTED_VALUE"""),231.474)</f>
        <v>231.474</v>
      </c>
      <c r="W104" s="191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3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1">
        <f>IFERROR(__xludf.DUMMYFUNCTION("""COMPUTED_VALUE"""),231.474)</f>
        <v>231.474</v>
      </c>
      <c r="W105" s="191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3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 t="str">
        <f>IFERROR(__xludf.DUMMYFUNCTION("""COMPUTED_VALUE"""),"Čonka Ludovít")</f>
        <v>Čonka Ludovít</v>
      </c>
      <c r="E106" s="6" t="str">
        <f>IFERROR(__xludf.DUMMYFUNCTION("""COMPUTED_VALUE"""),"Prosek")</f>
        <v>Prosek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1">
        <f>IFERROR(__xludf.DUMMYFUNCTION("""COMPUTED_VALUE"""),231.474)</f>
        <v>231.474</v>
      </c>
      <c r="W106" s="191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3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1">
        <f>IFERROR(__xludf.DUMMYFUNCTION("""COMPUTED_VALUE"""),140.0)</f>
        <v>140</v>
      </c>
      <c r="W107" s="191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3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1">
        <f>IFERROR(__xludf.DUMMYFUNCTION("""COMPUTED_VALUE"""),250.20600000000002)</f>
        <v>250.206</v>
      </c>
      <c r="W108" s="191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3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1">
        <f>IFERROR(__xludf.DUMMYFUNCTION("""COMPUTED_VALUE"""),231.474)</f>
        <v>231.474</v>
      </c>
      <c r="W109" s="191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3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1">
        <f>IFERROR(__xludf.DUMMYFUNCTION("""COMPUTED_VALUE"""),231.474)</f>
        <v>231.474</v>
      </c>
      <c r="W110" s="191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3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1">
        <f>IFERROR(__xludf.DUMMYFUNCTION("""COMPUTED_VALUE"""),231.474)</f>
        <v>231.474</v>
      </c>
      <c r="W111" s="191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3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1">
        <f>IFERROR(__xludf.DUMMYFUNCTION("""COMPUTED_VALUE"""),214.08)</f>
        <v>214.08</v>
      </c>
      <c r="W112" s="191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3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1">
        <f>IFERROR(__xludf.DUMMYFUNCTION("""COMPUTED_VALUE"""),214.08)</f>
        <v>214.08</v>
      </c>
      <c r="W113" s="191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3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1">
        <f>IFERROR(__xludf.DUMMYFUNCTION("""COMPUTED_VALUE"""),214.08)</f>
        <v>214.08</v>
      </c>
      <c r="W114" s="191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3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1">
        <f>IFERROR(__xludf.DUMMYFUNCTION("""COMPUTED_VALUE"""),231.474)</f>
        <v>231.474</v>
      </c>
      <c r="W115" s="191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3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1">
        <f>IFERROR(__xludf.DUMMYFUNCTION("""COMPUTED_VALUE"""),231.474)</f>
        <v>231.474</v>
      </c>
      <c r="W116" s="191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3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1">
        <f>IFERROR(__xludf.DUMMYFUNCTION("""COMPUTED_VALUE"""),250.20600000000002)</f>
        <v>250.206</v>
      </c>
      <c r="W117" s="191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3" t="str">
        <f>IF(OR(E118=Report!$B$1, F118=Report!$B$1, G118=Report!$B$1, H118=Report!$B$1), D118, "")</f>
        <v>Novák Dalibor</v>
      </c>
      <c r="C118" s="6" t="b">
        <f>IFERROR(__xludf.DUMMYFUNCTION("""COMPUTED_VALUE"""),FALSE)</f>
        <v>0</v>
      </c>
      <c r="D118" s="6" t="str">
        <f>IFERROR(__xludf.DUMMYFUNCTION("""COMPUTED_VALUE"""),"Novák Dalibor")</f>
        <v>Novák Dalibor</v>
      </c>
      <c r="E118" s="6" t="str">
        <f>IFERROR(__xludf.DUMMYFUNCTION("""COMPUTED_VALUE"""),"Libuš")</f>
        <v>Libuš</v>
      </c>
      <c r="F118" s="6" t="str">
        <f>IFERROR(__xludf.DUMMYFUNCTION("""COMPUTED_VALUE"""),"Prosek")</f>
        <v>Prosek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1">
        <f>IFERROR(__xludf.DUMMYFUNCTION("""COMPUTED_VALUE"""),250.20600000000002)</f>
        <v>250.206</v>
      </c>
      <c r="W118" s="191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3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1">
        <f>IFERROR(__xludf.DUMMYFUNCTION("""COMPUTED_VALUE"""),214.08)</f>
        <v>214.08</v>
      </c>
      <c r="W119" s="191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3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1">
        <f>IFERROR(__xludf.DUMMYFUNCTION("""COMPUTED_VALUE"""),214.08)</f>
        <v>214.08</v>
      </c>
      <c r="W120" s="191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3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 t="str">
        <f>IFERROR(__xludf.DUMMYFUNCTION("""COMPUTED_VALUE"""),"Přibyl Jan")</f>
        <v>Přibyl Jan</v>
      </c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1">
        <f>IFERROR(__xludf.DUMMYFUNCTION("""COMPUTED_VALUE"""),231.474)</f>
        <v>231.474</v>
      </c>
      <c r="W121" s="191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3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1">
        <f>IFERROR(__xludf.DUMMYFUNCTION("""COMPUTED_VALUE"""),49506.0)</f>
        <v>49506</v>
      </c>
      <c r="W122" s="191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3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 t="str">
        <f>IFERROR(__xludf.DUMMYFUNCTION("""COMPUTED_VALUE"""),"Hrach Michal")</f>
        <v>Hrach Michal</v>
      </c>
      <c r="E123" s="6" t="str">
        <f>IFERROR(__xludf.DUMMYFUNCTION("""COMPUTED_VALUE"""),"Chodov")</f>
        <v>Chodov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1">
        <f>IFERROR(__xludf.DUMMYFUNCTION("""COMPUTED_VALUE"""),231.474)</f>
        <v>231.474</v>
      </c>
      <c r="W123" s="191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3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 t="str">
        <f>IFERROR(__xludf.DUMMYFUNCTION("""COMPUTED_VALUE"""),"Kvapil Filip Leon")</f>
        <v>Kvapil Filip Leon</v>
      </c>
      <c r="E124" s="6" t="str">
        <f>IFERROR(__xludf.DUMMYFUNCTION("""COMPUTED_VALUE"""),"Zličín")</f>
        <v>Zličín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1">
        <f>IFERROR(__xludf.DUMMYFUNCTION("""COMPUTED_VALUE"""),231.474)</f>
        <v>231.474</v>
      </c>
      <c r="W124" s="191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3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1">
        <f>IFERROR(__xludf.DUMMYFUNCTION("""COMPUTED_VALUE"""),231.474)</f>
        <v>231.474</v>
      </c>
      <c r="W125" s="191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3" t="str">
        <f>IF(OR(E126=Report!$B$1, F126=Report!$B$1, G126=Report!$B$1, H126=Report!$B$1), D126, "")</f>
        <v/>
      </c>
      <c r="C126" s="6" t="b">
        <f>IFERROR(__xludf.DUMMYFUNCTION("""COMPUTED_VALUE"""),FALSE)</f>
        <v>0</v>
      </c>
      <c r="D126" s="6" t="str">
        <f>IFERROR(__xludf.DUMMYFUNCTION("""COMPUTED_VALUE"""),"Irena Kovacsova")</f>
        <v>Irena Kovacsova</v>
      </c>
      <c r="E126" s="6" t="str">
        <f>IFERROR(__xludf.DUMMYFUNCTION("""COMPUTED_VALUE"""),"Bolevec")</f>
        <v>Bolevec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1">
        <f>IFERROR(__xludf.DUMMYFUNCTION("""COMPUTED_VALUE"""),224.784)</f>
        <v>224.784</v>
      </c>
      <c r="W126" s="191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3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1">
        <f>IFERROR(__xludf.DUMMYFUNCTION("""COMPUTED_VALUE"""),0.0)</f>
        <v>0</v>
      </c>
      <c r="W127" s="191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3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1">
        <f>IFERROR(__xludf.DUMMYFUNCTION("""COMPUTED_VALUE"""),0.0)</f>
        <v>0</v>
      </c>
      <c r="W128" s="191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3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1">
        <f>IFERROR(__xludf.DUMMYFUNCTION("""COMPUTED_VALUE"""),0.0)</f>
        <v>0</v>
      </c>
      <c r="W129" s="191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3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1">
        <f>IFERROR(__xludf.DUMMYFUNCTION("""COMPUTED_VALUE"""),0.0)</f>
        <v>0</v>
      </c>
      <c r="W130" s="191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3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1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3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1">
        <f>IFERROR(__xludf.DUMMYFUNCTION("""COMPUTED_VALUE"""),0.0)</f>
        <v>0</v>
      </c>
      <c r="W132" s="191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3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1">
        <f>IFERROR(__xludf.DUMMYFUNCTION("""COMPUTED_VALUE"""),0.0)</f>
        <v>0</v>
      </c>
      <c r="W133" s="191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3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1">
        <f>IFERROR(__xludf.DUMMYFUNCTION("""COMPUTED_VALUE"""),0.0)</f>
        <v>0</v>
      </c>
      <c r="W134" s="191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3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1">
        <f>IFERROR(__xludf.DUMMYFUNCTION("""COMPUTED_VALUE"""),0.0)</f>
        <v>0</v>
      </c>
      <c r="W135" s="191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3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1">
        <f>IFERROR(__xludf.DUMMYFUNCTION("""COMPUTED_VALUE"""),0.0)</f>
        <v>0</v>
      </c>
      <c r="W136" s="191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3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1">
        <f>IFERROR(__xludf.DUMMYFUNCTION("""COMPUTED_VALUE"""),0.0)</f>
        <v>0</v>
      </c>
      <c r="W137" s="191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3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1">
        <f>IFERROR(__xludf.DUMMYFUNCTION("""COMPUTED_VALUE"""),0.0)</f>
        <v>0</v>
      </c>
      <c r="W138" s="191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3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1">
        <f>IFERROR(__xludf.DUMMYFUNCTION("""COMPUTED_VALUE"""),0.0)</f>
        <v>0</v>
      </c>
      <c r="W139" s="191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3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1">
        <f>IFERROR(__xludf.DUMMYFUNCTION("""COMPUTED_VALUE"""),0.0)</f>
        <v>0</v>
      </c>
      <c r="W140" s="191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3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1">
        <f>IFERROR(__xludf.DUMMYFUNCTION("""COMPUTED_VALUE"""),0.0)</f>
        <v>0</v>
      </c>
      <c r="W141" s="191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3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1">
        <f>IFERROR(__xludf.DUMMYFUNCTION("""COMPUTED_VALUE"""),0.0)</f>
        <v>0</v>
      </c>
      <c r="W142" s="191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3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1">
        <f>IFERROR(__xludf.DUMMYFUNCTION("""COMPUTED_VALUE"""),0.0)</f>
        <v>0</v>
      </c>
      <c r="W143" s="191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3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1">
        <f>IFERROR(__xludf.DUMMYFUNCTION("""COMPUTED_VALUE"""),0.0)</f>
        <v>0</v>
      </c>
      <c r="W144" s="191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3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1">
        <f>IFERROR(__xludf.DUMMYFUNCTION("""COMPUTED_VALUE"""),0.0)</f>
        <v>0</v>
      </c>
      <c r="W145" s="191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3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1">
        <f>IFERROR(__xludf.DUMMYFUNCTION("""COMPUTED_VALUE"""),0.0)</f>
        <v>0</v>
      </c>
      <c r="W146" s="191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3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1">
        <f>IFERROR(__xludf.DUMMYFUNCTION("""COMPUTED_VALUE"""),0.0)</f>
        <v>0</v>
      </c>
      <c r="W147" s="191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3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1">
        <f>IFERROR(__xludf.DUMMYFUNCTION("""COMPUTED_VALUE"""),0.0)</f>
        <v>0</v>
      </c>
      <c r="W148" s="191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3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1">
        <f>IFERROR(__xludf.DUMMYFUNCTION("""COMPUTED_VALUE"""),0.0)</f>
        <v>0</v>
      </c>
      <c r="W149" s="191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3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1">
        <f>IFERROR(__xludf.DUMMYFUNCTION("""COMPUTED_VALUE"""),0.0)</f>
        <v>0</v>
      </c>
      <c r="W150" s="191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3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1">
        <f>IFERROR(__xludf.DUMMYFUNCTION("""COMPUTED_VALUE"""),100.0)</f>
        <v>100</v>
      </c>
      <c r="W151" s="191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3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1">
        <f>IFERROR(__xludf.DUMMYFUNCTION("""COMPUTED_VALUE"""),100.0)</f>
        <v>100</v>
      </c>
      <c r="W152" s="191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3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1">
        <f>IFERROR(__xludf.DUMMYFUNCTION("""COMPUTED_VALUE"""),100.0)</f>
        <v>100</v>
      </c>
      <c r="W153" s="191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3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1">
        <f>IFERROR(__xludf.DUMMYFUNCTION("""COMPUTED_VALUE"""),100.0)</f>
        <v>100</v>
      </c>
      <c r="W154" s="191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3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1">
        <f>IFERROR(__xludf.DUMMYFUNCTION("""COMPUTED_VALUE"""),100.0)</f>
        <v>100</v>
      </c>
      <c r="W155" s="191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3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1">
        <f>IFERROR(__xludf.DUMMYFUNCTION("""COMPUTED_VALUE"""),100.0)</f>
        <v>100</v>
      </c>
      <c r="W156" s="191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3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1">
        <f>IFERROR(__xludf.DUMMYFUNCTION("""COMPUTED_VALUE"""),100.0)</f>
        <v>100</v>
      </c>
      <c r="W157" s="191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3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1">
        <f>IFERROR(__xludf.DUMMYFUNCTION("""COMPUTED_VALUE"""),100.0)</f>
        <v>100</v>
      </c>
      <c r="W158" s="191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3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1">
        <f>IFERROR(__xludf.DUMMYFUNCTION("""COMPUTED_VALUE"""),100.0)</f>
        <v>100</v>
      </c>
      <c r="W159" s="191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3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1">
        <f>IFERROR(__xludf.DUMMYFUNCTION("""COMPUTED_VALUE"""),100.0)</f>
        <v>100</v>
      </c>
      <c r="W160" s="191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3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1">
        <f>IFERROR(__xludf.DUMMYFUNCTION("""COMPUTED_VALUE"""),100.0)</f>
        <v>100</v>
      </c>
      <c r="W161" s="191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3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1">
        <f>IFERROR(__xludf.DUMMYFUNCTION("""COMPUTED_VALUE"""),100.0)</f>
        <v>100</v>
      </c>
      <c r="W162" s="191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3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1">
        <f>IFERROR(__xludf.DUMMYFUNCTION("""COMPUTED_VALUE"""),100.0)</f>
        <v>100</v>
      </c>
      <c r="W163" s="191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3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1">
        <f>IFERROR(__xludf.DUMMYFUNCTION("""COMPUTED_VALUE"""),100.0)</f>
        <v>100</v>
      </c>
      <c r="W164" s="191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3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1">
        <f>IFERROR(__xludf.DUMMYFUNCTION("""COMPUTED_VALUE"""),100.0)</f>
        <v>100</v>
      </c>
      <c r="W165" s="191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3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1">
        <f>IFERROR(__xludf.DUMMYFUNCTION("""COMPUTED_VALUE"""),100.0)</f>
        <v>100</v>
      </c>
      <c r="W166" s="191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3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1">
        <f>IFERROR(__xludf.DUMMYFUNCTION("""COMPUTED_VALUE"""),100.0)</f>
        <v>100</v>
      </c>
      <c r="W167" s="191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3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1">
        <f>IFERROR(__xludf.DUMMYFUNCTION("""COMPUTED_VALUE"""),100.0)</f>
        <v>100</v>
      </c>
      <c r="W168" s="191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3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1">
        <f>IFERROR(__xludf.DUMMYFUNCTION("""COMPUTED_VALUE"""),100.0)</f>
        <v>100</v>
      </c>
      <c r="W169" s="191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3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1">
        <f>IFERROR(__xludf.DUMMYFUNCTION("""COMPUTED_VALUE"""),100.0)</f>
        <v>100</v>
      </c>
      <c r="W170" s="191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3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1">
        <f>IFERROR(__xludf.DUMMYFUNCTION("""COMPUTED_VALUE"""),100.0)</f>
        <v>100</v>
      </c>
      <c r="W171" s="191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3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1">
        <f>IFERROR(__xludf.DUMMYFUNCTION("""COMPUTED_VALUE"""),100.0)</f>
        <v>100</v>
      </c>
      <c r="W172" s="191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3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1">
        <f>IFERROR(__xludf.DUMMYFUNCTION("""COMPUTED_VALUE"""),100.0)</f>
        <v>100</v>
      </c>
      <c r="W173" s="191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3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1">
        <f>IFERROR(__xludf.DUMMYFUNCTION("""COMPUTED_VALUE"""),100.0)</f>
        <v>100</v>
      </c>
      <c r="W174" s="191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3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1">
        <f>IFERROR(__xludf.DUMMYFUNCTION("""COMPUTED_VALUE"""),100.0)</f>
        <v>100</v>
      </c>
      <c r="W175" s="191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3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1">
        <f>IFERROR(__xludf.DUMMYFUNCTION("""COMPUTED_VALUE"""),100.0)</f>
        <v>100</v>
      </c>
      <c r="W176" s="191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3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1">
        <f>IFERROR(__xludf.DUMMYFUNCTION("""COMPUTED_VALUE"""),100.0)</f>
        <v>100</v>
      </c>
      <c r="W177" s="191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3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1">
        <f>IFERROR(__xludf.DUMMYFUNCTION("""COMPUTED_VALUE"""),100.0)</f>
        <v>100</v>
      </c>
      <c r="W178" s="191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3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1">
        <f>IFERROR(__xludf.DUMMYFUNCTION("""COMPUTED_VALUE"""),100.0)</f>
        <v>100</v>
      </c>
      <c r="W179" s="191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1">
        <f>IFERROR(__xludf.DUMMYFUNCTION("""COMPUTED_VALUE"""),100.0)</f>
        <v>100</v>
      </c>
      <c r="W180" s="191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1">
        <f>IFERROR(__xludf.DUMMYFUNCTION("""COMPUTED_VALUE"""),100.0)</f>
        <v>100</v>
      </c>
      <c r="W181" s="191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1">
        <f>IFERROR(__xludf.DUMMYFUNCTION("""COMPUTED_VALUE"""),100.0)</f>
        <v>100</v>
      </c>
      <c r="W182" s="191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1">
        <f>IFERROR(__xludf.DUMMYFUNCTION("""COMPUTED_VALUE"""),100.0)</f>
        <v>100</v>
      </c>
      <c r="W183" s="191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1">
        <f>IFERROR(__xludf.DUMMYFUNCTION("""COMPUTED_VALUE"""),100.0)</f>
        <v>100</v>
      </c>
      <c r="W184" s="191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1">
        <f>IFERROR(__xludf.DUMMYFUNCTION("""COMPUTED_VALUE"""),100.0)</f>
        <v>100</v>
      </c>
      <c r="W185" s="191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1">
        <f>IFERROR(__xludf.DUMMYFUNCTION("""COMPUTED_VALUE"""),100.0)</f>
        <v>100</v>
      </c>
      <c r="W186" s="191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1">
        <f>IFERROR(__xludf.DUMMYFUNCTION("""COMPUTED_VALUE"""),100.0)</f>
        <v>100</v>
      </c>
      <c r="W187" s="191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1">
        <f>IFERROR(__xludf.DUMMYFUNCTION("""COMPUTED_VALUE"""),100.0)</f>
        <v>100</v>
      </c>
      <c r="W188" s="191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1">
        <f>IFERROR(__xludf.DUMMYFUNCTION("""COMPUTED_VALUE"""),100.0)</f>
        <v>100</v>
      </c>
      <c r="W189" s="191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1">
        <f>IFERROR(__xludf.DUMMYFUNCTION("""COMPUTED_VALUE"""),100.0)</f>
        <v>100</v>
      </c>
      <c r="W190" s="191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1">
        <f>IFERROR(__xludf.DUMMYFUNCTION("""COMPUTED_VALUE"""),100.0)</f>
        <v>100</v>
      </c>
      <c r="W191" s="191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1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1">
        <f>IFERROR(__xludf.DUMMYFUNCTION("""COMPUTED_VALUE"""),0.0)</f>
        <v>0</v>
      </c>
      <c r="W193" s="191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1">
        <f>IFERROR(__xludf.DUMMYFUNCTION("""COMPUTED_VALUE"""),0.0)</f>
        <v>0</v>
      </c>
      <c r="W194" s="191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1">
        <f>IFERROR(__xludf.DUMMYFUNCTION("""COMPUTED_VALUE"""),0.0)</f>
        <v>0</v>
      </c>
      <c r="W195" s="191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1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1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1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1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1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1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1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1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1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1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1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1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1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1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1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1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1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1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1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1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1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1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1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1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1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1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1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1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1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1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1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1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1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1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1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1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1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1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1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1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1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1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1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1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1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1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1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1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1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1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1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1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1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1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1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1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1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1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1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1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1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1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1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1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1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1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1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1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1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1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1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1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1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1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1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1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1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1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1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1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1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1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1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1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1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1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1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1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1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1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1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1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1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1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1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1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1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1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1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1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1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1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1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1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1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1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1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1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1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1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1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1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1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1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1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1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1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1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1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1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1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1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1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1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1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1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1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1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1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1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1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1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1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1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1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1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1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1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1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1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1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1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1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1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1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1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1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1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1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1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1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1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1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1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1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1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1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1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1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1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1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1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1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1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1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1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1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1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1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1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1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1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1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1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1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1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1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1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1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1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1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1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1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1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1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1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1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1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1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1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1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1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1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1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1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1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1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1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1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1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1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1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1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1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1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1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1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1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1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1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1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1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1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1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1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1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1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1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1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1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1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1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1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1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1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1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1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1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1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1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1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1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1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1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1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1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1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1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1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1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1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1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1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1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1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1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1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1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1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1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1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1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1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1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1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1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1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1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1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1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1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1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1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1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1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1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1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1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1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1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1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1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1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1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1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1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1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1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1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1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1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1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1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1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1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1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1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1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1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1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1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1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1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1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1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1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1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1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1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1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1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1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1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1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1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1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1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1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1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1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1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1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1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1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1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1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1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1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1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1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1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1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1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1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1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1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1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1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1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1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1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1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1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1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1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1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1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1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1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1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1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1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1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1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1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1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1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1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1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1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1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1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1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1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1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1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1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1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1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1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1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1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1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1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1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1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1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1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1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1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1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1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1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1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1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1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1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1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1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1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1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1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1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1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1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1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1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1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1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1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1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1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1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1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1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1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1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1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1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1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1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1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1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1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1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1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1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1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1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1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1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1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1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1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1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1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1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1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1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1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1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1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1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1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1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1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1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1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1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1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1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1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1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1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1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1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1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1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1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1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1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1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1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1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1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1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1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1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1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1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1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1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1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1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1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1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1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1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1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1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1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1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1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1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1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1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1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1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1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1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1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1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1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1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1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1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1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1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1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1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1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1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1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1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1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1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1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1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1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1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1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1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1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1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1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1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1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1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1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1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1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1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1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1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1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1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1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1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1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1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1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1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1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1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1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1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1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1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1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1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1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1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1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1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1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1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1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1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1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1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1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1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1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1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1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1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1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1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1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1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1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1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1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1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1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1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1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1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1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1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1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1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1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1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1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1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1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1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1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1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1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1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1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1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1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1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1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1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1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1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1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1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1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1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1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1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1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1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1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1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1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1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1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1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1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1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1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1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1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1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1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1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1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1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1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1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1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1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1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1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1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1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1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1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1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1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1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1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1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1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1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1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1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1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1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1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1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1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1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1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1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1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1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1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1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1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1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1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1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1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1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1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1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1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1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1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1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1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1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1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1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1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1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1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1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1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1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1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1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1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1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1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1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1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1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1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1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1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1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1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1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1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1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1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1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1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1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1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1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1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1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1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1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1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1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1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1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1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1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1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1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1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1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1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1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1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1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1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1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1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1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1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1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1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1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1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1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1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1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1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1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1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1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1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1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1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1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1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1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1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1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1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1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1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1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1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1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1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1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1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1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1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1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1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1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1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1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1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1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1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1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1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1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1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1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1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1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1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1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1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1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1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1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1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1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1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1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1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1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1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1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1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1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1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1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1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1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1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1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1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1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1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1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1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1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1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1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1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1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1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1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1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1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1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1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1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1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1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1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1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1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1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1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1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1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1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1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1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1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1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1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1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1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1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1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1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1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1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5" t="s">
        <v>1606</v>
      </c>
      <c r="B1" s="14"/>
      <c r="C1" s="14"/>
      <c r="D1" s="14"/>
      <c r="E1" s="14"/>
      <c r="F1" s="14"/>
      <c r="G1" s="14"/>
      <c r="H1" s="15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</row>
    <row r="2">
      <c r="A2" s="1" t="s">
        <v>1607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1479</v>
      </c>
      <c r="B3" s="1" t="s">
        <v>1608</v>
      </c>
      <c r="C3" s="1" t="s">
        <v>1609</v>
      </c>
      <c r="D3" s="187"/>
      <c r="E3" s="187"/>
      <c r="F3" s="187"/>
      <c r="G3" s="187"/>
      <c r="H3" s="187"/>
    </row>
    <row r="4">
      <c r="A4" s="1" t="s">
        <v>1531</v>
      </c>
      <c r="B4" s="1" t="s">
        <v>1610</v>
      </c>
      <c r="C4" s="1" t="s">
        <v>1611</v>
      </c>
      <c r="D4" s="187"/>
      <c r="E4" s="187"/>
      <c r="F4" s="187"/>
      <c r="G4" s="187"/>
      <c r="H4" s="187"/>
      <c r="K4" s="187"/>
      <c r="L4" s="187"/>
      <c r="M4" s="187"/>
      <c r="O4" s="187"/>
      <c r="P4" s="187"/>
      <c r="Q4" s="187"/>
      <c r="S4" s="187"/>
      <c r="T4" s="187"/>
      <c r="U4" s="187"/>
      <c r="V4" s="187"/>
      <c r="Y4" s="187"/>
      <c r="Z4" s="187"/>
      <c r="AB4" s="1"/>
    </row>
    <row r="5">
      <c r="A5" s="1" t="s">
        <v>1583</v>
      </c>
      <c r="B5" s="1" t="s">
        <v>1612</v>
      </c>
      <c r="C5" s="187"/>
      <c r="D5" s="187"/>
      <c r="E5" s="187"/>
      <c r="F5" s="187"/>
      <c r="G5" s="187"/>
      <c r="H5" s="187"/>
      <c r="K5" s="187"/>
      <c r="L5" s="187"/>
      <c r="M5" s="187"/>
      <c r="N5" s="187"/>
      <c r="O5" s="187"/>
      <c r="P5" s="187"/>
      <c r="Q5" s="187"/>
      <c r="S5" s="187"/>
      <c r="T5" s="187"/>
      <c r="U5" s="187"/>
      <c r="V5" s="187"/>
      <c r="W5" s="187"/>
      <c r="X5" s="187"/>
      <c r="Y5" s="187"/>
      <c r="Z5" s="187"/>
      <c r="AB5" s="1"/>
    </row>
    <row r="6">
      <c r="A6" s="1" t="s">
        <v>1579</v>
      </c>
      <c r="B6" s="1" t="s">
        <v>1613</v>
      </c>
      <c r="C6" s="187"/>
      <c r="D6" s="1" t="s">
        <v>1614</v>
      </c>
      <c r="E6" s="187"/>
      <c r="F6" s="187"/>
      <c r="G6" s="187"/>
      <c r="H6" s="187"/>
      <c r="K6" s="187"/>
      <c r="L6" s="187"/>
      <c r="M6" s="187"/>
      <c r="N6" s="187"/>
      <c r="O6" s="187"/>
      <c r="P6" s="187"/>
      <c r="Q6" s="187"/>
      <c r="S6" s="187"/>
      <c r="T6" s="187"/>
      <c r="U6" s="187"/>
      <c r="V6" s="187"/>
      <c r="W6" s="187"/>
      <c r="X6" s="187"/>
      <c r="Y6" s="187"/>
      <c r="Z6" s="187"/>
      <c r="AB6" s="1"/>
    </row>
    <row r="7">
      <c r="A7" s="1" t="s">
        <v>1597</v>
      </c>
      <c r="B7" s="1" t="s">
        <v>1615</v>
      </c>
      <c r="C7" s="187"/>
      <c r="D7" s="1" t="s">
        <v>1616</v>
      </c>
      <c r="E7" s="1" t="s">
        <v>1617</v>
      </c>
      <c r="F7" s="187"/>
      <c r="G7" s="187"/>
      <c r="H7" s="187"/>
      <c r="I7" s="187"/>
      <c r="K7" s="187"/>
      <c r="L7" s="187"/>
      <c r="M7" s="187"/>
      <c r="O7" s="187"/>
      <c r="P7" s="187"/>
      <c r="Q7" s="187"/>
      <c r="T7" s="187"/>
      <c r="U7" s="187"/>
      <c r="V7" s="187"/>
      <c r="W7" s="187"/>
      <c r="X7" s="187"/>
      <c r="Y7" s="187"/>
      <c r="Z7" s="187"/>
      <c r="AB7" s="1"/>
    </row>
    <row r="8">
      <c r="A8" s="1" t="s">
        <v>1595</v>
      </c>
      <c r="B8" s="1" t="s">
        <v>1618</v>
      </c>
      <c r="C8" s="187"/>
      <c r="D8" s="187"/>
      <c r="E8" s="187"/>
      <c r="F8" s="187"/>
      <c r="G8" s="187"/>
      <c r="H8" s="187"/>
      <c r="K8" s="187"/>
      <c r="L8" s="187"/>
      <c r="M8" s="187"/>
      <c r="N8" s="187"/>
      <c r="O8" s="187"/>
      <c r="P8" s="187"/>
      <c r="Q8" s="187"/>
      <c r="S8" s="187"/>
      <c r="T8" s="187"/>
      <c r="U8" s="187"/>
      <c r="V8" s="187"/>
      <c r="W8" s="187"/>
      <c r="X8" s="187"/>
      <c r="Y8" s="187"/>
      <c r="Z8" s="187"/>
      <c r="AB8" s="1"/>
    </row>
    <row r="9">
      <c r="A9" s="1" t="s">
        <v>1565</v>
      </c>
      <c r="B9" s="187"/>
      <c r="C9" s="1" t="s">
        <v>1619</v>
      </c>
      <c r="D9" s="1" t="s">
        <v>1619</v>
      </c>
      <c r="E9" s="1" t="s">
        <v>1619</v>
      </c>
      <c r="F9" s="1" t="s">
        <v>1620</v>
      </c>
      <c r="G9" s="187"/>
      <c r="H9" s="187"/>
      <c r="K9" s="187"/>
      <c r="L9" s="187"/>
      <c r="M9" s="187"/>
      <c r="O9" s="187"/>
      <c r="P9" s="187"/>
      <c r="Q9" s="187"/>
      <c r="S9" s="187"/>
      <c r="T9" s="187"/>
      <c r="U9" s="187"/>
      <c r="V9" s="187"/>
      <c r="W9" s="187"/>
      <c r="X9" s="187"/>
      <c r="Y9" s="187"/>
      <c r="Z9" s="187"/>
      <c r="AB9" s="1"/>
    </row>
    <row r="10">
      <c r="A10" s="1" t="s">
        <v>1570</v>
      </c>
      <c r="B10" s="187"/>
      <c r="C10" s="1" t="s">
        <v>1618</v>
      </c>
      <c r="D10" s="187"/>
      <c r="E10" s="1" t="s">
        <v>1618</v>
      </c>
      <c r="F10" s="1" t="s">
        <v>1621</v>
      </c>
      <c r="G10" s="1" t="s">
        <v>1622</v>
      </c>
      <c r="H10" s="1" t="s">
        <v>1623</v>
      </c>
      <c r="I10" s="187"/>
      <c r="K10" s="187"/>
      <c r="L10" s="187"/>
      <c r="M10" s="187"/>
      <c r="N10" s="187"/>
      <c r="O10" s="187"/>
      <c r="P10" s="187"/>
      <c r="Q10" s="187"/>
      <c r="S10" s="187"/>
      <c r="T10" s="187"/>
      <c r="U10" s="187"/>
      <c r="V10" s="187"/>
      <c r="W10" s="187"/>
      <c r="X10" s="187"/>
      <c r="Y10" s="187"/>
      <c r="Z10" s="187"/>
      <c r="AB10" s="1"/>
    </row>
    <row r="11">
      <c r="A11" s="1" t="s">
        <v>1571</v>
      </c>
      <c r="B11" s="187"/>
      <c r="C11" s="1" t="s">
        <v>1621</v>
      </c>
      <c r="D11" s="187"/>
      <c r="E11" s="1" t="s">
        <v>1624</v>
      </c>
      <c r="F11" s="187"/>
      <c r="G11" s="187"/>
      <c r="H11" s="1" t="s">
        <v>1621</v>
      </c>
      <c r="K11" s="187"/>
      <c r="L11" s="187"/>
      <c r="M11" s="187"/>
      <c r="O11" s="187"/>
      <c r="P11" s="187"/>
      <c r="Q11" s="187"/>
      <c r="S11" s="187"/>
      <c r="T11" s="187"/>
      <c r="U11" s="187"/>
      <c r="V11" s="187"/>
      <c r="W11" s="187"/>
      <c r="X11" s="187"/>
      <c r="Y11" s="187"/>
      <c r="Z11" s="187"/>
      <c r="AB11" s="1"/>
    </row>
    <row r="12">
      <c r="A12" s="1" t="s">
        <v>1586</v>
      </c>
      <c r="B12" s="187"/>
      <c r="D12" s="1" t="s">
        <v>1625</v>
      </c>
      <c r="E12" s="187"/>
      <c r="F12" s="1" t="s">
        <v>1616</v>
      </c>
      <c r="G12" s="187"/>
      <c r="H12" s="1" t="s">
        <v>1626</v>
      </c>
      <c r="K12" s="187"/>
      <c r="L12" s="187"/>
      <c r="M12" s="187"/>
      <c r="N12" s="187"/>
      <c r="O12" s="187"/>
      <c r="P12" s="187"/>
      <c r="Q12" s="187"/>
      <c r="S12" s="187"/>
      <c r="T12" s="187"/>
      <c r="U12" s="187"/>
      <c r="V12" s="187"/>
      <c r="W12" s="187"/>
      <c r="X12" s="187"/>
      <c r="Y12" s="187"/>
      <c r="Z12" s="187"/>
      <c r="AB12" s="1"/>
    </row>
    <row r="13">
      <c r="A13" s="1" t="s">
        <v>1582</v>
      </c>
      <c r="B13" s="187"/>
      <c r="E13" s="1" t="s">
        <v>1621</v>
      </c>
      <c r="F13" s="1" t="s">
        <v>1622</v>
      </c>
      <c r="G13" s="1" t="s">
        <v>1621</v>
      </c>
      <c r="H13" s="187"/>
      <c r="K13" s="187"/>
      <c r="L13" s="187"/>
      <c r="M13" s="187"/>
      <c r="N13" s="187"/>
      <c r="O13" s="187"/>
      <c r="P13" s="187"/>
      <c r="Q13" s="187"/>
      <c r="S13" s="187"/>
      <c r="T13" s="187"/>
      <c r="U13" s="187"/>
      <c r="V13" s="187"/>
      <c r="W13" s="187"/>
      <c r="X13" s="187"/>
      <c r="Y13" s="187"/>
      <c r="Z13" s="187"/>
      <c r="AB13" s="1"/>
    </row>
    <row r="14">
      <c r="A14" s="1" t="s">
        <v>1582</v>
      </c>
      <c r="B14" s="1" t="s">
        <v>1626</v>
      </c>
      <c r="F14" s="187"/>
      <c r="G14" s="187"/>
      <c r="H14" s="187"/>
      <c r="K14" s="187"/>
      <c r="L14" s="187"/>
      <c r="M14" s="187"/>
      <c r="O14" s="187"/>
      <c r="P14" s="187"/>
      <c r="Q14" s="187"/>
      <c r="S14" s="187"/>
      <c r="T14" s="187"/>
      <c r="U14" s="187"/>
      <c r="V14" s="187"/>
      <c r="W14" s="187"/>
      <c r="X14" s="187"/>
      <c r="Y14" s="187"/>
      <c r="Z14" s="187"/>
      <c r="AB14" s="1"/>
    </row>
    <row r="15">
      <c r="A15" s="1" t="s">
        <v>1490</v>
      </c>
      <c r="F15" s="1" t="s">
        <v>1625</v>
      </c>
      <c r="G15" s="187"/>
      <c r="H15" s="1" t="s">
        <v>1627</v>
      </c>
      <c r="K15" s="187"/>
      <c r="L15" s="187"/>
      <c r="M15" s="187"/>
      <c r="O15" s="187"/>
      <c r="P15" s="187"/>
      <c r="Q15" s="187"/>
      <c r="S15" s="187"/>
      <c r="T15" s="187"/>
      <c r="U15" s="187"/>
      <c r="V15" s="187"/>
      <c r="W15" s="187"/>
      <c r="X15" s="187"/>
      <c r="Y15" s="187"/>
      <c r="Z15" s="187"/>
      <c r="AB15" s="1"/>
    </row>
    <row r="16">
      <c r="A16" s="1" t="s">
        <v>1592</v>
      </c>
      <c r="F16" s="1" t="s">
        <v>1628</v>
      </c>
      <c r="G16" s="1" t="s">
        <v>1628</v>
      </c>
      <c r="H16" s="187"/>
      <c r="K16" s="187"/>
      <c r="L16" s="187"/>
      <c r="M16" s="187"/>
      <c r="N16" s="187"/>
      <c r="O16" s="187"/>
      <c r="P16" s="187"/>
      <c r="Q16" s="187"/>
      <c r="T16" s="187"/>
      <c r="U16" s="187"/>
      <c r="V16" s="187"/>
      <c r="W16" s="187"/>
      <c r="X16" s="187"/>
      <c r="Y16" s="187"/>
      <c r="Z16" s="187"/>
      <c r="AB16" s="1"/>
    </row>
    <row r="17">
      <c r="A17" s="1" t="s">
        <v>1589</v>
      </c>
      <c r="G17" s="1" t="s">
        <v>1629</v>
      </c>
      <c r="H17" s="187"/>
      <c r="K17" s="187"/>
      <c r="L17" s="187"/>
      <c r="M17" s="187"/>
      <c r="N17" s="187"/>
      <c r="O17" s="187"/>
      <c r="P17" s="187"/>
      <c r="Q17" s="187"/>
      <c r="T17" s="187"/>
      <c r="U17" s="187"/>
      <c r="V17" s="187"/>
      <c r="W17" s="187"/>
      <c r="X17" s="187"/>
      <c r="Y17" s="187"/>
      <c r="Z17" s="187"/>
      <c r="AB17" s="1"/>
    </row>
    <row r="18">
      <c r="K18" s="187"/>
      <c r="L18" s="187"/>
      <c r="M18" s="187"/>
      <c r="N18" s="187"/>
      <c r="O18" s="187"/>
      <c r="P18" s="187"/>
      <c r="Q18" s="187"/>
      <c r="S18" s="187"/>
      <c r="T18" s="187"/>
      <c r="U18" s="187"/>
      <c r="V18" s="187"/>
      <c r="W18" s="187"/>
      <c r="X18" s="187"/>
      <c r="Y18" s="187"/>
      <c r="Z18" s="187"/>
      <c r="AB18" s="1"/>
    </row>
    <row r="19">
      <c r="A19" s="187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O19" s="187"/>
      <c r="P19" s="187"/>
      <c r="Q19" s="187"/>
      <c r="S19" s="187"/>
      <c r="T19" s="187"/>
      <c r="U19" s="187"/>
      <c r="V19" s="187"/>
      <c r="W19" s="187"/>
      <c r="X19" s="187"/>
      <c r="Y19" s="187"/>
      <c r="Z19" s="187"/>
      <c r="AB19" s="1"/>
    </row>
    <row r="20">
      <c r="A20" s="187"/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"/>
      <c r="AB20" s="1"/>
    </row>
    <row r="21">
      <c r="A21" s="187"/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O21" s="187"/>
      <c r="P21" s="187"/>
      <c r="Q21" s="187"/>
      <c r="S21" s="187"/>
      <c r="T21" s="187"/>
      <c r="U21" s="187"/>
      <c r="V21" s="187"/>
      <c r="W21" s="187"/>
      <c r="X21" s="187"/>
      <c r="Y21" s="187"/>
      <c r="Z21" s="187"/>
      <c r="AB21" s="1">
        <v>0.0</v>
      </c>
    </row>
    <row r="22">
      <c r="A22" s="187"/>
      <c r="B22" s="187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O22" s="187"/>
      <c r="P22" s="187"/>
      <c r="Q22" s="187"/>
      <c r="S22" s="187"/>
      <c r="T22" s="187"/>
      <c r="U22" s="187"/>
      <c r="V22" s="187"/>
      <c r="W22" s="187"/>
      <c r="X22" s="187"/>
      <c r="Y22" s="187"/>
      <c r="Z22" s="187"/>
      <c r="AB22" s="1"/>
    </row>
    <row r="23">
      <c r="A23" s="187"/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T23" s="187"/>
      <c r="U23" s="187"/>
      <c r="V23" s="187"/>
      <c r="W23" s="187"/>
      <c r="X23" s="187"/>
      <c r="Y23" s="187"/>
      <c r="Z23" s="187"/>
      <c r="AB23" s="1"/>
    </row>
    <row r="24">
      <c r="A24" s="187"/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O24" s="187"/>
      <c r="P24" s="187"/>
      <c r="Q24" s="187"/>
      <c r="S24" s="187"/>
      <c r="T24" s="187"/>
      <c r="U24" s="187"/>
      <c r="V24" s="187"/>
      <c r="W24" s="187"/>
      <c r="X24" s="187"/>
      <c r="Y24" s="187"/>
      <c r="Z24" s="187"/>
      <c r="AB24" s="1"/>
    </row>
    <row r="25">
      <c r="A25" s="187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O25" s="187"/>
      <c r="P25" s="187"/>
      <c r="Q25" s="187"/>
      <c r="S25" s="187"/>
      <c r="T25" s="187"/>
      <c r="U25" s="187"/>
      <c r="V25" s="187"/>
      <c r="W25" s="187"/>
      <c r="X25" s="187"/>
      <c r="Y25" s="187"/>
      <c r="Z25" s="187"/>
      <c r="AB25" s="1"/>
    </row>
    <row r="26">
      <c r="A26" s="187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O26" s="187"/>
      <c r="P26" s="187"/>
      <c r="Q26" s="187"/>
      <c r="S26" s="187"/>
      <c r="T26" s="187"/>
      <c r="U26" s="187"/>
      <c r="V26" s="187"/>
      <c r="W26" s="187"/>
      <c r="X26" s="187"/>
      <c r="Y26" s="187"/>
      <c r="Z26" s="187"/>
      <c r="AB26" s="1"/>
    </row>
    <row r="27">
      <c r="A27" s="187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O27" s="187"/>
      <c r="P27" s="187"/>
      <c r="Q27" s="187"/>
      <c r="S27" s="187"/>
      <c r="T27" s="187"/>
      <c r="U27" s="187"/>
      <c r="V27" s="187"/>
      <c r="W27" s="187"/>
      <c r="X27" s="187"/>
      <c r="Y27" s="187"/>
      <c r="Z27" s="187"/>
      <c r="AB27" s="1">
        <v>0.0</v>
      </c>
    </row>
    <row r="28">
      <c r="A28" s="187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S28" s="187"/>
      <c r="T28" s="187"/>
      <c r="U28" s="187"/>
      <c r="V28" s="187"/>
      <c r="W28" s="187"/>
      <c r="X28" s="187"/>
      <c r="Y28" s="187"/>
      <c r="Z28" s="187"/>
      <c r="AB28" s="1"/>
    </row>
    <row r="29">
      <c r="A29" s="187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O29" s="187"/>
      <c r="P29" s="187"/>
      <c r="Q29" s="187"/>
      <c r="S29" s="187"/>
      <c r="T29" s="187"/>
      <c r="U29" s="187"/>
      <c r="V29" s="187"/>
      <c r="W29" s="187"/>
      <c r="X29" s="187"/>
      <c r="Y29" s="187"/>
      <c r="Z29" s="187"/>
      <c r="AB29" s="1"/>
    </row>
    <row r="30">
      <c r="A30" s="187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O30" s="187"/>
      <c r="P30" s="187"/>
      <c r="Q30" s="187"/>
      <c r="S30" s="187"/>
      <c r="T30" s="187"/>
      <c r="U30" s="187"/>
      <c r="V30" s="187"/>
      <c r="W30" s="187"/>
      <c r="X30" s="187"/>
      <c r="Y30" s="187"/>
      <c r="Z30" s="187"/>
      <c r="AB30" s="1">
        <v>0.0</v>
      </c>
    </row>
    <row r="31">
      <c r="A31" s="187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"/>
      <c r="AB31" s="1"/>
    </row>
    <row r="32">
      <c r="A32" s="187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T32" s="187"/>
      <c r="U32" s="187"/>
      <c r="V32" s="187"/>
      <c r="W32" s="187"/>
      <c r="X32" s="187"/>
      <c r="Y32" s="187"/>
      <c r="Z32" s="187"/>
      <c r="AB32" s="1"/>
    </row>
    <row r="33">
      <c r="A33" s="187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O33" s="187"/>
      <c r="P33" s="187"/>
      <c r="Q33" s="187"/>
      <c r="S33" s="187"/>
      <c r="T33" s="187"/>
      <c r="U33" s="187"/>
      <c r="V33" s="187"/>
      <c r="W33" s="187"/>
      <c r="X33" s="187"/>
      <c r="Y33" s="187"/>
      <c r="Z33" s="187"/>
      <c r="AB33" s="1"/>
    </row>
    <row r="34">
      <c r="A34" s="187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T34" s="187"/>
      <c r="U34" s="187"/>
      <c r="V34" s="187"/>
      <c r="W34" s="187"/>
      <c r="X34" s="187"/>
      <c r="Y34" s="187"/>
      <c r="Z34" s="187"/>
      <c r="AB34" s="1"/>
    </row>
    <row r="35">
      <c r="A35" s="187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"/>
      <c r="AB35" s="1"/>
    </row>
    <row r="36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O36" s="187"/>
      <c r="P36" s="187"/>
      <c r="Q36" s="187"/>
      <c r="S36" s="187"/>
      <c r="T36" s="187"/>
      <c r="U36" s="187"/>
      <c r="V36" s="187"/>
      <c r="W36" s="187"/>
      <c r="X36" s="187"/>
      <c r="Y36" s="187"/>
      <c r="Z36" s="187"/>
      <c r="AB36" s="1"/>
    </row>
    <row r="37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O37" s="187"/>
      <c r="P37" s="187"/>
      <c r="Q37" s="187"/>
      <c r="S37" s="187"/>
      <c r="T37" s="187"/>
      <c r="U37" s="187"/>
      <c r="V37" s="187"/>
      <c r="Y37" s="187"/>
      <c r="Z37" s="187"/>
      <c r="AB37" s="1">
        <v>0.0</v>
      </c>
    </row>
    <row r="38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O38" s="187"/>
      <c r="P38" s="187"/>
      <c r="Q38" s="187"/>
      <c r="S38" s="187"/>
      <c r="T38" s="187"/>
      <c r="U38" s="187"/>
      <c r="V38" s="187"/>
      <c r="W38" s="187"/>
      <c r="X38" s="187"/>
      <c r="Y38" s="187"/>
      <c r="Z38" s="187"/>
      <c r="AB38" s="1"/>
    </row>
    <row r="39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"/>
      <c r="AB39" s="1"/>
    </row>
    <row r="40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"/>
      <c r="AB40" s="1"/>
    </row>
    <row r="4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O41" s="187"/>
      <c r="P41" s="187"/>
      <c r="Q41" s="187"/>
      <c r="S41" s="187"/>
      <c r="T41" s="187"/>
      <c r="U41" s="187"/>
      <c r="V41" s="187"/>
      <c r="W41" s="187"/>
      <c r="X41" s="187"/>
      <c r="Y41" s="187"/>
      <c r="Z41" s="187"/>
      <c r="AB41" s="1"/>
    </row>
    <row r="4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O42" s="187"/>
      <c r="P42" s="187"/>
      <c r="Q42" s="187"/>
      <c r="S42" s="187"/>
      <c r="T42" s="187"/>
      <c r="U42" s="187"/>
      <c r="V42" s="187"/>
      <c r="W42" s="187"/>
      <c r="X42" s="187"/>
      <c r="Y42" s="187"/>
      <c r="Z42" s="187"/>
      <c r="AB42" s="1"/>
    </row>
    <row r="43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"/>
      <c r="AB43" s="1"/>
    </row>
    <row r="44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T44" s="187"/>
      <c r="U44" s="187"/>
      <c r="V44" s="187"/>
      <c r="W44" s="187"/>
      <c r="X44" s="187"/>
      <c r="Y44" s="187"/>
      <c r="Z44" s="187"/>
      <c r="AB44" s="1"/>
    </row>
    <row r="45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O45" s="187"/>
      <c r="P45" s="187"/>
      <c r="Q45" s="187"/>
      <c r="S45" s="187"/>
      <c r="T45" s="187"/>
      <c r="U45" s="187"/>
      <c r="V45" s="187"/>
      <c r="W45" s="187"/>
      <c r="X45" s="187"/>
      <c r="Y45" s="187"/>
      <c r="Z45" s="187"/>
      <c r="AB45" s="1"/>
    </row>
    <row r="46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O46" s="187"/>
      <c r="P46" s="187"/>
      <c r="Q46" s="187"/>
      <c r="S46" s="187"/>
      <c r="T46" s="187"/>
      <c r="U46" s="187"/>
      <c r="V46" s="187"/>
      <c r="W46" s="187"/>
      <c r="X46" s="187"/>
      <c r="Y46" s="187"/>
      <c r="Z46" s="187"/>
      <c r="AB46" s="1">
        <v>0.0</v>
      </c>
    </row>
    <row r="47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T47" s="187"/>
      <c r="U47" s="187"/>
      <c r="V47" s="187"/>
      <c r="W47" s="187"/>
      <c r="X47" s="187"/>
      <c r="Y47" s="187"/>
      <c r="Z47" s="187"/>
      <c r="AB47" s="1"/>
    </row>
    <row r="48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O48" s="187"/>
      <c r="P48" s="187"/>
      <c r="Q48" s="187"/>
      <c r="S48" s="187"/>
      <c r="T48" s="187"/>
      <c r="U48" s="187"/>
      <c r="V48" s="187"/>
      <c r="W48" s="187"/>
      <c r="X48" s="187"/>
      <c r="Y48" s="187"/>
      <c r="Z48" s="187"/>
      <c r="AB48" s="1">
        <v>0.0</v>
      </c>
    </row>
    <row r="49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"/>
      <c r="AB49" s="1"/>
    </row>
    <row r="50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T50" s="187"/>
      <c r="U50" s="187"/>
      <c r="V50" s="187"/>
      <c r="W50" s="187"/>
      <c r="X50" s="187"/>
      <c r="Y50" s="187"/>
      <c r="Z50" s="187"/>
      <c r="AB50" s="1"/>
    </row>
    <row r="5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O51" s="187"/>
      <c r="P51" s="187"/>
      <c r="Q51" s="187"/>
      <c r="S51" s="187"/>
      <c r="T51" s="187"/>
      <c r="U51" s="187"/>
      <c r="V51" s="187"/>
      <c r="W51" s="187"/>
      <c r="X51" s="187"/>
      <c r="Y51" s="187"/>
      <c r="Z51" s="187"/>
      <c r="AB51" s="1">
        <v>0.0</v>
      </c>
    </row>
    <row r="5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O52" s="187"/>
      <c r="P52" s="187"/>
      <c r="Q52" s="187"/>
      <c r="S52" s="187"/>
      <c r="T52" s="187"/>
      <c r="U52" s="187"/>
      <c r="V52" s="187"/>
      <c r="W52" s="187"/>
      <c r="X52" s="187"/>
      <c r="Y52" s="187"/>
      <c r="Z52" s="187"/>
      <c r="AB52" s="1"/>
    </row>
    <row r="53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"/>
      <c r="AB53" s="1"/>
    </row>
    <row r="54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O54" s="187"/>
      <c r="P54" s="187"/>
      <c r="Q54" s="187"/>
      <c r="S54" s="187"/>
      <c r="T54" s="187"/>
      <c r="U54" s="187"/>
      <c r="V54" s="187"/>
      <c r="W54" s="187"/>
      <c r="X54" s="187"/>
      <c r="Y54" s="187"/>
      <c r="Z54" s="187"/>
      <c r="AB54" s="1">
        <v>0.0</v>
      </c>
    </row>
    <row r="55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O55" s="187"/>
      <c r="P55" s="187"/>
      <c r="Q55" s="187"/>
      <c r="S55" s="187"/>
      <c r="T55" s="187"/>
      <c r="U55" s="187"/>
      <c r="V55" s="187"/>
      <c r="W55" s="187"/>
      <c r="X55" s="187"/>
      <c r="Y55" s="187"/>
      <c r="Z55" s="187"/>
      <c r="AB55" s="1">
        <v>0.0</v>
      </c>
    </row>
    <row r="56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T56" s="187"/>
      <c r="U56" s="187"/>
      <c r="V56" s="187"/>
      <c r="W56" s="187"/>
      <c r="X56" s="187"/>
      <c r="Y56" s="187"/>
      <c r="Z56" s="187"/>
      <c r="AB56" s="1"/>
    </row>
    <row r="57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T57" s="187"/>
      <c r="U57" s="187"/>
      <c r="V57" s="187"/>
      <c r="W57" s="187"/>
      <c r="X57" s="187"/>
      <c r="Y57" s="187"/>
      <c r="Z57" s="187"/>
      <c r="AB57" s="1"/>
    </row>
    <row r="58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T58" s="187"/>
      <c r="U58" s="187"/>
      <c r="V58" s="187"/>
      <c r="W58" s="187"/>
      <c r="X58" s="187"/>
      <c r="Y58" s="187"/>
      <c r="Z58" s="187"/>
      <c r="AB58" s="1"/>
    </row>
    <row r="59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O59" s="187"/>
      <c r="P59" s="187"/>
      <c r="Q59" s="187"/>
      <c r="S59" s="187"/>
      <c r="T59" s="187"/>
      <c r="U59" s="187"/>
      <c r="V59" s="187"/>
      <c r="W59" s="187"/>
      <c r="X59" s="187"/>
      <c r="Y59" s="187"/>
      <c r="Z59" s="187"/>
      <c r="AB59" s="1"/>
    </row>
    <row r="60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"/>
      <c r="AB60" s="1"/>
    </row>
    <row r="6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T61" s="187"/>
      <c r="U61" s="187"/>
      <c r="V61" s="187"/>
      <c r="W61" s="187"/>
      <c r="X61" s="187"/>
      <c r="Y61" s="187"/>
      <c r="Z61" s="187"/>
      <c r="AB61" s="1"/>
    </row>
    <row r="6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O62" s="187"/>
      <c r="P62" s="187"/>
      <c r="Q62" s="187"/>
      <c r="S62" s="187"/>
      <c r="T62" s="187"/>
      <c r="U62" s="187"/>
      <c r="V62" s="187"/>
      <c r="W62" s="187"/>
      <c r="X62" s="187"/>
      <c r="Y62" s="187"/>
      <c r="Z62" s="187"/>
      <c r="AB62" s="1"/>
    </row>
    <row r="63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T63" s="187"/>
      <c r="U63" s="187"/>
      <c r="V63" s="187"/>
      <c r="W63" s="187"/>
      <c r="X63" s="187"/>
      <c r="Y63" s="187"/>
      <c r="Z63" s="187"/>
      <c r="AB63" s="1"/>
    </row>
    <row r="64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"/>
      <c r="AB64" s="1"/>
    </row>
    <row r="65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O65" s="187"/>
      <c r="P65" s="187"/>
      <c r="Q65" s="187"/>
      <c r="S65" s="187"/>
      <c r="T65" s="187"/>
      <c r="U65" s="187"/>
      <c r="V65" s="187"/>
      <c r="W65" s="187"/>
      <c r="X65" s="187"/>
      <c r="Y65" s="187"/>
      <c r="Z65" s="187"/>
      <c r="AB65" s="1"/>
    </row>
    <row r="66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T66" s="187"/>
      <c r="U66" s="187"/>
      <c r="V66" s="187"/>
      <c r="W66" s="187"/>
      <c r="X66" s="187"/>
      <c r="Y66" s="187"/>
      <c r="Z66" s="187"/>
      <c r="AB66" s="1"/>
    </row>
    <row r="67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T67" s="187"/>
      <c r="U67" s="187"/>
      <c r="V67" s="187"/>
      <c r="W67" s="187"/>
      <c r="X67" s="187"/>
      <c r="Y67" s="187"/>
      <c r="Z67" s="187"/>
      <c r="AB67" s="1"/>
    </row>
    <row r="68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O68" s="187"/>
      <c r="P68" s="187"/>
      <c r="Q68" s="187"/>
      <c r="S68" s="187"/>
      <c r="T68" s="187"/>
      <c r="U68" s="187"/>
      <c r="V68" s="187"/>
      <c r="W68" s="187"/>
      <c r="X68" s="187"/>
      <c r="Y68" s="187"/>
      <c r="Z68" s="187"/>
      <c r="AB68" s="1"/>
    </row>
    <row r="69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O69" s="187"/>
      <c r="P69" s="187"/>
      <c r="Q69" s="187"/>
      <c r="S69" s="187"/>
      <c r="T69" s="187"/>
      <c r="U69" s="187"/>
      <c r="V69" s="187"/>
      <c r="W69" s="187"/>
      <c r="X69" s="187"/>
      <c r="Y69" s="187"/>
      <c r="Z69" s="187"/>
      <c r="AB69" s="1"/>
    </row>
    <row r="70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O70" s="187"/>
      <c r="P70" s="187"/>
      <c r="Q70" s="187"/>
      <c r="S70" s="187"/>
      <c r="T70" s="187"/>
      <c r="U70" s="187"/>
      <c r="V70" s="187"/>
      <c r="W70" s="187"/>
      <c r="X70" s="187"/>
      <c r="Y70" s="187"/>
      <c r="Z70" s="187"/>
      <c r="AB70" s="1"/>
    </row>
    <row r="7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"/>
      <c r="AB71" s="1"/>
    </row>
    <row r="7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O72" s="187"/>
      <c r="P72" s="187"/>
      <c r="Q72" s="187"/>
      <c r="S72" s="187"/>
      <c r="T72" s="187"/>
      <c r="U72" s="187"/>
      <c r="V72" s="187"/>
      <c r="W72" s="187"/>
      <c r="X72" s="187"/>
      <c r="Y72" s="187"/>
      <c r="Z72" s="187"/>
      <c r="AB72" s="1"/>
    </row>
    <row r="73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O73" s="187"/>
      <c r="P73" s="187"/>
      <c r="Q73" s="187"/>
      <c r="S73" s="187"/>
      <c r="T73" s="187"/>
      <c r="U73" s="187"/>
      <c r="V73" s="187"/>
      <c r="W73" s="187"/>
      <c r="X73" s="187"/>
      <c r="Y73" s="187"/>
      <c r="Z73" s="187"/>
      <c r="AB73" s="1"/>
    </row>
    <row r="74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O74" s="187"/>
      <c r="P74" s="187"/>
      <c r="Q74" s="187"/>
      <c r="S74" s="187"/>
      <c r="T74" s="187"/>
      <c r="U74" s="187"/>
      <c r="V74" s="187"/>
      <c r="W74" s="187"/>
      <c r="X74" s="187"/>
      <c r="Y74" s="187"/>
      <c r="Z74" s="187"/>
      <c r="AB74" s="1"/>
    </row>
    <row r="75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O75" s="187"/>
      <c r="P75" s="187"/>
      <c r="Q75" s="187"/>
      <c r="S75" s="187"/>
      <c r="T75" s="187"/>
      <c r="U75" s="187"/>
      <c r="V75" s="187"/>
      <c r="W75" s="187"/>
      <c r="X75" s="187"/>
      <c r="Y75" s="187"/>
      <c r="Z75" s="187"/>
      <c r="AB75" s="1"/>
    </row>
    <row r="76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T76" s="187"/>
      <c r="U76" s="187"/>
      <c r="V76" s="187"/>
      <c r="W76" s="187"/>
      <c r="X76" s="187"/>
      <c r="Y76" s="187"/>
      <c r="Z76" s="187"/>
      <c r="AB76" s="1"/>
    </row>
    <row r="77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O77" s="187"/>
      <c r="P77" s="187"/>
      <c r="Q77" s="187"/>
      <c r="S77" s="187"/>
      <c r="T77" s="187"/>
      <c r="U77" s="187"/>
      <c r="V77" s="187"/>
      <c r="W77" s="187"/>
      <c r="X77" s="187"/>
      <c r="Y77" s="187"/>
      <c r="Z77" s="187"/>
      <c r="AB77" s="1">
        <v>0.0</v>
      </c>
    </row>
    <row r="78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T78" s="187"/>
      <c r="U78" s="187"/>
      <c r="V78" s="187"/>
      <c r="W78" s="187"/>
      <c r="X78" s="187"/>
      <c r="Y78" s="187"/>
      <c r="Z78" s="187"/>
      <c r="AB78" s="1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O79" s="187"/>
      <c r="P79" s="187"/>
      <c r="Q79" s="187"/>
      <c r="S79" s="187"/>
      <c r="T79" s="187"/>
      <c r="U79" s="187"/>
      <c r="V79" s="187"/>
      <c r="W79" s="187"/>
      <c r="X79" s="187"/>
      <c r="Y79" s="187"/>
      <c r="Z79" s="187"/>
      <c r="AB79" s="1">
        <v>0.0</v>
      </c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T80" s="187"/>
      <c r="U80" s="187"/>
      <c r="V80" s="187"/>
      <c r="W80" s="187"/>
      <c r="X80" s="187"/>
      <c r="Y80" s="187"/>
      <c r="Z80" s="187"/>
      <c r="AB80" s="1"/>
    </row>
    <row r="8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O81" s="187"/>
      <c r="P81" s="187"/>
      <c r="Q81" s="187"/>
      <c r="S81" s="187"/>
      <c r="T81" s="187"/>
      <c r="U81" s="187"/>
      <c r="V81" s="187"/>
      <c r="W81" s="187"/>
      <c r="X81" s="187"/>
      <c r="Y81" s="187"/>
      <c r="Z81" s="187"/>
      <c r="AB81" s="1">
        <v>0.0</v>
      </c>
    </row>
    <row r="82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O82" s="187"/>
      <c r="P82" s="187"/>
      <c r="Q82" s="187"/>
      <c r="S82" s="187"/>
      <c r="T82" s="187"/>
      <c r="U82" s="187"/>
      <c r="V82" s="187"/>
      <c r="W82" s="187"/>
      <c r="X82" s="187"/>
      <c r="Y82" s="187"/>
      <c r="Z82" s="187"/>
      <c r="AB82" s="1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T83" s="187"/>
      <c r="U83" s="187"/>
      <c r="V83" s="187"/>
      <c r="W83" s="187"/>
      <c r="X83" s="187"/>
      <c r="Y83" s="187"/>
      <c r="Z83" s="187"/>
      <c r="AB83" s="1"/>
    </row>
    <row r="84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O84" s="187"/>
      <c r="P84" s="187"/>
      <c r="Q84" s="187"/>
      <c r="S84" s="187"/>
      <c r="T84" s="187"/>
      <c r="U84" s="187"/>
      <c r="V84" s="187"/>
      <c r="W84" s="187"/>
      <c r="X84" s="187"/>
      <c r="Y84" s="187"/>
      <c r="Z84" s="187"/>
      <c r="AB84" s="1">
        <v>0.0</v>
      </c>
    </row>
    <row r="85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O85" s="187"/>
      <c r="P85" s="187"/>
      <c r="Q85" s="187"/>
      <c r="S85" s="187"/>
      <c r="T85" s="187"/>
      <c r="U85" s="187"/>
      <c r="V85" s="187"/>
      <c r="W85" s="187"/>
      <c r="X85" s="187"/>
      <c r="Y85" s="187"/>
      <c r="Z85" s="187"/>
      <c r="AB85" s="1"/>
    </row>
    <row r="86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O86" s="187"/>
      <c r="P86" s="187"/>
      <c r="Q86" s="187"/>
      <c r="S86" s="187"/>
      <c r="T86" s="187"/>
      <c r="U86" s="187"/>
      <c r="V86" s="187"/>
      <c r="W86" s="187"/>
      <c r="X86" s="187"/>
      <c r="Y86" s="187"/>
      <c r="Z86" s="187"/>
      <c r="AB86" s="1"/>
    </row>
    <row r="87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"/>
      <c r="AB87" s="1"/>
    </row>
    <row r="88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"/>
      <c r="AB88" s="1"/>
    </row>
    <row r="89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"/>
      <c r="AB89" s="1"/>
    </row>
    <row r="90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"/>
      <c r="AB90" s="1"/>
    </row>
    <row r="9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S91" s="187"/>
      <c r="T91" s="187"/>
      <c r="U91" s="187"/>
      <c r="V91" s="187"/>
      <c r="W91" s="187"/>
      <c r="X91" s="187"/>
      <c r="Y91" s="187"/>
      <c r="Z91" s="187"/>
      <c r="AB91" s="1"/>
    </row>
    <row r="92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O92" s="187"/>
      <c r="P92" s="187"/>
      <c r="Q92" s="187"/>
      <c r="S92" s="187"/>
      <c r="T92" s="187"/>
      <c r="U92" s="187"/>
      <c r="V92" s="187"/>
      <c r="W92" s="187"/>
      <c r="X92" s="187"/>
      <c r="Y92" s="187"/>
      <c r="Z92" s="187"/>
      <c r="AB92" s="1"/>
    </row>
    <row r="93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"/>
      <c r="AB93" s="1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O94" s="187"/>
      <c r="P94" s="187"/>
      <c r="Q94" s="187"/>
      <c r="S94" s="187"/>
      <c r="T94" s="187"/>
      <c r="U94" s="187"/>
      <c r="V94" s="187"/>
      <c r="W94" s="187"/>
      <c r="X94" s="187"/>
      <c r="Y94" s="187"/>
      <c r="Z94" s="187"/>
      <c r="AB94" s="1"/>
    </row>
    <row r="95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T95" s="187"/>
      <c r="U95" s="187"/>
      <c r="V95" s="187"/>
      <c r="W95" s="187"/>
      <c r="X95" s="187"/>
      <c r="Y95" s="187"/>
      <c r="Z95" s="187"/>
      <c r="AB95" s="1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T96" s="187"/>
      <c r="U96" s="187"/>
      <c r="V96" s="187"/>
      <c r="W96" s="187"/>
      <c r="X96" s="187"/>
      <c r="Y96" s="187"/>
      <c r="Z96" s="187"/>
      <c r="AB96" s="1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O97" s="187"/>
      <c r="P97" s="187"/>
      <c r="Q97" s="187"/>
      <c r="S97" s="187"/>
      <c r="T97" s="187"/>
      <c r="U97" s="187"/>
      <c r="V97" s="187"/>
      <c r="W97" s="187"/>
      <c r="X97" s="187"/>
      <c r="Y97" s="187"/>
      <c r="Z97" s="187"/>
      <c r="AB97" s="1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O98" s="187"/>
      <c r="P98" s="187"/>
      <c r="Q98" s="187"/>
      <c r="S98" s="187"/>
      <c r="T98" s="187"/>
      <c r="U98" s="187"/>
      <c r="V98" s="187"/>
      <c r="W98" s="187"/>
      <c r="X98" s="187"/>
      <c r="Y98" s="187"/>
      <c r="Z98" s="187"/>
      <c r="AB98" s="1">
        <v>0.0</v>
      </c>
    </row>
    <row r="99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T99" s="187"/>
      <c r="U99" s="187"/>
      <c r="V99" s="187"/>
      <c r="W99" s="187"/>
      <c r="X99" s="187"/>
      <c r="Y99" s="187"/>
      <c r="Z99" s="187"/>
      <c r="AB99" s="1"/>
    </row>
    <row r="100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O100" s="187"/>
      <c r="P100" s="187"/>
      <c r="Q100" s="187"/>
      <c r="S100" s="187"/>
      <c r="T100" s="187"/>
      <c r="U100" s="187"/>
      <c r="V100" s="187"/>
      <c r="W100" s="187"/>
      <c r="X100" s="187"/>
      <c r="Y100" s="187"/>
      <c r="Z100" s="187"/>
      <c r="AB100" s="1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T101" s="187"/>
      <c r="U101" s="187"/>
      <c r="V101" s="187"/>
      <c r="W101" s="187"/>
      <c r="X101" s="187"/>
      <c r="Y101" s="187"/>
      <c r="Z101" s="187"/>
      <c r="AB101" s="1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"/>
      <c r="AB102" s="1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"/>
      <c r="AB103" s="1"/>
    </row>
    <row r="104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O104" s="187"/>
      <c r="P104" s="187"/>
      <c r="Q104" s="187"/>
      <c r="S104" s="187"/>
      <c r="T104" s="187"/>
      <c r="U104" s="187"/>
      <c r="V104" s="187"/>
      <c r="W104" s="187"/>
      <c r="X104" s="187"/>
      <c r="Y104" s="187"/>
      <c r="Z104" s="187"/>
      <c r="AB104" s="1"/>
    </row>
    <row r="105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T105" s="187"/>
      <c r="U105" s="187"/>
      <c r="V105" s="187"/>
      <c r="W105" s="187"/>
      <c r="X105" s="187"/>
      <c r="Y105" s="187"/>
      <c r="Z105" s="187"/>
      <c r="AB105" s="1"/>
    </row>
    <row r="106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"/>
      <c r="AB106" s="1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O107" s="187"/>
      <c r="P107" s="187"/>
      <c r="Q107" s="187"/>
      <c r="S107" s="187"/>
      <c r="T107" s="187"/>
      <c r="U107" s="187"/>
      <c r="V107" s="187"/>
      <c r="W107" s="187"/>
      <c r="X107" s="187"/>
      <c r="Y107" s="187"/>
      <c r="Z107" s="187"/>
      <c r="AB107" s="1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"/>
      <c r="AB108" s="1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O109" s="187"/>
      <c r="P109" s="187"/>
      <c r="Q109" s="187"/>
      <c r="S109" s="187"/>
      <c r="T109" s="187"/>
      <c r="U109" s="187"/>
      <c r="V109" s="187"/>
      <c r="W109" s="187"/>
      <c r="X109" s="187"/>
      <c r="Y109" s="187"/>
      <c r="Z109" s="187"/>
      <c r="AB109" s="1">
        <v>0.0</v>
      </c>
    </row>
    <row r="110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O110" s="187"/>
      <c r="P110" s="187"/>
      <c r="Q110" s="187"/>
      <c r="S110" s="187"/>
      <c r="T110" s="187"/>
      <c r="U110" s="187"/>
      <c r="V110" s="187"/>
      <c r="W110" s="187"/>
      <c r="X110" s="187"/>
      <c r="Y110" s="187"/>
      <c r="Z110" s="187"/>
      <c r="AB110" s="1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"/>
      <c r="AB111" s="1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"/>
      <c r="AB112" s="1"/>
    </row>
    <row r="113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"/>
      <c r="AB113" s="1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T114" s="187"/>
      <c r="U114" s="187"/>
      <c r="V114" s="187"/>
      <c r="W114" s="187"/>
      <c r="X114" s="187"/>
      <c r="Y114" s="187"/>
      <c r="Z114" s="187"/>
      <c r="AB114" s="1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"/>
      <c r="AB115" s="1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O116" s="187"/>
      <c r="P116" s="187"/>
      <c r="Q116" s="187"/>
      <c r="S116" s="187"/>
      <c r="T116" s="187"/>
      <c r="U116" s="187"/>
      <c r="V116" s="187"/>
      <c r="W116" s="187"/>
      <c r="X116" s="187"/>
      <c r="Y116" s="187"/>
      <c r="Z116" s="187"/>
      <c r="AB116" s="1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O117" s="187"/>
      <c r="P117" s="187"/>
      <c r="Q117" s="187"/>
      <c r="S117" s="187"/>
      <c r="T117" s="187"/>
      <c r="U117" s="187"/>
      <c r="V117" s="187"/>
      <c r="W117" s="187"/>
      <c r="X117" s="187"/>
      <c r="Y117" s="187"/>
      <c r="Z117" s="187"/>
      <c r="AB117" s="1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"/>
      <c r="AB118" s="1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O119" s="187"/>
      <c r="P119" s="187"/>
      <c r="Q119" s="187"/>
      <c r="S119" s="187"/>
      <c r="T119" s="187"/>
      <c r="U119" s="187"/>
      <c r="V119" s="187"/>
      <c r="W119" s="187"/>
      <c r="X119" s="187"/>
      <c r="Y119" s="187"/>
      <c r="Z119" s="187"/>
      <c r="AB119" s="1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"/>
      <c r="AB120" s="1"/>
    </row>
    <row r="12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T121" s="187"/>
      <c r="U121" s="187"/>
      <c r="V121" s="187"/>
      <c r="W121" s="187"/>
      <c r="X121" s="187"/>
      <c r="Y121" s="187"/>
      <c r="Z121" s="187"/>
      <c r="AB121" s="1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T122" s="187"/>
      <c r="U122" s="187"/>
      <c r="V122" s="187"/>
      <c r="W122" s="187"/>
      <c r="X122" s="187"/>
      <c r="Y122" s="187"/>
      <c r="Z122" s="187"/>
      <c r="AB122" s="1"/>
    </row>
    <row r="123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T123" s="187"/>
      <c r="U123" s="187"/>
      <c r="V123" s="187"/>
      <c r="W123" s="187"/>
      <c r="X123" s="187"/>
      <c r="Y123" s="187"/>
      <c r="Z123" s="187"/>
      <c r="AB123" s="1"/>
    </row>
    <row r="124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"/>
      <c r="AB124" s="1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S125" s="187"/>
      <c r="T125" s="187"/>
      <c r="U125" s="187"/>
      <c r="V125" s="187"/>
      <c r="W125" s="187"/>
      <c r="X125" s="187"/>
      <c r="Y125" s="187"/>
      <c r="Z125" s="187"/>
      <c r="AB125" s="1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O126" s="187"/>
      <c r="P126" s="187"/>
      <c r="Q126" s="187"/>
      <c r="S126" s="187"/>
      <c r="T126" s="187"/>
      <c r="U126" s="187"/>
      <c r="V126" s="187"/>
      <c r="W126" s="187"/>
      <c r="X126" s="187"/>
      <c r="Y126" s="187"/>
      <c r="Z126" s="187"/>
      <c r="AB126" s="1">
        <v>0.0</v>
      </c>
    </row>
    <row r="127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O127" s="187"/>
      <c r="P127" s="187"/>
      <c r="Q127" s="187"/>
      <c r="S127" s="187"/>
      <c r="T127" s="187"/>
      <c r="U127" s="187"/>
      <c r="V127" s="187"/>
      <c r="W127" s="187"/>
      <c r="X127" s="187"/>
      <c r="Y127" s="187"/>
      <c r="Z127" s="187"/>
      <c r="AB127" s="1"/>
    </row>
    <row r="128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O128" s="187"/>
      <c r="P128" s="187"/>
      <c r="Q128" s="187"/>
      <c r="S128" s="187"/>
      <c r="T128" s="187"/>
      <c r="U128" s="187"/>
      <c r="V128" s="187"/>
      <c r="W128" s="187"/>
      <c r="X128" s="187"/>
      <c r="Y128" s="187"/>
      <c r="Z128" s="187"/>
      <c r="AB128" s="1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"/>
      <c r="AB129" s="1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T130" s="187"/>
      <c r="U130" s="187"/>
      <c r="V130" s="187"/>
      <c r="W130" s="187"/>
      <c r="X130" s="187"/>
      <c r="Y130" s="187"/>
      <c r="Z130" s="187"/>
      <c r="AB130" s="1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T131" s="187"/>
      <c r="U131" s="187"/>
      <c r="V131" s="187"/>
      <c r="W131" s="187"/>
      <c r="X131" s="187"/>
      <c r="Y131" s="187"/>
      <c r="Z131" s="187"/>
      <c r="AB131" s="1"/>
    </row>
    <row r="132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O132" s="187"/>
      <c r="P132" s="187"/>
      <c r="Q132" s="187"/>
      <c r="S132" s="187"/>
      <c r="T132" s="187"/>
      <c r="U132" s="187"/>
      <c r="V132" s="187"/>
      <c r="W132" s="187"/>
      <c r="X132" s="187"/>
      <c r="Y132" s="187"/>
      <c r="Z132" s="187"/>
      <c r="AB132" s="1">
        <v>0.0</v>
      </c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O133" s="187"/>
      <c r="P133" s="187"/>
      <c r="Q133" s="187"/>
      <c r="S133" s="187"/>
      <c r="T133" s="187"/>
      <c r="U133" s="187"/>
      <c r="V133" s="187"/>
      <c r="W133" s="187"/>
      <c r="X133" s="187"/>
      <c r="Y133" s="187"/>
      <c r="Z133" s="187"/>
      <c r="AB133" s="1">
        <v>0.0</v>
      </c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O134" s="187"/>
      <c r="P134" s="187"/>
      <c r="Q134" s="187"/>
      <c r="S134" s="187"/>
      <c r="T134" s="187"/>
      <c r="U134" s="187"/>
      <c r="V134" s="187"/>
      <c r="W134" s="187"/>
      <c r="X134" s="187"/>
      <c r="Y134" s="187"/>
      <c r="Z134" s="187"/>
      <c r="AB134" s="1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S135" s="187"/>
      <c r="T135" s="187"/>
      <c r="U135" s="187"/>
      <c r="V135" s="187"/>
      <c r="W135" s="187"/>
      <c r="X135" s="187"/>
      <c r="Y135" s="187"/>
      <c r="Z135" s="187"/>
      <c r="AB135" s="1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S136" s="187"/>
      <c r="T136" s="187"/>
      <c r="U136" s="187"/>
      <c r="V136" s="187"/>
      <c r="W136" s="187"/>
      <c r="X136" s="187"/>
      <c r="Y136" s="187"/>
      <c r="Z136" s="187"/>
      <c r="AB136" s="1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O137" s="187"/>
      <c r="P137" s="187"/>
      <c r="Q137" s="187"/>
      <c r="S137" s="187"/>
      <c r="T137" s="187"/>
      <c r="U137" s="187"/>
      <c r="V137" s="187"/>
      <c r="W137" s="187"/>
      <c r="X137" s="187"/>
      <c r="Y137" s="187"/>
      <c r="Z137" s="187"/>
      <c r="AB137" s="1">
        <v>0.0</v>
      </c>
    </row>
    <row r="138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T138" s="187"/>
      <c r="U138" s="187"/>
      <c r="V138" s="187"/>
      <c r="W138" s="187"/>
      <c r="X138" s="187"/>
      <c r="Y138" s="187"/>
      <c r="Z138" s="187"/>
      <c r="AB138" s="1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O139" s="187"/>
      <c r="P139" s="187"/>
      <c r="Q139" s="187"/>
      <c r="S139" s="187"/>
      <c r="T139" s="187"/>
      <c r="U139" s="187"/>
      <c r="V139" s="187"/>
      <c r="W139" s="187"/>
      <c r="X139" s="187"/>
      <c r="Y139" s="187"/>
      <c r="Z139" s="187"/>
      <c r="AB139" s="1">
        <v>0.0</v>
      </c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S140" s="187"/>
      <c r="T140" s="187"/>
      <c r="U140" s="187"/>
      <c r="V140" s="187"/>
      <c r="W140" s="187"/>
      <c r="X140" s="187"/>
      <c r="Y140" s="187"/>
      <c r="Z140" s="187"/>
      <c r="AB140" s="1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O141" s="187"/>
      <c r="P141" s="187"/>
      <c r="Q141" s="187"/>
      <c r="S141" s="187"/>
      <c r="T141" s="187"/>
      <c r="U141" s="187"/>
      <c r="V141" s="187"/>
      <c r="W141" s="187"/>
      <c r="X141" s="187"/>
      <c r="Y141" s="187"/>
      <c r="Z141" s="187"/>
      <c r="AB141" s="1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