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<sst xmlns="http://schemas.openxmlformats.org/spreadsheetml/2006/main" count="6928" uniqueCount="2009">
  <si>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</si>
  <si>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</si>
  <si>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</si>
  <si>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</si>
  <si>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</si>
  <si>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</si>
  <si>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</si>
  <si>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</si>
  <si>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</si>
  <si>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</si>
  <si>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</si>
  <si>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</si>
  <si>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</si>
  <si>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</si>
  <si>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</si>
  <si>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</si>
  <si>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</si>
  <si>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</si>
  <si>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</si>
  <si>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</si>
  <si>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</si>
  <si>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</si>
  <si>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</si>
  <si>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</si>
  <si>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</si>
  <si>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</si>
  <si>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</si>
  <si>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</si>
  <si>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</si>
  <si>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</si>
  <si>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</si>
  <si>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</si>
  <si>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</si>
  <si>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</si>
  <si>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</si>
  <si>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</si>
  <si>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</si>
  <si>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</si>
  <si>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</si>
  <si>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</si>
  <si>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</si>
  <si>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</si>
  <si>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</si>
  <si>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</si>
  <si>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</si>
  <si>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</si>
  <si>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</si>
  <si>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</si>
  <si>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</si>
  <si>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</si>
  <si>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</si>
  <si>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</si>
  <si>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</si>
  <si>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</si>
  <si>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</si>
  <si>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</si>
  <si>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</si>
  <si>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</si>
  <si>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</si>
  <si>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</si>
  <si>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</si>
  <si>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</si>
  <si>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</si>
  <si>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</si>
  <si>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</si>
  <si>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</si>
  <si>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</si>
  <si>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</si>
  <si>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</si>
  <si>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</si>
  <si>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</si>
  <si>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</si>
  <si>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</si>
  <si>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</si>
  <si>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</si>
  <si>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</si>
  <si>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</si>
  <si>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</si>
  <si>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</si>
  <si>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</si>
  <si>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</si>
  <si>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</si>
  <si>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</si>
  <si>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</si>
  <si>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</si>
  <si>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</si>
  <si>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</si>
  <si>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</si>
  <si>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</si>
  <si>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</si>
  <si>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</si>
  <si>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</si>
  <si>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</si>
  <si>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</si>
  <si>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</si>
  <si>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</si>
  <si>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</si>
  <si>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</si>
  <si>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</si>
  <si>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</si>
  <si>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</si>
  <si>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</si>
  <si>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</si>
  <si>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</si>
  <si>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</si>
  <si>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</si>
  <si>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</si>
  <si>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</si>
  <si>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</si>
  <si>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</si>
  <si>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</si>
  <si>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</si>
  <si>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</si>
  <si>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</si>
  <si>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</si>
  <si>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</si>
  <si>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</si>
  <si>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</si>
  <si>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</si>
  <si>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</si>
  <si>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</si>
  <si>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</si>
  <si>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</si>
  <si>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</si>
  <si>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</si>
  <si>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</si>
  <si>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</si>
  <si>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</si>
  <si>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</si>
  <si>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</si>
  <si>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</si>
  <si>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</si>
  <si>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</si>
  <si>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</si>
  <si>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</si>
  <si>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</si>
  <si>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</si>
  <si>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</si>
  <si>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</si>
  <si>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</si>
  <si>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</si>
  <si>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</si>
  <si>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</si>
  <si>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</si>
  <si>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</si>
  <si>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</si>
  <si>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</si>
  <si>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</si>
  <si>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</si>
  <si>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</si>
  <si>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</si>
  <si>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</si>
  <si>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</si>
  <si>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</si>
  <si>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</si>
  <si>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</si>
  <si>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</si>
  <si>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</si>
  <si>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</si>
  <si>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</si>
  <si>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</si>
  <si>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</si>
  <si>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</si>
  <si>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</si>
  <si>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</si>
  <si>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</si>
  <si>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</si>
  <si>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</si>
  <si>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</si>
  <si>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</si>
  <si>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</si>
  <si>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</si>
  <si>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</si>
  <si>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</si>
  <si>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</si>
  <si>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</si>
  <si>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</si>
  <si>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</si>
  <si>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</si>
  <si>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</si>
  <si>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</si>
  <si>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</si>
  <si>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</si>
  <si>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</si>
  <si>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</si>
  <si>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</si>
  <si>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</si>
  <si>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</si>
  <si>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</si>
  <si>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</si>
  <si>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</si>
  <si>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</si>
  <si>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</si>
  <si>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</si>
  <si>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</si>
  <si>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</si>
  <si>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</si>
  <si>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</si>
  <si>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</si>
  <si>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</si>
  <si>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</si>
  <si>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</si>
  <si>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</si>
  <si>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</si>
  <si>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</si>
  <si>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</si>
  <si>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</si>
  <si>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</si>
  <si>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</si>
  <si>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</si>
  <si>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</si>
  <si>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</si>
  <si>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</si>
  <si>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</si>
  <si>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</si>
  <si>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</si>
  <si>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</si>
  <si>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</si>
  <si>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</si>
  <si>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</si>
  <si>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</si>
  <si>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</si>
  <si>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</si>
  <si>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</si>
  <si>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</si>
  <si>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</si>
  <si>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</si>
  <si>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</si>
  <si>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</si>
  <si>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</si>
  <si>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</si>
  <si>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</si>
  <si>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</si>
  <si>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</si>
  <si>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</si>
  <si>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</si>
  <si>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</si>
  <si>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</si>
  <si>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</si>
  <si>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</si>
  <si>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</si>
  <si>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</si>
  <si>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</si>
  <si>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</si>
  <si>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</si>
  <si>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</si>
  <si>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</si>
  <si>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</si>
  <si>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</si>
  <si>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</si>
  <si>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</si>
  <si>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</si>
  <si>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</si>
  <si>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</si>
  <si>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</si>
  <si>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</si>
  <si>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</si>
  <si>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</si>
  <si>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</si>
  <si>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</si>
  <si>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</si>
  <si>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</si>
  <si>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</si>
  <si>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</si>
  <si>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</si>
  <si>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</si>
  <si>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</si>
  <si>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</si>
  <si>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</si>
  <si>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</si>
  <si>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</si>
  <si>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</si>
  <si>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</si>
  <si>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</si>
  <si>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</si>
  <si>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</si>
  <si>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</si>
  <si>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</si>
  <si>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</si>
  <si>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</si>
  <si>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</si>
  <si>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</si>
  <si>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</si>
  <si>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</si>
  <si>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</si>
  <si>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</si>
  <si>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</si>
  <si>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</si>
  <si>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</si>
  <si>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</si>
  <si>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</si>
  <si>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</si>
  <si>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</si>
  <si>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</si>
  <si>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</si>
  <si>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</si>
  <si>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</si>
  <si>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</si>
  <si>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</si>
  <si>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</si>
  <si>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</si>
  <si>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</si>
  <si>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</si>
  <si>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</si>
  <si>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</si>
  <si>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</si>
  <si>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</si>
  <si>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</si>
  <si>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</si>
  <si>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</si>
  <si>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</si>
  <si>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</si>
  <si>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</si>
  <si>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</si>
  <si>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</si>
  <si>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</si>
  <si>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</si>
  <si>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</si>
  <si>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</si>
  <si>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</si>
  <si>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</si>
  <si>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</si>
  <si>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</si>
  <si>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</si>
  <si>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</si>
  <si>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</si>
  <si>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</si>
  <si>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</si>
  <si>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</si>
  <si>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</si>
  <si>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</si>
  <si>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</si>
  <si>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</si>
  <si>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</si>
  <si>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</si>
  <si>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</si>
  <si>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</si>
  <si>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</si>
  <si>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</si>
  <si>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</si>
  <si>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</si>
  <si>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</si>
  <si>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</si>
  <si>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</si>
  <si>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</si>
  <si>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</si>
  <si>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</si>
  <si>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</si>
  <si>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</si>
  <si>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</si>
  <si>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</si>
  <si>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</si>
  <si>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</si>
  <si>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</si>
  <si>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</si>
  <si>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</si>
  <si>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</si>
  <si>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</si>
  <si>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</si>
  <si>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</si>
  <si>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</si>
  <si>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</si>
  <si>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</si>
  <si>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</si>
  <si>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</si>
  <si>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</si>
  <si>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</si>
  <si>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</si>
  <si>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</si>
  <si>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</si>
  <si>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</si>
  <si>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</si>
  <si>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</si>
  <si>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</si>
  <si>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</si>
  <si>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</si>
  <si>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</si>
  <si>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</si>
  <si>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</si>
  <si>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</si>
  <si>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</si>
  <si>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</si>
  <si>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</si>
  <si>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</si>
  <si>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</si>
  <si>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</si>
  <si>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</si>
  <si>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</si>
  <si>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</si>
  <si>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</si>
  <si>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</si>
  <si>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</si>
  <si>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</si>
  <si>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</si>
  <si>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</si>
  <si>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</si>
  <si>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</si>
  <si>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</si>
  <si>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</si>
  <si>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</si>
  <si>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</si>
  <si>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</si>
  <si>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</si>
  <si>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</si>
  <si>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</si>
  <si>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</si>
  <si>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</si>
  <si>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</si>
  <si>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</si>
  <si>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</si>
  <si>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</si>
  <si>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</si>
  <si>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</si>
  <si>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</si>
  <si>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</si>
  <si>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</si>
  <si>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</si>
  <si>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</si>
  <si>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</si>
  <si>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</si>
  <si>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</si>
  <si>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</si>
  <si>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</si>
  <si>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</si>
  <si>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</si>
  <si>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</si>
  <si>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</si>
  <si>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</si>
  <si>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</si>
  <si>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</si>
  <si>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</si>
  <si>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</si>
  <si>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</si>
  <si>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</si>
  <si>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</si>
  <si>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</si>
  <si>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</si>
  <si>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</si>
  <si>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</si>
  <si>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</si>
  <si>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</si>
  <si>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</si>
  <si>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</si>
  <si>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</si>
  <si>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</si>
  <si>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</si>
  <si>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</si>
  <si>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</si>
  <si>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</si>
  <si>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</si>
  <si>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</si>
  <si>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</si>
  <si>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</si>
  <si>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</si>
  <si>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</si>
  <si>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</si>
  <si>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</si>
  <si>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</si>
  <si>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</si>
  <si>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</si>
  <si>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</si>
  <si>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</si>
  <si>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</si>
  <si>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</si>
  <si>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</si>
  <si>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</si>
  <si>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</si>
  <si>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</si>
  <si>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</si>
  <si>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</si>
  <si>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</si>
  <si>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</si>
  <si>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</si>
  <si>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</si>
  <si>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</si>
  <si>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</si>
  <si>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</si>
  <si>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</si>
  <si>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</si>
  <si>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</si>
  <si>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</si>
  <si>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</si>
  <si>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</si>
  <si>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</si>
  <si>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</si>
  <si>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</si>
  <si>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</si>
  <si>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</si>
  <si>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</si>
  <si>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</si>
  <si>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</si>
  <si>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</si>
  <si>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</si>
  <si>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</si>
  <si>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</si>
  <si>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</si>
  <si>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</si>
  <si>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</si>
  <si>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</si>
  <si>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</si>
  <si>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</si>
  <si>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</si>
  <si>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</si>
  <si>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</si>
  <si>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</si>
  <si>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</si>
  <si>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</si>
  <si>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</si>
  <si>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</si>
  <si>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</si>
  <si>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</si>
  <si>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</si>
  <si>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</si>
  <si>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</si>
  <si>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</si>
  <si>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</si>
  <si>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</si>
  <si>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</si>
  <si>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</si>
  <si>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</si>
  <si>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</si>
  <si>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</si>
  <si>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</si>
  <si>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</si>
  <si>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</si>
  <si>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</si>
  <si>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</si>
  <si>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</si>
  <si>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</si>
  <si>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</si>
  <si>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</si>
  <si>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</si>
  <si>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</si>
  <si>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</si>
  <si>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</si>
  <si>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</si>
  <si>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</si>
  <si>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</si>
  <si>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</si>
  <si>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</si>
  <si>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</si>
  <si>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</si>
  <si>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</si>
  <si>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</si>
  <si>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</si>
  <si>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</si>
  <si>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</si>
  <si>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</si>
  <si>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</si>
  <si>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</si>
  <si>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</si>
  <si>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</si>
  <si>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</si>
  <si>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</si>
  <si>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</si>
  <si>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</si>
  <si>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</si>
  <si>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</si>
  <si>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</si>
  <si>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</si>
  <si>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</si>
  <si>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</si>
  <si>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</si>
  <si>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</si>
  <si>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</si>
  <si>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</si>
  <si>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</si>
  <si>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</si>
  <si>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</si>
  <si>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</si>
  <si>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</si>
  <si>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</si>
  <si>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</si>
  <si>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</si>
  <si>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</si>
  <si>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</si>
  <si>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</si>
  <si>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</si>
  <si>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</si>
  <si>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</si>
  <si>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</si>
  <si>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</si>
  <si>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</si>
  <si>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</si>
  <si>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</si>
  <si>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</si>
  <si>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</si>
  <si>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</si>
  <si>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</si>
  <si>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</si>
  <si>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</si>
  <si>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</si>
  <si>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</si>
  <si>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</si>
  <si>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</si>
  <si>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</si>
  <si>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</si>
  <si>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</si>
  <si>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</si>
  <si>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</si>
  <si>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</si>
  <si>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</si>
  <si>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</si>
  <si>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</si>
  <si>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</si>
  <si>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</si>
  <si>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</si>
  <si>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</si>
  <si>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</si>
  <si>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</si>
  <si>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</si>
  <si>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</si>
  <si>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</si>
  <si>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</si>
  <si>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</si>
  <si>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</si>
  <si>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</si>
  <si>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</si>
  <si>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</si>
  <si>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</si>
  <si>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</si>
  <si>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</si>
  <si>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</si>
  <si>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</si>
  <si>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</si>
  <si>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</si>
  <si>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</si>
  <si>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</si>
  <si>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</si>
  <si>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</si>
  <si>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</si>
  <si>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</si>
  <si>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</si>
  <si>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</si>
  <si>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</si>
  <si>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</si>
  <si>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</si>
  <si>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</si>
  <si>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</si>
  <si>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</si>
  <si>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</si>
  <si>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</si>
  <si>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</si>
  <si>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</si>
  <si>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</si>
  <si>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</si>
  <si>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</si>
  <si>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</si>
  <si>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</si>
  <si>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</si>
  <si>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</si>
  <si>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</si>
  <si>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</si>
  <si>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</si>
  <si>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</si>
  <si>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</si>
  <si>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</si>
  <si>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</si>
  <si>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</si>
  <si>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</si>
  <si>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</si>
  <si>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</si>
  <si>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</si>
  <si>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</si>
  <si>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</si>
  <si>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</si>
  <si>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</si>
  <si>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</si>
  <si>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</si>
  <si>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</si>
  <si>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</si>
  <si>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</si>
  <si>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</si>
  <si>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</si>
  <si>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</si>
  <si>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</si>
  <si>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</si>
  <si>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</si>
  <si>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</si>
  <si>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</si>
  <si>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</si>
  <si>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</si>
  <si>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</si>
  <si>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</si>
  <si>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</si>
  <si>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</si>
  <si>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</si>
  <si>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</si>
  <si>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</si>
  <si>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</si>
  <si>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</si>
  <si>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</si>
  <si>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</si>
  <si>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</si>
  <si>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</si>
  <si>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</si>
  <si>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</si>
  <si>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</si>
  <si>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</si>
  <si>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</si>
  <si>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</si>
  <si>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</si>
  <si>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</si>
  <si>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</si>
  <si>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</si>
  <si>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</si>
  <si>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</si>
  <si>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</si>
  <si>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</si>
  <si>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</si>
  <si>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</si>
  <si>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</si>
  <si>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</si>
  <si>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</si>
  <si>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</si>
  <si>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</si>
  <si>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</si>
  <si>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</si>
  <si>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</si>
  <si>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</si>
  <si>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</si>
  <si>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</si>
  <si>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</si>
  <si>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</si>
  <si>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</si>
  <si>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</si>
  <si>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</si>
  <si>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</si>
  <si>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</si>
  <si>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</si>
  <si>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</si>
  <si>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</si>
  <si>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</si>
  <si>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</si>
  <si>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</si>
  <si>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</si>
  <si>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</si>
  <si>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</si>
  <si>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</si>
  <si>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</si>
  <si>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</si>
  <si>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</si>
  <si>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</si>
  <si>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</si>
  <si>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</si>
  <si>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</si>
  <si>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</si>
  <si>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</si>
  <si>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</si>
  <si>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</si>
  <si>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</si>
  <si>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</si>
  <si>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</si>
  <si>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</si>
  <si>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</si>
  <si>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</si>
  <si>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</si>
  <si>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</si>
  <si>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</si>
  <si>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</si>
  <si>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</si>
  <si>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</si>
  <si>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</si>
  <si>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</si>
  <si>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</si>
  <si>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</si>
  <si>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</si>
  <si>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</si>
  <si>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</si>
  <si>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</si>
  <si>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</si>
  <si>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</si>
  <si>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</si>
  <si>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</si>
  <si>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</si>
  <si>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</si>
  <si>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</si>
  <si>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</si>
  <si>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</si>
  <si>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</si>
  <si>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</si>
  <si>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</si>
  <si>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</si>
  <si>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</si>
  <si>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</si>
  <si>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</si>
  <si>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</si>
  <si>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</si>
  <si>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</si>
  <si>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</si>
  <si>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</si>
  <si>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</si>
  <si>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</si>
  <si>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</si>
  <si>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</si>
  <si>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</si>
  <si>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</si>
  <si>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</si>
  <si>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</si>
  <si>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</si>
  <si>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</si>
  <si>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</si>
  <si>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</si>
  <si>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</si>
  <si>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</si>
  <si>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</si>
  <si>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</si>
  <si>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</si>
  <si>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</si>
  <si>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</si>
  <si>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</si>
  <si>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</si>
  <si>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</si>
  <si>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</si>
  <si>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</si>
  <si>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</si>
  <si>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</si>
  <si>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</si>
  <si>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</si>
  <si>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</si>
  <si>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</si>
  <si>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</si>
  <si>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</si>
  <si>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</si>
  <si>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</si>
  <si>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</si>
  <si>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</si>
  <si>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</si>
  <si>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</si>
  <si>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</si>
  <si>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</si>
  <si>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</si>
  <si>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</si>
  <si>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</si>
  <si>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</si>
  <si>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</si>
  <si>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</si>
  <si>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</si>
  <si>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</si>
  <si>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</si>
  <si>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</si>
  <si>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</si>
  <si>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</si>
  <si>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</si>
  <si>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</si>
  <si>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</si>
  <si>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</si>
  <si>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</si>
  <si>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</si>
  <si>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</si>
  <si>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</si>
  <si>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</si>
  <si>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</si>
  <si>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</si>
  <si>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</si>
  <si>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</si>
  <si>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</si>
  <si>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</si>
  <si>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</si>
  <si>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</si>
  <si>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</si>
  <si>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</si>
  <si>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</si>
  <si>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</si>
  <si>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</si>
  <si>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</si>
  <si>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</si>
  <si>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</si>
  <si>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</si>
  <si>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</si>
  <si>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</si>
  <si>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</si>
  <si>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</si>
  <si>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</si>
  <si>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</si>
  <si>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</si>
  <si>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</si>
  <si>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</si>
  <si>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</si>
  <si>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</si>
  <si>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</si>
  <si>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</si>
  <si>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</si>
  <si>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</si>
  <si>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</si>
  <si>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</si>
  <si>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</si>
  <si>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</si>
  <si>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</si>
  <si>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</si>
  <si>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</si>
  <si>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</si>
  <si>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</si>
  <si>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</si>
  <si>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</si>
  <si>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</si>
  <si>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</si>
  <si>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</si>
  <si>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</si>
  <si>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</si>
  <si>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</si>
  <si>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</si>
  <si>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</si>
  <si>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</si>
  <si>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</si>
  <si>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</si>
  <si>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</si>
  <si>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</si>
  <si>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</si>
  <si>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</si>
  <si>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</si>
  <si>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</si>
  <si>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</si>
  <si>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</si>
  <si>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</si>
  <si>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</si>
  <si>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</si>
  <si>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</si>
  <si>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</si>
  <si>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</si>
  <si>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</si>
  <si>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</si>
  <si>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</si>
  <si>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</si>
  <si>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</si>
  <si>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</si>
  <si>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</si>
  <si>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</si>
  <si>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</si>
  <si>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</si>
  <si>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</si>
  <si>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</si>
  <si>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</si>
  <si>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</si>
  <si>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</si>
  <si>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</si>
  <si>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</si>
  <si>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</si>
  <si>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</si>
  <si>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</si>
  <si>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</si>
  <si>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</si>
  <si>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</si>
  <si>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</si>
  <si>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</si>
  <si>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</si>
  <si>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</si>
  <si>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</si>
  <si>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</si>
  <si>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</si>
  <si>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</si>
  <si>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</si>
  <si>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</si>
  <si>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</si>
  <si>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</si>
  <si>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</si>
  <si>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</si>
  <si>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</si>
  <si>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</si>
  <si>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</si>
  <si>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</si>
  <si>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</si>
  <si>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</si>
  <si>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</si>
  <si>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</si>
  <si>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</si>
  <si>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</si>
  <si>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</si>
  <si>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</si>
  <si>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</si>
  <si>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</si>
  <si>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</si>
  <si>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</si>
  <si>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</si>
  <si>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</si>
  <si>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</si>
  <si>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</si>
  <si>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</si>
  <si>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</si>
  <si>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</si>
  <si>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</si>
  <si>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</si>
  <si>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</si>
  <si>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</si>
  <si>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</si>
  <si>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</si>
  <si>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</si>
  <si>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</si>
  <si>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</si>
  <si>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</si>
  <si>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</si>
  <si>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</si>
  <si>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</si>
  <si>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</si>
  <si>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</si>
  <si>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</si>
  <si>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</si>
  <si>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</si>
  <si>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</si>
  <si>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</si>
  <si>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</si>
  <si>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</si>
  <si>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</si>
  <si>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</si>
  <si>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</si>
  <si>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</si>
  <si>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</si>
  <si>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</si>
  <si>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</si>
  <si>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</si>
  <si>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</si>
  <si>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</si>
  <si>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</si>
  <si>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</si>
  <si>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</si>
  <si>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</si>
  <si>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</si>
  <si>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</si>
  <si>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</si>
  <si>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</si>
  <si>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</si>
  <si>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</si>
  <si>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</si>
  <si>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</si>
  <si>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</si>
  <si>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</si>
  <si>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</si>
  <si>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</si>
  <si>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</si>
  <si>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</si>
  <si>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</si>
  <si>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</si>
  <si>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</si>
  <si>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</si>
  <si>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</si>
  <si>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</si>
  <si>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</si>
  <si>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</si>
  <si>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</si>
  <si>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</si>
  <si>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</si>
  <si>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</si>
  <si>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</si>
  <si>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</si>
  <si>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</si>
  <si>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</si>
  <si>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</si>
  <si>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</si>
  <si>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</si>
  <si>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</si>
  <si>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</si>
  <si>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</si>
  <si>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</si>
  <si>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</si>
  <si>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</si>
  <si>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</si>
  <si>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</si>
  <si>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</si>
  <si>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</si>
  <si>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</si>
  <si>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</si>
  <si>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</si>
  <si>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</si>
  <si>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</si>
  <si>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</si>
  <si>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</si>
  <si>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</si>
  <si>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</si>
  <si>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</si>
  <si>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</si>
  <si>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</si>
  <si>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</si>
  <si>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</si>
  <si>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</si>
  <si>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</si>
  <si>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</si>
  <si>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</si>
  <si>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</si>
  <si>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</si>
  <si>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</si>
  <si>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</si>
  <si>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</si>
  <si>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</si>
  <si>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</si>
  <si>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</si>
  <si>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</si>
  <si>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</si>
  <si>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</si>
  <si>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</si>
  <si>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</si>
  <si>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</si>
  <si>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</si>
  <si>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</si>
  <si>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</si>
  <si>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</si>
  <si>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</si>
  <si>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</si>
  <si>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</si>
  <si>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</si>
  <si>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</si>
  <si>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</si>
  <si>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</si>
  <si>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</si>
  <si>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</si>
  <si>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</si>
  <si>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</si>
  <si>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</si>
  <si>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</si>
  <si>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</si>
  <si>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</si>
  <si>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</si>
  <si>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</si>
  <si>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</si>
  <si>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</si>
  <si>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</si>
  <si>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</si>
  <si>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</si>
  <si>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</si>
  <si>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</si>
  <si>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</si>
  <si>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</si>
  <si>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</si>
  <si>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</si>
  <si>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</si>
  <si>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</si>
  <si>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</si>
  <si>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</si>
  <si>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</si>
  <si>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</si>
  <si>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</si>
  <si>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</si>
  <si>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</si>
  <si>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</si>
  <si>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</si>
  <si>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</si>
  <si>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</si>
  <si>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</si>
  <si>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</si>
  <si>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</si>
  <si>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</si>
  <si>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</si>
  <si>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</si>
  <si>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</si>
  <si>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</si>
  <si>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</si>
  <si>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</si>
  <si>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</si>
  <si>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</si>
  <si>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</si>
  <si>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</si>
  <si>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</si>
  <si>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</si>
  <si>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</si>
  <si>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</si>
  <si>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</si>
  <si>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</si>
  <si>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</si>
  <si>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</si>
  <si>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</si>
  <si>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</si>
  <si>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</si>
  <si>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</si>
  <si>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</si>
  <si>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</si>
  <si>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</si>
  <si>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</si>
  <si>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</si>
  <si>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</si>
  <si>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</si>
  <si>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</si>
  <si>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</si>
  <si>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</si>
  <si>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</si>
  <si>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</si>
  <si>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</si>
  <si>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</si>
  <si>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</si>
  <si>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</si>
  <si>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</si>
  <si>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</si>
  <si>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</si>
  <si>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</si>
  <si>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</si>
  <si>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</si>
  <si>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</si>
  <si>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</si>
  <si>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</si>
  <si>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</si>
  <si>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</si>
  <si>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</si>
  <si>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</si>
  <si>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</si>
  <si>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</si>
  <si>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</si>
  <si>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</si>
  <si>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</si>
  <si>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</si>
  <si>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</si>
  <si>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</si>
  <si>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</si>
  <si>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</si>
  <si>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</si>
  <si>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</si>
  <si>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</si>
  <si>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</si>
  <si>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</si>
  <si>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</si>
  <si>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</si>
  <si>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</si>
  <si>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</si>
  <si>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</si>
  <si>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</si>
  <si>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</si>
  <si>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</si>
  <si>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</si>
  <si>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</si>
  <si>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</si>
  <si>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</si>
  <si>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</si>
  <si>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</si>
  <si>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</si>
  <si>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</si>
  <si>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</si>
  <si>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</si>
  <si>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</si>
  <si>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</si>
  <si>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</si>
  <si>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</si>
  <si>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</si>
  <si>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</si>
  <si>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</si>
  <si>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</si>
  <si>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</si>
  <si>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</si>
  <si>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</si>
  <si>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</si>
  <si>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</si>
  <si>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</si>
  <si>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</si>
  <si>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</si>
  <si>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</si>
  <si>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</si>
  <si>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</si>
  <si>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</si>
  <si>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</si>
  <si>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</si>
  <si>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</si>
  <si>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</si>
  <si>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</si>
  <si>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</si>
  <si>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</si>
  <si>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</si>
  <si>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</si>
  <si>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</si>
  <si>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</si>
  <si>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</si>
  <si>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</si>
  <si>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</si>
  <si>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</si>
  <si>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</si>
  <si>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</si>
  <si>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</si>
  <si>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</si>
  <si>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</si>
  <si>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</si>
  <si>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</si>
  <si>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</si>
  <si>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</si>
  <si>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</si>
  <si>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</si>
  <si>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</si>
  <si>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</si>
  <si>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</si>
  <si>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</si>
  <si>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</si>
  <si>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</si>
  <si>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</si>
  <si>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</si>
  <si>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</si>
  <si>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</si>
  <si>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</si>
  <si>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</si>
  <si>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</si>
  <si>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</si>
  <si>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</si>
  <si>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</si>
  <si>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</si>
  <si>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</si>
  <si>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</si>
  <si>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</si>
  <si>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</si>
  <si>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</si>
  <si>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</si>
  <si>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</si>
  <si>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</si>
  <si>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</si>
  <si>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</si>
  <si>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</si>
  <si>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</si>
  <si>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</si>
  <si>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</si>
  <si>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</si>
  <si>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</si>
  <si>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</si>
  <si>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</si>
  <si>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</si>
  <si>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</si>
  <si>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</si>
  <si>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</si>
  <si>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</si>
  <si>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</si>
  <si>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</si>
  <si>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</si>
  <si>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</si>
  <si>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</si>
  <si>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</si>
  <si>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</si>
  <si>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</si>
  <si>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</si>
  <si>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</si>
  <si>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</si>
  <si>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</si>
  <si>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</si>
  <si>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</si>
  <si>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</si>
  <si>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</si>
  <si>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</si>
  <si>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</si>
  <si>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</si>
  <si>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</si>
  <si>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</si>
  <si>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</si>
  <si>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</si>
  <si>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</si>
  <si>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</si>
  <si>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</si>
  <si>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</si>
  <si>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</si>
  <si>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</si>
  <si>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</si>
  <si>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</si>
  <si>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</si>
  <si>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</si>
  <si>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</si>
  <si>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</si>
  <si>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</si>
  <si>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</si>
  <si>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</si>
  <si>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</si>
  <si>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</si>
  <si>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</si>
  <si>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</si>
  <si>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</si>
  <si>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</si>
  <si>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</si>
  <si>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</si>
  <si>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</si>
  <si>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</si>
  <si>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</si>
  <si>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</si>
  <si>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</si>
  <si>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</si>
  <si>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</si>
  <si>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</si>
  <si>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</si>
  <si>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</si>
  <si>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</si>
  <si>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</si>
  <si>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</si>
  <si>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</si>
  <si>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</si>
  <si>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</si>
  <si>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</si>
  <si>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</si>
  <si>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</si>
  <si>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</si>
  <si>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</si>
  <si>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</si>
  <si>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</si>
  <si>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</si>
  <si>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</si>
  <si>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</si>
  <si>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</si>
  <si>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</si>
  <si>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</si>
  <si>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</si>
  <si>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</si>
  <si>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</si>
  <si>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</si>
  <si>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</si>
  <si>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</si>
  <si>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</si>
  <si>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</si>
  <si>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</si>
  <si>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</si>
  <si>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</si>
  <si>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</si>
  <si>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</si>
  <si>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</si>
  <si>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</si>
  <si>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</si>
  <si>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</si>
  <si>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</si>
  <si>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</si>
  <si>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</si>
  <si>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</si>
  <si>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</si>
  <si>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</si>
  <si>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</si>
  <si>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</si>
  <si>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</si>
  <si>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</si>
  <si>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</si>
  <si>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</si>
  <si>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</si>
  <si>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</si>
  <si>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</si>
  <si>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</si>
  <si>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</si>
  <si>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</si>
  <si>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</si>
  <si>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</si>
  <si>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</si>
  <si>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</si>
  <si>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</si>
  <si>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</si>
  <si>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</si>
  <si>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</si>
  <si>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</si>
  <si>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</si>
  <si>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</si>
  <si>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</si>
  <si>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</si>
  <si>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</si>
  <si>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</si>
  <si>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</si>
  <si>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</si>
  <si>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</si>
  <si>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</si>
  <si>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</si>
  <si>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</si>
  <si>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</si>
  <si>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</si>
  <si>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</si>
  <si>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</si>
  <si>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</si>
  <si>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</si>
  <si>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</si>
  <si>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</si>
  <si>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</si>
  <si>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</si>
  <si>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</si>
  <si>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</si>
  <si>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</si>
  <si>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</si>
  <si>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</si>
  <si>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</si>
  <si>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</si>
  <si>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</si>
  <si>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</si>
  <si>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</si>
  <si>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</si>
  <si>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</si>
  <si>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</si>
  <si>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</si>
  <si>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</si>
  <si>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</si>
  <si>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</si>
  <si>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</si>
  <si>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</si>
  <si>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</si>
  <si>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</si>
  <si>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</si>
  <si>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</si>
  <si>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</si>
  <si>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</si>
  <si>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</si>
  <si>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</si>
  <si>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</si>
  <si>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</si>
  <si>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</si>
  <si>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</si>
  <si>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</si>
  <si>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</si>
  <si>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</si>
  <si>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</si>
  <si>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</si>
  <si>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</si>
  <si>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</si>
  <si>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</si>
  <si>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</si>
  <si>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</si>
  <si>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</si>
  <si>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</si>
  <si>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</si>
  <si>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</si>
  <si>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</si>
  <si>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</si>
  <si>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</si>
  <si>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</si>
  <si>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</si>
  <si>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</si>
  <si>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</si>
  <si>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</si>
  <si>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</si>
  <si>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</si>
  <si>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</si>
  <si>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</si>
  <si>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</si>
  <si>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</si>
  <si>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</si>
  <si>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</si>
  <si>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</si>
  <si>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</si>
  <si>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</si>
  <si>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</si>
  <si>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</si>
  <si>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</si>
  <si>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</si>
  <si>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</si>
  <si>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</si>
  <si>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</si>
  <si>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</si>
  <si>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</si>
  <si>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</si>
  <si>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</si>
  <si>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</si>
  <si>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</si>
  <si>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</si>
  <si>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</si>
  <si>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</si>
  <si>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</si>
  <si>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</si>
  <si>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</si>
  <si>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</si>
  <si>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</si>
  <si>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</si>
  <si>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</si>
  <si>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</si>
  <si>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</si>
  <si>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</si>
  <si>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</si>
  <si>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</si>
  <si>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</si>
  <si>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</si>
  <si>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</si>
  <si>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</si>
  <si>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</si>
  <si>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</si>
  <si>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</si>
  <si>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</si>
  <si>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</si>
  <si>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</si>
  <si>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</si>
  <si>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</si>
  <si>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</si>
  <si>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</si>
  <si>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</si>
  <si>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</si>
  <si>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</si>
  <si>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</si>
  <si>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</si>
  <si>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</si>
  <si>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</si>
  <si>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</si>
  <si>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</si>
  <si>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</si>
  <si>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</si>
  <si>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</si>
  <si>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</si>
  <si>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</si>
  <si>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</si>
  <si>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</si>
  <si>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</si>
  <si>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</si>
  <si>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</si>
  <si>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</si>
  <si>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</si>
  <si>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</si>
  <si>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</si>
  <si>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</si>
  <si>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</si>
  <si>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</si>
  <si>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</si>
  <si>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</si>
  <si>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</si>
  <si>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</si>
  <si>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</si>
  <si>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</si>
  <si>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</si>
  <si>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</si>
  <si>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</si>
  <si>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</si>
  <si>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</si>
  <si>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</si>
  <si>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</si>
  <si>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</si>
  <si>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</si>
  <si>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</si>
  <si>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</si>
  <si>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</si>
  <si>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</si>
  <si>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</si>
  <si>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</si>
  <si>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</si>
  <si>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</si>
  <si>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</si>
  <si>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</si>
  <si>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</si>
  <si>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</si>
  <si>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</si>
  <si>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</si>
  <si>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</si>
  <si>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</si>
  <si>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</si>
  <si>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</si>
  <si>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</si>
  <si>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</si>
  <si>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</si>
  <si>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</si>
  <si>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</si>
  <si>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</si>
  <si>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</si>
  <si>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</si>
  <si>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</si>
  <si>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</si>
  <si>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</si>
  <si>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</si>
  <si>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</si>
  <si>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</si>
  <si>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</si>
  <si>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</si>
  <si>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</si>
  <si>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</si>
  <si>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</si>
  <si>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</si>
  <si>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</si>
  <si>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</si>
  <si>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</si>
  <si>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</si>
  <si>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</si>
  <si>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</si>
  <si>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</si>
  <si>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</si>
  <si>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</si>
  <si>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</si>
  <si>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</si>
  <si>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</si>
  <si>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</si>
  <si>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</si>
  <si>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</si>
  <si>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</si>
  <si>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</si>
  <si>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</si>
  <si>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</si>
  <si>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</si>
  <si>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</si>
  <si>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</si>
  <si>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</si>
  <si>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</si>
  <si>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</si>
  <si>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</si>
  <si>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</si>
  <si>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</si>
  <si>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</si>
  <si>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</si>
  <si>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</si>
  <si>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</si>
  <si>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</si>
  <si>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</si>
  <si>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</si>
  <si>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</si>
  <si>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</si>
  <si>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</si>
  <si>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</si>
  <si>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</si>
  <si>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</si>
  <si>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</si>
  <si>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</si>
  <si>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</si>
  <si>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</si>
  <si>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</si>
  <si>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</si>
  <si>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</si>
  <si>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</si>
  <si>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</si>
  <si>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</si>
  <si>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</si>
  <si>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</si>
  <si>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</si>
  <si>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</si>
  <si>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</si>
  <si>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</si>
  <si>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</si>
  <si>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</si>
  <si>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</si>
  <si>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</si>
  <si>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</si>
  <si>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</si>
  <si>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</si>
  <si>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</si>
  <si>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</si>
  <si>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</si>
  <si>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</si>
  <si>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</si>
  <si>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</si>
  <si>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</si>
  <si>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</si>
  <si>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</si>
  <si>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</si>
  <si>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</si>
  <si>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</si>
  <si>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</si>
  <si>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</si>
  <si>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</si>
  <si>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</si>
  <si>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</si>
  <si>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</si>
  <si>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</si>
  <si>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</si>
  <si>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</si>
  <si>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</si>
  <si>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</si>
  <si>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</si>
  <si>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</si>
  <si>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</si>
  <si>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</si>
  <si>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</si>
  <si>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</si>
  <si>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</si>
  <si>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</si>
  <si>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</si>
  <si>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</si>
  <si>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</si>
  <si>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</si>
  <si>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</si>
  <si>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</si>
  <si>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</si>
  <si>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</si>
  <si>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</si>
  <si>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</si>
  <si>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</si>
  <si>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</si>
  <si>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</si>
  <si>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</si>
  <si>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</si>
  <si>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</si>
  <si>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</si>
  <si>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</si>
  <si>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</si>
  <si>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</si>
  <si>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</si>
  <si>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</si>
  <si>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</si>
  <si>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</si>
  <si>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</si>
  <si>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</si>
  <si>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</si>
  <si>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</si>
  <si>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</si>
  <si>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</si>
  <si>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</si>
  <si>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</si>
  <si>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</si>
  <si>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</si>
  <si>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</si>
  <si>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</si>
  <si>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</si>
  <si>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</si>
  <si>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</si>
  <si>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</si>
  <si>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</si>
  <si>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</si>
  <si>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</si>
  <si>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</si>
  <si>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</si>
  <si>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</si>
  <si>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</si>
  <si>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</si>
  <si>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</si>
  <si>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</si>
  <si>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</si>
  <si>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</si>
  <si>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</si>
  <si>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</si>
  <si>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</si>
  <si>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</si>
  <si>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</si>
  <si>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</si>
  <si>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</si>
  <si>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</si>
  <si>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</si>
  <si>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</si>
  <si>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</si>
  <si>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</si>
  <si>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</si>
  <si>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</si>
  <si>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</si>
  <si>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</si>
  <si>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</si>
  <si>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</si>
  <si>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</si>
  <si>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</si>
  <si>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</si>
  <si>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</si>
  <si>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</si>
  <si>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</si>
  <si>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</si>
  <si>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</si>
  <si>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</si>
  <si>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</si>
  <si>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</si>
  <si>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</si>
  <si>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</si>
  <si>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</si>
  <si>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</si>
  <si>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</si>
  <si>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</si>
  <si>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</si>
  <si>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</si>
  <si>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</si>
  <si>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</si>
  <si>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</si>
  <si>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</si>
  <si>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</si>
  <si>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</si>
  <si>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</si>
  <si>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</si>
  <si>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</si>
  <si>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</si>
  <si>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</si>
  <si>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</si>
  <si>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</si>
  <si>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</si>
  <si>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</si>
  <si>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</si>
  <si>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</si>
  <si>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</si>
  <si>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</si>
  <si>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</si>
  <si>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</si>
  <si>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</si>
  <si>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</si>
  <si>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</si>
  <si>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</si>
  <si>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</si>
  <si>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</si>
  <si>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</si>
  <si>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</si>
  <si>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</si>
  <si>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</si>
  <si>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</si>
  <si>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</si>
  <si>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</si>
  <si>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</si>
  <si>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</si>
  <si>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</si>
  <si>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</si>
  <si>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</si>
  <si>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</si>
  <si>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</si>
  <si>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</si>
  <si>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</si>
  <si>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</si>
  <si>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</si>
  <si>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</si>
  <si>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</si>
  <si>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</si>
  <si>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</si>
  <si>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</si>
  <si>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</si>
  <si>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</si>
  <si>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</si>
  <si>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</si>
  <si>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</si>
  <si>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</si>
  <si>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</si>
  <si>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</si>
  <si>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</si>
  <si>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</si>
  <si>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</si>
  <si>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</si>
  <si>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</si>
  <si>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</si>
  <si>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</si>
  <si>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</si>
  <si>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</si>
  <si>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</si>
  <si>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</si>
  <si>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</si>
  <si>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</si>
  <si>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</si>
  <si>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</si>
  <si>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</si>
  <si>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</si>
  <si>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</si>
  <si>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</si>
  <si>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</si>
  <si>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</si>
  <si>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</si>
  <si>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</si>
  <si>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</si>
  <si>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</si>
  <si>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</si>
  <si>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</si>
  <si>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</si>
  <si>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</si>
  <si>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</si>
  <si>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</si>
  <si>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</si>
  <si>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</si>
  <si>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</si>
  <si>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</si>
  <si>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</si>
  <si>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</si>
  <si>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</si>
  <si>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</si>
  <si>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</si>
  <si>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</si>
  <si>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</si>
  <si>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</si>
  <si>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</si>
  <si>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</si>
  <si>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</si>
  <si>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</si>
  <si>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</si>
  <si>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</si>
  <si>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</si>
  <si>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</si>
  <si>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</si>
  <si>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</si>
  <si>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</si>
  <si>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</si>
  <si>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</si>
  <si>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</si>
  <si>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</si>
  <si>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</si>
  <si>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</si>
  <si>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</si>
  <si>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</si>
  <si>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</si>
  <si>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</si>
  <si>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</si>
  <si>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</si>
  <si>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</si>
  <si>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</si>
  <si>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</si>
  <si>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</si>
  <si>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</si>
  <si>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</si>
  <si>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</si>
  <si>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</si>
  <si>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</si>
  <si>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</si>
  <si>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</si>
  <si>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</si>
  <si>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Yarushynskyi Vladyslav</t>
  </si>
  <si>
    <t>Kopic Jakub</t>
  </si>
  <si>
    <t>Počet zpožděných našich rozvozů +5 min</t>
  </si>
  <si>
    <t>Počet rozvozů</t>
  </si>
  <si>
    <t xml:space="preserve">Vlastní vůz </t>
  </si>
  <si>
    <t>počet výdajových dokadů</t>
  </si>
  <si>
    <t>Reischl Jan</t>
  </si>
  <si>
    <t>Gorol Patrik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</si>
  <si>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</si>
  <si>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</si>
  <si>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</si>
  <si>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</si>
  <si>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</si>
  <si>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39:00</t>
  </si>
  <si>
    <t>29:00</t>
  </si>
  <si>
    <t>Hanibal Filip</t>
  </si>
  <si>
    <t>32:00</t>
  </si>
  <si>
    <t>6:00</t>
  </si>
  <si>
    <t>24:30</t>
  </si>
  <si>
    <t>Kalina Filip</t>
  </si>
  <si>
    <t>41:00</t>
  </si>
  <si>
    <t>Hendrych Rostislav</t>
  </si>
  <si>
    <t>44:30</t>
  </si>
  <si>
    <t>7:00</t>
  </si>
  <si>
    <t>Jurkovič Martin</t>
  </si>
  <si>
    <t>14:00</t>
  </si>
  <si>
    <t>Bubník Martin</t>
  </si>
  <si>
    <t>Dušek Sam</t>
  </si>
  <si>
    <t>4:00</t>
  </si>
  <si>
    <t>12 min 14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</si>
  <si>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</si>
  <si>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</si>
  <si>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</si>
  <si>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10:00 - 1:00 (Instor)</t>
  </si>
  <si>
    <t>11:00 - 1:00 (Instor)</t>
  </si>
  <si>
    <t>17:00 - 1:00 (Instor)</t>
  </si>
  <si>
    <t>18:00 - 22:00 (Instor)</t>
  </si>
  <si>
    <t>10:00 - 22:00 (Instor)</t>
  </si>
  <si>
    <t>11:00 - 17:00 (Kurýr)</t>
  </si>
  <si>
    <t>17:00 - 1:00 (Kurýr)</t>
  </si>
  <si>
    <t>17:00 - 3:00 (Kurýr)</t>
  </si>
  <si>
    <t>17:00 - 22:00 (Kurýr)</t>
  </si>
  <si>
    <t>18:00 - 23:00 (Instor)</t>
  </si>
  <si>
    <t>17:00 - 3:00 (Instor)</t>
  </si>
  <si>
    <t>17:00 - 0:00 (Instor)</t>
  </si>
  <si>
    <t>17:00 - 23:00 (Kurýr)</t>
  </si>
  <si>
    <t>18:00 - 0:00 (Instor)</t>
  </si>
  <si>
    <t>11:00 - 17:00 (Instor)</t>
  </si>
  <si>
    <t>11:00 - 23:00 (Kurýr)</t>
  </si>
  <si>
    <t>11:00 - 1:00 (Kurýr)</t>
  </si>
  <si>
    <t>11:00 - 0:00 (Kurýr)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</si>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</sst>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2" fillId="9" fontId="2" numFmtId="49" xfId="0" applyAlignment="1" applyBorder="1" applyFont="1" applyNumberForma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0" xfId="0" applyAlignment="1" applyBorder="1" applyFont="1">
      <alignment horizontal="center" readingOrder="0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22" fillId="9" fontId="2" numFmtId="20" xfId="0" applyAlignment="1" applyBorder="1" applyFont="1" applyNumberForma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borderId="0" fillId="0" fontId="1" numFmtId="49" xfId="0" applyAlignment="1" applyFont="1" applyNumberFormat="1">
      <alignment horizontal="center" readingOrder="0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2" fillId="0" fontId="1" numFmtId="49" xfId="0" applyAlignment="1" applyBorder="1" applyFont="1" applyNumberFormat="1">
      <alignment horizontal="center" readingOrder="0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22" fillId="0" fontId="1" numFmtId="49" xfId="0" applyBorder="1" applyFont="1" applyNumberFormat="1"/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46154.0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1941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Úterý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/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1157.37</v>
      </c>
      <c r="B12" s="51" t="s">
        <v>1896</v>
      </c>
      <c r="C12" s="52" t="s">
        <v>70</v>
      </c>
      <c r="D12" s="52" t="s">
        <v>49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05:00</v>
      </c>
      <c r="I12" s="21"/>
      <c r="J12" s="36"/>
      <c r="K12" s="21"/>
      <c r="L12" s="55" t="s">
        <v>1955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1873.2</v>
      </c>
      <c r="B13" s="51" t="s">
        <v>1956</v>
      </c>
      <c r="C13" s="52" t="s">
        <v>41</v>
      </c>
      <c r="D13" s="52" t="s">
        <v>45</v>
      </c>
      <c r="E13" s="53"/>
      <c r="F13" s="54" t="str">
        <f t="shared" si="1"/>
        <v>07:00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2001.648</v>
      </c>
      <c r="B14" s="51" t="s">
        <v>1957</v>
      </c>
      <c r="C14" s="52" t="s">
        <v>45</v>
      </c>
      <c r="D14" s="52" t="s">
        <v>46</v>
      </c>
      <c r="E14" s="53"/>
      <c r="F14" s="54" t="str">
        <f t="shared" si="1"/>
        <v>08:00</v>
      </c>
      <c r="G14" s="56"/>
      <c r="I14" s="21"/>
      <c r="J14" s="36"/>
      <c r="K14" s="21"/>
      <c r="L14" s="57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3"/>
      <c r="F15" s="54" t="str">
        <f t="shared" si="1"/>
        <v>0:00</v>
      </c>
      <c r="I15" s="21"/>
      <c r="J15" s="36"/>
      <c r="K15" s="21"/>
      <c r="L15" s="57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8"/>
      <c r="F16" s="54" t="str">
        <f t="shared" si="1"/>
        <v>0:00</v>
      </c>
      <c r="I16" s="21"/>
      <c r="J16" s="36"/>
      <c r="K16" s="21"/>
      <c r="L16" s="57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59" t="s">
        <v>33</v>
      </c>
      <c r="M17" s="60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8"/>
      <c r="F18" s="54" t="str">
        <f t="shared" si="1"/>
        <v>0:00</v>
      </c>
      <c r="G18" s="55" t="s">
        <v>16</v>
      </c>
      <c r="H18" s="28"/>
      <c r="I18" s="19"/>
      <c r="J18" s="61"/>
      <c r="M18" s="62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8"/>
      <c r="F19" s="54" t="str">
        <f t="shared" si="1"/>
        <v>0:00</v>
      </c>
      <c r="G19" s="46"/>
      <c r="I19" s="21"/>
      <c r="M19" s="62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3"/>
      <c r="D20" s="64"/>
      <c r="E20" s="58"/>
      <c r="F20" s="54" t="str">
        <f t="shared" si="1"/>
        <v>0:00</v>
      </c>
      <c r="I20" s="21"/>
      <c r="M20" s="62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7"/>
      <c r="E21" s="68"/>
      <c r="F21" s="69" t="str">
        <f t="shared" si="1"/>
        <v>0:00</v>
      </c>
      <c r="G21" s="28"/>
      <c r="H21" s="28"/>
      <c r="I21" s="19"/>
      <c r="M21" s="62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1958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1959</v>
      </c>
      <c r="H24" s="80" t="s">
        <v>1960</v>
      </c>
      <c r="I24" s="81" t="s">
        <v>13</v>
      </c>
      <c r="J24" s="82" t="s">
        <v>1961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1284.48</v>
      </c>
      <c r="B25" s="51" t="s">
        <v>1962</v>
      </c>
      <c r="C25" s="66" t="s">
        <v>63</v>
      </c>
      <c r="D25" s="66" t="s">
        <v>45</v>
      </c>
      <c r="E25" s="6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06:00</v>
      </c>
      <c r="G25" s="84">
        <f>COUNTIF(RestiaCSV!E:E, B25)</f>
        <v>0</v>
      </c>
      <c r="H25" s="85" t="b">
        <v>0</v>
      </c>
      <c r="I25" s="86">
        <f t="shared" ref="I25:I31" si="3">IF(H25,G25*45,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1388.844</v>
      </c>
      <c r="B26" s="51" t="s">
        <v>1963</v>
      </c>
      <c r="C26" s="66" t="s">
        <v>45</v>
      </c>
      <c r="D26" s="66" t="s">
        <v>49</v>
      </c>
      <c r="E26" s="88"/>
      <c r="F26" s="54" t="str">
        <f t="shared" si="2"/>
        <v>06:00</v>
      </c>
      <c r="G26" s="84">
        <f>COUNTIF(RestiaCSV!E:E, B26)</f>
        <v>0</v>
      </c>
      <c r="H26" s="85" t="b">
        <v>1</v>
      </c>
      <c r="I26" s="86">
        <f t="shared" si="3"/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66"/>
      <c r="D27" s="66"/>
      <c r="E27" s="91"/>
      <c r="F27" s="54" t="str">
        <f t="shared" si="2"/>
        <v>0:00</v>
      </c>
      <c r="G27" s="84">
        <f>COUNTIF(RestiaCSV!E:E, B27)</f>
        <v>0</v>
      </c>
      <c r="H27" s="85" t="b">
        <v>0</v>
      </c>
      <c r="I27" s="86">
        <f t="shared" si="3"/>
        <v>0</v>
      </c>
      <c r="J27" s="92" t="s">
        <v>1964</v>
      </c>
      <c r="K27" s="93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66"/>
      <c r="D28" s="66"/>
      <c r="E28" s="91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4"/>
      <c r="K28" s="95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66"/>
      <c r="D29" s="96"/>
      <c r="E29" s="91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100"/>
      <c r="D30" s="100"/>
      <c r="E30" s="91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1"/>
      <c r="K30" s="101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91"/>
      <c r="D31" s="91"/>
      <c r="E31" s="91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1"/>
      <c r="K31" s="101"/>
      <c r="L31" s="87"/>
      <c r="M31" s="87"/>
    </row>
    <row r="32">
      <c r="A32" s="103"/>
      <c r="B32" s="104" t="s">
        <v>90</v>
      </c>
      <c r="C32" s="105" t="s">
        <v>14</v>
      </c>
      <c r="D32" s="28"/>
      <c r="E32" s="28"/>
      <c r="F32" s="106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Viktoriia,Šebesta Tomáš,Veselý Ondřej,Coufal Jakub,Kinkorová Petra,Nováková Adéla,Hegedüs Erik,Bubník Martin,Mirga Simon,Yarushynskyi Vladyslav,Gorol Patrik,Kopic Jakub"</formula1>
    </dataValidation>
    <dataValidation type="list" allowBlank="1" sqref="B25:B31">
      <formula1>"Jurkovič Martin,Hanibal Filip,Novák Jakub,Lažek Jaroslav,Vychivskyi Volodymyr,Reischl Jan,Kalina Filip,Dušek Sam,Richterová Monika,Serin David,Hendrych Rostislav"</formula1>
    </dataValidation>
    <dataValidation type="list" allowBlank="1" sqref="G11 G19">
      <formula1>"Mirga Simon,Yarushynskyi Vladyslav,Kopic Jakub"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Malešice</v>
      </c>
      <c r="C1" s="113">
        <v>46146.0</v>
      </c>
      <c r="D1" s="114" t="s">
        <v>1965</v>
      </c>
      <c r="E1" s="115">
        <v>46152.0</v>
      </c>
      <c r="F1" s="116" t="s">
        <v>28</v>
      </c>
      <c r="G1" s="13"/>
      <c r="H1" s="14"/>
      <c r="I1" s="116" t="s">
        <v>26</v>
      </c>
      <c r="J1" s="13"/>
      <c r="K1" s="14"/>
      <c r="L1" s="117" t="s">
        <v>1940</v>
      </c>
      <c r="M1" s="21"/>
      <c r="N1" s="117"/>
    </row>
    <row r="2" ht="19.5" customHeight="1">
      <c r="A2" s="111"/>
      <c r="B2" s="17"/>
      <c r="C2" s="28"/>
      <c r="D2" s="17"/>
      <c r="E2" s="19"/>
      <c r="F2" s="118">
        <v>0.26961225330112126</v>
      </c>
      <c r="H2" s="21"/>
      <c r="I2" s="119">
        <v>370736.0</v>
      </c>
      <c r="K2" s="21"/>
      <c r="L2" s="120" t="s">
        <v>1941</v>
      </c>
      <c r="M2" s="121">
        <v>107510.0</v>
      </c>
      <c r="N2" s="122"/>
    </row>
    <row r="3">
      <c r="A3" s="123"/>
      <c r="B3" s="124" t="str">
        <f>CHOOSE(WEEKDAY(C1), "Neděle", "Pondělí", "Úterý", "Středa", "Čtvrtek", "Pátek", "Sobota")</f>
        <v>Pondělí</v>
      </c>
      <c r="C3" s="27"/>
      <c r="D3" s="124" t="str">
        <f>CHOOSE(WEEKDAY(E1), "Neděle", "Pondělí", "Úterý", "Středa", "Čtvrtek", "Pátek", "Sobota")</f>
        <v>Neděle</v>
      </c>
      <c r="E3" s="11"/>
      <c r="H3" s="21"/>
      <c r="K3" s="21"/>
      <c r="L3" s="125" t="s">
        <v>1942</v>
      </c>
      <c r="M3" s="126">
        <v>51801.0</v>
      </c>
      <c r="N3" s="122"/>
    </row>
    <row r="4">
      <c r="A4" s="123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1943</v>
      </c>
      <c r="M4" s="126">
        <v>78470.0</v>
      </c>
      <c r="N4" s="122"/>
    </row>
    <row r="5">
      <c r="A5" s="127"/>
      <c r="B5" s="128" t="s">
        <v>1966</v>
      </c>
      <c r="C5" s="27"/>
      <c r="D5" s="27"/>
      <c r="E5" s="11"/>
      <c r="F5" s="129" t="s">
        <v>1967</v>
      </c>
      <c r="G5" s="27"/>
      <c r="H5" s="27"/>
      <c r="I5" s="27"/>
      <c r="J5" s="27"/>
      <c r="K5" s="11"/>
      <c r="L5" s="130" t="s">
        <v>1945</v>
      </c>
      <c r="M5" s="126">
        <v>63951.0</v>
      </c>
      <c r="N5" s="122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1946</v>
      </c>
      <c r="M6" s="126">
        <v>4682.0</v>
      </c>
      <c r="N6" s="122"/>
    </row>
    <row r="7">
      <c r="A7" s="131"/>
      <c r="B7" s="132">
        <f>TEXT(SUMPRODUCT((IFERROR(LEFT(D11:D30, FIND(":", D11:D30) - 1) * 60, 0) + IFERROR(MID(D11:D30, FIND(":", D11:D30) + 1, LEN(D11:D30) - FIND(":", D11:D30)), 0))), "[h]:mm")/60</f>
        <v>153.5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107.5</v>
      </c>
      <c r="G7" s="13"/>
      <c r="H7" s="13"/>
      <c r="I7" s="13"/>
      <c r="J7" s="134"/>
      <c r="K7" s="134"/>
      <c r="L7" s="135" t="s">
        <v>1947</v>
      </c>
      <c r="M7" s="136">
        <v>9224.0</v>
      </c>
      <c r="N7" s="122"/>
    </row>
    <row r="8">
      <c r="A8" s="137"/>
      <c r="B8" s="138" t="s">
        <v>1948</v>
      </c>
      <c r="C8" s="13"/>
      <c r="D8" s="13"/>
      <c r="E8" s="14"/>
      <c r="F8" s="139" t="s">
        <v>78</v>
      </c>
      <c r="G8" s="13"/>
      <c r="H8" s="13"/>
      <c r="I8" s="14"/>
      <c r="J8" s="140" t="s">
        <v>1949</v>
      </c>
      <c r="K8" s="11"/>
      <c r="L8" s="141" t="s">
        <v>25</v>
      </c>
      <c r="M8" s="14"/>
      <c r="N8" s="117"/>
    </row>
    <row r="9">
      <c r="A9" s="142"/>
      <c r="B9" s="143" t="s">
        <v>1950</v>
      </c>
      <c r="C9" s="144" t="s">
        <v>1968</v>
      </c>
      <c r="D9" s="144" t="s">
        <v>1954</v>
      </c>
      <c r="E9" s="145"/>
      <c r="F9" s="143" t="s">
        <v>1950</v>
      </c>
      <c r="G9" s="144" t="s">
        <v>1968</v>
      </c>
      <c r="H9" s="144" t="s">
        <v>1954</v>
      </c>
      <c r="I9" s="146" t="s">
        <v>1959</v>
      </c>
      <c r="J9" s="147">
        <v>1.0</v>
      </c>
      <c r="K9" s="11"/>
      <c r="L9" s="148" t="s">
        <v>23</v>
      </c>
      <c r="M9" s="126">
        <v>29942.0</v>
      </c>
      <c r="N9" s="122"/>
    </row>
    <row r="10" ht="18.75" customHeight="1">
      <c r="A10" s="149"/>
      <c r="B10" s="150" t="s">
        <v>1885</v>
      </c>
      <c r="C10" s="151">
        <v>4.0</v>
      </c>
      <c r="D10" s="152" t="s">
        <v>1969</v>
      </c>
      <c r="E10" s="153" t="s">
        <v>1970</v>
      </c>
      <c r="F10" s="150" t="s">
        <v>1971</v>
      </c>
      <c r="G10" s="151">
        <v>1.0</v>
      </c>
      <c r="H10" s="151" t="s">
        <v>63</v>
      </c>
      <c r="I10" s="154">
        <v>12.0</v>
      </c>
      <c r="J10" s="36"/>
      <c r="K10" s="21"/>
      <c r="L10" s="148" t="s">
        <v>24</v>
      </c>
      <c r="M10" s="126">
        <v>180.0</v>
      </c>
      <c r="N10" s="122"/>
    </row>
    <row r="11" ht="18.75" customHeight="1">
      <c r="A11" s="149"/>
      <c r="B11" s="150" t="s">
        <v>1963</v>
      </c>
      <c r="C11" s="151">
        <v>4.0</v>
      </c>
      <c r="D11" s="155" t="s">
        <v>1972</v>
      </c>
      <c r="E11" s="153" t="s">
        <v>49</v>
      </c>
      <c r="F11" s="150" t="s">
        <v>1962</v>
      </c>
      <c r="G11" s="151">
        <v>1.0</v>
      </c>
      <c r="H11" s="151" t="s">
        <v>1973</v>
      </c>
      <c r="I11" s="154">
        <v>5.0</v>
      </c>
      <c r="J11" s="36"/>
      <c r="K11" s="21"/>
      <c r="L11" s="156" t="s">
        <v>25</v>
      </c>
      <c r="M11" s="157">
        <v>27231.0</v>
      </c>
      <c r="N11" s="122"/>
    </row>
    <row r="12" ht="18.75" customHeight="1">
      <c r="A12" s="149"/>
      <c r="B12" s="150" t="s">
        <v>1957</v>
      </c>
      <c r="C12" s="151">
        <v>3.0</v>
      </c>
      <c r="D12" s="155" t="s">
        <v>1974</v>
      </c>
      <c r="E12" s="153" t="s">
        <v>50</v>
      </c>
      <c r="F12" s="150" t="s">
        <v>1975</v>
      </c>
      <c r="G12" s="151">
        <v>3.0</v>
      </c>
      <c r="H12" s="151" t="s">
        <v>45</v>
      </c>
      <c r="I12" s="154">
        <v>25.0</v>
      </c>
      <c r="J12" s="36"/>
      <c r="K12" s="21"/>
      <c r="L12" s="158" t="s">
        <v>1955</v>
      </c>
      <c r="M12" s="19"/>
      <c r="N12" s="117"/>
    </row>
    <row r="13" ht="18.75" customHeight="1">
      <c r="A13" s="149"/>
      <c r="B13" s="150" t="s">
        <v>1956</v>
      </c>
      <c r="C13" s="151">
        <v>5.0</v>
      </c>
      <c r="D13" s="155" t="s">
        <v>1976</v>
      </c>
      <c r="E13" s="153" t="s">
        <v>50</v>
      </c>
      <c r="F13" s="150" t="s">
        <v>1977</v>
      </c>
      <c r="G13" s="151">
        <v>4.0</v>
      </c>
      <c r="H13" s="151" t="s">
        <v>1978</v>
      </c>
      <c r="I13" s="154">
        <v>42.0</v>
      </c>
      <c r="J13" s="36"/>
      <c r="K13" s="21"/>
      <c r="L13" s="148" t="s">
        <v>29</v>
      </c>
      <c r="M13" s="126">
        <v>1500.0</v>
      </c>
      <c r="N13" s="122"/>
    </row>
    <row r="14" ht="18.75" customHeight="1">
      <c r="A14" s="149"/>
      <c r="B14" s="150" t="s">
        <v>1896</v>
      </c>
      <c r="C14" s="151">
        <v>3.0</v>
      </c>
      <c r="D14" s="151" t="s">
        <v>1891</v>
      </c>
      <c r="E14" s="153" t="s">
        <v>1979</v>
      </c>
      <c r="F14" s="150" t="s">
        <v>1980</v>
      </c>
      <c r="G14" s="151">
        <v>2.0</v>
      </c>
      <c r="H14" s="151" t="s">
        <v>1981</v>
      </c>
      <c r="I14" s="154">
        <v>17.0</v>
      </c>
      <c r="J14" s="36"/>
      <c r="K14" s="21"/>
      <c r="L14" s="159" t="s">
        <v>30</v>
      </c>
      <c r="M14" s="126">
        <v>0.0</v>
      </c>
      <c r="N14" s="122"/>
    </row>
    <row r="15" ht="18.75" customHeight="1">
      <c r="A15" s="149"/>
      <c r="B15" s="150" t="s">
        <v>1312</v>
      </c>
      <c r="C15" s="151">
        <v>1.0</v>
      </c>
      <c r="D15" s="151" t="s">
        <v>1973</v>
      </c>
      <c r="E15" s="153" t="s">
        <v>1979</v>
      </c>
      <c r="F15" s="150" t="s">
        <v>65</v>
      </c>
      <c r="G15" s="151">
        <v>1.0</v>
      </c>
      <c r="H15" s="151" t="s">
        <v>63</v>
      </c>
      <c r="I15" s="154">
        <v>15.0</v>
      </c>
      <c r="J15" s="36"/>
      <c r="K15" s="21"/>
      <c r="L15" s="159" t="s">
        <v>31</v>
      </c>
      <c r="M15" s="126">
        <v>0.0</v>
      </c>
      <c r="N15" s="122"/>
    </row>
    <row r="16" ht="18.75" customHeight="1">
      <c r="A16" s="149"/>
      <c r="B16" s="150" t="s">
        <v>1982</v>
      </c>
      <c r="C16" s="151">
        <v>1.0</v>
      </c>
      <c r="D16" s="151" t="s">
        <v>63</v>
      </c>
      <c r="E16" s="160"/>
      <c r="F16" s="150" t="s">
        <v>1983</v>
      </c>
      <c r="G16" s="151">
        <v>1.0</v>
      </c>
      <c r="H16" s="151" t="s">
        <v>1984</v>
      </c>
      <c r="I16" s="154">
        <v>4.0</v>
      </c>
      <c r="J16" s="36"/>
      <c r="K16" s="21"/>
      <c r="L16" s="159" t="s">
        <v>32</v>
      </c>
      <c r="M16" s="126">
        <v>2725.0</v>
      </c>
      <c r="N16" s="122"/>
    </row>
    <row r="17" ht="18.75" customHeight="1">
      <c r="A17" s="149"/>
      <c r="B17" s="150" t="s">
        <v>1924</v>
      </c>
      <c r="C17" s="151">
        <v>2.0</v>
      </c>
      <c r="D17" s="151" t="s">
        <v>49</v>
      </c>
      <c r="E17" s="160"/>
      <c r="F17" s="150"/>
      <c r="G17" s="151"/>
      <c r="H17" s="151"/>
      <c r="I17" s="154"/>
      <c r="J17" s="18"/>
      <c r="K17" s="19"/>
      <c r="L17" s="161" t="s">
        <v>33</v>
      </c>
      <c r="M17" s="162">
        <v>2745.0</v>
      </c>
      <c r="N17" s="122"/>
    </row>
    <row r="18" ht="18.75" customHeight="1">
      <c r="A18" s="149"/>
      <c r="B18" s="150"/>
      <c r="C18" s="151"/>
      <c r="D18" s="151"/>
      <c r="E18" s="160"/>
      <c r="F18" s="150"/>
      <c r="G18" s="151"/>
      <c r="H18" s="151"/>
      <c r="I18" s="154"/>
      <c r="J18" s="163"/>
      <c r="K18" s="13"/>
      <c r="L18" s="13"/>
      <c r="M18" s="14"/>
      <c r="N18" s="164"/>
    </row>
    <row r="19" ht="18.75" customHeight="1">
      <c r="A19" s="149"/>
      <c r="B19" s="150"/>
      <c r="C19" s="151"/>
      <c r="D19" s="151"/>
      <c r="E19" s="160"/>
      <c r="F19" s="150"/>
      <c r="G19" s="151"/>
      <c r="H19" s="151"/>
      <c r="I19" s="154"/>
      <c r="J19" s="165" t="s">
        <v>34</v>
      </c>
      <c r="K19" s="166" t="s">
        <v>35</v>
      </c>
      <c r="L19" s="167" t="s">
        <v>1958</v>
      </c>
      <c r="M19" s="168" t="s">
        <v>37</v>
      </c>
    </row>
    <row r="20" ht="18.75" customHeight="1">
      <c r="A20" s="149"/>
      <c r="B20" s="150"/>
      <c r="C20" s="151"/>
      <c r="D20" s="151"/>
      <c r="E20" s="160"/>
      <c r="F20" s="150"/>
      <c r="G20" s="169"/>
      <c r="H20" s="151"/>
      <c r="I20" s="154"/>
      <c r="J20" s="170"/>
      <c r="K20" s="87"/>
      <c r="L20" s="87"/>
      <c r="M20" s="171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4"/>
      <c r="J21" s="172">
        <v>8.0</v>
      </c>
      <c r="K21" s="173">
        <v>3843.0</v>
      </c>
      <c r="L21" s="174">
        <v>12.0</v>
      </c>
      <c r="M21" s="175" t="s">
        <v>1985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4"/>
      <c r="J22" s="176" t="s">
        <v>1961</v>
      </c>
      <c r="K22" s="83" t="s">
        <v>1876</v>
      </c>
      <c r="L22" s="82" t="s">
        <v>1877</v>
      </c>
      <c r="M22" s="177" t="s">
        <v>1878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4"/>
      <c r="J23" s="170"/>
      <c r="K23" s="87"/>
      <c r="L23" s="87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4"/>
      <c r="J24" s="178">
        <v>7.0</v>
      </c>
      <c r="K24" s="174">
        <v>910.0</v>
      </c>
      <c r="L24" s="174">
        <v>145.0</v>
      </c>
      <c r="M24" s="179">
        <v>3.0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4"/>
      <c r="J25" s="180" t="s">
        <v>1964</v>
      </c>
      <c r="K25" s="93"/>
      <c r="L25" s="181" t="s">
        <v>1880</v>
      </c>
      <c r="M25" s="182" t="s">
        <v>1881</v>
      </c>
      <c r="N25" s="164"/>
    </row>
    <row r="26" ht="18.75" customHeight="1">
      <c r="A26" s="149"/>
      <c r="B26" s="150"/>
      <c r="C26" s="151"/>
      <c r="D26" s="151"/>
      <c r="E26" s="160"/>
      <c r="F26" s="150"/>
      <c r="G26" s="151"/>
      <c r="H26" s="151"/>
      <c r="I26" s="154"/>
      <c r="J26" s="183"/>
      <c r="K26" s="95"/>
      <c r="L26" s="87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4"/>
      <c r="J27" s="184">
        <v>1.0</v>
      </c>
      <c r="K27" s="98"/>
      <c r="L27" s="185">
        <v>0.08988307603743252</v>
      </c>
      <c r="M27" s="186">
        <v>2.0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4"/>
      <c r="J28" s="187"/>
      <c r="L28" s="188" t="s">
        <v>1882</v>
      </c>
      <c r="M28" s="182" t="s">
        <v>1883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4"/>
      <c r="J29" s="36"/>
      <c r="L29" s="87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4"/>
      <c r="J30" s="18"/>
      <c r="K30" s="28"/>
      <c r="L30" s="189">
        <v>0.9101169239625674</v>
      </c>
      <c r="M30" s="190">
        <v>0.015918367346938776</v>
      </c>
      <c r="N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91" t="s">
        <v>1986</v>
      </c>
      <c r="B1" s="13"/>
      <c r="C1" s="13"/>
      <c r="D1" s="13"/>
      <c r="E1" s="13"/>
      <c r="F1" s="13"/>
      <c r="G1" s="13"/>
      <c r="H1" s="14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</row>
    <row r="2">
      <c r="A2" s="1" t="s">
        <v>1987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" t="s">
        <v>1885</v>
      </c>
      <c r="B3" s="1" t="s">
        <v>1988</v>
      </c>
      <c r="C3" s="193"/>
      <c r="D3" s="193"/>
      <c r="E3" s="1" t="s">
        <v>1988</v>
      </c>
      <c r="F3" s="1" t="s">
        <v>1989</v>
      </c>
      <c r="G3" s="1" t="s">
        <v>1990</v>
      </c>
      <c r="H3" s="193"/>
    </row>
    <row r="4">
      <c r="A4" s="1" t="s">
        <v>1924</v>
      </c>
      <c r="B4" s="1" t="s">
        <v>1991</v>
      </c>
      <c r="C4" s="193"/>
      <c r="D4" s="193"/>
      <c r="E4" s="1" t="s">
        <v>1992</v>
      </c>
      <c r="F4" s="193"/>
      <c r="G4" s="193"/>
      <c r="H4" s="1" t="s">
        <v>1993</v>
      </c>
    </row>
    <row r="5">
      <c r="A5" s="1" t="s">
        <v>1971</v>
      </c>
      <c r="B5" s="1" t="s">
        <v>1994</v>
      </c>
      <c r="C5" s="193"/>
      <c r="D5" s="1" t="s">
        <v>1995</v>
      </c>
      <c r="E5" s="193"/>
      <c r="F5" s="1" t="s">
        <v>1994</v>
      </c>
      <c r="G5" s="1" t="s">
        <v>1996</v>
      </c>
      <c r="H5" s="193"/>
    </row>
    <row r="6">
      <c r="A6" s="1" t="s">
        <v>1975</v>
      </c>
      <c r="B6" s="1" t="s">
        <v>1995</v>
      </c>
      <c r="C6" s="193"/>
      <c r="D6" s="193"/>
      <c r="E6" s="193"/>
      <c r="F6" s="1" t="s">
        <v>1997</v>
      </c>
      <c r="G6" s="193"/>
      <c r="H6" s="1" t="s">
        <v>1997</v>
      </c>
    </row>
    <row r="7">
      <c r="A7" s="1" t="s">
        <v>1896</v>
      </c>
      <c r="B7" s="1" t="s">
        <v>1998</v>
      </c>
      <c r="C7" s="1" t="s">
        <v>1998</v>
      </c>
      <c r="D7" s="193"/>
      <c r="E7" s="193"/>
      <c r="F7" s="193"/>
      <c r="G7" s="1" t="s">
        <v>1988</v>
      </c>
      <c r="H7" s="193"/>
    </row>
    <row r="8">
      <c r="A8" s="1" t="s">
        <v>1956</v>
      </c>
      <c r="B8" s="193"/>
      <c r="C8" s="1" t="s">
        <v>1988</v>
      </c>
      <c r="D8" s="1" t="s">
        <v>1988</v>
      </c>
      <c r="E8" s="1" t="s">
        <v>1991</v>
      </c>
      <c r="F8" s="1" t="s">
        <v>1999</v>
      </c>
      <c r="G8" s="1" t="s">
        <v>1999</v>
      </c>
      <c r="H8" s="193"/>
    </row>
    <row r="9">
      <c r="A9" s="1" t="s">
        <v>1957</v>
      </c>
      <c r="B9" s="193"/>
      <c r="C9" s="1" t="s">
        <v>1991</v>
      </c>
      <c r="D9" s="1" t="s">
        <v>1991</v>
      </c>
      <c r="E9" s="193"/>
      <c r="F9" s="193"/>
      <c r="G9" s="193"/>
      <c r="H9" s="1" t="s">
        <v>2000</v>
      </c>
    </row>
    <row r="10">
      <c r="A10" s="1" t="s">
        <v>1962</v>
      </c>
      <c r="B10" s="193"/>
      <c r="C10" s="1" t="s">
        <v>1994</v>
      </c>
      <c r="D10" s="193"/>
      <c r="E10" s="193"/>
      <c r="F10" s="193"/>
      <c r="G10" s="193"/>
      <c r="H10" s="193"/>
    </row>
    <row r="11">
      <c r="A11" s="1" t="s">
        <v>1963</v>
      </c>
      <c r="B11" s="193"/>
      <c r="C11" s="1" t="s">
        <v>2001</v>
      </c>
      <c r="D11" s="1" t="s">
        <v>2002</v>
      </c>
      <c r="E11" s="1" t="s">
        <v>1995</v>
      </c>
      <c r="F11" s="193"/>
      <c r="G11" s="193"/>
      <c r="H11" s="1" t="s">
        <v>2003</v>
      </c>
    </row>
    <row r="12">
      <c r="A12" s="1" t="s">
        <v>1977</v>
      </c>
      <c r="B12" s="193"/>
      <c r="D12" s="1" t="s">
        <v>2004</v>
      </c>
      <c r="E12" s="1" t="s">
        <v>2005</v>
      </c>
      <c r="F12" s="1" t="s">
        <v>1996</v>
      </c>
      <c r="G12" s="1" t="s">
        <v>2005</v>
      </c>
      <c r="H12" s="1" t="s">
        <v>2006</v>
      </c>
    </row>
    <row r="13">
      <c r="A13" s="193"/>
      <c r="B13" s="193"/>
      <c r="D13" s="193"/>
      <c r="E13" s="193"/>
      <c r="F13" s="193"/>
      <c r="G13" s="193"/>
      <c r="H13" s="193"/>
    </row>
    <row r="14">
      <c r="A14" s="193"/>
      <c r="B14" s="193"/>
      <c r="F14" s="193"/>
      <c r="G14" s="193"/>
      <c r="H14" s="193"/>
    </row>
    <row r="15">
      <c r="A15" s="193"/>
      <c r="G15" s="193"/>
      <c r="H15" s="193"/>
    </row>
    <row r="16">
      <c r="A16" s="193"/>
      <c r="H16" s="193"/>
    </row>
    <row r="17">
      <c r="A17" s="193"/>
      <c r="C17" s="193"/>
      <c r="D17" s="193"/>
      <c r="E17" s="193"/>
      <c r="F17" s="193"/>
      <c r="G17" s="193"/>
    </row>
    <row r="19">
      <c r="A19" s="193"/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"/>
      <c r="AB19" s="1"/>
    </row>
    <row r="20">
      <c r="A20" s="193"/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O20" s="193"/>
      <c r="P20" s="193"/>
      <c r="Q20" s="193"/>
      <c r="S20" s="193"/>
      <c r="T20" s="193"/>
      <c r="U20" s="193"/>
      <c r="V20" s="193"/>
      <c r="W20" s="193"/>
      <c r="X20" s="193"/>
      <c r="Y20" s="193"/>
      <c r="Z20" s="193"/>
      <c r="AB20" s="1">
        <v>0.0</v>
      </c>
    </row>
    <row r="21">
      <c r="A21" s="193"/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O21" s="193"/>
      <c r="P21" s="193"/>
      <c r="Q21" s="193"/>
      <c r="S21" s="193"/>
      <c r="T21" s="193"/>
      <c r="U21" s="193"/>
      <c r="V21" s="193"/>
      <c r="W21" s="193"/>
      <c r="X21" s="193"/>
      <c r="Y21" s="193"/>
      <c r="Z21" s="193"/>
      <c r="AB21" s="1"/>
    </row>
    <row r="22">
      <c r="A22" s="193"/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T22" s="193"/>
      <c r="U22" s="193"/>
      <c r="V22" s="193"/>
      <c r="W22" s="193"/>
      <c r="X22" s="193"/>
      <c r="Y22" s="193"/>
      <c r="Z22" s="193"/>
      <c r="AB22" s="1"/>
    </row>
    <row r="23">
      <c r="A23" s="193"/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O23" s="193"/>
      <c r="P23" s="193"/>
      <c r="Q23" s="193"/>
      <c r="S23" s="193"/>
      <c r="T23" s="193"/>
      <c r="U23" s="193"/>
      <c r="V23" s="193"/>
      <c r="W23" s="193"/>
      <c r="X23" s="193"/>
      <c r="Y23" s="193"/>
      <c r="Z23" s="193"/>
      <c r="AB23" s="1"/>
    </row>
    <row r="24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O24" s="193"/>
      <c r="P24" s="193"/>
      <c r="Q24" s="193"/>
      <c r="S24" s="193"/>
      <c r="T24" s="193"/>
      <c r="U24" s="193"/>
      <c r="V24" s="193"/>
      <c r="W24" s="193"/>
      <c r="X24" s="193"/>
      <c r="Y24" s="193"/>
      <c r="Z24" s="193"/>
      <c r="AB24" s="1"/>
    </row>
    <row r="25">
      <c r="A25" s="193"/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O25" s="193"/>
      <c r="P25" s="193"/>
      <c r="Q25" s="193"/>
      <c r="S25" s="193"/>
      <c r="T25" s="193"/>
      <c r="U25" s="193"/>
      <c r="V25" s="193"/>
      <c r="W25" s="193"/>
      <c r="X25" s="193"/>
      <c r="Y25" s="193"/>
      <c r="Z25" s="193"/>
      <c r="AB25" s="1"/>
    </row>
    <row r="26">
      <c r="A26" s="193"/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O26" s="193"/>
      <c r="P26" s="193"/>
      <c r="Q26" s="193"/>
      <c r="S26" s="193"/>
      <c r="T26" s="193"/>
      <c r="U26" s="193"/>
      <c r="V26" s="193"/>
      <c r="W26" s="193"/>
      <c r="X26" s="193"/>
      <c r="Y26" s="193"/>
      <c r="Z26" s="193"/>
      <c r="AB26" s="1">
        <v>0.0</v>
      </c>
    </row>
    <row r="27">
      <c r="A27" s="193"/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S27" s="193"/>
      <c r="T27" s="193"/>
      <c r="U27" s="193"/>
      <c r="V27" s="193"/>
      <c r="W27" s="193"/>
      <c r="X27" s="193"/>
      <c r="Y27" s="193"/>
      <c r="Z27" s="193"/>
      <c r="AB27" s="1"/>
    </row>
    <row r="28">
      <c r="A28" s="193"/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O28" s="193"/>
      <c r="P28" s="193"/>
      <c r="Q28" s="193"/>
      <c r="S28" s="193"/>
      <c r="T28" s="193"/>
      <c r="U28" s="193"/>
      <c r="V28" s="193"/>
      <c r="W28" s="193"/>
      <c r="X28" s="193"/>
      <c r="Y28" s="193"/>
      <c r="Z28" s="193"/>
      <c r="AB28" s="1"/>
    </row>
    <row r="29">
      <c r="A29" s="193"/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O29" s="193"/>
      <c r="P29" s="193"/>
      <c r="Q29" s="193"/>
      <c r="S29" s="193"/>
      <c r="T29" s="193"/>
      <c r="U29" s="193"/>
      <c r="V29" s="193"/>
      <c r="W29" s="193"/>
      <c r="X29" s="193"/>
      <c r="Y29" s="193"/>
      <c r="Z29" s="193"/>
      <c r="AB29" s="1">
        <v>0.0</v>
      </c>
    </row>
    <row r="30">
      <c r="A30" s="193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"/>
      <c r="AB30" s="1"/>
    </row>
    <row r="31">
      <c r="A31" s="193"/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T31" s="193"/>
      <c r="U31" s="193"/>
      <c r="V31" s="193"/>
      <c r="W31" s="193"/>
      <c r="X31" s="193"/>
      <c r="Y31" s="193"/>
      <c r="Z31" s="193"/>
      <c r="AB31" s="1"/>
    </row>
    <row r="32">
      <c r="A32" s="193"/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O32" s="193"/>
      <c r="P32" s="193"/>
      <c r="Q32" s="193"/>
      <c r="S32" s="193"/>
      <c r="T32" s="193"/>
      <c r="U32" s="193"/>
      <c r="V32" s="193"/>
      <c r="W32" s="193"/>
      <c r="X32" s="193"/>
      <c r="Y32" s="193"/>
      <c r="Z32" s="193"/>
      <c r="AB32" s="1"/>
    </row>
    <row r="33">
      <c r="A33" s="193"/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T33" s="193"/>
      <c r="U33" s="193"/>
      <c r="V33" s="193"/>
      <c r="W33" s="193"/>
      <c r="X33" s="193"/>
      <c r="Y33" s="193"/>
      <c r="Z33" s="193"/>
      <c r="AB33" s="1"/>
    </row>
    <row r="34">
      <c r="A34" s="193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"/>
      <c r="AB34" s="1"/>
    </row>
    <row r="35">
      <c r="A35" s="193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O35" s="193"/>
      <c r="P35" s="193"/>
      <c r="Q35" s="193"/>
      <c r="S35" s="193"/>
      <c r="T35" s="193"/>
      <c r="U35" s="193"/>
      <c r="V35" s="193"/>
      <c r="W35" s="193"/>
      <c r="X35" s="193"/>
      <c r="Y35" s="193"/>
      <c r="Z35" s="193"/>
      <c r="AB35" s="1"/>
    </row>
    <row r="36">
      <c r="A36" s="193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O36" s="193"/>
      <c r="P36" s="193"/>
      <c r="Q36" s="193"/>
      <c r="S36" s="193"/>
      <c r="T36" s="193"/>
      <c r="U36" s="193"/>
      <c r="V36" s="193"/>
      <c r="Y36" s="193"/>
      <c r="Z36" s="193"/>
      <c r="AB36" s="1">
        <v>0.0</v>
      </c>
    </row>
    <row r="37">
      <c r="A37" s="193"/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O37" s="193"/>
      <c r="P37" s="193"/>
      <c r="Q37" s="193"/>
      <c r="S37" s="193"/>
      <c r="T37" s="193"/>
      <c r="U37" s="193"/>
      <c r="V37" s="193"/>
      <c r="W37" s="193"/>
      <c r="X37" s="193"/>
      <c r="Y37" s="193"/>
      <c r="Z37" s="193"/>
      <c r="AB37" s="1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"/>
      <c r="AB38" s="1"/>
    </row>
    <row r="39">
      <c r="A39" s="193"/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"/>
      <c r="AB39" s="1"/>
    </row>
    <row r="40">
      <c r="A40" s="193"/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O40" s="193"/>
      <c r="P40" s="193"/>
      <c r="Q40" s="193"/>
      <c r="S40" s="193"/>
      <c r="T40" s="193"/>
      <c r="U40" s="193"/>
      <c r="V40" s="193"/>
      <c r="W40" s="193"/>
      <c r="X40" s="193"/>
      <c r="Y40" s="193"/>
      <c r="Z40" s="193"/>
      <c r="AB40" s="1"/>
    </row>
    <row r="41">
      <c r="A41" s="193"/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O41" s="193"/>
      <c r="P41" s="193"/>
      <c r="Q41" s="193"/>
      <c r="S41" s="193"/>
      <c r="T41" s="193"/>
      <c r="U41" s="193"/>
      <c r="V41" s="193"/>
      <c r="W41" s="193"/>
      <c r="X41" s="193"/>
      <c r="Y41" s="193"/>
      <c r="Z41" s="193"/>
      <c r="AB41" s="1"/>
    </row>
    <row r="42">
      <c r="A42" s="193"/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"/>
      <c r="AB42" s="1"/>
    </row>
    <row r="43">
      <c r="A43" s="193"/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T43" s="193"/>
      <c r="U43" s="193"/>
      <c r="V43" s="193"/>
      <c r="W43" s="193"/>
      <c r="X43" s="193"/>
      <c r="Y43" s="193"/>
      <c r="Z43" s="193"/>
      <c r="AB43" s="1"/>
    </row>
    <row r="44">
      <c r="A44" s="193"/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O44" s="193"/>
      <c r="P44" s="193"/>
      <c r="Q44" s="193"/>
      <c r="S44" s="193"/>
      <c r="T44" s="193"/>
      <c r="U44" s="193"/>
      <c r="V44" s="193"/>
      <c r="W44" s="193"/>
      <c r="X44" s="193"/>
      <c r="Y44" s="193"/>
      <c r="Z44" s="193"/>
      <c r="AB44" s="1"/>
    </row>
    <row r="45">
      <c r="A45" s="193"/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O45" s="193"/>
      <c r="P45" s="193"/>
      <c r="Q45" s="193"/>
      <c r="S45" s="193"/>
      <c r="T45" s="193"/>
      <c r="U45" s="193"/>
      <c r="V45" s="193"/>
      <c r="W45" s="193"/>
      <c r="X45" s="193"/>
      <c r="Y45" s="193"/>
      <c r="Z45" s="193"/>
      <c r="AB45" s="1">
        <v>0.0</v>
      </c>
    </row>
    <row r="46">
      <c r="A46" s="193"/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T46" s="193"/>
      <c r="U46" s="193"/>
      <c r="V46" s="193"/>
      <c r="W46" s="193"/>
      <c r="X46" s="193"/>
      <c r="Y46" s="193"/>
      <c r="Z46" s="193"/>
      <c r="AB46" s="1"/>
    </row>
    <row r="47">
      <c r="A47" s="193"/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O47" s="193"/>
      <c r="P47" s="193"/>
      <c r="Q47" s="193"/>
      <c r="S47" s="193"/>
      <c r="T47" s="193"/>
      <c r="U47" s="193"/>
      <c r="V47" s="193"/>
      <c r="W47" s="193"/>
      <c r="X47" s="193"/>
      <c r="Y47" s="193"/>
      <c r="Z47" s="193"/>
      <c r="AB47" s="1">
        <v>0.0</v>
      </c>
    </row>
    <row r="48">
      <c r="A48" s="193"/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"/>
      <c r="AB48" s="1"/>
    </row>
    <row r="49">
      <c r="A49" s="193"/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T49" s="193"/>
      <c r="U49" s="193"/>
      <c r="V49" s="193"/>
      <c r="W49" s="193"/>
      <c r="X49" s="193"/>
      <c r="Y49" s="193"/>
      <c r="Z49" s="193"/>
      <c r="AB49" s="1"/>
    </row>
    <row r="50">
      <c r="A50" s="193"/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O50" s="193"/>
      <c r="P50" s="193"/>
      <c r="Q50" s="193"/>
      <c r="S50" s="193"/>
      <c r="T50" s="193"/>
      <c r="U50" s="193"/>
      <c r="V50" s="193"/>
      <c r="W50" s="193"/>
      <c r="X50" s="193"/>
      <c r="Y50" s="193"/>
      <c r="Z50" s="193"/>
      <c r="AB50" s="1">
        <v>0.0</v>
      </c>
    </row>
    <row r="51">
      <c r="A51" s="193"/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O51" s="193"/>
      <c r="P51" s="193"/>
      <c r="Q51" s="193"/>
      <c r="S51" s="193"/>
      <c r="T51" s="193"/>
      <c r="U51" s="193"/>
      <c r="V51" s="193"/>
      <c r="W51" s="193"/>
      <c r="X51" s="193"/>
      <c r="Y51" s="193"/>
      <c r="Z51" s="193"/>
      <c r="AB51" s="1"/>
    </row>
    <row r="52">
      <c r="A52" s="193"/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"/>
      <c r="AB52" s="1"/>
    </row>
    <row r="53">
      <c r="A53" s="193"/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O53" s="193"/>
      <c r="P53" s="193"/>
      <c r="Q53" s="193"/>
      <c r="S53" s="193"/>
      <c r="T53" s="193"/>
      <c r="U53" s="193"/>
      <c r="V53" s="193"/>
      <c r="W53" s="193"/>
      <c r="X53" s="193"/>
      <c r="Y53" s="193"/>
      <c r="Z53" s="193"/>
      <c r="AB53" s="1">
        <v>0.0</v>
      </c>
    </row>
    <row r="54">
      <c r="A54" s="193"/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O54" s="193"/>
      <c r="P54" s="193"/>
      <c r="Q54" s="193"/>
      <c r="S54" s="193"/>
      <c r="T54" s="193"/>
      <c r="U54" s="193"/>
      <c r="V54" s="193"/>
      <c r="W54" s="193"/>
      <c r="X54" s="193"/>
      <c r="Y54" s="193"/>
      <c r="Z54" s="193"/>
      <c r="AB54" s="1">
        <v>0.0</v>
      </c>
    </row>
    <row r="55">
      <c r="A55" s="193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T55" s="193"/>
      <c r="U55" s="193"/>
      <c r="V55" s="193"/>
      <c r="W55" s="193"/>
      <c r="X55" s="193"/>
      <c r="Y55" s="193"/>
      <c r="Z55" s="193"/>
      <c r="AB55" s="1"/>
    </row>
    <row r="56">
      <c r="A56" s="193"/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T56" s="193"/>
      <c r="U56" s="193"/>
      <c r="V56" s="193"/>
      <c r="W56" s="193"/>
      <c r="X56" s="193"/>
      <c r="Y56" s="193"/>
      <c r="Z56" s="193"/>
      <c r="AB56" s="1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T57" s="193"/>
      <c r="U57" s="193"/>
      <c r="V57" s="193"/>
      <c r="W57" s="193"/>
      <c r="X57" s="193"/>
      <c r="Y57" s="193"/>
      <c r="Z57" s="193"/>
      <c r="AB57" s="1"/>
    </row>
    <row r="58">
      <c r="A58" s="193"/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O58" s="193"/>
      <c r="P58" s="193"/>
      <c r="Q58" s="193"/>
      <c r="S58" s="193"/>
      <c r="T58" s="193"/>
      <c r="U58" s="193"/>
      <c r="V58" s="193"/>
      <c r="W58" s="193"/>
      <c r="X58" s="193"/>
      <c r="Y58" s="193"/>
      <c r="Z58" s="193"/>
      <c r="AB58" s="1"/>
    </row>
    <row r="59">
      <c r="A59" s="193"/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"/>
      <c r="AB59" s="1"/>
    </row>
    <row r="60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T60" s="193"/>
      <c r="U60" s="193"/>
      <c r="V60" s="193"/>
      <c r="W60" s="193"/>
      <c r="X60" s="193"/>
      <c r="Y60" s="193"/>
      <c r="Z60" s="193"/>
      <c r="AB60" s="1"/>
    </row>
    <row r="61">
      <c r="A61" s="193"/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O61" s="193"/>
      <c r="P61" s="193"/>
      <c r="Q61" s="193"/>
      <c r="S61" s="193"/>
      <c r="T61" s="193"/>
      <c r="U61" s="193"/>
      <c r="V61" s="193"/>
      <c r="W61" s="193"/>
      <c r="X61" s="193"/>
      <c r="Y61" s="193"/>
      <c r="Z61" s="193"/>
      <c r="AB61" s="1"/>
    </row>
    <row r="62">
      <c r="A62" s="193"/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T62" s="193"/>
      <c r="U62" s="193"/>
      <c r="V62" s="193"/>
      <c r="W62" s="193"/>
      <c r="X62" s="193"/>
      <c r="Y62" s="193"/>
      <c r="Z62" s="193"/>
      <c r="AB62" s="1"/>
    </row>
    <row r="63">
      <c r="A63" s="193"/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"/>
      <c r="AB63" s="1"/>
    </row>
    <row r="64">
      <c r="A64" s="193"/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O64" s="193"/>
      <c r="P64" s="193"/>
      <c r="Q64" s="193"/>
      <c r="S64" s="193"/>
      <c r="T64" s="193"/>
      <c r="U64" s="193"/>
      <c r="V64" s="193"/>
      <c r="W64" s="193"/>
      <c r="X64" s="193"/>
      <c r="Y64" s="193"/>
      <c r="Z64" s="193"/>
      <c r="AB64" s="1"/>
    </row>
    <row r="65">
      <c r="A65" s="193"/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T65" s="193"/>
      <c r="U65" s="193"/>
      <c r="V65" s="193"/>
      <c r="W65" s="193"/>
      <c r="X65" s="193"/>
      <c r="Y65" s="193"/>
      <c r="Z65" s="193"/>
      <c r="AB65" s="1"/>
    </row>
    <row r="66">
      <c r="A66" s="193"/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T66" s="193"/>
      <c r="U66" s="193"/>
      <c r="V66" s="193"/>
      <c r="W66" s="193"/>
      <c r="X66" s="193"/>
      <c r="Y66" s="193"/>
      <c r="Z66" s="193"/>
      <c r="AB66" s="1"/>
    </row>
    <row r="67">
      <c r="A67" s="193"/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O67" s="193"/>
      <c r="P67" s="193"/>
      <c r="Q67" s="193"/>
      <c r="S67" s="193"/>
      <c r="T67" s="193"/>
      <c r="U67" s="193"/>
      <c r="V67" s="193"/>
      <c r="W67" s="193"/>
      <c r="X67" s="193"/>
      <c r="Y67" s="193"/>
      <c r="Z67" s="193"/>
      <c r="AB67" s="1"/>
    </row>
    <row r="68">
      <c r="A68" s="193"/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O68" s="193"/>
      <c r="P68" s="193"/>
      <c r="Q68" s="193"/>
      <c r="S68" s="193"/>
      <c r="T68" s="193"/>
      <c r="U68" s="193"/>
      <c r="V68" s="193"/>
      <c r="W68" s="193"/>
      <c r="X68" s="193"/>
      <c r="Y68" s="193"/>
      <c r="Z68" s="193"/>
      <c r="AB68" s="1"/>
    </row>
    <row r="69">
      <c r="A69" s="193"/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O69" s="193"/>
      <c r="P69" s="193"/>
      <c r="Q69" s="193"/>
      <c r="S69" s="193"/>
      <c r="T69" s="193"/>
      <c r="U69" s="193"/>
      <c r="V69" s="193"/>
      <c r="W69" s="193"/>
      <c r="X69" s="193"/>
      <c r="Y69" s="193"/>
      <c r="Z69" s="193"/>
      <c r="AB69" s="1"/>
    </row>
    <row r="70">
      <c r="A70" s="193"/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"/>
      <c r="AB70" s="1"/>
    </row>
    <row r="71">
      <c r="A71" s="193"/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O71" s="193"/>
      <c r="P71" s="193"/>
      <c r="Q71" s="193"/>
      <c r="S71" s="193"/>
      <c r="T71" s="193"/>
      <c r="U71" s="193"/>
      <c r="V71" s="193"/>
      <c r="W71" s="193"/>
      <c r="X71" s="193"/>
      <c r="Y71" s="193"/>
      <c r="Z71" s="193"/>
      <c r="AB71" s="1"/>
    </row>
    <row r="72">
      <c r="A72" s="193"/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O72" s="193"/>
      <c r="P72" s="193"/>
      <c r="Q72" s="193"/>
      <c r="S72" s="193"/>
      <c r="T72" s="193"/>
      <c r="U72" s="193"/>
      <c r="V72" s="193"/>
      <c r="W72" s="193"/>
      <c r="X72" s="193"/>
      <c r="Y72" s="193"/>
      <c r="Z72" s="193"/>
      <c r="AB72" s="1"/>
    </row>
    <row r="73">
      <c r="A73" s="193"/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O73" s="193"/>
      <c r="P73" s="193"/>
      <c r="Q73" s="193"/>
      <c r="S73" s="193"/>
      <c r="T73" s="193"/>
      <c r="U73" s="193"/>
      <c r="V73" s="193"/>
      <c r="W73" s="193"/>
      <c r="X73" s="193"/>
      <c r="Y73" s="193"/>
      <c r="Z73" s="193"/>
      <c r="AB73" s="1"/>
    </row>
    <row r="74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O74" s="193"/>
      <c r="P74" s="193"/>
      <c r="Q74" s="193"/>
      <c r="S74" s="193"/>
      <c r="T74" s="193"/>
      <c r="U74" s="193"/>
      <c r="V74" s="193"/>
      <c r="W74" s="193"/>
      <c r="X74" s="193"/>
      <c r="Y74" s="193"/>
      <c r="Z74" s="193"/>
      <c r="AB74" s="1"/>
    </row>
    <row r="75">
      <c r="A75" s="193"/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T75" s="193"/>
      <c r="U75" s="193"/>
      <c r="V75" s="193"/>
      <c r="W75" s="193"/>
      <c r="X75" s="193"/>
      <c r="Y75" s="193"/>
      <c r="Z75" s="193"/>
      <c r="AB75" s="1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O76" s="193"/>
      <c r="P76" s="193"/>
      <c r="Q76" s="193"/>
      <c r="S76" s="193"/>
      <c r="T76" s="193"/>
      <c r="U76" s="193"/>
      <c r="V76" s="193"/>
      <c r="W76" s="193"/>
      <c r="X76" s="193"/>
      <c r="Y76" s="193"/>
      <c r="Z76" s="193"/>
      <c r="AB76" s="1">
        <v>0.0</v>
      </c>
    </row>
    <row r="77">
      <c r="A77" s="193"/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T77" s="193"/>
      <c r="U77" s="193"/>
      <c r="V77" s="193"/>
      <c r="W77" s="193"/>
      <c r="X77" s="193"/>
      <c r="Y77" s="193"/>
      <c r="Z77" s="193"/>
      <c r="AB77" s="1"/>
    </row>
    <row r="78">
      <c r="A78" s="193"/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O78" s="193"/>
      <c r="P78" s="193"/>
      <c r="Q78" s="193"/>
      <c r="S78" s="193"/>
      <c r="T78" s="193"/>
      <c r="U78" s="193"/>
      <c r="V78" s="193"/>
      <c r="W78" s="193"/>
      <c r="X78" s="193"/>
      <c r="Y78" s="193"/>
      <c r="Z78" s="193"/>
      <c r="AB78" s="1">
        <v>0.0</v>
      </c>
    </row>
    <row r="79">
      <c r="A79" s="193"/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T79" s="193"/>
      <c r="U79" s="193"/>
      <c r="V79" s="193"/>
      <c r="W79" s="193"/>
      <c r="X79" s="193"/>
      <c r="Y79" s="193"/>
      <c r="Z79" s="193"/>
      <c r="AB79" s="1"/>
    </row>
    <row r="80">
      <c r="A80" s="193"/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O80" s="193"/>
      <c r="P80" s="193"/>
      <c r="Q80" s="193"/>
      <c r="S80" s="193"/>
      <c r="T80" s="193"/>
      <c r="U80" s="193"/>
      <c r="V80" s="193"/>
      <c r="W80" s="193"/>
      <c r="X80" s="193"/>
      <c r="Y80" s="193"/>
      <c r="Z80" s="193"/>
      <c r="AB80" s="1">
        <v>0.0</v>
      </c>
    </row>
    <row r="81">
      <c r="A81" s="193"/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O81" s="193"/>
      <c r="P81" s="193"/>
      <c r="Q81" s="193"/>
      <c r="S81" s="193"/>
      <c r="T81" s="193"/>
      <c r="U81" s="193"/>
      <c r="V81" s="193"/>
      <c r="W81" s="193"/>
      <c r="X81" s="193"/>
      <c r="Y81" s="193"/>
      <c r="Z81" s="193"/>
      <c r="AB81" s="1"/>
    </row>
    <row r="82">
      <c r="A82" s="193"/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T82" s="193"/>
      <c r="U82" s="193"/>
      <c r="V82" s="193"/>
      <c r="W82" s="193"/>
      <c r="X82" s="193"/>
      <c r="Y82" s="193"/>
      <c r="Z82" s="193"/>
      <c r="AB82" s="1"/>
    </row>
    <row r="83">
      <c r="A83" s="193"/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O83" s="193"/>
      <c r="P83" s="193"/>
      <c r="Q83" s="193"/>
      <c r="S83" s="193"/>
      <c r="T83" s="193"/>
      <c r="U83" s="193"/>
      <c r="V83" s="193"/>
      <c r="W83" s="193"/>
      <c r="X83" s="193"/>
      <c r="Y83" s="193"/>
      <c r="Z83" s="193"/>
      <c r="AB83" s="1">
        <v>0.0</v>
      </c>
    </row>
    <row r="84">
      <c r="A84" s="193"/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O84" s="193"/>
      <c r="P84" s="193"/>
      <c r="Q84" s="193"/>
      <c r="S84" s="193"/>
      <c r="T84" s="193"/>
      <c r="U84" s="193"/>
      <c r="V84" s="193"/>
      <c r="W84" s="193"/>
      <c r="X84" s="193"/>
      <c r="Y84" s="193"/>
      <c r="Z84" s="193"/>
      <c r="AB84" s="1"/>
    </row>
    <row r="85">
      <c r="A85" s="193"/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O85" s="193"/>
      <c r="P85" s="193"/>
      <c r="Q85" s="193"/>
      <c r="S85" s="193"/>
      <c r="T85" s="193"/>
      <c r="U85" s="193"/>
      <c r="V85" s="193"/>
      <c r="W85" s="193"/>
      <c r="X85" s="193"/>
      <c r="Y85" s="193"/>
      <c r="Z85" s="193"/>
      <c r="AB85" s="1"/>
    </row>
    <row r="86">
      <c r="A86" s="193"/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"/>
      <c r="AB86" s="1"/>
    </row>
    <row r="87">
      <c r="A87" s="193"/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"/>
      <c r="AB87" s="1"/>
    </row>
    <row r="88">
      <c r="A88" s="193"/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"/>
      <c r="AB88" s="1"/>
    </row>
    <row r="89">
      <c r="A89" s="193"/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"/>
      <c r="AB89" s="1"/>
    </row>
    <row r="90">
      <c r="A90" s="193"/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S90" s="193"/>
      <c r="T90" s="193"/>
      <c r="U90" s="193"/>
      <c r="V90" s="193"/>
      <c r="W90" s="193"/>
      <c r="X90" s="193"/>
      <c r="Y90" s="193"/>
      <c r="Z90" s="193"/>
      <c r="AB90" s="1"/>
    </row>
    <row r="91">
      <c r="A91" s="193"/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O91" s="193"/>
      <c r="P91" s="193"/>
      <c r="Q91" s="193"/>
      <c r="S91" s="193"/>
      <c r="T91" s="193"/>
      <c r="U91" s="193"/>
      <c r="V91" s="193"/>
      <c r="W91" s="193"/>
      <c r="X91" s="193"/>
      <c r="Y91" s="193"/>
      <c r="Z91" s="193"/>
      <c r="AB91" s="1"/>
    </row>
    <row r="92">
      <c r="A92" s="193"/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"/>
      <c r="AB92" s="1"/>
    </row>
    <row r="93">
      <c r="A93" s="193"/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O93" s="193"/>
      <c r="P93" s="193"/>
      <c r="Q93" s="193"/>
      <c r="S93" s="193"/>
      <c r="T93" s="193"/>
      <c r="U93" s="193"/>
      <c r="V93" s="193"/>
      <c r="W93" s="193"/>
      <c r="X93" s="193"/>
      <c r="Y93" s="193"/>
      <c r="Z93" s="193"/>
      <c r="AB93" s="1"/>
    </row>
    <row r="94">
      <c r="A94" s="193"/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T94" s="193"/>
      <c r="U94" s="193"/>
      <c r="V94" s="193"/>
      <c r="W94" s="193"/>
      <c r="X94" s="193"/>
      <c r="Y94" s="193"/>
      <c r="Z94" s="193"/>
      <c r="AB94" s="1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T95" s="193"/>
      <c r="U95" s="193"/>
      <c r="V95" s="193"/>
      <c r="W95" s="193"/>
      <c r="X95" s="193"/>
      <c r="Y95" s="193"/>
      <c r="Z95" s="193"/>
      <c r="AB95" s="1"/>
    </row>
    <row r="96">
      <c r="A96" s="193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O96" s="193"/>
      <c r="P96" s="193"/>
      <c r="Q96" s="193"/>
      <c r="S96" s="193"/>
      <c r="T96" s="193"/>
      <c r="U96" s="193"/>
      <c r="V96" s="193"/>
      <c r="W96" s="193"/>
      <c r="X96" s="193"/>
      <c r="Y96" s="193"/>
      <c r="Z96" s="193"/>
      <c r="AB96" s="1"/>
    </row>
    <row r="97">
      <c r="A97" s="193"/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O97" s="193"/>
      <c r="P97" s="193"/>
      <c r="Q97" s="193"/>
      <c r="S97" s="193"/>
      <c r="T97" s="193"/>
      <c r="U97" s="193"/>
      <c r="V97" s="193"/>
      <c r="W97" s="193"/>
      <c r="X97" s="193"/>
      <c r="Y97" s="193"/>
      <c r="Z97" s="193"/>
      <c r="AB97" s="1">
        <v>0.0</v>
      </c>
    </row>
    <row r="98">
      <c r="A98" s="193"/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T98" s="193"/>
      <c r="U98" s="193"/>
      <c r="V98" s="193"/>
      <c r="W98" s="193"/>
      <c r="X98" s="193"/>
      <c r="Y98" s="193"/>
      <c r="Z98" s="193"/>
      <c r="AB98" s="1"/>
    </row>
    <row r="99">
      <c r="A99" s="193"/>
      <c r="B99" s="193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O99" s="193"/>
      <c r="P99" s="193"/>
      <c r="Q99" s="193"/>
      <c r="S99" s="193"/>
      <c r="T99" s="193"/>
      <c r="U99" s="193"/>
      <c r="V99" s="193"/>
      <c r="W99" s="193"/>
      <c r="X99" s="193"/>
      <c r="Y99" s="193"/>
      <c r="Z99" s="193"/>
      <c r="AB99" s="1"/>
    </row>
    <row r="100">
      <c r="A100" s="193"/>
      <c r="B100" s="193"/>
      <c r="C100" s="193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T100" s="193"/>
      <c r="U100" s="193"/>
      <c r="V100" s="193"/>
      <c r="W100" s="193"/>
      <c r="X100" s="193"/>
      <c r="Y100" s="193"/>
      <c r="Z100" s="193"/>
      <c r="AB100" s="1"/>
    </row>
    <row r="101">
      <c r="A101" s="193"/>
      <c r="B101" s="193"/>
      <c r="C101" s="193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"/>
      <c r="AB101" s="1"/>
    </row>
    <row r="102">
      <c r="A102" s="193"/>
      <c r="B102" s="193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"/>
      <c r="AB102" s="1"/>
    </row>
    <row r="103">
      <c r="A103" s="193"/>
      <c r="B103" s="193"/>
      <c r="C103" s="193"/>
      <c r="D103" s="193"/>
      <c r="E103" s="193"/>
      <c r="F103" s="193"/>
      <c r="G103" s="193"/>
      <c r="H103" s="193"/>
      <c r="I103" s="193"/>
      <c r="J103" s="193"/>
      <c r="K103" s="193"/>
      <c r="L103" s="193"/>
      <c r="M103" s="193"/>
      <c r="O103" s="193"/>
      <c r="P103" s="193"/>
      <c r="Q103" s="193"/>
      <c r="S103" s="193"/>
      <c r="T103" s="193"/>
      <c r="U103" s="193"/>
      <c r="V103" s="193"/>
      <c r="W103" s="193"/>
      <c r="X103" s="193"/>
      <c r="Y103" s="193"/>
      <c r="Z103" s="193"/>
      <c r="AB103" s="1"/>
    </row>
    <row r="104">
      <c r="A104" s="193"/>
      <c r="B104" s="193"/>
      <c r="C104" s="193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T104" s="193"/>
      <c r="U104" s="193"/>
      <c r="V104" s="193"/>
      <c r="W104" s="193"/>
      <c r="X104" s="193"/>
      <c r="Y104" s="193"/>
      <c r="Z104" s="193"/>
      <c r="AB104" s="1"/>
    </row>
    <row r="105">
      <c r="A105" s="193"/>
      <c r="B105" s="193"/>
      <c r="C105" s="193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"/>
      <c r="AB105" s="1"/>
    </row>
    <row r="106">
      <c r="A106" s="193"/>
      <c r="B106" s="193"/>
      <c r="C106" s="193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O106" s="193"/>
      <c r="P106" s="193"/>
      <c r="Q106" s="193"/>
      <c r="S106" s="193"/>
      <c r="T106" s="193"/>
      <c r="U106" s="193"/>
      <c r="V106" s="193"/>
      <c r="W106" s="193"/>
      <c r="X106" s="193"/>
      <c r="Y106" s="193"/>
      <c r="Z106" s="193"/>
      <c r="AB106" s="1"/>
    </row>
    <row r="107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"/>
      <c r="AB107" s="1"/>
    </row>
    <row r="108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O108" s="193"/>
      <c r="P108" s="193"/>
      <c r="Q108" s="193"/>
      <c r="S108" s="193"/>
      <c r="T108" s="193"/>
      <c r="U108" s="193"/>
      <c r="V108" s="193"/>
      <c r="W108" s="193"/>
      <c r="X108" s="193"/>
      <c r="Y108" s="193"/>
      <c r="Z108" s="193"/>
      <c r="AB108" s="1">
        <v>0.0</v>
      </c>
    </row>
    <row r="109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O109" s="193"/>
      <c r="P109" s="193"/>
      <c r="Q109" s="193"/>
      <c r="S109" s="193"/>
      <c r="T109" s="193"/>
      <c r="U109" s="193"/>
      <c r="V109" s="193"/>
      <c r="W109" s="193"/>
      <c r="X109" s="193"/>
      <c r="Y109" s="193"/>
      <c r="Z109" s="193"/>
      <c r="AB109" s="1"/>
    </row>
    <row r="110">
      <c r="A110" s="193"/>
      <c r="B110" s="193"/>
      <c r="C110" s="193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"/>
      <c r="AB110" s="1"/>
    </row>
    <row r="111">
      <c r="A111" s="193"/>
      <c r="B111" s="193"/>
      <c r="C111" s="193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"/>
      <c r="AB111" s="1"/>
    </row>
    <row r="112">
      <c r="A112" s="193"/>
      <c r="B112" s="193"/>
      <c r="C112" s="193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"/>
      <c r="AB112" s="1"/>
    </row>
    <row r="113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T113" s="193"/>
      <c r="U113" s="193"/>
      <c r="V113" s="193"/>
      <c r="W113" s="193"/>
      <c r="X113" s="193"/>
      <c r="Y113" s="193"/>
      <c r="Z113" s="193"/>
      <c r="AB113" s="1"/>
    </row>
    <row r="114">
      <c r="A114" s="193"/>
      <c r="B114" s="193"/>
      <c r="C114" s="193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"/>
      <c r="AB114" s="1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O115" s="193"/>
      <c r="P115" s="193"/>
      <c r="Q115" s="193"/>
      <c r="S115" s="193"/>
      <c r="T115" s="193"/>
      <c r="U115" s="193"/>
      <c r="V115" s="193"/>
      <c r="W115" s="193"/>
      <c r="X115" s="193"/>
      <c r="Y115" s="193"/>
      <c r="Z115" s="193"/>
      <c r="AB115" s="1"/>
    </row>
    <row r="116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O116" s="193"/>
      <c r="P116" s="193"/>
      <c r="Q116" s="193"/>
      <c r="S116" s="193"/>
      <c r="T116" s="193"/>
      <c r="U116" s="193"/>
      <c r="V116" s="193"/>
      <c r="W116" s="193"/>
      <c r="X116" s="193"/>
      <c r="Y116" s="193"/>
      <c r="Z116" s="193"/>
      <c r="AB116" s="1"/>
    </row>
    <row r="117">
      <c r="A117" s="193"/>
      <c r="B117" s="193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"/>
      <c r="AB117" s="1"/>
    </row>
    <row r="118">
      <c r="A118" s="193"/>
      <c r="B118" s="193"/>
      <c r="C118" s="193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O118" s="193"/>
      <c r="P118" s="193"/>
      <c r="Q118" s="193"/>
      <c r="S118" s="193"/>
      <c r="T118" s="193"/>
      <c r="U118" s="193"/>
      <c r="V118" s="193"/>
      <c r="W118" s="193"/>
      <c r="X118" s="193"/>
      <c r="Y118" s="193"/>
      <c r="Z118" s="193"/>
      <c r="AB118" s="1"/>
    </row>
    <row r="119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"/>
      <c r="AB119" s="1"/>
    </row>
    <row r="120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T120" s="193"/>
      <c r="U120" s="193"/>
      <c r="V120" s="193"/>
      <c r="W120" s="193"/>
      <c r="X120" s="193"/>
      <c r="Y120" s="193"/>
      <c r="Z120" s="193"/>
      <c r="AB120" s="1"/>
    </row>
    <row r="12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T121" s="193"/>
      <c r="U121" s="193"/>
      <c r="V121" s="193"/>
      <c r="W121" s="193"/>
      <c r="X121" s="193"/>
      <c r="Y121" s="193"/>
      <c r="Z121" s="193"/>
      <c r="AB121" s="1"/>
    </row>
    <row r="122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T122" s="193"/>
      <c r="U122" s="193"/>
      <c r="V122" s="193"/>
      <c r="W122" s="193"/>
      <c r="X122" s="193"/>
      <c r="Y122" s="193"/>
      <c r="Z122" s="193"/>
      <c r="AB122" s="1"/>
    </row>
    <row r="123">
      <c r="A123" s="193"/>
      <c r="B123" s="193"/>
      <c r="C123" s="193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"/>
      <c r="AB123" s="1"/>
    </row>
    <row r="124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S124" s="193"/>
      <c r="T124" s="193"/>
      <c r="U124" s="193"/>
      <c r="V124" s="193"/>
      <c r="W124" s="193"/>
      <c r="X124" s="193"/>
      <c r="Y124" s="193"/>
      <c r="Z124" s="193"/>
      <c r="AB124" s="1"/>
    </row>
    <row r="125">
      <c r="A125" s="193"/>
      <c r="B125" s="193"/>
      <c r="C125" s="193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O125" s="193"/>
      <c r="P125" s="193"/>
      <c r="Q125" s="193"/>
      <c r="S125" s="193"/>
      <c r="T125" s="193"/>
      <c r="U125" s="193"/>
      <c r="V125" s="193"/>
      <c r="W125" s="193"/>
      <c r="X125" s="193"/>
      <c r="Y125" s="193"/>
      <c r="Z125" s="193"/>
      <c r="AB125" s="1">
        <v>0.0</v>
      </c>
    </row>
    <row r="126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O126" s="193"/>
      <c r="P126" s="193"/>
      <c r="Q126" s="193"/>
      <c r="S126" s="193"/>
      <c r="T126" s="193"/>
      <c r="U126" s="193"/>
      <c r="V126" s="193"/>
      <c r="W126" s="193"/>
      <c r="X126" s="193"/>
      <c r="Y126" s="193"/>
      <c r="Z126" s="193"/>
      <c r="AB126" s="1"/>
    </row>
    <row r="127">
      <c r="A127" s="193"/>
      <c r="B127" s="193"/>
      <c r="C127" s="193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O127" s="193"/>
      <c r="P127" s="193"/>
      <c r="Q127" s="193"/>
      <c r="S127" s="193"/>
      <c r="T127" s="193"/>
      <c r="U127" s="193"/>
      <c r="V127" s="193"/>
      <c r="W127" s="193"/>
      <c r="X127" s="193"/>
      <c r="Y127" s="193"/>
      <c r="Z127" s="193"/>
      <c r="AB127" s="1"/>
    </row>
    <row r="128">
      <c r="A128" s="193"/>
      <c r="B128" s="193"/>
      <c r="C128" s="193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"/>
      <c r="AB128" s="1"/>
    </row>
    <row r="129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T129" s="193"/>
      <c r="U129" s="193"/>
      <c r="V129" s="193"/>
      <c r="W129" s="193"/>
      <c r="X129" s="193"/>
      <c r="Y129" s="193"/>
      <c r="Z129" s="193"/>
      <c r="AB129" s="1"/>
    </row>
    <row r="130">
      <c r="A130" s="193"/>
      <c r="B130" s="193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T130" s="193"/>
      <c r="U130" s="193"/>
      <c r="V130" s="193"/>
      <c r="W130" s="193"/>
      <c r="X130" s="193"/>
      <c r="Y130" s="193"/>
      <c r="Z130" s="193"/>
      <c r="AB130" s="1"/>
    </row>
    <row r="13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O131" s="193"/>
      <c r="P131" s="193"/>
      <c r="Q131" s="193"/>
      <c r="S131" s="193"/>
      <c r="T131" s="193"/>
      <c r="U131" s="193"/>
      <c r="V131" s="193"/>
      <c r="W131" s="193"/>
      <c r="X131" s="193"/>
      <c r="Y131" s="193"/>
      <c r="Z131" s="193"/>
      <c r="AB131" s="1">
        <v>0.0</v>
      </c>
    </row>
    <row r="132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O132" s="193"/>
      <c r="P132" s="193"/>
      <c r="Q132" s="193"/>
      <c r="S132" s="193"/>
      <c r="T132" s="193"/>
      <c r="U132" s="193"/>
      <c r="V132" s="193"/>
      <c r="W132" s="193"/>
      <c r="X132" s="193"/>
      <c r="Y132" s="193"/>
      <c r="Z132" s="193"/>
      <c r="AB132" s="1">
        <v>0.0</v>
      </c>
    </row>
    <row r="133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O133" s="193"/>
      <c r="P133" s="193"/>
      <c r="Q133" s="193"/>
      <c r="S133" s="193"/>
      <c r="T133" s="193"/>
      <c r="U133" s="193"/>
      <c r="V133" s="193"/>
      <c r="W133" s="193"/>
      <c r="X133" s="193"/>
      <c r="Y133" s="193"/>
      <c r="Z133" s="193"/>
      <c r="AB133" s="1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S134" s="193"/>
      <c r="T134" s="193"/>
      <c r="U134" s="193"/>
      <c r="V134" s="193"/>
      <c r="W134" s="193"/>
      <c r="X134" s="193"/>
      <c r="Y134" s="193"/>
      <c r="Z134" s="193"/>
      <c r="AB134" s="1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S135" s="193"/>
      <c r="T135" s="193"/>
      <c r="U135" s="193"/>
      <c r="V135" s="193"/>
      <c r="W135" s="193"/>
      <c r="X135" s="193"/>
      <c r="Y135" s="193"/>
      <c r="Z135" s="193"/>
      <c r="AB135" s="1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O136" s="193"/>
      <c r="P136" s="193"/>
      <c r="Q136" s="193"/>
      <c r="S136" s="193"/>
      <c r="T136" s="193"/>
      <c r="U136" s="193"/>
      <c r="V136" s="193"/>
      <c r="W136" s="193"/>
      <c r="X136" s="193"/>
      <c r="Y136" s="193"/>
      <c r="Z136" s="193"/>
      <c r="AB136" s="1">
        <v>0.0</v>
      </c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T137" s="193"/>
      <c r="U137" s="193"/>
      <c r="V137" s="193"/>
      <c r="W137" s="193"/>
      <c r="X137" s="193"/>
      <c r="Y137" s="193"/>
      <c r="Z137" s="193"/>
      <c r="AB137" s="1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O138" s="193"/>
      <c r="P138" s="193"/>
      <c r="Q138" s="193"/>
      <c r="S138" s="193"/>
      <c r="T138" s="193"/>
      <c r="U138" s="193"/>
      <c r="V138" s="193"/>
      <c r="W138" s="193"/>
      <c r="X138" s="193"/>
      <c r="Y138" s="193"/>
      <c r="Z138" s="193"/>
      <c r="AB138" s="1">
        <v>0.0</v>
      </c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S139" s="193"/>
      <c r="T139" s="193"/>
      <c r="U139" s="193"/>
      <c r="V139" s="193"/>
      <c r="W139" s="193"/>
      <c r="X139" s="193"/>
      <c r="Y139" s="193"/>
      <c r="Z139" s="193"/>
      <c r="AB139" s="1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O140" s="193"/>
      <c r="P140" s="193"/>
      <c r="Q140" s="193"/>
      <c r="S140" s="193"/>
      <c r="T140" s="193"/>
      <c r="U140" s="193"/>
      <c r="V140" s="193"/>
      <c r="W140" s="193"/>
      <c r="X140" s="193"/>
      <c r="Y140" s="193"/>
      <c r="Z140" s="193"/>
      <c r="AB140" s="1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>
      <c r="A2" s="1"/>
      <c r="B2" s="1"/>
      <c r="C2" s="194"/>
      <c r="D2" s="1"/>
      <c r="E2" s="193"/>
      <c r="F2" s="1"/>
      <c r="G2" s="1"/>
      <c r="H2" s="1"/>
      <c r="I2" s="1"/>
      <c r="J2" s="1"/>
      <c r="K2" s="193"/>
      <c r="L2" s="1"/>
      <c r="M2" s="1"/>
      <c r="N2" s="1"/>
      <c r="O2" s="1"/>
      <c r="P2" s="1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</row>
    <row r="3" hidden="1">
      <c r="A3" s="1"/>
      <c r="B3" s="194"/>
      <c r="C3" s="194"/>
      <c r="D3" s="1"/>
      <c r="E3" s="1"/>
      <c r="F3" s="1"/>
      <c r="G3" s="1"/>
      <c r="H3" s="1"/>
      <c r="I3" s="1"/>
      <c r="J3" s="1"/>
      <c r="K3" s="193"/>
      <c r="L3" s="1"/>
      <c r="M3" s="1"/>
      <c r="N3" s="1"/>
      <c r="O3" s="1"/>
      <c r="P3" s="1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</row>
    <row r="4" hidden="1">
      <c r="A4" s="1"/>
      <c r="B4" s="1"/>
      <c r="C4" s="194"/>
      <c r="D4" s="1"/>
      <c r="E4" s="1"/>
      <c r="F4" s="1"/>
      <c r="G4" s="1"/>
      <c r="H4" s="1"/>
      <c r="I4" s="1"/>
      <c r="J4" s="1"/>
      <c r="K4" s="193"/>
      <c r="L4" s="1"/>
      <c r="M4" s="1"/>
      <c r="N4" s="1"/>
      <c r="O4" s="1"/>
      <c r="P4" s="1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</row>
    <row r="5" hidden="1">
      <c r="A5" s="1"/>
      <c r="B5" s="1"/>
      <c r="C5" s="194"/>
      <c r="D5" s="1"/>
      <c r="E5" s="193"/>
      <c r="F5" s="1"/>
      <c r="G5" s="1"/>
      <c r="H5" s="1"/>
      <c r="I5" s="1"/>
      <c r="J5" s="1"/>
      <c r="K5" s="193"/>
      <c r="L5" s="1"/>
      <c r="M5" s="1"/>
      <c r="N5" s="1"/>
      <c r="O5" s="1"/>
      <c r="P5" s="1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</row>
    <row r="6" hidden="1">
      <c r="A6" s="1"/>
      <c r="B6" s="1"/>
      <c r="C6" s="194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</row>
    <row r="7" hidden="1">
      <c r="A7" s="1"/>
      <c r="B7" s="1"/>
      <c r="C7" s="194"/>
      <c r="D7" s="1"/>
      <c r="E7" s="1"/>
      <c r="F7" s="1"/>
      <c r="G7" s="1"/>
      <c r="H7" s="1"/>
      <c r="I7" s="1"/>
      <c r="J7" s="1"/>
      <c r="K7" s="193"/>
      <c r="L7" s="1"/>
      <c r="M7" s="1"/>
      <c r="N7" s="1"/>
      <c r="O7" s="1"/>
      <c r="P7" s="1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</row>
    <row r="8" hidden="1">
      <c r="A8" s="1"/>
      <c r="B8" s="1"/>
      <c r="C8" s="194"/>
      <c r="D8" s="1"/>
      <c r="E8" s="193"/>
      <c r="F8" s="1"/>
      <c r="G8" s="1"/>
      <c r="H8" s="1"/>
      <c r="I8" s="1"/>
      <c r="J8" s="1"/>
      <c r="K8" s="193"/>
      <c r="L8" s="1"/>
      <c r="M8" s="1"/>
      <c r="N8" s="1"/>
      <c r="O8" s="1"/>
      <c r="P8" s="1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</row>
    <row r="9" hidden="1">
      <c r="A9" s="1"/>
      <c r="B9" s="194"/>
      <c r="C9" s="194"/>
      <c r="D9" s="1"/>
      <c r="E9" s="193"/>
      <c r="F9" s="1"/>
      <c r="G9" s="1"/>
      <c r="H9" s="1"/>
      <c r="I9" s="1"/>
      <c r="J9" s="1"/>
      <c r="K9" s="193"/>
      <c r="L9" s="1"/>
      <c r="M9" s="1"/>
      <c r="N9" s="1"/>
      <c r="O9" s="1"/>
      <c r="P9" s="1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</row>
    <row r="10" hidden="1">
      <c r="A10" s="1"/>
      <c r="B10" s="1"/>
      <c r="C10" s="194"/>
      <c r="D10" s="1"/>
      <c r="E10" s="1"/>
      <c r="F10" s="1"/>
      <c r="G10" s="1"/>
      <c r="H10" s="1"/>
      <c r="I10" s="1"/>
      <c r="J10" s="1"/>
      <c r="K10" s="193"/>
      <c r="L10" s="1"/>
      <c r="M10" s="1"/>
      <c r="N10" s="1"/>
      <c r="O10" s="1"/>
      <c r="P10" s="1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</row>
    <row r="11" hidden="1">
      <c r="A11" s="1"/>
      <c r="B11" s="1"/>
      <c r="C11" s="194"/>
      <c r="D11" s="1"/>
      <c r="E11" s="1"/>
      <c r="F11" s="1"/>
      <c r="G11" s="1"/>
      <c r="H11" s="1"/>
      <c r="I11" s="1"/>
      <c r="J11" s="1"/>
      <c r="K11" s="193"/>
      <c r="L11" s="1"/>
      <c r="M11" s="1"/>
      <c r="N11" s="1"/>
      <c r="O11" s="1"/>
      <c r="P11" s="1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</row>
    <row r="12" hidden="1">
      <c r="A12" s="1"/>
      <c r="B12" s="1"/>
      <c r="C12" s="194"/>
      <c r="D12" s="1"/>
      <c r="E12" s="193"/>
      <c r="F12" s="1"/>
      <c r="G12" s="1"/>
      <c r="H12" s="1"/>
      <c r="I12" s="1"/>
      <c r="J12" s="1"/>
      <c r="K12" s="193"/>
      <c r="L12" s="1"/>
      <c r="M12" s="1"/>
      <c r="N12" s="1"/>
      <c r="O12" s="1"/>
      <c r="P12" s="1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</row>
    <row r="13" hidden="1">
      <c r="A13" s="1"/>
      <c r="B13" s="1"/>
      <c r="C13" s="1"/>
      <c r="D13" s="1"/>
      <c r="E13" s="193"/>
      <c r="F13" s="1"/>
      <c r="G13" s="1"/>
      <c r="H13" s="1"/>
      <c r="I13" s="1"/>
      <c r="J13" s="1"/>
      <c r="K13" s="193"/>
      <c r="L13" s="1"/>
      <c r="M13" s="1"/>
      <c r="N13" s="1"/>
      <c r="O13" s="1"/>
      <c r="P13" s="1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</row>
    <row r="14" hidden="1">
      <c r="A14" s="1"/>
      <c r="B14" s="1"/>
      <c r="C14" s="194"/>
      <c r="D14" s="1"/>
      <c r="E14" s="193"/>
      <c r="F14" s="1"/>
      <c r="G14" s="1"/>
      <c r="H14" s="1"/>
      <c r="I14" s="1"/>
      <c r="J14" s="1"/>
      <c r="K14" s="193"/>
      <c r="L14" s="1"/>
      <c r="M14" s="1"/>
      <c r="N14" s="1"/>
      <c r="O14" s="1"/>
      <c r="P14" s="1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</row>
    <row r="15" hidden="1">
      <c r="A15" s="1"/>
      <c r="B15" s="1"/>
      <c r="C15" s="1"/>
      <c r="D15" s="1"/>
      <c r="E15" s="1"/>
      <c r="F15" s="1"/>
      <c r="G15" s="1"/>
      <c r="H15" s="1"/>
      <c r="I15" s="1"/>
      <c r="J15" s="1"/>
      <c r="K15" s="193"/>
      <c r="L15" s="1"/>
      <c r="M15" s="1"/>
      <c r="N15" s="1"/>
      <c r="O15" s="1"/>
      <c r="P15" s="1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hidden="1">
      <c r="A16" s="1"/>
      <c r="B16" s="1"/>
      <c r="C16" s="194"/>
      <c r="D16" s="1"/>
      <c r="E16" s="1"/>
      <c r="F16" s="1"/>
      <c r="G16" s="1"/>
      <c r="H16" s="1"/>
      <c r="I16" s="1"/>
      <c r="J16" s="1"/>
      <c r="K16" s="193"/>
      <c r="L16" s="1"/>
      <c r="M16" s="1"/>
      <c r="N16" s="1"/>
      <c r="O16" s="1"/>
      <c r="P16" s="1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</row>
    <row r="17" hidden="1">
      <c r="A17" s="1"/>
      <c r="B17" s="1"/>
      <c r="C17" s="194"/>
      <c r="D17" s="1"/>
      <c r="E17" s="193"/>
      <c r="F17" s="1"/>
      <c r="G17" s="1"/>
      <c r="H17" s="1"/>
      <c r="I17" s="1"/>
      <c r="J17" s="1"/>
      <c r="K17" s="193"/>
      <c r="L17" s="1"/>
      <c r="M17" s="1"/>
      <c r="N17" s="1"/>
      <c r="O17" s="1"/>
      <c r="P17" s="1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</row>
    <row r="18" hidden="1">
      <c r="A18" s="1"/>
      <c r="B18" s="1"/>
      <c r="C18" s="194"/>
      <c r="D18" s="1"/>
      <c r="E18" s="1"/>
      <c r="F18" s="1"/>
      <c r="G18" s="1"/>
      <c r="H18" s="1"/>
      <c r="I18" s="1"/>
      <c r="J18" s="1"/>
      <c r="K18" s="193"/>
      <c r="L18" s="1"/>
      <c r="M18" s="1"/>
      <c r="N18" s="1"/>
      <c r="O18" s="1"/>
      <c r="P18" s="1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</row>
    <row r="19" hidden="1">
      <c r="A19" s="1"/>
      <c r="B19" s="1"/>
      <c r="C19" s="194"/>
      <c r="D19" s="1"/>
      <c r="E19" s="1"/>
      <c r="F19" s="1"/>
      <c r="G19" s="1"/>
      <c r="H19" s="1"/>
      <c r="I19" s="1"/>
      <c r="J19" s="1"/>
      <c r="K19" s="193"/>
      <c r="L19" s="1"/>
      <c r="M19" s="1"/>
      <c r="N19" s="1"/>
      <c r="O19" s="1"/>
      <c r="P19" s="1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</row>
    <row r="20" hidden="1">
      <c r="A20" s="1"/>
      <c r="B20" s="1"/>
      <c r="C20" s="194"/>
      <c r="D20" s="1"/>
      <c r="E20" s="1"/>
      <c r="F20" s="1"/>
      <c r="G20" s="1"/>
      <c r="H20" s="1"/>
      <c r="I20" s="1"/>
      <c r="J20" s="1"/>
      <c r="K20" s="193"/>
      <c r="L20" s="1"/>
      <c r="M20" s="1"/>
      <c r="N20" s="1"/>
      <c r="O20" s="1"/>
      <c r="P20" s="1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</row>
    <row r="21" hidden="1">
      <c r="A21" s="1"/>
      <c r="B21" s="1"/>
      <c r="C21" s="194"/>
      <c r="D21" s="1"/>
      <c r="E21" s="193"/>
      <c r="F21" s="1"/>
      <c r="G21" s="1"/>
      <c r="H21" s="1"/>
      <c r="I21" s="1"/>
      <c r="J21" s="1"/>
      <c r="K21" s="193"/>
      <c r="L21" s="1"/>
      <c r="M21" s="1"/>
      <c r="N21" s="1"/>
      <c r="O21" s="1"/>
      <c r="P21" s="1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</row>
    <row r="22" hidden="1">
      <c r="A22" s="1"/>
      <c r="B22" s="1"/>
      <c r="C22" s="194"/>
      <c r="D22" s="1"/>
      <c r="E22" s="193"/>
      <c r="F22" s="1"/>
      <c r="G22" s="1"/>
      <c r="H22" s="1"/>
      <c r="I22" s="1"/>
      <c r="J22" s="1"/>
      <c r="K22" s="193"/>
      <c r="L22" s="1"/>
      <c r="M22" s="1"/>
      <c r="N22" s="1"/>
      <c r="O22" s="1"/>
      <c r="P22" s="1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</row>
    <row r="23" hidden="1">
      <c r="A23" s="1"/>
      <c r="B23" s="1"/>
      <c r="C23" s="194"/>
      <c r="D23" s="1"/>
      <c r="E23" s="193"/>
      <c r="F23" s="1"/>
      <c r="G23" s="1"/>
      <c r="H23" s="1"/>
      <c r="I23" s="1"/>
      <c r="J23" s="1"/>
      <c r="K23" s="193"/>
      <c r="L23" s="1"/>
      <c r="M23" s="1"/>
      <c r="N23" s="1"/>
      <c r="O23" s="1"/>
      <c r="P23" s="1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</row>
    <row r="24" hidden="1">
      <c r="A24" s="1"/>
      <c r="B24" s="1"/>
      <c r="C24" s="1"/>
      <c r="D24" s="1"/>
      <c r="E24" s="193"/>
      <c r="F24" s="1"/>
      <c r="G24" s="1"/>
      <c r="H24" s="1"/>
      <c r="I24" s="1"/>
      <c r="J24" s="1"/>
      <c r="K24" s="193"/>
      <c r="L24" s="1"/>
      <c r="M24" s="1"/>
      <c r="N24" s="1"/>
      <c r="O24" s="1"/>
      <c r="P24" s="1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</row>
    <row r="25" hidden="1">
      <c r="A25" s="1"/>
      <c r="B25" s="1"/>
      <c r="C25" s="194"/>
      <c r="D25" s="1"/>
      <c r="E25" s="193"/>
      <c r="F25" s="1"/>
      <c r="G25" s="1"/>
      <c r="H25" s="1"/>
      <c r="I25" s="1"/>
      <c r="J25" s="1"/>
      <c r="K25" s="193"/>
      <c r="L25" s="1"/>
      <c r="M25" s="1"/>
      <c r="N25" s="1"/>
      <c r="O25" s="1"/>
      <c r="P25" s="1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</row>
    <row r="26" hidden="1">
      <c r="A26" s="1"/>
      <c r="B26" s="194"/>
      <c r="C26" s="194"/>
      <c r="D26" s="1"/>
      <c r="E26" s="1"/>
      <c r="F26" s="1"/>
      <c r="G26" s="1"/>
      <c r="H26" s="1"/>
      <c r="I26" s="1"/>
      <c r="J26" s="1"/>
      <c r="K26" s="193"/>
      <c r="L26" s="1"/>
      <c r="M26" s="1"/>
      <c r="N26" s="1"/>
      <c r="O26" s="1"/>
      <c r="P26" s="1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</row>
    <row r="27" hidden="1">
      <c r="A27" s="1"/>
      <c r="B27" s="1"/>
      <c r="C27" s="194"/>
      <c r="D27" s="1"/>
      <c r="E27" s="1"/>
      <c r="F27" s="1"/>
      <c r="G27" s="1"/>
      <c r="H27" s="1"/>
      <c r="I27" s="1"/>
      <c r="J27" s="1"/>
      <c r="K27" s="193"/>
      <c r="L27" s="1"/>
      <c r="M27" s="1"/>
      <c r="N27" s="1"/>
      <c r="O27" s="1"/>
      <c r="P27" s="1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</row>
    <row r="28" hidden="1">
      <c r="A28" s="1"/>
      <c r="B28" s="1"/>
      <c r="C28" s="194"/>
      <c r="D28" s="1"/>
      <c r="E28" s="1"/>
      <c r="F28" s="1"/>
      <c r="G28" s="1"/>
      <c r="H28" s="1"/>
      <c r="I28" s="1"/>
      <c r="J28" s="1"/>
      <c r="K28" s="193"/>
      <c r="L28" s="1"/>
      <c r="M28" s="1"/>
      <c r="N28" s="1"/>
      <c r="O28" s="1"/>
      <c r="P28" s="1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</row>
    <row r="29" hidden="1">
      <c r="A29" s="1"/>
      <c r="B29" s="194"/>
      <c r="C29" s="194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</row>
    <row r="30" hidden="1">
      <c r="A30" s="1"/>
      <c r="B30" s="1"/>
      <c r="C30" s="1"/>
      <c r="D30" s="1"/>
      <c r="E30" s="193"/>
      <c r="F30" s="1"/>
      <c r="G30" s="1"/>
      <c r="H30" s="1"/>
      <c r="I30" s="1"/>
      <c r="J30" s="1"/>
      <c r="K30" s="193"/>
      <c r="L30" s="1"/>
      <c r="M30" s="1"/>
      <c r="N30" s="1"/>
      <c r="O30" s="1"/>
      <c r="P30" s="1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</row>
    <row r="31" hidden="1">
      <c r="A31" s="1"/>
      <c r="B31" s="1"/>
      <c r="C31" s="194"/>
      <c r="D31" s="1"/>
      <c r="E31" s="193"/>
      <c r="F31" s="1"/>
      <c r="G31" s="1"/>
      <c r="H31" s="1"/>
      <c r="I31" s="1"/>
      <c r="J31" s="1"/>
      <c r="K31" s="193"/>
      <c r="L31" s="1"/>
      <c r="M31" s="1"/>
      <c r="N31" s="1"/>
      <c r="O31" s="1"/>
      <c r="P31" s="1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</row>
    <row r="32" hidden="1">
      <c r="A32" s="1"/>
      <c r="B32" s="1"/>
      <c r="C32" s="194"/>
      <c r="D32" s="1"/>
      <c r="E32" s="193"/>
      <c r="F32" s="1"/>
      <c r="G32" s="1"/>
      <c r="H32" s="1"/>
      <c r="I32" s="1"/>
      <c r="J32" s="1"/>
      <c r="K32" s="193"/>
      <c r="L32" s="1"/>
      <c r="M32" s="1"/>
      <c r="N32" s="1"/>
      <c r="O32" s="1"/>
      <c r="P32" s="1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</row>
    <row r="33" hidden="1">
      <c r="A33" s="1"/>
      <c r="B33" s="1"/>
      <c r="C33" s="194"/>
      <c r="D33" s="1"/>
      <c r="E33" s="1"/>
      <c r="F33" s="1"/>
      <c r="G33" s="1"/>
      <c r="H33" s="1"/>
      <c r="I33" s="1"/>
      <c r="J33" s="1"/>
      <c r="K33" s="193"/>
      <c r="L33" s="1"/>
      <c r="M33" s="1"/>
      <c r="N33" s="1"/>
      <c r="O33" s="1"/>
      <c r="P33" s="1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</row>
    <row r="34" hidden="1">
      <c r="A34" s="1"/>
      <c r="B34" s="1"/>
      <c r="C34" s="1"/>
      <c r="D34" s="1"/>
      <c r="E34" s="1"/>
      <c r="F34" s="1"/>
      <c r="G34" s="1"/>
      <c r="H34" s="1"/>
      <c r="I34" s="1"/>
      <c r="J34" s="1"/>
      <c r="K34" s="193"/>
      <c r="L34" s="1"/>
      <c r="M34" s="1"/>
      <c r="N34" s="1"/>
      <c r="O34" s="1"/>
      <c r="P34" s="1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</row>
    <row r="35" hidden="1">
      <c r="A35" s="1"/>
      <c r="B35" s="1"/>
      <c r="C35" s="194"/>
      <c r="D35" s="1"/>
      <c r="E35" s="1"/>
      <c r="F35" s="1"/>
      <c r="G35" s="1"/>
      <c r="H35" s="1"/>
      <c r="I35" s="1"/>
      <c r="J35" s="1"/>
      <c r="K35" s="193"/>
      <c r="L35" s="1"/>
      <c r="M35" s="1"/>
      <c r="N35" s="1"/>
      <c r="O35" s="1"/>
      <c r="P35" s="1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</row>
    <row r="36" hidden="1">
      <c r="A36" s="1"/>
      <c r="B36" s="1"/>
      <c r="C36" s="194"/>
      <c r="D36" s="1"/>
      <c r="E36" s="193"/>
      <c r="F36" s="1"/>
      <c r="G36" s="1"/>
      <c r="H36" s="1"/>
      <c r="I36" s="1"/>
      <c r="J36" s="1"/>
      <c r="K36" s="193"/>
      <c r="L36" s="1"/>
      <c r="M36" s="1"/>
      <c r="N36" s="1"/>
      <c r="O36" s="1"/>
      <c r="P36" s="1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</row>
    <row r="37" hidden="1">
      <c r="A37" s="1"/>
      <c r="B37" s="1"/>
      <c r="C37" s="194"/>
      <c r="D37" s="1"/>
      <c r="E37" s="1"/>
      <c r="F37" s="1"/>
      <c r="G37" s="1"/>
      <c r="H37" s="1"/>
      <c r="I37" s="1"/>
      <c r="J37" s="1"/>
      <c r="K37" s="193"/>
      <c r="L37" s="1"/>
      <c r="M37" s="1"/>
      <c r="N37" s="1"/>
      <c r="O37" s="1"/>
      <c r="P37" s="1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</row>
    <row r="38" hidden="1">
      <c r="A38" s="1"/>
      <c r="B38" s="194"/>
      <c r="C38" s="194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</row>
    <row r="39" hidden="1">
      <c r="A39" s="1"/>
      <c r="B39" s="1"/>
      <c r="C39" s="194"/>
      <c r="D39" s="1"/>
      <c r="E39" s="193"/>
      <c r="F39" s="1"/>
      <c r="G39" s="1"/>
      <c r="H39" s="1"/>
      <c r="I39" s="1"/>
      <c r="J39" s="1"/>
      <c r="K39" s="193"/>
      <c r="L39" s="1"/>
      <c r="M39" s="1"/>
      <c r="N39" s="1"/>
      <c r="O39" s="1"/>
      <c r="P39" s="1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</row>
    <row r="40" hidden="1">
      <c r="A40" s="1"/>
      <c r="B40" s="1"/>
      <c r="C40" s="194"/>
      <c r="D40" s="1"/>
      <c r="E40" s="1"/>
      <c r="F40" s="1"/>
      <c r="G40" s="1"/>
      <c r="H40" s="1"/>
      <c r="I40" s="1"/>
      <c r="J40" s="1"/>
      <c r="K40" s="193"/>
      <c r="L40" s="1"/>
      <c r="M40" s="1"/>
      <c r="N40" s="1"/>
      <c r="O40" s="1"/>
      <c r="P40" s="1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</row>
    <row r="41" hidden="1">
      <c r="A41" s="1"/>
      <c r="B41" s="1"/>
      <c r="C41" s="194"/>
      <c r="D41" s="1"/>
      <c r="E41" s="193"/>
      <c r="F41" s="1"/>
      <c r="G41" s="1"/>
      <c r="H41" s="1"/>
      <c r="I41" s="1"/>
      <c r="J41" s="1"/>
      <c r="K41" s="193"/>
      <c r="L41" s="1"/>
      <c r="M41" s="1"/>
      <c r="N41" s="1"/>
      <c r="O41" s="1"/>
      <c r="P41" s="1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</row>
    <row r="42" hidden="1">
      <c r="A42" s="1"/>
      <c r="B42" s="194"/>
      <c r="C42" s="194"/>
      <c r="D42" s="1"/>
      <c r="E42" s="1"/>
      <c r="F42" s="1"/>
      <c r="G42" s="1"/>
      <c r="H42" s="1"/>
      <c r="I42" s="1"/>
      <c r="J42" s="1"/>
      <c r="K42" s="193"/>
      <c r="L42" s="1"/>
      <c r="M42" s="1"/>
      <c r="N42" s="1"/>
      <c r="O42" s="1"/>
      <c r="P42" s="1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</row>
    <row r="43" hidden="1">
      <c r="A43" s="1"/>
      <c r="B43" s="194"/>
      <c r="C43" s="1"/>
      <c r="D43" s="1"/>
      <c r="E43" s="193"/>
      <c r="F43" s="1"/>
      <c r="G43" s="1"/>
      <c r="H43" s="1"/>
      <c r="I43" s="1"/>
      <c r="J43" s="1"/>
      <c r="K43" s="193"/>
      <c r="L43" s="1"/>
      <c r="M43" s="1"/>
      <c r="N43" s="1"/>
      <c r="O43" s="1"/>
      <c r="P43" s="1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</row>
    <row r="44" hidden="1">
      <c r="A44" s="1"/>
      <c r="B44" s="1"/>
      <c r="C44" s="194"/>
      <c r="D44" s="1"/>
      <c r="E44" s="1"/>
      <c r="F44" s="1"/>
      <c r="G44" s="1"/>
      <c r="H44" s="1"/>
      <c r="I44" s="1"/>
      <c r="J44" s="1"/>
      <c r="K44" s="193"/>
      <c r="L44" s="1"/>
      <c r="M44" s="1"/>
      <c r="N44" s="1"/>
      <c r="O44" s="1"/>
      <c r="P44" s="1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</row>
    <row r="45" hidden="1">
      <c r="A45" s="1"/>
      <c r="B45" s="194"/>
      <c r="C45" s="194"/>
      <c r="D45" s="1"/>
      <c r="E45" s="1"/>
      <c r="F45" s="1"/>
      <c r="G45" s="1"/>
      <c r="H45" s="1"/>
      <c r="I45" s="1"/>
      <c r="J45" s="1"/>
      <c r="K45" s="193"/>
      <c r="L45" s="1"/>
      <c r="M45" s="1"/>
      <c r="N45" s="1"/>
      <c r="O45" s="1"/>
      <c r="P45" s="1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</row>
    <row r="46" hidden="1">
      <c r="A46" s="1"/>
      <c r="B46" s="1"/>
      <c r="C46" s="194"/>
      <c r="D46" s="1"/>
      <c r="E46" s="193"/>
      <c r="F46" s="1"/>
      <c r="G46" s="1"/>
      <c r="H46" s="1"/>
      <c r="I46" s="1"/>
      <c r="J46" s="1"/>
      <c r="K46" s="193"/>
      <c r="L46" s="1"/>
      <c r="M46" s="1"/>
      <c r="N46" s="1"/>
      <c r="O46" s="1"/>
      <c r="P46" s="1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</row>
    <row r="47" hidden="1">
      <c r="A47" s="1"/>
      <c r="B47" s="1"/>
      <c r="C47" s="1"/>
      <c r="D47" s="1"/>
      <c r="E47" s="193"/>
      <c r="F47" s="1"/>
      <c r="G47" s="1"/>
      <c r="H47" s="1"/>
      <c r="I47" s="1"/>
      <c r="J47" s="1"/>
      <c r="K47" s="193"/>
      <c r="L47" s="1"/>
      <c r="M47" s="1"/>
      <c r="N47" s="1"/>
      <c r="O47" s="1"/>
      <c r="P47" s="1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</row>
    <row r="48" hidden="1">
      <c r="A48" s="1"/>
      <c r="B48" s="1"/>
      <c r="C48" s="194"/>
      <c r="D48" s="1"/>
      <c r="E48" s="193"/>
      <c r="F48" s="1"/>
      <c r="G48" s="1"/>
      <c r="H48" s="1"/>
      <c r="I48" s="1"/>
      <c r="J48" s="1"/>
      <c r="K48" s="193"/>
      <c r="L48" s="1"/>
      <c r="M48" s="1"/>
      <c r="N48" s="1"/>
      <c r="O48" s="1"/>
      <c r="P48" s="1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</row>
    <row r="49" hidden="1">
      <c r="A49" s="1"/>
      <c r="B49" s="194"/>
      <c r="C49" s="194"/>
      <c r="D49" s="1"/>
      <c r="E49" s="1"/>
      <c r="F49" s="1"/>
      <c r="G49" s="1"/>
      <c r="H49" s="1"/>
      <c r="I49" s="1"/>
      <c r="J49" s="1"/>
      <c r="K49" s="193"/>
      <c r="L49" s="1"/>
      <c r="M49" s="1"/>
      <c r="N49" s="1"/>
      <c r="O49" s="1"/>
      <c r="P49" s="1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</row>
    <row r="50" hidden="1">
      <c r="A50" s="1"/>
      <c r="B50" s="1"/>
      <c r="C50" s="194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</row>
    <row r="51" hidden="1">
      <c r="A51" s="1"/>
      <c r="B51" s="1"/>
      <c r="C51" s="194"/>
      <c r="D51" s="1"/>
      <c r="E51" s="193"/>
      <c r="F51" s="1"/>
      <c r="G51" s="1"/>
      <c r="H51" s="1"/>
      <c r="I51" s="1"/>
      <c r="J51" s="1"/>
      <c r="K51" s="193"/>
      <c r="L51" s="1"/>
      <c r="M51" s="1"/>
      <c r="N51" s="1"/>
      <c r="O51" s="1"/>
      <c r="P51" s="1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</row>
    <row r="52" hidden="1">
      <c r="A52" s="1"/>
      <c r="B52" s="1"/>
      <c r="C52" s="194"/>
      <c r="D52" s="1"/>
      <c r="E52" s="193"/>
      <c r="F52" s="1"/>
      <c r="G52" s="1"/>
      <c r="H52" s="1"/>
      <c r="I52" s="1"/>
      <c r="J52" s="1"/>
      <c r="K52" s="193"/>
      <c r="L52" s="1"/>
      <c r="M52" s="1"/>
      <c r="N52" s="1"/>
      <c r="O52" s="1"/>
      <c r="P52" s="1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</row>
    <row r="53" hidden="1">
      <c r="A53" s="1"/>
      <c r="B53" s="1"/>
      <c r="C53" s="194"/>
      <c r="D53" s="1"/>
      <c r="E53" s="193"/>
      <c r="F53" s="1"/>
      <c r="G53" s="1"/>
      <c r="H53" s="1"/>
      <c r="I53" s="1"/>
      <c r="J53" s="1"/>
      <c r="K53" s="193"/>
      <c r="L53" s="1"/>
      <c r="M53" s="1"/>
      <c r="N53" s="1"/>
      <c r="O53" s="1"/>
      <c r="P53" s="1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</row>
    <row r="54" hidden="1">
      <c r="A54" s="1"/>
      <c r="B54" s="1"/>
      <c r="C54" s="194"/>
      <c r="D54" s="1"/>
      <c r="E54" s="1"/>
      <c r="F54" s="1"/>
      <c r="G54" s="1"/>
      <c r="H54" s="1"/>
      <c r="I54" s="1"/>
      <c r="J54" s="1"/>
      <c r="K54" s="193"/>
      <c r="L54" s="1"/>
      <c r="M54" s="1"/>
      <c r="N54" s="1"/>
      <c r="O54" s="1"/>
      <c r="P54" s="1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</row>
    <row r="55" hidden="1">
      <c r="A55" s="1"/>
      <c r="B55" s="1"/>
      <c r="C55" s="1"/>
      <c r="D55" s="1"/>
      <c r="E55" s="1"/>
      <c r="F55" s="1"/>
      <c r="G55" s="1"/>
      <c r="H55" s="1"/>
      <c r="I55" s="1"/>
      <c r="J55" s="1"/>
      <c r="K55" s="193"/>
      <c r="L55" s="1"/>
      <c r="M55" s="1"/>
      <c r="N55" s="1"/>
      <c r="O55" s="1"/>
      <c r="P55" s="1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</row>
    <row r="56" hidden="1">
      <c r="A56" s="1"/>
      <c r="B56" s="1"/>
      <c r="C56" s="194"/>
      <c r="D56" s="1"/>
      <c r="E56" s="193"/>
      <c r="F56" s="1"/>
      <c r="G56" s="1"/>
      <c r="H56" s="1"/>
      <c r="I56" s="1"/>
      <c r="J56" s="1"/>
      <c r="K56" s="193"/>
      <c r="L56" s="1"/>
      <c r="M56" s="1"/>
      <c r="N56" s="1"/>
      <c r="O56" s="1"/>
      <c r="P56" s="1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</row>
    <row r="57" hidden="1">
      <c r="A57" s="1"/>
      <c r="B57" s="1"/>
      <c r="C57" s="194"/>
      <c r="D57" s="1"/>
      <c r="E57" s="1"/>
      <c r="F57" s="1"/>
      <c r="G57" s="1"/>
      <c r="H57" s="1"/>
      <c r="I57" s="1"/>
      <c r="J57" s="1"/>
      <c r="K57" s="193"/>
      <c r="L57" s="1"/>
      <c r="M57" s="1"/>
      <c r="N57" s="1"/>
      <c r="O57" s="1"/>
      <c r="P57" s="1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</row>
    <row r="58" hidden="1">
      <c r="A58" s="1"/>
      <c r="B58" s="1"/>
      <c r="C58" s="194"/>
      <c r="D58" s="1"/>
      <c r="E58" s="1"/>
      <c r="F58" s="1"/>
      <c r="G58" s="1"/>
      <c r="H58" s="1"/>
      <c r="I58" s="1"/>
      <c r="J58" s="1"/>
      <c r="K58" s="193"/>
      <c r="L58" s="1"/>
      <c r="M58" s="1"/>
      <c r="N58" s="1"/>
      <c r="O58" s="1"/>
      <c r="P58" s="1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</row>
    <row r="59" hidden="1">
      <c r="A59" s="1"/>
      <c r="B59" s="1"/>
      <c r="C59" s="194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</row>
    <row r="60" hidden="1">
      <c r="A60" s="1"/>
      <c r="B60" s="194"/>
      <c r="C60" s="194"/>
      <c r="D60" s="1"/>
      <c r="E60" s="193"/>
      <c r="F60" s="1"/>
      <c r="G60" s="1"/>
      <c r="H60" s="1"/>
      <c r="I60" s="1"/>
      <c r="J60" s="1"/>
      <c r="K60" s="193"/>
      <c r="L60" s="1"/>
      <c r="M60" s="1"/>
      <c r="N60" s="1"/>
      <c r="O60" s="1"/>
      <c r="P60" s="1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</row>
    <row r="61" hidden="1">
      <c r="A61" s="1"/>
      <c r="B61" s="1"/>
      <c r="C61" s="194"/>
      <c r="D61" s="1"/>
      <c r="E61" s="193"/>
      <c r="F61" s="1"/>
      <c r="G61" s="1"/>
      <c r="H61" s="1"/>
      <c r="I61" s="1"/>
      <c r="J61" s="1"/>
      <c r="K61" s="193"/>
      <c r="L61" s="1"/>
      <c r="M61" s="1"/>
      <c r="N61" s="1"/>
      <c r="O61" s="1"/>
      <c r="P61" s="1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</row>
    <row r="62" hidden="1">
      <c r="A62" s="1"/>
      <c r="B62" s="1"/>
      <c r="C62" s="194"/>
      <c r="D62" s="1"/>
      <c r="E62" s="193"/>
      <c r="F62" s="1"/>
      <c r="G62" s="1"/>
      <c r="H62" s="1"/>
      <c r="I62" s="1"/>
      <c r="J62" s="1"/>
      <c r="K62" s="193"/>
      <c r="L62" s="1"/>
      <c r="M62" s="1"/>
      <c r="N62" s="1"/>
      <c r="O62" s="1"/>
      <c r="P62" s="1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</row>
    <row r="63" hidden="1">
      <c r="A63" s="1"/>
      <c r="B63" s="1"/>
      <c r="C63" s="19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</row>
    <row r="64" hidden="1">
      <c r="A64" s="1"/>
      <c r="B64" s="1"/>
      <c r="C64" s="194"/>
      <c r="D64" s="1"/>
      <c r="E64" s="193"/>
      <c r="F64" s="1"/>
      <c r="G64" s="1"/>
      <c r="H64" s="1"/>
      <c r="I64" s="1"/>
      <c r="J64" s="1"/>
      <c r="K64" s="193"/>
      <c r="L64" s="1"/>
      <c r="M64" s="1"/>
      <c r="N64" s="1"/>
      <c r="O64" s="1"/>
      <c r="P64" s="1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</row>
    <row r="65" hidden="1">
      <c r="A65" s="1"/>
      <c r="B65" s="1"/>
      <c r="C65" s="194"/>
      <c r="D65" s="1"/>
      <c r="E65" s="193"/>
      <c r="F65" s="1"/>
      <c r="G65" s="1"/>
      <c r="H65" s="1"/>
      <c r="I65" s="1"/>
      <c r="J65" s="1"/>
      <c r="K65" s="193"/>
      <c r="L65" s="1"/>
      <c r="M65" s="1"/>
      <c r="N65" s="1"/>
      <c r="O65" s="1"/>
      <c r="P65" s="1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</row>
    <row r="66" hidden="1">
      <c r="A66" s="1"/>
      <c r="B66" s="1"/>
      <c r="C66" s="194"/>
      <c r="D66" s="1"/>
      <c r="E66" s="193"/>
      <c r="F66" s="1"/>
      <c r="G66" s="1"/>
      <c r="H66" s="1"/>
      <c r="I66" s="1"/>
      <c r="J66" s="1"/>
      <c r="K66" s="193"/>
      <c r="L66" s="1"/>
      <c r="M66" s="1"/>
      <c r="N66" s="1"/>
      <c r="O66" s="1"/>
      <c r="P66" s="1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</row>
    <row r="67" hidden="1">
      <c r="A67" s="1"/>
      <c r="B67" s="1"/>
      <c r="C67" s="194"/>
      <c r="D67" s="1"/>
      <c r="E67" s="193"/>
      <c r="F67" s="1"/>
      <c r="G67" s="1"/>
      <c r="H67" s="1"/>
      <c r="I67" s="1"/>
      <c r="J67" s="1"/>
      <c r="K67" s="193"/>
      <c r="L67" s="1"/>
      <c r="M67" s="1"/>
      <c r="N67" s="1"/>
      <c r="O67" s="1"/>
      <c r="P67" s="1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  <c r="AC67" s="193"/>
      <c r="AD67" s="193"/>
      <c r="AE67" s="193"/>
      <c r="AF67" s="193"/>
    </row>
    <row r="68" hidden="1">
      <c r="A68" s="1"/>
      <c r="B68" s="1"/>
      <c r="C68" s="1"/>
      <c r="D68" s="1"/>
      <c r="E68" s="193"/>
      <c r="F68" s="1"/>
      <c r="G68" s="1"/>
      <c r="H68" s="1"/>
      <c r="I68" s="1"/>
      <c r="J68" s="1"/>
      <c r="K68" s="193"/>
      <c r="L68" s="1"/>
      <c r="M68" s="1"/>
      <c r="N68" s="1"/>
      <c r="O68" s="1"/>
      <c r="P68" s="1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</row>
    <row r="69" hidden="1">
      <c r="A69" s="1"/>
      <c r="B69" s="1"/>
      <c r="C69" s="194"/>
      <c r="D69" s="1"/>
      <c r="E69" s="193"/>
      <c r="F69" s="1"/>
      <c r="G69" s="1"/>
      <c r="H69" s="1"/>
      <c r="I69" s="1"/>
      <c r="J69" s="1"/>
      <c r="K69" s="193"/>
      <c r="L69" s="1"/>
      <c r="M69" s="1"/>
      <c r="N69" s="1"/>
      <c r="O69" s="1"/>
      <c r="P69" s="1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</row>
    <row r="70" hidden="1">
      <c r="A70" s="1"/>
      <c r="B70" s="1"/>
      <c r="C70" s="1"/>
      <c r="D70" s="1"/>
      <c r="E70" s="1"/>
      <c r="F70" s="1"/>
      <c r="G70" s="1"/>
      <c r="H70" s="1"/>
      <c r="I70" s="1"/>
      <c r="J70" s="1"/>
      <c r="K70" s="193"/>
      <c r="L70" s="1"/>
      <c r="M70" s="1"/>
      <c r="N70" s="1"/>
      <c r="O70" s="1"/>
      <c r="P70" s="1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</row>
    <row r="71" hidden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</row>
    <row r="72" hidden="1">
      <c r="A72" s="1"/>
      <c r="B72" s="1"/>
      <c r="C72" s="194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</row>
    <row r="73" hidden="1">
      <c r="A73" s="1"/>
      <c r="B73" s="194"/>
      <c r="C73" s="194"/>
      <c r="D73" s="1"/>
      <c r="E73" s="1"/>
      <c r="F73" s="1"/>
      <c r="G73" s="1"/>
      <c r="H73" s="1"/>
      <c r="I73" s="1"/>
      <c r="J73" s="1"/>
      <c r="K73" s="193"/>
      <c r="L73" s="1"/>
      <c r="M73" s="1"/>
      <c r="N73" s="1"/>
      <c r="O73" s="1"/>
      <c r="P73" s="1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</row>
    <row r="74" hidden="1">
      <c r="A74" s="1"/>
      <c r="B74" s="1"/>
      <c r="C74" s="194"/>
      <c r="D74" s="1"/>
      <c r="E74" s="1"/>
      <c r="F74" s="1"/>
      <c r="G74" s="1"/>
      <c r="H74" s="1"/>
      <c r="I74" s="1"/>
      <c r="J74" s="1"/>
      <c r="K74" s="193"/>
      <c r="L74" s="1"/>
      <c r="M74" s="1"/>
      <c r="N74" s="1"/>
      <c r="O74" s="1"/>
      <c r="P74" s="1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</row>
    <row r="75" hidden="1">
      <c r="A75" s="1"/>
      <c r="B75" s="1"/>
      <c r="C75" s="194"/>
      <c r="D75" s="1"/>
      <c r="E75" s="1"/>
      <c r="F75" s="1"/>
      <c r="G75" s="1"/>
      <c r="H75" s="1"/>
      <c r="I75" s="1"/>
      <c r="J75" s="1"/>
      <c r="K75" s="193"/>
      <c r="L75" s="1"/>
      <c r="M75" s="1"/>
      <c r="N75" s="1"/>
      <c r="O75" s="1"/>
      <c r="P75" s="1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  <c r="AC75" s="193"/>
      <c r="AD75" s="193"/>
      <c r="AE75" s="193"/>
      <c r="AF75" s="193"/>
    </row>
    <row r="76" hidden="1">
      <c r="A76" s="1"/>
      <c r="B76" s="1"/>
      <c r="C76" s="194"/>
      <c r="D76" s="1"/>
      <c r="E76" s="193"/>
      <c r="F76" s="1"/>
      <c r="G76" s="1"/>
      <c r="H76" s="1"/>
      <c r="I76" s="1"/>
      <c r="J76" s="1"/>
      <c r="K76" s="193"/>
      <c r="L76" s="1"/>
      <c r="M76" s="1"/>
      <c r="N76" s="1"/>
      <c r="O76" s="1"/>
      <c r="P76" s="1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  <c r="AC76" s="193"/>
      <c r="AD76" s="193"/>
      <c r="AE76" s="193"/>
      <c r="AF76" s="193"/>
    </row>
    <row r="77" hidden="1">
      <c r="A77" s="1"/>
      <c r="B77" s="1"/>
      <c r="C77" s="1"/>
      <c r="D77" s="1"/>
      <c r="E77" s="1"/>
      <c r="F77" s="1"/>
      <c r="G77" s="1"/>
      <c r="H77" s="1"/>
      <c r="I77" s="1"/>
      <c r="J77" s="1"/>
      <c r="K77" s="193"/>
      <c r="L77" s="1"/>
      <c r="M77" s="1"/>
      <c r="N77" s="1"/>
      <c r="O77" s="1"/>
      <c r="P77" s="1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</row>
    <row r="78" hidden="1">
      <c r="A78" s="1"/>
      <c r="B78" s="1"/>
      <c r="C78" s="194"/>
      <c r="D78" s="1"/>
      <c r="E78" s="1"/>
      <c r="F78" s="1"/>
      <c r="G78" s="1"/>
      <c r="H78" s="1"/>
      <c r="I78" s="1"/>
      <c r="J78" s="1"/>
      <c r="K78" s="193"/>
      <c r="L78" s="1"/>
      <c r="M78" s="1"/>
      <c r="N78" s="1"/>
      <c r="O78" s="1"/>
      <c r="P78" s="1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93"/>
      <c r="AD78" s="193"/>
      <c r="AE78" s="193"/>
      <c r="AF78" s="193"/>
    </row>
    <row r="79" hidden="1">
      <c r="A79" s="1"/>
      <c r="B79" s="1"/>
      <c r="C79" s="1"/>
      <c r="D79" s="1"/>
      <c r="E79" s="193"/>
      <c r="F79" s="1"/>
      <c r="G79" s="1"/>
      <c r="H79" s="1"/>
      <c r="I79" s="1"/>
      <c r="J79" s="1"/>
      <c r="K79" s="193"/>
      <c r="L79" s="1"/>
      <c r="M79" s="1"/>
      <c r="N79" s="1"/>
      <c r="O79" s="1"/>
      <c r="P79" s="1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  <c r="AC79" s="193"/>
      <c r="AD79" s="193"/>
      <c r="AE79" s="193"/>
      <c r="AF79" s="193"/>
    </row>
    <row r="80" hidden="1">
      <c r="A80" s="1"/>
      <c r="B80" s="1"/>
      <c r="C80" s="194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  <c r="AC80" s="193"/>
      <c r="AD80" s="193"/>
      <c r="AE80" s="193"/>
      <c r="AF80" s="193"/>
    </row>
    <row r="81" hidden="1">
      <c r="A81" s="1"/>
      <c r="B81" s="1"/>
      <c r="C81" s="1"/>
      <c r="D81" s="1"/>
      <c r="E81" s="1"/>
      <c r="F81" s="1"/>
      <c r="G81" s="1"/>
      <c r="H81" s="1"/>
      <c r="I81" s="1"/>
      <c r="J81" s="1"/>
      <c r="K81" s="193"/>
      <c r="L81" s="1"/>
      <c r="M81" s="1"/>
      <c r="N81" s="1"/>
      <c r="O81" s="1"/>
      <c r="P81" s="1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  <c r="AC81" s="193"/>
      <c r="AD81" s="193"/>
      <c r="AE81" s="193"/>
      <c r="AF81" s="193"/>
    </row>
    <row r="82" hidden="1">
      <c r="A82" s="1"/>
      <c r="B82" s="1"/>
      <c r="C82" s="194"/>
      <c r="D82" s="1"/>
      <c r="E82" s="193"/>
      <c r="F82" s="1"/>
      <c r="G82" s="1"/>
      <c r="H82" s="1"/>
      <c r="I82" s="1"/>
      <c r="J82" s="1"/>
      <c r="K82" s="193"/>
      <c r="L82" s="1"/>
      <c r="M82" s="1"/>
      <c r="N82" s="1"/>
      <c r="O82" s="1"/>
      <c r="P82" s="1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  <c r="AC82" s="193"/>
      <c r="AD82" s="193"/>
      <c r="AE82" s="193"/>
      <c r="AF82" s="193"/>
    </row>
    <row r="83" hidden="1">
      <c r="A83" s="1"/>
      <c r="B83" s="1"/>
      <c r="C83" s="194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  <c r="AC83" s="193"/>
      <c r="AD83" s="193"/>
      <c r="AE83" s="193"/>
      <c r="AF83" s="193"/>
    </row>
    <row r="84" hidden="1">
      <c r="A84" s="1"/>
      <c r="B84" s="1"/>
      <c r="C84" s="194"/>
      <c r="D84" s="1"/>
      <c r="E84" s="193"/>
      <c r="F84" s="1"/>
      <c r="G84" s="1"/>
      <c r="H84" s="1"/>
      <c r="I84" s="1"/>
      <c r="J84" s="1"/>
      <c r="K84" s="193"/>
      <c r="L84" s="1"/>
      <c r="M84" s="1"/>
      <c r="N84" s="1"/>
      <c r="O84" s="1"/>
      <c r="P84" s="1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  <c r="AC84" s="193"/>
      <c r="AD84" s="193"/>
      <c r="AE84" s="193"/>
      <c r="AF84" s="193"/>
    </row>
    <row r="85" hidden="1">
      <c r="A85" s="1"/>
      <c r="B85" s="1"/>
      <c r="C85" s="1"/>
      <c r="D85" s="1"/>
      <c r="E85" s="193"/>
      <c r="F85" s="1"/>
      <c r="G85" s="1"/>
      <c r="H85" s="1"/>
      <c r="I85" s="1"/>
      <c r="J85" s="1"/>
      <c r="K85" s="193"/>
      <c r="L85" s="1"/>
      <c r="M85" s="1"/>
      <c r="N85" s="1"/>
      <c r="O85" s="1"/>
      <c r="P85" s="1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  <c r="AC85" s="193"/>
      <c r="AD85" s="193"/>
      <c r="AE85" s="193"/>
      <c r="AF85" s="193"/>
    </row>
    <row r="86" hidden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  <c r="AC86" s="193"/>
      <c r="AD86" s="193"/>
      <c r="AE86" s="193"/>
      <c r="AF86" s="193"/>
    </row>
    <row r="87" hidden="1">
      <c r="A87" s="1"/>
      <c r="B87" s="1"/>
      <c r="C87" s="194"/>
      <c r="D87" s="1"/>
      <c r="E87" s="193"/>
      <c r="F87" s="1"/>
      <c r="G87" s="1"/>
      <c r="H87" s="1"/>
      <c r="I87" s="1"/>
      <c r="J87" s="1"/>
      <c r="K87" s="193"/>
      <c r="L87" s="1"/>
      <c r="M87" s="1"/>
      <c r="N87" s="1"/>
      <c r="O87" s="1"/>
      <c r="P87" s="1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  <c r="AC87" s="193"/>
      <c r="AD87" s="193"/>
      <c r="AE87" s="193"/>
      <c r="AF87" s="193"/>
    </row>
    <row r="88" hidden="1">
      <c r="A88" s="1"/>
      <c r="B88" s="1"/>
      <c r="C88" s="194"/>
      <c r="D88" s="1"/>
      <c r="E88" s="1"/>
      <c r="F88" s="1"/>
      <c r="G88" s="1"/>
      <c r="H88" s="1"/>
      <c r="I88" s="1"/>
      <c r="J88" s="1"/>
      <c r="K88" s="193"/>
      <c r="L88" s="1"/>
      <c r="M88" s="1"/>
      <c r="N88" s="1"/>
      <c r="O88" s="1"/>
      <c r="P88" s="1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  <c r="AC88" s="193"/>
      <c r="AD88" s="193"/>
      <c r="AE88" s="193"/>
      <c r="AF88" s="193"/>
    </row>
    <row r="89" hidden="1">
      <c r="A89" s="1"/>
      <c r="B89" s="1"/>
      <c r="C89" s="1"/>
      <c r="D89" s="1"/>
      <c r="E89" s="193"/>
      <c r="F89" s="1"/>
      <c r="G89" s="1"/>
      <c r="H89" s="1"/>
      <c r="I89" s="1"/>
      <c r="J89" s="1"/>
      <c r="K89" s="193"/>
      <c r="L89" s="1"/>
      <c r="M89" s="1"/>
      <c r="N89" s="1"/>
      <c r="O89" s="1"/>
      <c r="P89" s="1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  <c r="AC89" s="193"/>
      <c r="AD89" s="193"/>
      <c r="AE89" s="193"/>
      <c r="AF89" s="193"/>
    </row>
    <row r="90" hidden="1">
      <c r="A90" s="1"/>
      <c r="B90" s="1"/>
      <c r="C90" s="194"/>
      <c r="D90" s="1"/>
      <c r="E90" s="193"/>
      <c r="F90" s="1"/>
      <c r="G90" s="1"/>
      <c r="H90" s="1"/>
      <c r="I90" s="1"/>
      <c r="J90" s="1"/>
      <c r="K90" s="193"/>
      <c r="L90" s="1"/>
      <c r="M90" s="1"/>
      <c r="N90" s="1"/>
      <c r="O90" s="1"/>
      <c r="P90" s="1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  <c r="AC90" s="193"/>
      <c r="AD90" s="193"/>
      <c r="AE90" s="193"/>
      <c r="AF90" s="193"/>
    </row>
    <row r="91" hidden="1">
      <c r="A91" s="1"/>
      <c r="B91" s="1"/>
      <c r="C91" s="194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  <c r="AC91" s="193"/>
      <c r="AD91" s="193"/>
      <c r="AE91" s="193"/>
      <c r="AF91" s="193"/>
    </row>
    <row r="92" hidden="1">
      <c r="A92" s="1"/>
      <c r="B92" s="1"/>
      <c r="C92" s="1"/>
      <c r="D92" s="1"/>
      <c r="E92" s="1"/>
      <c r="F92" s="1"/>
      <c r="G92" s="1"/>
      <c r="H92" s="1"/>
      <c r="I92" s="1"/>
      <c r="J92" s="1"/>
      <c r="K92" s="193"/>
      <c r="L92" s="1"/>
      <c r="M92" s="1"/>
      <c r="N92" s="1"/>
      <c r="O92" s="1"/>
      <c r="P92" s="1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  <c r="AC92" s="193"/>
      <c r="AD92" s="193"/>
      <c r="AE92" s="193"/>
      <c r="AF92" s="193"/>
    </row>
    <row r="93" hidden="1">
      <c r="A93" s="1"/>
      <c r="B93" s="1"/>
      <c r="C93" s="194"/>
      <c r="D93" s="1"/>
      <c r="E93" s="193"/>
      <c r="F93" s="1"/>
      <c r="G93" s="1"/>
      <c r="H93" s="1"/>
      <c r="I93" s="1"/>
      <c r="J93" s="1"/>
      <c r="K93" s="193"/>
      <c r="L93" s="1"/>
      <c r="M93" s="1"/>
      <c r="N93" s="1"/>
      <c r="O93" s="1"/>
      <c r="P93" s="1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  <c r="AC93" s="193"/>
      <c r="AD93" s="193"/>
      <c r="AE93" s="193"/>
      <c r="AF93" s="193"/>
    </row>
    <row r="94" hidden="1">
      <c r="A94" s="1"/>
      <c r="B94" s="1"/>
      <c r="C94" s="194"/>
      <c r="D94" s="1"/>
      <c r="E94" s="1"/>
      <c r="F94" s="1"/>
      <c r="G94" s="1"/>
      <c r="H94" s="1"/>
      <c r="I94" s="1"/>
      <c r="J94" s="1"/>
      <c r="K94" s="193"/>
      <c r="L94" s="1"/>
      <c r="M94" s="1"/>
      <c r="N94" s="1"/>
      <c r="O94" s="1"/>
      <c r="P94" s="1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  <c r="AC94" s="193"/>
      <c r="AD94" s="193"/>
      <c r="AE94" s="193"/>
      <c r="AF94" s="193"/>
    </row>
    <row r="95" hidden="1">
      <c r="A95" s="1"/>
      <c r="B95" s="1"/>
      <c r="C95" s="1"/>
      <c r="D95" s="1"/>
      <c r="E95" s="193"/>
      <c r="F95" s="1"/>
      <c r="G95" s="1"/>
      <c r="H95" s="1"/>
      <c r="I95" s="1"/>
      <c r="J95" s="1"/>
      <c r="K95" s="193"/>
      <c r="L95" s="1"/>
      <c r="M95" s="1"/>
      <c r="N95" s="1"/>
      <c r="O95" s="1"/>
      <c r="P95" s="1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  <c r="AC95" s="193"/>
      <c r="AD95" s="193"/>
      <c r="AE95" s="193"/>
      <c r="AF95" s="193"/>
    </row>
    <row r="96" hidden="1">
      <c r="A96" s="193"/>
      <c r="B96" s="193"/>
      <c r="C96" s="195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  <c r="AC96" s="193"/>
      <c r="AD96" s="193"/>
      <c r="AE96" s="193"/>
      <c r="AF96" s="193"/>
    </row>
    <row r="97" hidden="1">
      <c r="A97" s="193"/>
      <c r="B97" s="193"/>
      <c r="C97" s="195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  <c r="AC97" s="193"/>
      <c r="AD97" s="193"/>
      <c r="AE97" s="193"/>
      <c r="AF97" s="193"/>
    </row>
    <row r="98" hidden="1">
      <c r="A98" s="193"/>
      <c r="B98" s="193"/>
      <c r="C98" s="195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  <c r="AC98" s="193"/>
      <c r="AD98" s="193"/>
      <c r="AE98" s="193"/>
      <c r="AF98" s="193"/>
    </row>
    <row r="99" hidden="1">
      <c r="A99" s="193"/>
      <c r="B99" s="193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  <c r="AC99" s="193"/>
      <c r="AD99" s="193"/>
      <c r="AE99" s="193"/>
      <c r="AF99" s="193"/>
    </row>
    <row r="100" hidden="1">
      <c r="A100" s="193"/>
      <c r="B100" s="195"/>
      <c r="C100" s="195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  <c r="AC100" s="193"/>
      <c r="AD100" s="193"/>
      <c r="AE100" s="193"/>
      <c r="AF100" s="193"/>
    </row>
    <row r="101" hidden="1">
      <c r="A101" s="193"/>
      <c r="B101" s="193"/>
      <c r="C101" s="195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  <c r="AD101" s="193"/>
      <c r="AE101" s="193"/>
      <c r="AF101" s="193"/>
    </row>
    <row r="102" hidden="1">
      <c r="A102" s="193"/>
      <c r="B102" s="193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  <c r="AC102" s="193"/>
      <c r="AD102" s="193"/>
      <c r="AE102" s="193"/>
      <c r="AF102" s="193"/>
    </row>
    <row r="103" hidden="1">
      <c r="A103" s="193"/>
      <c r="B103" s="193"/>
      <c r="C103" s="195"/>
      <c r="D103" s="193"/>
      <c r="E103" s="193"/>
      <c r="F103" s="193"/>
      <c r="G103" s="193"/>
      <c r="H103" s="193"/>
      <c r="I103" s="193"/>
      <c r="J103" s="193"/>
      <c r="K103" s="193"/>
      <c r="L103" s="193"/>
      <c r="M103" s="193"/>
      <c r="N103" s="193"/>
      <c r="O103" s="193"/>
      <c r="P103" s="193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  <c r="AD103" s="193"/>
      <c r="AE103" s="193"/>
      <c r="AF103" s="193"/>
    </row>
    <row r="104" hidden="1">
      <c r="A104" s="193"/>
      <c r="B104" s="193"/>
      <c r="C104" s="195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  <c r="AC104" s="193"/>
      <c r="AD104" s="193"/>
      <c r="AE104" s="193"/>
      <c r="AF104" s="193"/>
    </row>
    <row r="105" hidden="1">
      <c r="A105" s="193"/>
      <c r="B105" s="193"/>
      <c r="C105" s="195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  <c r="AC105" s="193"/>
      <c r="AD105" s="193"/>
      <c r="AE105" s="193"/>
      <c r="AF105" s="193"/>
    </row>
    <row r="106" hidden="1">
      <c r="A106" s="193"/>
      <c r="B106" s="193"/>
      <c r="C106" s="195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  <c r="AC106" s="193"/>
      <c r="AD106" s="193"/>
      <c r="AE106" s="193"/>
      <c r="AF106" s="193"/>
    </row>
    <row r="107" hidden="1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  <c r="AC107" s="193"/>
      <c r="AD107" s="193"/>
      <c r="AE107" s="193"/>
      <c r="AF107" s="193"/>
    </row>
    <row r="108" hidden="1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N108" s="193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  <c r="AC108" s="193"/>
      <c r="AD108" s="193"/>
      <c r="AE108" s="193"/>
      <c r="AF108" s="193"/>
    </row>
    <row r="109" hidden="1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N109" s="193"/>
      <c r="O109" s="193"/>
      <c r="P109" s="193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  <c r="AC109" s="193"/>
      <c r="AD109" s="193"/>
      <c r="AE109" s="193"/>
      <c r="AF109" s="193"/>
    </row>
    <row r="110" hidden="1">
      <c r="A110" s="193"/>
      <c r="B110" s="193"/>
      <c r="C110" s="195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  <c r="AC110" s="193"/>
      <c r="AD110" s="193"/>
      <c r="AE110" s="193"/>
      <c r="AF110" s="193"/>
    </row>
    <row r="111" hidden="1">
      <c r="A111" s="193"/>
      <c r="B111" s="193"/>
      <c r="C111" s="195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  <c r="AC111" s="193"/>
      <c r="AD111" s="193"/>
      <c r="AE111" s="193"/>
      <c r="AF111" s="193"/>
    </row>
    <row r="112" hidden="1">
      <c r="A112" s="193"/>
      <c r="B112" s="193"/>
      <c r="C112" s="195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  <c r="AC112" s="193"/>
      <c r="AD112" s="193"/>
      <c r="AE112" s="193"/>
      <c r="AF112" s="193"/>
    </row>
    <row r="113" hidden="1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  <c r="AC113" s="193"/>
      <c r="AD113" s="193"/>
      <c r="AE113" s="193"/>
      <c r="AF113" s="193"/>
    </row>
    <row r="114" hidden="1">
      <c r="A114" s="193"/>
      <c r="B114" s="193"/>
      <c r="C114" s="195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  <c r="AC114" s="193"/>
      <c r="AD114" s="193"/>
      <c r="AE114" s="193"/>
      <c r="AF114" s="193"/>
    </row>
    <row r="115" hidden="1">
      <c r="A115" s="193"/>
      <c r="B115" s="193"/>
      <c r="C115" s="195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  <c r="AC115" s="193"/>
      <c r="AD115" s="193"/>
      <c r="AE115" s="193"/>
      <c r="AF115" s="193"/>
    </row>
    <row r="116" hidden="1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  <c r="AC116" s="193"/>
      <c r="AD116" s="193"/>
      <c r="AE116" s="193"/>
      <c r="AF116" s="193"/>
    </row>
    <row r="117" hidden="1">
      <c r="A117" s="193"/>
      <c r="B117" s="193"/>
      <c r="C117" s="195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  <c r="AC117" s="193"/>
      <c r="AD117" s="193"/>
      <c r="AE117" s="193"/>
      <c r="AF117" s="193"/>
    </row>
    <row r="118" hidden="1">
      <c r="A118" s="193"/>
      <c r="B118" s="193"/>
      <c r="C118" s="195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  <c r="AC118" s="193"/>
      <c r="AD118" s="193"/>
      <c r="AE118" s="193"/>
      <c r="AF118" s="193"/>
    </row>
    <row r="119" hidden="1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  <c r="AC119" s="193"/>
      <c r="AD119" s="193"/>
      <c r="AE119" s="193"/>
      <c r="AF119" s="193"/>
    </row>
    <row r="120" hidden="1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  <c r="AC120" s="193"/>
      <c r="AD120" s="193"/>
      <c r="AE120" s="193"/>
      <c r="AF120" s="193"/>
    </row>
    <row r="121" hidden="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  <c r="AC121" s="193"/>
      <c r="AD121" s="193"/>
      <c r="AE121" s="193"/>
      <c r="AF121" s="193"/>
    </row>
    <row r="122" hidden="1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  <c r="AC122" s="193"/>
      <c r="AD122" s="193"/>
      <c r="AE122" s="193"/>
      <c r="AF122" s="193"/>
    </row>
    <row r="123" hidden="1">
      <c r="A123" s="193"/>
      <c r="B123" s="193"/>
      <c r="C123" s="195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  <c r="AC123" s="193"/>
      <c r="AD123" s="193"/>
      <c r="AE123" s="193"/>
      <c r="AF123" s="193"/>
    </row>
    <row r="124" hidden="1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  <c r="AC124" s="193"/>
      <c r="AD124" s="193"/>
      <c r="AE124" s="193"/>
      <c r="AF124" s="193"/>
    </row>
    <row r="125" hidden="1">
      <c r="A125" s="193"/>
      <c r="B125" s="193"/>
      <c r="C125" s="195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  <c r="AC125" s="193"/>
      <c r="AD125" s="193"/>
      <c r="AE125" s="193"/>
      <c r="AF125" s="193"/>
    </row>
    <row r="126" hidden="1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  <c r="AC126" s="193"/>
      <c r="AD126" s="193"/>
      <c r="AE126" s="193"/>
      <c r="AF126" s="193"/>
    </row>
    <row r="127" hidden="1">
      <c r="A127" s="193"/>
      <c r="B127" s="193"/>
      <c r="C127" s="195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  <c r="AC127" s="193"/>
      <c r="AD127" s="193"/>
      <c r="AE127" s="193"/>
      <c r="AF127" s="193"/>
    </row>
    <row r="128" hidden="1">
      <c r="A128" s="193"/>
      <c r="B128" s="195"/>
      <c r="C128" s="195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  <c r="AC128" s="193"/>
      <c r="AD128" s="193"/>
      <c r="AE128" s="193"/>
      <c r="AF128" s="193"/>
    </row>
    <row r="129" hidden="1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  <c r="AC129" s="193"/>
      <c r="AD129" s="193"/>
      <c r="AE129" s="193"/>
      <c r="AF129" s="193"/>
    </row>
    <row r="130" hidden="1">
      <c r="A130" s="193"/>
      <c r="B130" s="195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  <c r="AC130" s="193"/>
      <c r="AD130" s="193"/>
      <c r="AE130" s="193"/>
      <c r="AF130" s="193"/>
    </row>
    <row r="131" hidden="1">
      <c r="A131" s="193"/>
      <c r="B131" s="193"/>
      <c r="C131" s="195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  <c r="AC131" s="193"/>
      <c r="AD131" s="193"/>
      <c r="AE131" s="193"/>
      <c r="AF131" s="193"/>
    </row>
    <row r="132" hidden="1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  <c r="AC132" s="193"/>
      <c r="AD132" s="193"/>
      <c r="AE132" s="193"/>
      <c r="AF132" s="193"/>
    </row>
    <row r="133" hidden="1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  <c r="AC133" s="193"/>
      <c r="AD133" s="193"/>
      <c r="AE133" s="193"/>
      <c r="AF133" s="193"/>
    </row>
    <row r="134" hidden="1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  <c r="AC134" s="193"/>
      <c r="AD134" s="193"/>
      <c r="AE134" s="193"/>
      <c r="AF134" s="193"/>
    </row>
    <row r="135" hidden="1">
      <c r="A135" s="193"/>
      <c r="B135" s="193"/>
      <c r="C135" s="195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  <c r="AC135" s="193"/>
      <c r="AD135" s="193"/>
      <c r="AE135" s="193"/>
      <c r="AF135" s="193"/>
    </row>
    <row r="136" hidden="1">
      <c r="A136" s="193"/>
      <c r="B136" s="193"/>
      <c r="C136" s="195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  <c r="AC136" s="193"/>
      <c r="AD136" s="193"/>
      <c r="AE136" s="193"/>
      <c r="AF136" s="193"/>
    </row>
    <row r="137" hidden="1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  <c r="AC137" s="193"/>
      <c r="AD137" s="193"/>
      <c r="AE137" s="193"/>
      <c r="AF137" s="193"/>
    </row>
    <row r="138" hidden="1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  <c r="AC138" s="193"/>
      <c r="AD138" s="193"/>
      <c r="AE138" s="193"/>
      <c r="AF138" s="193"/>
    </row>
    <row r="139" hidden="1">
      <c r="A139" s="193"/>
      <c r="B139" s="193"/>
      <c r="C139" s="195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  <c r="AC139" s="193"/>
      <c r="AD139" s="193"/>
      <c r="AE139" s="193"/>
      <c r="AF139" s="193"/>
    </row>
    <row r="140" hidden="1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  <c r="AC140" s="193"/>
      <c r="AD140" s="193"/>
      <c r="AE140" s="193"/>
      <c r="AF140" s="193"/>
    </row>
    <row r="141" hidden="1">
      <c r="A141" s="193"/>
      <c r="B141" s="193"/>
      <c r="C141" s="195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  <c r="AC141" s="193"/>
      <c r="AD141" s="193"/>
      <c r="AE141" s="193"/>
      <c r="AF141" s="193"/>
    </row>
    <row r="142" hidden="1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  <c r="AC142" s="193"/>
      <c r="AD142" s="193"/>
      <c r="AE142" s="193"/>
      <c r="AF142" s="193"/>
    </row>
    <row r="143" hidden="1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  <c r="AC143" s="193"/>
      <c r="AD143" s="193"/>
      <c r="AE143" s="193"/>
      <c r="AF143" s="193"/>
    </row>
    <row r="144" hidden="1">
      <c r="A144" s="193"/>
      <c r="B144" s="193"/>
      <c r="C144" s="195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  <c r="AC144" s="193"/>
      <c r="AD144" s="193"/>
      <c r="AE144" s="193"/>
      <c r="AF144" s="193"/>
    </row>
    <row r="145" hidden="1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  <c r="AC145" s="193"/>
      <c r="AD145" s="193"/>
      <c r="AE145" s="193"/>
      <c r="AF145" s="193"/>
    </row>
    <row r="146" hidden="1">
      <c r="A146" s="193"/>
      <c r="B146" s="193"/>
      <c r="C146" s="195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  <c r="AC146" s="193"/>
      <c r="AD146" s="193"/>
      <c r="AE146" s="193"/>
      <c r="AF146" s="193"/>
    </row>
    <row r="147" hidden="1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  <c r="AC147" s="193"/>
      <c r="AD147" s="193"/>
      <c r="AE147" s="193"/>
      <c r="AF147" s="193"/>
    </row>
    <row r="148" hidden="1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  <c r="AC148" s="193"/>
      <c r="AD148" s="193"/>
      <c r="AE148" s="193"/>
      <c r="AF148" s="193"/>
    </row>
    <row r="149" hidden="1">
      <c r="A149" s="193"/>
      <c r="B149" s="193"/>
      <c r="C149" s="195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  <c r="AC149" s="193"/>
      <c r="AD149" s="193"/>
      <c r="AE149" s="193"/>
      <c r="AF149" s="193"/>
    </row>
    <row r="150" hidden="1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  <c r="AC150" s="193"/>
      <c r="AD150" s="193"/>
      <c r="AE150" s="193"/>
      <c r="AF150" s="193"/>
    </row>
    <row r="151" hidden="1">
      <c r="A151" s="193"/>
      <c r="B151" s="193"/>
      <c r="C151" s="195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  <c r="AC151" s="193"/>
      <c r="AD151" s="193"/>
      <c r="AE151" s="193"/>
      <c r="AF151" s="193"/>
    </row>
    <row r="152" hidden="1">
      <c r="A152" s="193"/>
      <c r="B152" s="193"/>
      <c r="C152" s="193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  <c r="AC152" s="193"/>
      <c r="AD152" s="193"/>
      <c r="AE152" s="193"/>
      <c r="AF152" s="193"/>
    </row>
    <row r="153" hidden="1">
      <c r="A153" s="193"/>
      <c r="B153" s="193"/>
      <c r="C153" s="195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  <c r="AC153" s="193"/>
      <c r="AD153" s="193"/>
      <c r="AE153" s="193"/>
      <c r="AF153" s="193"/>
    </row>
    <row r="154" hidden="1">
      <c r="A154" s="193"/>
      <c r="B154" s="195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  <c r="AC154" s="193"/>
      <c r="AD154" s="193"/>
      <c r="AE154" s="193"/>
      <c r="AF154" s="193"/>
    </row>
    <row r="155" hidden="1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  <c r="AC155" s="193"/>
      <c r="AD155" s="193"/>
      <c r="AE155" s="193"/>
      <c r="AF155" s="193"/>
    </row>
    <row r="156" hidden="1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  <c r="AC156" s="193"/>
      <c r="AD156" s="193"/>
      <c r="AE156" s="193"/>
      <c r="AF156" s="193"/>
    </row>
    <row r="157" hidden="1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  <c r="AC157" s="193"/>
      <c r="AD157" s="193"/>
      <c r="AE157" s="193"/>
      <c r="AF157" s="193"/>
    </row>
    <row r="158" hidden="1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  <c r="AC158" s="193"/>
      <c r="AD158" s="193"/>
      <c r="AE158" s="193"/>
      <c r="AF158" s="193"/>
    </row>
    <row r="159" hidden="1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  <c r="AC159" s="193"/>
      <c r="AD159" s="193"/>
      <c r="AE159" s="193"/>
      <c r="AF159" s="193"/>
    </row>
    <row r="160" hidden="1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  <c r="AD160" s="193"/>
      <c r="AE160" s="193"/>
      <c r="AF160" s="193"/>
    </row>
    <row r="161" hidden="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  <c r="AC161" s="193"/>
      <c r="AD161" s="193"/>
      <c r="AE161" s="193"/>
      <c r="AF161" s="193"/>
    </row>
    <row r="162" hidden="1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  <c r="AC162" s="193"/>
      <c r="AD162" s="193"/>
      <c r="AE162" s="193"/>
      <c r="AF162" s="193"/>
    </row>
    <row r="163" hidden="1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  <c r="AC163" s="193"/>
      <c r="AD163" s="193"/>
      <c r="AE163" s="193"/>
      <c r="AF163" s="193"/>
    </row>
    <row r="164" hidden="1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  <c r="AC164" s="193"/>
      <c r="AD164" s="193"/>
      <c r="AE164" s="193"/>
      <c r="AF164" s="193"/>
    </row>
    <row r="165" hidden="1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  <c r="AC165" s="193"/>
      <c r="AD165" s="193"/>
      <c r="AE165" s="193"/>
      <c r="AF165" s="193"/>
    </row>
    <row r="166" hidden="1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  <c r="AC166" s="193"/>
      <c r="AD166" s="193"/>
      <c r="AE166" s="193"/>
      <c r="AF166" s="193"/>
    </row>
    <row r="167" hidden="1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  <c r="AC167" s="193"/>
      <c r="AD167" s="193"/>
      <c r="AE167" s="193"/>
      <c r="AF167" s="193"/>
    </row>
    <row r="168" hidden="1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  <c r="AC168" s="193"/>
      <c r="AD168" s="193"/>
      <c r="AE168" s="193"/>
      <c r="AF168" s="193"/>
    </row>
    <row r="169" hidden="1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  <c r="AC169" s="193"/>
      <c r="AD169" s="193"/>
      <c r="AE169" s="193"/>
      <c r="AF169" s="193"/>
    </row>
    <row r="170" hidden="1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  <c r="AC170" s="193"/>
      <c r="AD170" s="193"/>
      <c r="AE170" s="193"/>
      <c r="AF170" s="193"/>
    </row>
    <row r="171" hidden="1">
      <c r="A171" s="193"/>
      <c r="B171" s="193"/>
      <c r="C171" s="195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  <c r="AC171" s="193"/>
      <c r="AD171" s="193"/>
      <c r="AE171" s="193"/>
      <c r="AF171" s="193"/>
    </row>
    <row r="172" hidden="1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  <c r="AC172" s="193"/>
      <c r="AD172" s="193"/>
      <c r="AE172" s="193"/>
      <c r="AF172" s="193"/>
    </row>
    <row r="173" hidden="1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  <c r="AC173" s="193"/>
      <c r="AD173" s="193"/>
      <c r="AE173" s="193"/>
      <c r="AF173" s="193"/>
    </row>
    <row r="174" hidden="1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  <c r="AC174" s="193"/>
      <c r="AD174" s="193"/>
      <c r="AE174" s="193"/>
      <c r="AF174" s="193"/>
    </row>
    <row r="175" hidden="1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  <c r="AC175" s="193"/>
      <c r="AD175" s="193"/>
      <c r="AE175" s="193"/>
      <c r="AF175" s="193"/>
    </row>
    <row r="176" hidden="1">
      <c r="A176" s="193"/>
      <c r="B176" s="193"/>
      <c r="C176" s="195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  <c r="AC176" s="193"/>
      <c r="AD176" s="193"/>
      <c r="AE176" s="193"/>
      <c r="AF176" s="193"/>
    </row>
    <row r="177" hidden="1">
      <c r="A177" s="193"/>
      <c r="B177" s="193"/>
      <c r="C177" s="195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  <c r="AC177" s="193"/>
      <c r="AD177" s="193"/>
      <c r="AE177" s="193"/>
      <c r="AF177" s="193"/>
    </row>
    <row r="178" hidden="1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  <c r="AC178" s="193"/>
      <c r="AD178" s="193"/>
      <c r="AE178" s="193"/>
      <c r="AF178" s="193"/>
    </row>
    <row r="179" hidden="1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  <c r="AC179" s="193"/>
      <c r="AD179" s="193"/>
      <c r="AE179" s="193"/>
      <c r="AF179" s="193"/>
    </row>
    <row r="180" hidden="1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  <c r="AC180" s="193"/>
      <c r="AD180" s="193"/>
      <c r="AE180" s="193"/>
      <c r="AF180" s="193"/>
    </row>
    <row r="181" hidden="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  <c r="AC181" s="193"/>
      <c r="AD181" s="193"/>
      <c r="AE181" s="193"/>
      <c r="AF181" s="193"/>
    </row>
    <row r="182" hidden="1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  <c r="AC182" s="193"/>
      <c r="AD182" s="193"/>
      <c r="AE182" s="193"/>
      <c r="AF182" s="193"/>
    </row>
    <row r="183" hidden="1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  <c r="AC183" s="193"/>
      <c r="AD183" s="193"/>
      <c r="AE183" s="193"/>
      <c r="AF183" s="193"/>
    </row>
    <row r="184" hidden="1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  <c r="AC184" s="193"/>
      <c r="AD184" s="193"/>
      <c r="AE184" s="193"/>
      <c r="AF184" s="193"/>
    </row>
    <row r="185" hidden="1">
      <c r="A185" s="193"/>
      <c r="B185" s="193"/>
      <c r="C185" s="195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  <c r="AC185" s="193"/>
      <c r="AD185" s="193"/>
      <c r="AE185" s="193"/>
      <c r="AF185" s="193"/>
    </row>
    <row r="186" hidden="1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  <c r="AC186" s="193"/>
      <c r="AD186" s="193"/>
      <c r="AE186" s="193"/>
      <c r="AF186" s="193"/>
    </row>
    <row r="187" hidden="1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  <c r="AC187" s="193"/>
      <c r="AD187" s="193"/>
      <c r="AE187" s="193"/>
      <c r="AF187" s="193"/>
    </row>
    <row r="188" hidden="1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  <c r="AC188" s="193"/>
      <c r="AD188" s="193"/>
      <c r="AE188" s="193"/>
      <c r="AF188" s="193"/>
    </row>
    <row r="189" hidden="1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  <c r="AC189" s="193"/>
      <c r="AD189" s="193"/>
      <c r="AE189" s="193"/>
      <c r="AF189" s="193"/>
    </row>
    <row r="190" hidden="1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  <c r="AC190" s="193"/>
      <c r="AD190" s="193"/>
      <c r="AE190" s="193"/>
      <c r="AF190" s="193"/>
    </row>
    <row r="191" hidden="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  <c r="AC191" s="193"/>
      <c r="AD191" s="193"/>
      <c r="AE191" s="193"/>
      <c r="AF191" s="193"/>
    </row>
    <row r="192" hidden="1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  <c r="AC192" s="193"/>
      <c r="AD192" s="193"/>
      <c r="AE192" s="193"/>
      <c r="AF192" s="193"/>
    </row>
    <row r="193" hidden="1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  <c r="AC193" s="193"/>
      <c r="AD193" s="193"/>
      <c r="AE193" s="193"/>
      <c r="AF193" s="193"/>
    </row>
    <row r="194" hidden="1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  <c r="AC194" s="193"/>
      <c r="AD194" s="193"/>
      <c r="AE194" s="193"/>
      <c r="AF194" s="193"/>
    </row>
    <row r="195" hidden="1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  <c r="AC195" s="193"/>
      <c r="AD195" s="193"/>
      <c r="AE195" s="193"/>
      <c r="AF195" s="193"/>
    </row>
    <row r="196" hidden="1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  <c r="AC196" s="193"/>
      <c r="AD196" s="193"/>
      <c r="AE196" s="193"/>
      <c r="AF196" s="193"/>
    </row>
    <row r="197" hidden="1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  <c r="AC197" s="193"/>
      <c r="AD197" s="193"/>
      <c r="AE197" s="193"/>
      <c r="AF197" s="193"/>
    </row>
    <row r="198" hidden="1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  <c r="AC198" s="193"/>
      <c r="AD198" s="193"/>
      <c r="AE198" s="193"/>
      <c r="AF198" s="193"/>
    </row>
    <row r="199" hidden="1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  <c r="AC199" s="193"/>
      <c r="AD199" s="193"/>
      <c r="AE199" s="193"/>
      <c r="AF199" s="193"/>
    </row>
    <row r="200" hidden="1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  <c r="AC200" s="193"/>
      <c r="AD200" s="193"/>
      <c r="AE200" s="193"/>
      <c r="AF200" s="193"/>
    </row>
    <row r="201" hidden="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  <c r="AC201" s="193"/>
      <c r="AD201" s="193"/>
      <c r="AE201" s="193"/>
      <c r="AF201" s="193"/>
    </row>
    <row r="202" hidden="1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  <c r="AC202" s="193"/>
      <c r="AD202" s="193"/>
      <c r="AE202" s="193"/>
      <c r="AF202" s="193"/>
    </row>
    <row r="203" hidden="1">
      <c r="A203" s="193"/>
      <c r="B203" s="193"/>
      <c r="C203" s="195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  <c r="AC203" s="193"/>
      <c r="AD203" s="193"/>
      <c r="AE203" s="193"/>
      <c r="AF203" s="193"/>
    </row>
    <row r="204" hidden="1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  <c r="AC204" s="193"/>
      <c r="AD204" s="193"/>
      <c r="AE204" s="193"/>
      <c r="AF204" s="193"/>
    </row>
    <row r="205" hidden="1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  <c r="AC205" s="193"/>
      <c r="AD205" s="193"/>
      <c r="AE205" s="193"/>
      <c r="AF205" s="193"/>
    </row>
    <row r="206" hidden="1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  <c r="AC206" s="193"/>
      <c r="AD206" s="193"/>
      <c r="AE206" s="193"/>
      <c r="AF206" s="193"/>
    </row>
    <row r="207" hidden="1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  <c r="AC207" s="193"/>
      <c r="AD207" s="193"/>
      <c r="AE207" s="193"/>
      <c r="AF207" s="193"/>
    </row>
    <row r="208" hidden="1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  <c r="AC208" s="193"/>
      <c r="AD208" s="193"/>
      <c r="AE208" s="193"/>
      <c r="AF208" s="193"/>
    </row>
    <row r="209" hidden="1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  <c r="AC209" s="193"/>
      <c r="AD209" s="193"/>
      <c r="AE209" s="193"/>
      <c r="AF209" s="193"/>
    </row>
    <row r="210" hidden="1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  <c r="AC210" s="193"/>
      <c r="AD210" s="193"/>
      <c r="AE210" s="193"/>
      <c r="AF210" s="193"/>
    </row>
    <row r="211" hidden="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  <c r="AC211" s="193"/>
      <c r="AD211" s="193"/>
      <c r="AE211" s="193"/>
      <c r="AF211" s="193"/>
    </row>
    <row r="212" hidden="1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  <c r="AC212" s="193"/>
      <c r="AD212" s="193"/>
      <c r="AE212" s="193"/>
      <c r="AF212" s="193"/>
    </row>
    <row r="213" hidden="1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  <c r="AC213" s="193"/>
      <c r="AD213" s="193"/>
      <c r="AE213" s="193"/>
      <c r="AF213" s="193"/>
    </row>
    <row r="214" hidden="1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  <c r="AC214" s="193"/>
      <c r="AD214" s="193"/>
      <c r="AE214" s="193"/>
      <c r="AF214" s="193"/>
    </row>
    <row r="215" hidden="1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  <c r="AC215" s="193"/>
      <c r="AD215" s="193"/>
      <c r="AE215" s="193"/>
      <c r="AF215" s="193"/>
    </row>
    <row r="216" hidden="1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  <c r="AC216" s="193"/>
      <c r="AD216" s="193"/>
      <c r="AE216" s="193"/>
      <c r="AF216" s="193"/>
    </row>
    <row r="217" hidden="1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  <c r="AC217" s="193"/>
      <c r="AD217" s="193"/>
      <c r="AE217" s="193"/>
      <c r="AF217" s="193"/>
    </row>
    <row r="218" hidden="1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  <c r="AC218" s="193"/>
      <c r="AD218" s="193"/>
      <c r="AE218" s="193"/>
      <c r="AF218" s="193"/>
    </row>
    <row r="219" hidden="1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  <c r="AC219" s="193"/>
      <c r="AD219" s="193"/>
      <c r="AE219" s="193"/>
      <c r="AF219" s="193"/>
    </row>
    <row r="220" hidden="1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  <c r="AC220" s="193"/>
      <c r="AD220" s="193"/>
      <c r="AE220" s="193"/>
      <c r="AF220" s="193"/>
    </row>
    <row r="221" hidden="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  <c r="AC221" s="193"/>
      <c r="AD221" s="193"/>
      <c r="AE221" s="193"/>
      <c r="AF221" s="193"/>
    </row>
    <row r="222" hidden="1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  <c r="AC222" s="193"/>
      <c r="AD222" s="193"/>
      <c r="AE222" s="193"/>
      <c r="AF222" s="193"/>
    </row>
    <row r="223" hidden="1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  <c r="AC223" s="193"/>
      <c r="AD223" s="193"/>
      <c r="AE223" s="193"/>
      <c r="AF223" s="193"/>
    </row>
    <row r="224" hidden="1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  <c r="AC224" s="193"/>
      <c r="AD224" s="193"/>
      <c r="AE224" s="193"/>
      <c r="AF224" s="193"/>
    </row>
    <row r="225" hidden="1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  <c r="AC225" s="193"/>
      <c r="AD225" s="193"/>
      <c r="AE225" s="193"/>
      <c r="AF225" s="193"/>
    </row>
    <row r="226" hidden="1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  <c r="AC226" s="193"/>
      <c r="AD226" s="193"/>
      <c r="AE226" s="193"/>
      <c r="AF226" s="193"/>
    </row>
    <row r="227" hidden="1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  <c r="AC227" s="193"/>
      <c r="AD227" s="193"/>
      <c r="AE227" s="193"/>
      <c r="AF227" s="193"/>
    </row>
    <row r="228" hidden="1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S228" s="193"/>
      <c r="T228" s="193"/>
      <c r="U228" s="193"/>
      <c r="V228" s="193"/>
      <c r="W228" s="193"/>
      <c r="X228" s="193"/>
      <c r="Y228" s="193"/>
      <c r="Z228" s="193"/>
      <c r="AB228" s="193"/>
      <c r="AC228" s="193"/>
      <c r="AD228" s="193"/>
      <c r="AE228" s="193"/>
      <c r="AF228" s="193"/>
    </row>
    <row r="229" hidden="1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S229" s="193"/>
      <c r="T229" s="193"/>
      <c r="U229" s="193"/>
      <c r="V229" s="193"/>
      <c r="W229" s="193"/>
      <c r="X229" s="193"/>
      <c r="Y229" s="193"/>
      <c r="Z229" s="193"/>
      <c r="AB229" s="193"/>
      <c r="AC229" s="193"/>
      <c r="AD229" s="193"/>
      <c r="AE229" s="193"/>
      <c r="AF229" s="193"/>
    </row>
    <row r="230" hidden="1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  <c r="AC230" s="193"/>
      <c r="AD230" s="193"/>
      <c r="AE230" s="193"/>
      <c r="AF230" s="193"/>
    </row>
    <row r="231" hidden="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  <c r="AC231" s="193"/>
      <c r="AD231" s="193"/>
      <c r="AE231" s="193"/>
      <c r="AF231" s="193"/>
    </row>
    <row r="232" hidden="1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  <c r="AC232" s="193"/>
      <c r="AD232" s="193"/>
      <c r="AE232" s="193"/>
      <c r="AF232" s="193"/>
    </row>
    <row r="233" hidden="1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  <c r="AC233" s="193"/>
      <c r="AD233" s="193"/>
      <c r="AE233" s="193"/>
      <c r="AF233" s="193"/>
    </row>
    <row r="234" hidden="1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  <c r="AC234" s="193"/>
      <c r="AD234" s="193"/>
      <c r="AE234" s="193"/>
      <c r="AF234" s="193"/>
    </row>
    <row r="235" hidden="1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  <c r="AC235" s="193"/>
      <c r="AD235" s="193"/>
      <c r="AE235" s="193"/>
      <c r="AF235" s="193"/>
    </row>
    <row r="236" hidden="1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S236" s="193"/>
      <c r="T236" s="193"/>
      <c r="U236" s="193"/>
      <c r="V236" s="193"/>
      <c r="W236" s="193"/>
      <c r="X236" s="193"/>
      <c r="Y236" s="193"/>
      <c r="Z236" s="193"/>
      <c r="AB236" s="193"/>
      <c r="AC236" s="193"/>
      <c r="AD236" s="193"/>
      <c r="AE236" s="193"/>
      <c r="AF236" s="193"/>
    </row>
    <row r="237" hidden="1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  <c r="AC237" s="193"/>
      <c r="AD237" s="193"/>
      <c r="AE237" s="193"/>
      <c r="AF237" s="193"/>
    </row>
    <row r="238" hidden="1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  <c r="AC238" s="193"/>
      <c r="AD238" s="193"/>
      <c r="AE238" s="193"/>
      <c r="AF238" s="193"/>
    </row>
    <row r="239" hidden="1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  <c r="AC239" s="193"/>
      <c r="AD239" s="193"/>
      <c r="AE239" s="193"/>
      <c r="AF239" s="193"/>
    </row>
    <row r="240" hidden="1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  <c r="AC240" s="193"/>
      <c r="AD240" s="193"/>
      <c r="AE240" s="193"/>
      <c r="AF240" s="193"/>
    </row>
    <row r="241" hidden="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  <c r="AC241" s="193"/>
      <c r="AD241" s="193"/>
      <c r="AE241" s="193"/>
      <c r="AF241" s="193"/>
    </row>
    <row r="242" hidden="1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  <c r="AC242" s="193"/>
      <c r="AD242" s="193"/>
      <c r="AE242" s="193"/>
      <c r="AF242" s="193"/>
    </row>
    <row r="243" hidden="1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  <c r="AC243" s="193"/>
      <c r="AD243" s="193"/>
      <c r="AE243" s="193"/>
      <c r="AF243" s="193"/>
    </row>
    <row r="244" hidden="1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  <c r="AC244" s="193"/>
      <c r="AD244" s="193"/>
      <c r="AE244" s="193"/>
      <c r="AF244" s="193"/>
    </row>
    <row r="245" hidden="1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  <c r="AC245" s="193"/>
      <c r="AD245" s="193"/>
      <c r="AE245" s="193"/>
      <c r="AF245" s="193"/>
    </row>
    <row r="246" hidden="1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  <c r="AC246" s="193"/>
      <c r="AD246" s="193"/>
      <c r="AE246" s="193"/>
      <c r="AF246" s="193"/>
    </row>
    <row r="247" hidden="1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  <c r="AC247" s="193"/>
      <c r="AD247" s="193"/>
      <c r="AE247" s="193"/>
      <c r="AF247" s="193"/>
    </row>
    <row r="248" hidden="1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  <c r="AC248" s="193"/>
      <c r="AD248" s="193"/>
      <c r="AE248" s="193"/>
      <c r="AF248" s="193"/>
    </row>
    <row r="249" hidden="1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  <c r="AC249" s="193"/>
      <c r="AD249" s="193"/>
      <c r="AE249" s="193"/>
      <c r="AF249" s="193"/>
    </row>
    <row r="250" hidden="1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  <c r="AC250" s="193"/>
      <c r="AD250" s="193"/>
      <c r="AE250" s="193"/>
      <c r="AF250" s="193"/>
    </row>
    <row r="251" hidden="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  <c r="AC251" s="193"/>
      <c r="AD251" s="193"/>
      <c r="AE251" s="193"/>
      <c r="AF251" s="193"/>
    </row>
    <row r="252" hidden="1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S252" s="193"/>
      <c r="T252" s="193"/>
      <c r="U252" s="193"/>
      <c r="V252" s="193"/>
      <c r="W252" s="193"/>
      <c r="X252" s="193"/>
      <c r="Y252" s="193"/>
      <c r="Z252" s="193"/>
      <c r="AB252" s="193"/>
      <c r="AC252" s="193"/>
      <c r="AD252" s="193"/>
      <c r="AE252" s="193"/>
      <c r="AF252" s="193"/>
    </row>
    <row r="253" hidden="1">
      <c r="A253" s="193"/>
      <c r="B253" s="193"/>
      <c r="C253" s="195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  <c r="AC253" s="193"/>
      <c r="AD253" s="193"/>
      <c r="AE253" s="193"/>
      <c r="AF253" s="193"/>
    </row>
    <row r="254" hidden="1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  <c r="AC254" s="193"/>
      <c r="AD254" s="193"/>
      <c r="AE254" s="193"/>
      <c r="AF254" s="193"/>
    </row>
    <row r="255" hidden="1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  <c r="AC255" s="193"/>
      <c r="AD255" s="193"/>
      <c r="AE255" s="193"/>
      <c r="AF255" s="193"/>
    </row>
    <row r="256" hidden="1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S256" s="193"/>
      <c r="T256" s="193"/>
      <c r="U256" s="193"/>
      <c r="V256" s="193"/>
      <c r="W256" s="193"/>
      <c r="X256" s="193"/>
      <c r="Y256" s="193"/>
      <c r="Z256" s="193"/>
      <c r="AB256" s="193"/>
      <c r="AC256" s="193"/>
      <c r="AD256" s="193"/>
      <c r="AE256" s="193"/>
      <c r="AF256" s="193"/>
    </row>
    <row r="257" hidden="1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  <c r="AC257" s="193"/>
      <c r="AD257" s="193"/>
      <c r="AE257" s="193"/>
      <c r="AF257" s="193"/>
    </row>
    <row r="258" hidden="1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  <c r="AC258" s="193"/>
      <c r="AD258" s="193"/>
      <c r="AE258" s="193"/>
      <c r="AF258" s="193"/>
    </row>
    <row r="259" hidden="1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  <c r="AC259" s="193"/>
      <c r="AD259" s="193"/>
      <c r="AE259" s="193"/>
      <c r="AF259" s="193"/>
    </row>
    <row r="260" hidden="1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  <c r="AC260" s="193"/>
      <c r="AD260" s="193"/>
      <c r="AE260" s="193"/>
      <c r="AF260" s="193"/>
    </row>
    <row r="261" hidden="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  <c r="AC261" s="193"/>
      <c r="AD261" s="193"/>
      <c r="AE261" s="193"/>
      <c r="AF261" s="193"/>
    </row>
    <row r="262" hidden="1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  <c r="AC262" s="193"/>
      <c r="AD262" s="193"/>
      <c r="AE262" s="193"/>
      <c r="AF262" s="193"/>
    </row>
    <row r="263" hidden="1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  <c r="AC263" s="193"/>
      <c r="AD263" s="193"/>
      <c r="AE263" s="193"/>
      <c r="AF263" s="193"/>
    </row>
    <row r="264" hidden="1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  <c r="AC264" s="193"/>
      <c r="AD264" s="193"/>
      <c r="AE264" s="193"/>
      <c r="AF264" s="193"/>
    </row>
    <row r="265" hidden="1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  <c r="AC265" s="193"/>
      <c r="AD265" s="193"/>
      <c r="AE265" s="193"/>
      <c r="AF265" s="193"/>
    </row>
    <row r="266" hidden="1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  <c r="AC266" s="193"/>
      <c r="AD266" s="193"/>
      <c r="AE266" s="193"/>
      <c r="AF266" s="193"/>
    </row>
    <row r="267" hidden="1">
      <c r="A267" s="193"/>
      <c r="B267" s="195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S267" s="193"/>
      <c r="T267" s="193"/>
      <c r="U267" s="193"/>
      <c r="V267" s="193"/>
      <c r="W267" s="193"/>
      <c r="X267" s="193"/>
      <c r="Y267" s="193"/>
      <c r="Z267" s="193"/>
      <c r="AB267" s="193"/>
      <c r="AC267" s="193"/>
      <c r="AD267" s="193"/>
      <c r="AE267" s="193"/>
      <c r="AF267" s="193"/>
    </row>
    <row r="268" hidden="1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  <c r="AC268" s="193"/>
      <c r="AD268" s="193"/>
      <c r="AE268" s="193"/>
      <c r="AF268" s="193"/>
    </row>
    <row r="269" hidden="1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  <c r="AC269" s="193"/>
      <c r="AD269" s="193"/>
      <c r="AE269" s="193"/>
      <c r="AF269" s="193"/>
    </row>
    <row r="270" hidden="1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  <c r="AC270" s="193"/>
      <c r="AD270" s="193"/>
      <c r="AE270" s="193"/>
      <c r="AF270" s="193"/>
    </row>
    <row r="271" hidden="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  <c r="AC271" s="193"/>
      <c r="AD271" s="193"/>
      <c r="AE271" s="193"/>
      <c r="AF271" s="193"/>
    </row>
    <row r="272" hidden="1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  <c r="AC272" s="193"/>
      <c r="AD272" s="193"/>
      <c r="AE272" s="193"/>
      <c r="AF272" s="193"/>
    </row>
    <row r="273" hidden="1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S273" s="193"/>
      <c r="T273" s="193"/>
      <c r="U273" s="193"/>
      <c r="V273" s="193"/>
      <c r="W273" s="193"/>
      <c r="X273" s="193"/>
      <c r="Y273" s="193"/>
      <c r="Z273" s="193"/>
      <c r="AB273" s="193"/>
      <c r="AC273" s="193"/>
      <c r="AD273" s="193"/>
      <c r="AE273" s="193"/>
      <c r="AF273" s="193"/>
    </row>
    <row r="274" hidden="1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  <c r="AC274" s="193"/>
      <c r="AD274" s="193"/>
      <c r="AE274" s="193"/>
      <c r="AF274" s="193"/>
    </row>
    <row r="275" hidden="1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  <c r="AC275" s="193"/>
      <c r="AD275" s="193"/>
      <c r="AE275" s="193"/>
      <c r="AF275" s="193"/>
    </row>
    <row r="276" hidden="1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  <c r="AC276" s="193"/>
      <c r="AD276" s="193"/>
      <c r="AE276" s="193"/>
      <c r="AF276" s="193"/>
    </row>
    <row r="277" hidden="1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  <c r="AC277" s="193"/>
      <c r="AD277" s="193"/>
      <c r="AE277" s="193"/>
      <c r="AF277" s="193"/>
    </row>
    <row r="278" hidden="1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  <c r="AC278" s="193"/>
      <c r="AD278" s="193"/>
      <c r="AE278" s="193"/>
      <c r="AF278" s="193"/>
    </row>
    <row r="279" hidden="1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S279" s="193"/>
      <c r="T279" s="193"/>
      <c r="U279" s="193"/>
      <c r="V279" s="193"/>
      <c r="W279" s="193"/>
      <c r="X279" s="193"/>
      <c r="Y279" s="193"/>
      <c r="Z279" s="193"/>
      <c r="AB279" s="193"/>
      <c r="AC279" s="193"/>
      <c r="AD279" s="193"/>
      <c r="AE279" s="193"/>
      <c r="AF279" s="193"/>
    </row>
    <row r="280" hidden="1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  <c r="AC280" s="193"/>
      <c r="AD280" s="193"/>
      <c r="AE280" s="193"/>
      <c r="AF280" s="193"/>
    </row>
    <row r="281" hidden="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  <c r="AC281" s="193"/>
      <c r="AD281" s="193"/>
      <c r="AE281" s="193"/>
      <c r="AF281" s="193"/>
    </row>
    <row r="282" hidden="1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S282" s="193"/>
      <c r="T282" s="193"/>
      <c r="U282" s="193"/>
      <c r="V282" s="193"/>
      <c r="W282" s="193"/>
      <c r="X282" s="193"/>
      <c r="Y282" s="193"/>
      <c r="Z282" s="193"/>
      <c r="AB282" s="193"/>
      <c r="AC282" s="193"/>
      <c r="AD282" s="193"/>
      <c r="AE282" s="193"/>
      <c r="AF282" s="193"/>
    </row>
    <row r="283" hidden="1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S283" s="193"/>
      <c r="T283" s="193"/>
      <c r="U283" s="193"/>
      <c r="V283" s="193"/>
      <c r="W283" s="193"/>
      <c r="X283" s="193"/>
      <c r="Y283" s="193"/>
      <c r="Z283" s="193"/>
      <c r="AB283" s="193"/>
      <c r="AC283" s="193"/>
      <c r="AD283" s="193"/>
      <c r="AE283" s="193"/>
      <c r="AF283" s="193"/>
    </row>
    <row r="284" hidden="1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  <c r="AC284" s="193"/>
      <c r="AD284" s="193"/>
      <c r="AE284" s="193"/>
      <c r="AF284" s="193"/>
    </row>
    <row r="285" hidden="1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  <c r="AC285" s="193"/>
      <c r="AD285" s="193"/>
      <c r="AE285" s="193"/>
      <c r="AF285" s="193"/>
    </row>
    <row r="286" hidden="1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S286" s="193"/>
      <c r="T286" s="193"/>
      <c r="U286" s="193"/>
      <c r="V286" s="193"/>
      <c r="W286" s="193"/>
      <c r="X286" s="193"/>
      <c r="Y286" s="193"/>
      <c r="Z286" s="193"/>
      <c r="AB286" s="193"/>
      <c r="AC286" s="193"/>
      <c r="AD286" s="193"/>
      <c r="AE286" s="193"/>
      <c r="AF286" s="193"/>
    </row>
    <row r="287" hidden="1">
      <c r="A287" s="193"/>
      <c r="B287" s="193"/>
      <c r="C287" s="195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S287" s="193"/>
      <c r="T287" s="193"/>
      <c r="U287" s="193"/>
      <c r="V287" s="193"/>
      <c r="W287" s="193"/>
      <c r="X287" s="193"/>
      <c r="Y287" s="193"/>
      <c r="Z287" s="193"/>
      <c r="AB287" s="193"/>
      <c r="AC287" s="193"/>
      <c r="AD287" s="193"/>
      <c r="AE287" s="193"/>
      <c r="AF287" s="193"/>
    </row>
    <row r="288" hidden="1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S288" s="193"/>
      <c r="T288" s="193"/>
      <c r="U288" s="193"/>
      <c r="V288" s="193"/>
      <c r="W288" s="193"/>
      <c r="X288" s="193"/>
      <c r="Y288" s="193"/>
      <c r="Z288" s="193"/>
      <c r="AB288" s="193"/>
      <c r="AC288" s="193"/>
      <c r="AD288" s="193"/>
      <c r="AE288" s="193"/>
      <c r="AF288" s="193"/>
    </row>
    <row r="289" hidden="1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  <c r="AC289" s="193"/>
      <c r="AD289" s="193"/>
      <c r="AE289" s="193"/>
      <c r="AF289" s="193"/>
    </row>
    <row r="290" hidden="1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  <c r="AC290" s="193"/>
      <c r="AD290" s="193"/>
      <c r="AE290" s="193"/>
      <c r="AF290" s="193"/>
    </row>
    <row r="291" hidden="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S291" s="193"/>
      <c r="T291" s="193"/>
      <c r="U291" s="193"/>
      <c r="V291" s="193"/>
      <c r="W291" s="193"/>
      <c r="X291" s="193"/>
      <c r="Y291" s="193"/>
      <c r="Z291" s="193"/>
      <c r="AB291" s="193"/>
      <c r="AC291" s="193"/>
      <c r="AD291" s="193"/>
      <c r="AE291" s="193"/>
      <c r="AF291" s="193"/>
    </row>
    <row r="292" hidden="1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  <c r="AC292" s="193"/>
      <c r="AD292" s="193"/>
      <c r="AE292" s="193"/>
      <c r="AF292" s="193"/>
    </row>
    <row r="293" hidden="1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  <c r="AC293" s="193"/>
      <c r="AD293" s="193"/>
      <c r="AE293" s="193"/>
      <c r="AF293" s="193"/>
    </row>
    <row r="294" hidden="1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  <c r="AC294" s="193"/>
      <c r="AD294" s="193"/>
      <c r="AE294" s="193"/>
      <c r="AF294" s="193"/>
    </row>
    <row r="295" hidden="1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S295" s="193"/>
      <c r="T295" s="193"/>
      <c r="U295" s="193"/>
      <c r="V295" s="193"/>
      <c r="W295" s="193"/>
      <c r="X295" s="193"/>
      <c r="Y295" s="193"/>
      <c r="Z295" s="193"/>
      <c r="AB295" s="193"/>
      <c r="AC295" s="193"/>
      <c r="AD295" s="193"/>
      <c r="AE295" s="193"/>
      <c r="AF295" s="193"/>
    </row>
    <row r="296" hidden="1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O296" s="193"/>
      <c r="P296" s="193"/>
      <c r="Q296" s="193"/>
      <c r="S296" s="193"/>
      <c r="T296" s="193"/>
      <c r="U296" s="193"/>
      <c r="V296" s="193"/>
      <c r="W296" s="193"/>
      <c r="X296" s="193"/>
      <c r="Y296" s="193"/>
      <c r="Z296" s="193"/>
      <c r="AB296" s="193"/>
      <c r="AC296" s="193"/>
      <c r="AD296" s="193"/>
      <c r="AE296" s="193"/>
      <c r="AF296" s="193"/>
    </row>
    <row r="297" hidden="1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S297" s="193"/>
      <c r="T297" s="193"/>
      <c r="U297" s="193"/>
      <c r="V297" s="193"/>
      <c r="W297" s="193"/>
      <c r="X297" s="193"/>
      <c r="Y297" s="193"/>
      <c r="Z297" s="193"/>
      <c r="AB297" s="193"/>
      <c r="AC297" s="193"/>
      <c r="AD297" s="193"/>
      <c r="AE297" s="193"/>
      <c r="AF297" s="193"/>
    </row>
    <row r="298" hidden="1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S298" s="193"/>
      <c r="T298" s="193"/>
      <c r="U298" s="193"/>
      <c r="V298" s="193"/>
      <c r="W298" s="193"/>
      <c r="X298" s="193"/>
      <c r="Y298" s="193"/>
      <c r="Z298" s="193"/>
      <c r="AB298" s="193"/>
      <c r="AC298" s="193"/>
      <c r="AD298" s="193"/>
      <c r="AE298" s="193"/>
      <c r="AF298" s="193"/>
    </row>
    <row r="299" hidden="1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S299" s="193"/>
      <c r="T299" s="193"/>
      <c r="U299" s="193"/>
      <c r="V299" s="193"/>
      <c r="W299" s="193"/>
      <c r="X299" s="193"/>
      <c r="Y299" s="193"/>
      <c r="Z299" s="193"/>
      <c r="AB299" s="193"/>
      <c r="AC299" s="193"/>
      <c r="AD299" s="193"/>
      <c r="AE299" s="193"/>
      <c r="AF299" s="193"/>
    </row>
    <row r="300" hidden="1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  <c r="AC300" s="193"/>
      <c r="AD300" s="193"/>
      <c r="AE300" s="193"/>
      <c r="AF300" s="193"/>
    </row>
    <row r="301" hidden="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T301" s="193"/>
      <c r="U301" s="193"/>
      <c r="V301" s="193"/>
      <c r="W301" s="193"/>
      <c r="X301" s="193"/>
      <c r="Y301" s="193"/>
      <c r="Z301" s="193"/>
      <c r="AB301" s="193"/>
      <c r="AC301" s="193"/>
      <c r="AD301" s="193"/>
      <c r="AE301" s="193"/>
      <c r="AF301" s="193"/>
    </row>
    <row r="302" hidden="1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S302" s="193"/>
      <c r="T302" s="193"/>
      <c r="U302" s="193"/>
      <c r="V302" s="193"/>
      <c r="W302" s="193"/>
      <c r="X302" s="193"/>
      <c r="Y302" s="193"/>
      <c r="Z302" s="193"/>
      <c r="AB302" s="193"/>
      <c r="AC302" s="193"/>
      <c r="AD302" s="193"/>
      <c r="AE302" s="193"/>
      <c r="AF302" s="193"/>
    </row>
    <row r="303" hidden="1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S303" s="193"/>
      <c r="T303" s="193"/>
      <c r="U303" s="193"/>
      <c r="V303" s="193"/>
      <c r="W303" s="193"/>
      <c r="X303" s="193"/>
      <c r="Y303" s="193"/>
      <c r="Z303" s="193"/>
      <c r="AB303" s="193"/>
      <c r="AC303" s="193"/>
      <c r="AD303" s="193"/>
      <c r="AE303" s="193"/>
      <c r="AF303" s="193"/>
    </row>
    <row r="304" hidden="1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S304" s="193"/>
      <c r="T304" s="193"/>
      <c r="U304" s="193"/>
      <c r="V304" s="193"/>
      <c r="W304" s="193"/>
      <c r="X304" s="193"/>
      <c r="Y304" s="193"/>
      <c r="Z304" s="193"/>
      <c r="AB304" s="193"/>
      <c r="AC304" s="193"/>
      <c r="AD304" s="193"/>
      <c r="AE304" s="193"/>
      <c r="AF304" s="193"/>
    </row>
    <row r="305" hidden="1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S305" s="193"/>
      <c r="T305" s="193"/>
      <c r="U305" s="193"/>
      <c r="V305" s="193"/>
      <c r="W305" s="193"/>
      <c r="X305" s="193"/>
      <c r="Y305" s="193"/>
      <c r="Z305" s="193"/>
      <c r="AB305" s="193"/>
      <c r="AC305" s="193"/>
      <c r="AD305" s="193"/>
      <c r="AE305" s="193"/>
      <c r="AF305" s="193"/>
    </row>
    <row r="306" hidden="1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S306" s="193"/>
      <c r="T306" s="193"/>
      <c r="U306" s="193"/>
      <c r="V306" s="193"/>
      <c r="W306" s="193"/>
      <c r="X306" s="193"/>
      <c r="Y306" s="193"/>
      <c r="Z306" s="193"/>
      <c r="AB306" s="193"/>
      <c r="AC306" s="193"/>
      <c r="AD306" s="193"/>
      <c r="AE306" s="193"/>
      <c r="AF306" s="193"/>
    </row>
    <row r="307" hidden="1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O307" s="193"/>
      <c r="P307" s="193"/>
      <c r="Q307" s="193"/>
      <c r="S307" s="193"/>
      <c r="T307" s="193"/>
      <c r="U307" s="193"/>
      <c r="V307" s="193"/>
      <c r="W307" s="193"/>
      <c r="X307" s="193"/>
      <c r="Y307" s="193"/>
      <c r="Z307" s="193"/>
      <c r="AB307" s="193"/>
      <c r="AC307" s="193"/>
      <c r="AD307" s="193"/>
      <c r="AE307" s="193"/>
      <c r="AF307" s="193"/>
    </row>
    <row r="308" hidden="1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O308" s="193"/>
      <c r="P308" s="193"/>
      <c r="Q308" s="193"/>
      <c r="S308" s="193"/>
      <c r="T308" s="193"/>
      <c r="U308" s="193"/>
      <c r="V308" s="193"/>
      <c r="W308" s="193"/>
      <c r="X308" s="193"/>
      <c r="Y308" s="193"/>
      <c r="Z308" s="193"/>
      <c r="AB308" s="193"/>
      <c r="AC308" s="193"/>
      <c r="AD308" s="193"/>
      <c r="AE308" s="193"/>
      <c r="AF308" s="193"/>
    </row>
    <row r="309" hidden="1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  <c r="AC309" s="193"/>
      <c r="AD309" s="193"/>
      <c r="AE309" s="193"/>
      <c r="AF309" s="193"/>
    </row>
    <row r="310" hidden="1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  <c r="AC310" s="193"/>
      <c r="AD310" s="193"/>
      <c r="AE310" s="193"/>
      <c r="AF310" s="193"/>
    </row>
    <row r="311" hidden="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O311" s="193"/>
      <c r="P311" s="193"/>
      <c r="Q311" s="193"/>
      <c r="S311" s="193"/>
      <c r="T311" s="193"/>
      <c r="U311" s="193"/>
      <c r="V311" s="193"/>
      <c r="W311" s="193"/>
      <c r="X311" s="193"/>
      <c r="Y311" s="193"/>
      <c r="Z311" s="193"/>
      <c r="AB311" s="193"/>
      <c r="AC311" s="193"/>
      <c r="AD311" s="193"/>
      <c r="AE311" s="193"/>
      <c r="AF311" s="193"/>
    </row>
    <row r="312" hidden="1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O312" s="193"/>
      <c r="P312" s="193"/>
      <c r="Q312" s="193"/>
      <c r="S312" s="193"/>
      <c r="T312" s="193"/>
      <c r="U312" s="193"/>
      <c r="V312" s="193"/>
      <c r="W312" s="193"/>
      <c r="X312" s="193"/>
      <c r="Y312" s="193"/>
      <c r="Z312" s="193"/>
      <c r="AB312" s="193"/>
      <c r="AC312" s="193"/>
      <c r="AD312" s="193"/>
      <c r="AE312" s="193"/>
      <c r="AF312" s="193"/>
    </row>
    <row r="313" hidden="1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S313" s="193"/>
      <c r="T313" s="193"/>
      <c r="U313" s="193"/>
      <c r="V313" s="193"/>
      <c r="W313" s="193"/>
      <c r="X313" s="193"/>
      <c r="Y313" s="193"/>
      <c r="Z313" s="193"/>
      <c r="AB313" s="193"/>
      <c r="AC313" s="193"/>
      <c r="AD313" s="193"/>
      <c r="AE313" s="193"/>
      <c r="AF313" s="193"/>
    </row>
    <row r="314" hidden="1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S314" s="193"/>
      <c r="T314" s="193"/>
      <c r="U314" s="193"/>
      <c r="V314" s="193"/>
      <c r="W314" s="193"/>
      <c r="X314" s="193"/>
      <c r="Y314" s="193"/>
      <c r="Z314" s="193"/>
      <c r="AB314" s="193"/>
      <c r="AC314" s="193"/>
      <c r="AD314" s="193"/>
      <c r="AE314" s="193"/>
      <c r="AF314" s="193"/>
    </row>
    <row r="315" hidden="1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S315" s="193"/>
      <c r="T315" s="193"/>
      <c r="U315" s="193"/>
      <c r="V315" s="193"/>
      <c r="W315" s="193"/>
      <c r="X315" s="193"/>
      <c r="Y315" s="193"/>
      <c r="Z315" s="193"/>
      <c r="AB315" s="193"/>
      <c r="AC315" s="193"/>
      <c r="AD315" s="193"/>
      <c r="AE315" s="193"/>
      <c r="AF315" s="193"/>
    </row>
    <row r="316" hidden="1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  <c r="AC316" s="193"/>
      <c r="AD316" s="193"/>
      <c r="AE316" s="193"/>
      <c r="AF316" s="193"/>
    </row>
    <row r="317" hidden="1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O317" s="193"/>
      <c r="P317" s="193"/>
      <c r="Q317" s="193"/>
      <c r="S317" s="193"/>
      <c r="T317" s="193"/>
      <c r="U317" s="193"/>
      <c r="V317" s="193"/>
      <c r="W317" s="193"/>
      <c r="X317" s="193"/>
      <c r="Y317" s="193"/>
      <c r="Z317" s="193"/>
      <c r="AB317" s="193"/>
      <c r="AC317" s="193"/>
      <c r="AD317" s="193"/>
      <c r="AE317" s="193"/>
      <c r="AF317" s="193"/>
    </row>
    <row r="318" hidden="1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S318" s="193"/>
      <c r="T318" s="193"/>
      <c r="U318" s="193"/>
      <c r="V318" s="193"/>
      <c r="W318" s="193"/>
      <c r="X318" s="193"/>
      <c r="Y318" s="193"/>
      <c r="Z318" s="193"/>
      <c r="AB318" s="193"/>
      <c r="AC318" s="193"/>
      <c r="AD318" s="193"/>
      <c r="AE318" s="193"/>
      <c r="AF318" s="193"/>
    </row>
    <row r="319" hidden="1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S319" s="193"/>
      <c r="T319" s="193"/>
      <c r="U319" s="193"/>
      <c r="V319" s="193"/>
      <c r="W319" s="193"/>
      <c r="X319" s="193"/>
      <c r="Y319" s="193"/>
      <c r="Z319" s="193"/>
      <c r="AB319" s="193"/>
      <c r="AC319" s="193"/>
      <c r="AD319" s="193"/>
      <c r="AE319" s="193"/>
      <c r="AF319" s="193"/>
    </row>
    <row r="320" hidden="1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S320" s="193"/>
      <c r="T320" s="193"/>
      <c r="U320" s="193"/>
      <c r="V320" s="193"/>
      <c r="W320" s="193"/>
      <c r="X320" s="193"/>
      <c r="Y320" s="193"/>
      <c r="Z320" s="193"/>
      <c r="AB320" s="193"/>
      <c r="AC320" s="193"/>
      <c r="AD320" s="193"/>
      <c r="AE320" s="193"/>
      <c r="AF320" s="193"/>
    </row>
    <row r="321" hidden="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S321" s="193"/>
      <c r="T321" s="193"/>
      <c r="U321" s="193"/>
      <c r="V321" s="193"/>
      <c r="W321" s="193"/>
      <c r="X321" s="193"/>
      <c r="Y321" s="193"/>
      <c r="Z321" s="193"/>
      <c r="AB321" s="193"/>
      <c r="AC321" s="193"/>
      <c r="AD321" s="193"/>
      <c r="AE321" s="193"/>
      <c r="AF321" s="193"/>
    </row>
    <row r="322" hidden="1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  <c r="AC322" s="193"/>
      <c r="AD322" s="193"/>
      <c r="AE322" s="193"/>
      <c r="AF322" s="193"/>
    </row>
    <row r="323" hidden="1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O323" s="193"/>
      <c r="P323" s="193"/>
      <c r="Q323" s="193"/>
      <c r="S323" s="193"/>
      <c r="T323" s="193"/>
      <c r="U323" s="193"/>
      <c r="V323" s="193"/>
      <c r="W323" s="193"/>
      <c r="X323" s="193"/>
      <c r="Y323" s="193"/>
      <c r="Z323" s="193"/>
      <c r="AB323" s="193"/>
      <c r="AC323" s="193"/>
      <c r="AD323" s="193"/>
      <c r="AE323" s="193"/>
      <c r="AF323" s="193"/>
    </row>
    <row r="324" hidden="1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S324" s="193"/>
      <c r="T324" s="193"/>
      <c r="U324" s="193"/>
      <c r="V324" s="193"/>
      <c r="W324" s="193"/>
      <c r="X324" s="193"/>
      <c r="Y324" s="193"/>
      <c r="Z324" s="193"/>
      <c r="AB324" s="193"/>
      <c r="AC324" s="193"/>
      <c r="AD324" s="193"/>
      <c r="AE324" s="193"/>
      <c r="AF324" s="193"/>
    </row>
    <row r="325" hidden="1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S325" s="193"/>
      <c r="T325" s="193"/>
      <c r="U325" s="193"/>
      <c r="V325" s="193"/>
      <c r="W325" s="193"/>
      <c r="X325" s="193"/>
      <c r="Y325" s="193"/>
      <c r="Z325" s="193"/>
      <c r="AB325" s="193"/>
      <c r="AC325" s="193"/>
      <c r="AD325" s="193"/>
      <c r="AE325" s="193"/>
      <c r="AF325" s="193"/>
    </row>
    <row r="326" hidden="1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  <c r="AC326" s="193"/>
      <c r="AD326" s="193"/>
      <c r="AE326" s="193"/>
      <c r="AF326" s="193"/>
    </row>
    <row r="327" hidden="1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  <c r="AC327" s="193"/>
      <c r="AD327" s="193"/>
      <c r="AE327" s="193"/>
      <c r="AF327" s="193"/>
    </row>
    <row r="328" hidden="1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O328" s="193"/>
      <c r="P328" s="193"/>
      <c r="Q328" s="193"/>
      <c r="S328" s="193"/>
      <c r="T328" s="193"/>
      <c r="U328" s="193"/>
      <c r="V328" s="193"/>
      <c r="W328" s="193"/>
      <c r="X328" s="193"/>
      <c r="Y328" s="193"/>
      <c r="Z328" s="193"/>
      <c r="AB328" s="193"/>
      <c r="AC328" s="193"/>
      <c r="AD328" s="193"/>
      <c r="AE328" s="193"/>
      <c r="AF328" s="193"/>
    </row>
    <row r="329" hidden="1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  <c r="AC329" s="193"/>
      <c r="AD329" s="193"/>
      <c r="AE329" s="193"/>
      <c r="AF329" s="193"/>
    </row>
    <row r="330" hidden="1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S330" s="193"/>
      <c r="T330" s="193"/>
      <c r="U330" s="193"/>
      <c r="V330" s="193"/>
      <c r="W330" s="193"/>
      <c r="X330" s="193"/>
      <c r="Y330" s="193"/>
      <c r="Z330" s="193"/>
      <c r="AB330" s="193"/>
      <c r="AC330" s="193"/>
      <c r="AD330" s="193"/>
      <c r="AE330" s="193"/>
      <c r="AF330" s="193"/>
    </row>
    <row r="331" hidden="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T331" s="193"/>
      <c r="U331" s="193"/>
      <c r="V331" s="193"/>
      <c r="W331" s="193"/>
      <c r="X331" s="193"/>
      <c r="Y331" s="193"/>
      <c r="Z331" s="193"/>
      <c r="AB331" s="193"/>
      <c r="AC331" s="193"/>
      <c r="AD331" s="193"/>
      <c r="AE331" s="193"/>
      <c r="AF331" s="193"/>
    </row>
    <row r="332" hidden="1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O332" s="193"/>
      <c r="P332" s="193"/>
      <c r="Q332" s="193"/>
      <c r="S332" s="193"/>
      <c r="T332" s="193"/>
      <c r="U332" s="193"/>
      <c r="V332" s="193"/>
      <c r="W332" s="193"/>
      <c r="X332" s="193"/>
      <c r="Y332" s="193"/>
      <c r="Z332" s="193"/>
      <c r="AB332" s="193"/>
      <c r="AC332" s="193"/>
      <c r="AD332" s="193"/>
      <c r="AE332" s="193"/>
      <c r="AF332" s="193"/>
    </row>
    <row r="333" hidden="1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S333" s="193"/>
      <c r="T333" s="193"/>
      <c r="U333" s="193"/>
      <c r="V333" s="193"/>
      <c r="W333" s="193"/>
      <c r="X333" s="193"/>
      <c r="Y333" s="193"/>
      <c r="Z333" s="193"/>
      <c r="AB333" s="193"/>
      <c r="AC333" s="193"/>
      <c r="AD333" s="193"/>
      <c r="AE333" s="193"/>
      <c r="AF333" s="193"/>
    </row>
    <row r="334" hidden="1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S334" s="193"/>
      <c r="T334" s="193"/>
      <c r="U334" s="193"/>
      <c r="V334" s="193"/>
      <c r="W334" s="193"/>
      <c r="X334" s="193"/>
      <c r="Y334" s="193"/>
      <c r="Z334" s="193"/>
      <c r="AB334" s="193"/>
      <c r="AC334" s="193"/>
      <c r="AD334" s="193"/>
      <c r="AE334" s="193"/>
      <c r="AF334" s="193"/>
    </row>
    <row r="335" hidden="1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O335" s="193"/>
      <c r="P335" s="193"/>
      <c r="Q335" s="193"/>
      <c r="S335" s="193"/>
      <c r="T335" s="193"/>
      <c r="U335" s="193"/>
      <c r="V335" s="193"/>
      <c r="W335" s="193"/>
      <c r="X335" s="193"/>
      <c r="Y335" s="193"/>
      <c r="Z335" s="193"/>
      <c r="AB335" s="193"/>
      <c r="AC335" s="193"/>
      <c r="AD335" s="193"/>
      <c r="AE335" s="193"/>
      <c r="AF335" s="193"/>
    </row>
    <row r="336" hidden="1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  <c r="AC336" s="193"/>
      <c r="AD336" s="193"/>
      <c r="AE336" s="193"/>
      <c r="AF336" s="193"/>
    </row>
    <row r="337" hidden="1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T337" s="193"/>
      <c r="U337" s="193"/>
      <c r="V337" s="193"/>
      <c r="W337" s="193"/>
      <c r="X337" s="193"/>
      <c r="Y337" s="193"/>
      <c r="Z337" s="193"/>
      <c r="AB337" s="193"/>
      <c r="AC337" s="193"/>
      <c r="AD337" s="193"/>
      <c r="AE337" s="193"/>
      <c r="AF337" s="193"/>
    </row>
    <row r="338" hidden="1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  <c r="AC338" s="193"/>
      <c r="AD338" s="193"/>
      <c r="AE338" s="193"/>
      <c r="AF338" s="193"/>
    </row>
    <row r="339" hidden="1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S339" s="193"/>
      <c r="T339" s="193"/>
      <c r="U339" s="193"/>
      <c r="V339" s="193"/>
      <c r="W339" s="193"/>
      <c r="X339" s="193"/>
      <c r="Y339" s="193"/>
      <c r="Z339" s="193"/>
      <c r="AB339" s="193"/>
      <c r="AC339" s="193"/>
      <c r="AD339" s="193"/>
      <c r="AE339" s="193"/>
      <c r="AF339" s="193"/>
    </row>
    <row r="340" hidden="1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S340" s="193"/>
      <c r="T340" s="193"/>
      <c r="U340" s="193"/>
      <c r="V340" s="193"/>
      <c r="W340" s="193"/>
      <c r="X340" s="193"/>
      <c r="Y340" s="193"/>
      <c r="Z340" s="193"/>
      <c r="AB340" s="193"/>
      <c r="AC340" s="193"/>
      <c r="AD340" s="193"/>
      <c r="AE340" s="193"/>
      <c r="AF340" s="193"/>
    </row>
    <row r="341" hidden="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S341" s="193"/>
      <c r="T341" s="193"/>
      <c r="U341" s="193"/>
      <c r="V341" s="193"/>
      <c r="W341" s="193"/>
      <c r="X341" s="193"/>
      <c r="Y341" s="193"/>
      <c r="Z341" s="193"/>
      <c r="AB341" s="193"/>
      <c r="AC341" s="193"/>
      <c r="AD341" s="193"/>
      <c r="AE341" s="193"/>
      <c r="AF341" s="193"/>
    </row>
    <row r="342" hidden="1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  <c r="AC342" s="193"/>
      <c r="AD342" s="193"/>
      <c r="AE342" s="193"/>
      <c r="AF342" s="193"/>
    </row>
    <row r="343" hidden="1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  <c r="AC343" s="193"/>
      <c r="AD343" s="193"/>
      <c r="AE343" s="193"/>
      <c r="AF343" s="193"/>
    </row>
    <row r="344" hidden="1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O344" s="193"/>
      <c r="P344" s="193"/>
      <c r="Q344" s="193"/>
      <c r="S344" s="193"/>
      <c r="T344" s="193"/>
      <c r="U344" s="193"/>
      <c r="V344" s="193"/>
      <c r="W344" s="193"/>
      <c r="X344" s="193"/>
      <c r="Y344" s="193"/>
      <c r="Z344" s="193"/>
      <c r="AB344" s="193"/>
      <c r="AC344" s="193"/>
      <c r="AD344" s="193"/>
      <c r="AE344" s="193"/>
      <c r="AF344" s="193"/>
    </row>
    <row r="345" hidden="1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S345" s="193"/>
      <c r="T345" s="193"/>
      <c r="U345" s="193"/>
      <c r="V345" s="193"/>
      <c r="W345" s="193"/>
      <c r="X345" s="193"/>
      <c r="Y345" s="193"/>
      <c r="Z345" s="193"/>
      <c r="AB345" s="193"/>
      <c r="AC345" s="193"/>
      <c r="AD345" s="193"/>
      <c r="AE345" s="193"/>
      <c r="AF345" s="193"/>
    </row>
    <row r="346" hidden="1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S346" s="193"/>
      <c r="T346" s="193"/>
      <c r="U346" s="193"/>
      <c r="V346" s="193"/>
      <c r="W346" s="193"/>
      <c r="X346" s="193"/>
      <c r="Y346" s="193"/>
      <c r="Z346" s="193"/>
      <c r="AB346" s="193"/>
      <c r="AC346" s="193"/>
      <c r="AD346" s="193"/>
      <c r="AE346" s="193"/>
      <c r="AF346" s="193"/>
    </row>
    <row r="347" hidden="1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T347" s="193"/>
      <c r="U347" s="193"/>
      <c r="V347" s="193"/>
      <c r="W347" s="193"/>
      <c r="X347" s="193"/>
      <c r="Y347" s="193"/>
      <c r="Z347" s="193"/>
      <c r="AB347" s="193"/>
      <c r="AC347" s="193"/>
      <c r="AD347" s="193"/>
      <c r="AE347" s="193"/>
      <c r="AF347" s="193"/>
    </row>
    <row r="348" hidden="1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O348" s="193"/>
      <c r="P348" s="193"/>
      <c r="Q348" s="193"/>
      <c r="S348" s="193"/>
      <c r="T348" s="193"/>
      <c r="U348" s="193"/>
      <c r="V348" s="193"/>
      <c r="W348" s="193"/>
      <c r="X348" s="193"/>
      <c r="Y348" s="193"/>
      <c r="Z348" s="193"/>
      <c r="AB348" s="193"/>
      <c r="AC348" s="193"/>
      <c r="AD348" s="193"/>
      <c r="AE348" s="193"/>
      <c r="AF348" s="193"/>
    </row>
    <row r="349" hidden="1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O349" s="193"/>
      <c r="P349" s="193"/>
      <c r="Q349" s="193"/>
      <c r="S349" s="193"/>
      <c r="T349" s="193"/>
      <c r="U349" s="193"/>
      <c r="V349" s="193"/>
      <c r="W349" s="193"/>
      <c r="X349" s="193"/>
      <c r="Y349" s="193"/>
      <c r="Z349" s="193"/>
      <c r="AB349" s="193"/>
      <c r="AC349" s="193"/>
      <c r="AD349" s="193"/>
      <c r="AE349" s="193"/>
      <c r="AF349" s="193"/>
    </row>
    <row r="350" hidden="1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O350" s="193"/>
      <c r="P350" s="193"/>
      <c r="Q350" s="193"/>
      <c r="S350" s="193"/>
      <c r="T350" s="193"/>
      <c r="U350" s="193"/>
      <c r="V350" s="193"/>
      <c r="W350" s="193"/>
      <c r="X350" s="193"/>
      <c r="Y350" s="193"/>
      <c r="Z350" s="193"/>
      <c r="AB350" s="193"/>
      <c r="AC350" s="193"/>
      <c r="AD350" s="193"/>
      <c r="AE350" s="193"/>
      <c r="AF350" s="193"/>
    </row>
    <row r="351" hidden="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  <c r="AC351" s="193"/>
      <c r="AD351" s="193"/>
      <c r="AE351" s="193"/>
      <c r="AF351" s="193"/>
    </row>
    <row r="352" hidden="1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O352" s="193"/>
      <c r="P352" s="193"/>
      <c r="Q352" s="193"/>
      <c r="S352" s="193"/>
      <c r="T352" s="193"/>
      <c r="U352" s="193"/>
      <c r="V352" s="193"/>
      <c r="W352" s="193"/>
      <c r="X352" s="193"/>
      <c r="Y352" s="193"/>
      <c r="Z352" s="193"/>
      <c r="AB352" s="193"/>
      <c r="AC352" s="193"/>
      <c r="AD352" s="193"/>
      <c r="AE352" s="193"/>
      <c r="AF352" s="193"/>
    </row>
    <row r="353" hidden="1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T353" s="193"/>
      <c r="U353" s="193"/>
      <c r="V353" s="193"/>
      <c r="W353" s="193"/>
      <c r="X353" s="193"/>
      <c r="Y353" s="193"/>
      <c r="Z353" s="193"/>
      <c r="AB353" s="193"/>
      <c r="AC353" s="193"/>
      <c r="AD353" s="193"/>
      <c r="AE353" s="193"/>
      <c r="AF353" s="193"/>
    </row>
    <row r="354" hidden="1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T354" s="193"/>
      <c r="U354" s="193"/>
      <c r="V354" s="193"/>
      <c r="W354" s="193"/>
      <c r="X354" s="193"/>
      <c r="Y354" s="193"/>
      <c r="Z354" s="193"/>
      <c r="AB354" s="193"/>
      <c r="AC354" s="193"/>
      <c r="AD354" s="193"/>
      <c r="AE354" s="193"/>
      <c r="AF354" s="193"/>
    </row>
    <row r="355" hidden="1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O355" s="193"/>
      <c r="P355" s="193"/>
      <c r="Q355" s="193"/>
      <c r="S355" s="193"/>
      <c r="T355" s="193"/>
      <c r="U355" s="193"/>
      <c r="V355" s="193"/>
      <c r="W355" s="193"/>
      <c r="X355" s="193"/>
      <c r="Y355" s="193"/>
      <c r="Z355" s="193"/>
      <c r="AB355" s="193"/>
      <c r="AC355" s="193"/>
      <c r="AD355" s="193"/>
      <c r="AE355" s="193"/>
      <c r="AF355" s="193"/>
    </row>
    <row r="356" hidden="1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O356" s="193"/>
      <c r="P356" s="193"/>
      <c r="Q356" s="193"/>
      <c r="S356" s="193"/>
      <c r="T356" s="193"/>
      <c r="U356" s="193"/>
      <c r="V356" s="193"/>
      <c r="W356" s="193"/>
      <c r="X356" s="193"/>
      <c r="Y356" s="193"/>
      <c r="Z356" s="193"/>
      <c r="AB356" s="193"/>
      <c r="AC356" s="193"/>
      <c r="AD356" s="193"/>
      <c r="AE356" s="193"/>
      <c r="AF356" s="193"/>
    </row>
    <row r="357" hidden="1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  <c r="AC357" s="193"/>
      <c r="AD357" s="193"/>
      <c r="AE357" s="193"/>
      <c r="AF357" s="193"/>
    </row>
    <row r="358" hidden="1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S358" s="193"/>
      <c r="T358" s="193"/>
      <c r="U358" s="193"/>
      <c r="V358" s="193"/>
      <c r="W358" s="193"/>
      <c r="X358" s="193"/>
      <c r="Y358" s="193"/>
      <c r="Z358" s="193"/>
      <c r="AB358" s="193"/>
      <c r="AC358" s="193"/>
      <c r="AD358" s="193"/>
      <c r="AE358" s="193"/>
      <c r="AF358" s="193"/>
    </row>
    <row r="359" hidden="1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S359" s="193"/>
      <c r="T359" s="193"/>
      <c r="U359" s="193"/>
      <c r="V359" s="193"/>
      <c r="W359" s="193"/>
      <c r="X359" s="193"/>
      <c r="Y359" s="193"/>
      <c r="Z359" s="193"/>
      <c r="AB359" s="193"/>
      <c r="AC359" s="193"/>
      <c r="AD359" s="193"/>
      <c r="AE359" s="193"/>
      <c r="AF359" s="193"/>
    </row>
    <row r="360" hidden="1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O360" s="193"/>
      <c r="P360" s="193"/>
      <c r="Q360" s="193"/>
      <c r="S360" s="193"/>
      <c r="T360" s="193"/>
      <c r="U360" s="193"/>
      <c r="V360" s="193"/>
      <c r="W360" s="193"/>
      <c r="X360" s="193"/>
      <c r="Y360" s="193"/>
      <c r="Z360" s="193"/>
      <c r="AB360" s="193"/>
      <c r="AC360" s="193"/>
      <c r="AD360" s="193"/>
      <c r="AE360" s="193"/>
      <c r="AF360" s="193"/>
    </row>
    <row r="361" hidden="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T361" s="193"/>
      <c r="U361" s="193"/>
      <c r="V361" s="193"/>
      <c r="W361" s="193"/>
      <c r="X361" s="193"/>
      <c r="Y361" s="193"/>
      <c r="Z361" s="193"/>
      <c r="AB361" s="193"/>
      <c r="AC361" s="193"/>
      <c r="AD361" s="193"/>
      <c r="AE361" s="193"/>
      <c r="AF361" s="193"/>
    </row>
    <row r="362" hidden="1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O362" s="193"/>
      <c r="P362" s="193"/>
      <c r="Q362" s="193"/>
      <c r="S362" s="193"/>
      <c r="T362" s="193"/>
      <c r="U362" s="193"/>
      <c r="V362" s="193"/>
      <c r="W362" s="193"/>
      <c r="X362" s="193"/>
      <c r="Y362" s="193"/>
      <c r="Z362" s="193"/>
      <c r="AB362" s="193"/>
      <c r="AC362" s="193"/>
      <c r="AD362" s="193"/>
      <c r="AE362" s="193"/>
      <c r="AF362" s="193"/>
    </row>
    <row r="363" hidden="1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O363" s="193"/>
      <c r="P363" s="193"/>
      <c r="Q363" s="193"/>
      <c r="S363" s="193"/>
      <c r="T363" s="193"/>
      <c r="U363" s="193"/>
      <c r="V363" s="193"/>
      <c r="W363" s="193"/>
      <c r="X363" s="193"/>
      <c r="Y363" s="193"/>
      <c r="Z363" s="193"/>
      <c r="AB363" s="193"/>
      <c r="AC363" s="193"/>
      <c r="AD363" s="193"/>
      <c r="AE363" s="193"/>
      <c r="AF363" s="193"/>
    </row>
    <row r="364" hidden="1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O364" s="193"/>
      <c r="P364" s="193"/>
      <c r="Q364" s="193"/>
      <c r="S364" s="193"/>
      <c r="T364" s="193"/>
      <c r="U364" s="193"/>
      <c r="V364" s="193"/>
      <c r="W364" s="193"/>
      <c r="X364" s="193"/>
      <c r="Y364" s="193"/>
      <c r="Z364" s="193"/>
      <c r="AB364" s="193"/>
      <c r="AC364" s="193"/>
      <c r="AD364" s="193"/>
      <c r="AE364" s="193"/>
      <c r="AF364" s="193"/>
    </row>
    <row r="365" hidden="1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  <c r="AC365" s="193"/>
      <c r="AD365" s="193"/>
      <c r="AE365" s="193"/>
      <c r="AF365" s="193"/>
    </row>
    <row r="366" hidden="1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O366" s="193"/>
      <c r="P366" s="193"/>
      <c r="Q366" s="193"/>
      <c r="S366" s="193"/>
      <c r="T366" s="193"/>
      <c r="U366" s="193"/>
      <c r="V366" s="193"/>
      <c r="W366" s="193"/>
      <c r="X366" s="193"/>
      <c r="Y366" s="193"/>
      <c r="Z366" s="193"/>
      <c r="AB366" s="193"/>
      <c r="AC366" s="193"/>
      <c r="AD366" s="193"/>
      <c r="AE366" s="193"/>
      <c r="AF366" s="193"/>
    </row>
    <row r="367" hidden="1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O367" s="193"/>
      <c r="P367" s="193"/>
      <c r="Q367" s="193"/>
      <c r="S367" s="193"/>
      <c r="T367" s="193"/>
      <c r="U367" s="193"/>
      <c r="V367" s="193"/>
      <c r="W367" s="193"/>
      <c r="X367" s="193"/>
      <c r="Y367" s="193"/>
      <c r="Z367" s="193"/>
      <c r="AB367" s="193"/>
      <c r="AC367" s="193"/>
      <c r="AD367" s="193"/>
      <c r="AE367" s="193"/>
      <c r="AF367" s="193"/>
    </row>
    <row r="368" hidden="1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T368" s="193"/>
      <c r="U368" s="193"/>
      <c r="V368" s="193"/>
      <c r="W368" s="193"/>
      <c r="X368" s="193"/>
      <c r="Y368" s="193"/>
      <c r="Z368" s="193"/>
      <c r="AB368" s="193"/>
      <c r="AC368" s="193"/>
      <c r="AD368" s="193"/>
      <c r="AE368" s="193"/>
      <c r="AF368" s="193"/>
    </row>
    <row r="369" hidden="1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T369" s="193"/>
      <c r="U369" s="193"/>
      <c r="V369" s="193"/>
      <c r="W369" s="193"/>
      <c r="X369" s="193"/>
      <c r="Y369" s="193"/>
      <c r="Z369" s="193"/>
      <c r="AB369" s="193"/>
      <c r="AC369" s="193"/>
      <c r="AD369" s="193"/>
      <c r="AE369" s="193"/>
      <c r="AF369" s="193"/>
    </row>
    <row r="370" hidden="1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O370" s="193"/>
      <c r="P370" s="193"/>
      <c r="Q370" s="193"/>
      <c r="S370" s="193"/>
      <c r="T370" s="193"/>
      <c r="U370" s="193"/>
      <c r="V370" s="193"/>
      <c r="W370" s="193"/>
      <c r="X370" s="193"/>
      <c r="Y370" s="193"/>
      <c r="Z370" s="193"/>
      <c r="AB370" s="193"/>
      <c r="AC370" s="193"/>
      <c r="AD370" s="193"/>
      <c r="AE370" s="193"/>
      <c r="AF370" s="193"/>
    </row>
    <row r="371" hidden="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S371" s="193"/>
      <c r="T371" s="193"/>
      <c r="U371" s="193"/>
      <c r="V371" s="193"/>
      <c r="W371" s="193"/>
      <c r="X371" s="193"/>
      <c r="Y371" s="193"/>
      <c r="Z371" s="193"/>
      <c r="AB371" s="193"/>
      <c r="AC371" s="193"/>
      <c r="AD371" s="193"/>
      <c r="AE371" s="193"/>
      <c r="AF371" s="193"/>
    </row>
    <row r="372" hidden="1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T372" s="193"/>
      <c r="U372" s="193"/>
      <c r="V372" s="193"/>
      <c r="W372" s="193"/>
      <c r="X372" s="193"/>
      <c r="Y372" s="193"/>
      <c r="Z372" s="193"/>
      <c r="AB372" s="193"/>
      <c r="AC372" s="193"/>
      <c r="AD372" s="193"/>
      <c r="AE372" s="193"/>
      <c r="AF372" s="193"/>
    </row>
    <row r="373" hidden="1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S373" s="193"/>
      <c r="T373" s="193"/>
      <c r="U373" s="193"/>
      <c r="V373" s="193"/>
      <c r="W373" s="193"/>
      <c r="X373" s="193"/>
      <c r="Y373" s="193"/>
      <c r="Z373" s="193"/>
      <c r="AB373" s="193"/>
      <c r="AC373" s="193"/>
      <c r="AD373" s="193"/>
      <c r="AE373" s="193"/>
      <c r="AF373" s="193"/>
    </row>
    <row r="374" hidden="1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O374" s="193"/>
      <c r="P374" s="193"/>
      <c r="Q374" s="193"/>
      <c r="S374" s="193"/>
      <c r="T374" s="193"/>
      <c r="U374" s="193"/>
      <c r="V374" s="193"/>
      <c r="W374" s="193"/>
      <c r="X374" s="193"/>
      <c r="Y374" s="193"/>
      <c r="Z374" s="193"/>
      <c r="AB374" s="193"/>
      <c r="AC374" s="193"/>
      <c r="AD374" s="193"/>
      <c r="AE374" s="193"/>
      <c r="AF374" s="193"/>
    </row>
    <row r="375" hidden="1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O375" s="193"/>
      <c r="P375" s="193"/>
      <c r="Q375" s="193"/>
      <c r="S375" s="193"/>
      <c r="T375" s="193"/>
      <c r="U375" s="193"/>
      <c r="V375" s="193"/>
      <c r="W375" s="193"/>
      <c r="X375" s="193"/>
      <c r="Y375" s="193"/>
      <c r="Z375" s="193"/>
      <c r="AB375" s="193"/>
      <c r="AC375" s="193"/>
      <c r="AD375" s="193"/>
      <c r="AE375" s="193"/>
      <c r="AF375" s="193"/>
    </row>
    <row r="376" hidden="1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  <c r="AC376" s="193"/>
      <c r="AD376" s="193"/>
      <c r="AE376" s="193"/>
      <c r="AF376" s="193"/>
    </row>
    <row r="377" hidden="1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O377" s="193"/>
      <c r="P377" s="193"/>
      <c r="Q377" s="193"/>
      <c r="S377" s="193"/>
      <c r="T377" s="193"/>
      <c r="U377" s="193"/>
      <c r="V377" s="193"/>
      <c r="W377" s="193"/>
      <c r="X377" s="193"/>
      <c r="Y377" s="193"/>
      <c r="Z377" s="193"/>
      <c r="AB377" s="193"/>
      <c r="AC377" s="193"/>
      <c r="AD377" s="193"/>
      <c r="AE377" s="193"/>
      <c r="AF377" s="193"/>
    </row>
    <row r="378" hidden="1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O378" s="193"/>
      <c r="P378" s="193"/>
      <c r="Q378" s="193"/>
      <c r="S378" s="193"/>
      <c r="T378" s="193"/>
      <c r="U378" s="193"/>
      <c r="V378" s="193"/>
      <c r="W378" s="193"/>
      <c r="X378" s="193"/>
      <c r="Y378" s="193"/>
      <c r="Z378" s="193"/>
      <c r="AB378" s="193"/>
      <c r="AC378" s="193"/>
      <c r="AD378" s="193"/>
      <c r="AE378" s="193"/>
      <c r="AF378" s="193"/>
    </row>
    <row r="379" hidden="1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  <c r="AC379" s="193"/>
      <c r="AD379" s="193"/>
      <c r="AE379" s="193"/>
      <c r="AF379" s="193"/>
    </row>
    <row r="380" hidden="1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  <c r="AC380" s="193"/>
      <c r="AD380" s="193"/>
      <c r="AE380" s="193"/>
      <c r="AF380" s="193"/>
    </row>
    <row r="381" hidden="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O381" s="193"/>
      <c r="P381" s="193"/>
      <c r="Q381" s="193"/>
      <c r="S381" s="193"/>
      <c r="T381" s="193"/>
      <c r="U381" s="193"/>
      <c r="V381" s="193"/>
      <c r="W381" s="193"/>
      <c r="X381" s="193"/>
      <c r="Y381" s="193"/>
      <c r="Z381" s="193"/>
      <c r="AB381" s="193"/>
      <c r="AC381" s="193"/>
      <c r="AD381" s="193"/>
      <c r="AE381" s="193"/>
      <c r="AF381" s="193"/>
    </row>
    <row r="382" hidden="1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  <c r="AC382" s="193"/>
      <c r="AD382" s="193"/>
      <c r="AE382" s="193"/>
      <c r="AF382" s="193"/>
    </row>
    <row r="383" hidden="1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O383" s="193"/>
      <c r="P383" s="193"/>
      <c r="Q383" s="193"/>
      <c r="S383" s="193"/>
      <c r="T383" s="193"/>
      <c r="U383" s="193"/>
      <c r="V383" s="193"/>
      <c r="W383" s="193"/>
      <c r="X383" s="193"/>
      <c r="Y383" s="193"/>
      <c r="Z383" s="193"/>
      <c r="AB383" s="193"/>
      <c r="AC383" s="193"/>
      <c r="AD383" s="193"/>
      <c r="AE383" s="193"/>
      <c r="AF383" s="193"/>
    </row>
    <row r="384" hidden="1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O384" s="193"/>
      <c r="P384" s="193"/>
      <c r="Q384" s="193"/>
      <c r="S384" s="193"/>
      <c r="T384" s="193"/>
      <c r="U384" s="193"/>
      <c r="V384" s="193"/>
      <c r="W384" s="193"/>
      <c r="X384" s="193"/>
      <c r="Y384" s="193"/>
      <c r="Z384" s="193"/>
      <c r="AB384" s="193"/>
      <c r="AC384" s="193"/>
      <c r="AD384" s="193"/>
      <c r="AE384" s="193"/>
      <c r="AF384" s="193"/>
    </row>
    <row r="385" hidden="1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O385" s="193"/>
      <c r="P385" s="193"/>
      <c r="Q385" s="193"/>
      <c r="S385" s="193"/>
      <c r="T385" s="193"/>
      <c r="U385" s="193"/>
      <c r="V385" s="193"/>
      <c r="W385" s="193"/>
      <c r="X385" s="193"/>
      <c r="Y385" s="193"/>
      <c r="Z385" s="193"/>
      <c r="AB385" s="193"/>
      <c r="AC385" s="193"/>
      <c r="AD385" s="193"/>
      <c r="AE385" s="193"/>
      <c r="AF385" s="193"/>
    </row>
    <row r="386" hidden="1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O386" s="193"/>
      <c r="P386" s="193"/>
      <c r="Q386" s="193"/>
      <c r="S386" s="193"/>
      <c r="T386" s="193"/>
      <c r="U386" s="193"/>
      <c r="V386" s="193"/>
      <c r="W386" s="193"/>
      <c r="X386" s="193"/>
      <c r="Y386" s="193"/>
      <c r="Z386" s="193"/>
      <c r="AB386" s="193"/>
      <c r="AC386" s="193"/>
      <c r="AD386" s="193"/>
      <c r="AE386" s="193"/>
      <c r="AF386" s="193"/>
    </row>
    <row r="387" hidden="1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T387" s="193"/>
      <c r="U387" s="193"/>
      <c r="V387" s="193"/>
      <c r="W387" s="193"/>
      <c r="X387" s="193"/>
      <c r="Y387" s="193"/>
      <c r="Z387" s="193"/>
      <c r="AB387" s="193"/>
      <c r="AC387" s="193"/>
      <c r="AD387" s="193"/>
      <c r="AE387" s="193"/>
      <c r="AF387" s="193"/>
    </row>
    <row r="388" hidden="1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T388" s="193"/>
      <c r="U388" s="193"/>
      <c r="V388" s="193"/>
      <c r="W388" s="193"/>
      <c r="X388" s="193"/>
      <c r="Y388" s="193"/>
      <c r="Z388" s="193"/>
      <c r="AB388" s="193"/>
      <c r="AC388" s="193"/>
      <c r="AD388" s="193"/>
      <c r="AE388" s="193"/>
      <c r="AF388" s="193"/>
    </row>
    <row r="389" hidden="1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O389" s="193"/>
      <c r="P389" s="193"/>
      <c r="Q389" s="193"/>
      <c r="S389" s="193"/>
      <c r="T389" s="193"/>
      <c r="U389" s="193"/>
      <c r="V389" s="193"/>
      <c r="W389" s="193"/>
      <c r="X389" s="193"/>
      <c r="Y389" s="193"/>
      <c r="Z389" s="193"/>
      <c r="AB389" s="193"/>
      <c r="AC389" s="193"/>
      <c r="AD389" s="193"/>
      <c r="AE389" s="193"/>
      <c r="AF389" s="193"/>
    </row>
    <row r="390" hidden="1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O390" s="193"/>
      <c r="P390" s="193"/>
      <c r="Q390" s="193"/>
      <c r="S390" s="193"/>
      <c r="T390" s="193"/>
      <c r="U390" s="193"/>
      <c r="V390" s="193"/>
      <c r="W390" s="193"/>
      <c r="X390" s="193"/>
      <c r="Y390" s="193"/>
      <c r="Z390" s="193"/>
      <c r="AB390" s="193"/>
      <c r="AC390" s="193"/>
      <c r="AD390" s="193"/>
      <c r="AE390" s="193"/>
      <c r="AF390" s="193"/>
    </row>
    <row r="391" hidden="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O391" s="193"/>
      <c r="P391" s="193"/>
      <c r="Q391" s="193"/>
      <c r="S391" s="193"/>
      <c r="T391" s="193"/>
      <c r="U391" s="193"/>
      <c r="V391" s="193"/>
      <c r="W391" s="193"/>
      <c r="X391" s="193"/>
      <c r="Y391" s="193"/>
      <c r="Z391" s="193"/>
      <c r="AB391" s="193"/>
      <c r="AC391" s="193"/>
      <c r="AD391" s="193"/>
      <c r="AE391" s="193"/>
      <c r="AF391" s="193"/>
    </row>
    <row r="392" hidden="1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O392" s="193"/>
      <c r="P392" s="193"/>
      <c r="Q392" s="193"/>
      <c r="S392" s="193"/>
      <c r="T392" s="193"/>
      <c r="U392" s="193"/>
      <c r="V392" s="193"/>
      <c r="W392" s="193"/>
      <c r="X392" s="193"/>
      <c r="Y392" s="193"/>
      <c r="Z392" s="193"/>
      <c r="AB392" s="193"/>
      <c r="AC392" s="193"/>
      <c r="AD392" s="193"/>
      <c r="AE392" s="193"/>
      <c r="AF392" s="193"/>
    </row>
    <row r="393" hidden="1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O393" s="193"/>
      <c r="P393" s="193"/>
      <c r="Q393" s="193"/>
      <c r="S393" s="193"/>
      <c r="T393" s="193"/>
      <c r="U393" s="193"/>
      <c r="V393" s="193"/>
      <c r="W393" s="193"/>
      <c r="X393" s="193"/>
      <c r="Y393" s="193"/>
      <c r="Z393" s="193"/>
      <c r="AB393" s="193"/>
      <c r="AC393" s="193"/>
      <c r="AD393" s="193"/>
      <c r="AE393" s="193"/>
      <c r="AF393" s="193"/>
    </row>
    <row r="394" hidden="1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S394" s="193"/>
      <c r="T394" s="193"/>
      <c r="U394" s="193"/>
      <c r="V394" s="193"/>
      <c r="W394" s="193"/>
      <c r="X394" s="193"/>
      <c r="Y394" s="193"/>
      <c r="Z394" s="193"/>
      <c r="AB394" s="193"/>
      <c r="AC394" s="193"/>
      <c r="AD394" s="193"/>
      <c r="AE394" s="193"/>
      <c r="AF394" s="193"/>
    </row>
    <row r="395" hidden="1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  <c r="AC395" s="193"/>
      <c r="AD395" s="193"/>
      <c r="AE395" s="193"/>
      <c r="AF395" s="193"/>
    </row>
    <row r="396" hidden="1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T396" s="193"/>
      <c r="U396" s="193"/>
      <c r="V396" s="193"/>
      <c r="W396" s="193"/>
      <c r="X396" s="193"/>
      <c r="Y396" s="193"/>
      <c r="Z396" s="193"/>
      <c r="AB396" s="193"/>
      <c r="AC396" s="193"/>
      <c r="AD396" s="193"/>
      <c r="AE396" s="193"/>
      <c r="AF396" s="193"/>
    </row>
    <row r="397" hidden="1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O397" s="193"/>
      <c r="P397" s="193"/>
      <c r="Q397" s="193"/>
      <c r="S397" s="193"/>
      <c r="T397" s="193"/>
      <c r="U397" s="193"/>
      <c r="V397" s="193"/>
      <c r="W397" s="193"/>
      <c r="X397" s="193"/>
      <c r="Y397" s="193"/>
      <c r="Z397" s="193"/>
      <c r="AB397" s="193"/>
      <c r="AC397" s="193"/>
      <c r="AD397" s="193"/>
      <c r="AE397" s="193"/>
      <c r="AF397" s="193"/>
    </row>
    <row r="398" hidden="1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  <c r="AC398" s="193"/>
      <c r="AD398" s="193"/>
      <c r="AE398" s="193"/>
      <c r="AF398" s="193"/>
    </row>
    <row r="399" hidden="1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  <c r="AC399" s="193"/>
      <c r="AD399" s="193"/>
      <c r="AE399" s="193"/>
      <c r="AF399" s="193"/>
    </row>
    <row r="400" hidden="1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O400" s="193"/>
      <c r="P400" s="193"/>
      <c r="Q400" s="193"/>
      <c r="S400" s="193"/>
      <c r="T400" s="193"/>
      <c r="U400" s="193"/>
      <c r="V400" s="193"/>
      <c r="W400" s="193"/>
      <c r="X400" s="193"/>
      <c r="Y400" s="193"/>
      <c r="Z400" s="193"/>
      <c r="AB400" s="193"/>
      <c r="AC400" s="193"/>
      <c r="AD400" s="193"/>
      <c r="AE400" s="193"/>
      <c r="AF400" s="193"/>
    </row>
    <row r="401" hidden="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O401" s="193"/>
      <c r="P401" s="193"/>
      <c r="Q401" s="193"/>
      <c r="S401" s="193"/>
      <c r="T401" s="193"/>
      <c r="U401" s="193"/>
      <c r="V401" s="193"/>
      <c r="W401" s="193"/>
      <c r="X401" s="193"/>
      <c r="Y401" s="193"/>
      <c r="Z401" s="193"/>
      <c r="AB401" s="193"/>
      <c r="AC401" s="193"/>
      <c r="AD401" s="193"/>
      <c r="AE401" s="193"/>
      <c r="AF401" s="193"/>
    </row>
    <row r="402" hidden="1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T402" s="193"/>
      <c r="U402" s="193"/>
      <c r="V402" s="193"/>
      <c r="W402" s="193"/>
      <c r="X402" s="193"/>
      <c r="Y402" s="193"/>
      <c r="Z402" s="193"/>
      <c r="AB402" s="193"/>
      <c r="AC402" s="193"/>
      <c r="AD402" s="193"/>
      <c r="AE402" s="193"/>
      <c r="AF402" s="193"/>
    </row>
    <row r="403" hidden="1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  <c r="AC403" s="193"/>
      <c r="AD403" s="193"/>
      <c r="AE403" s="193"/>
      <c r="AF403" s="193"/>
    </row>
    <row r="404" hidden="1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T404" s="193"/>
      <c r="U404" s="193"/>
      <c r="V404" s="193"/>
      <c r="W404" s="193"/>
      <c r="X404" s="193"/>
      <c r="Y404" s="193"/>
      <c r="Z404" s="193"/>
      <c r="AB404" s="193"/>
      <c r="AC404" s="193"/>
      <c r="AD404" s="193"/>
      <c r="AE404" s="193"/>
      <c r="AF404" s="193"/>
    </row>
    <row r="405" hidden="1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T405" s="193"/>
      <c r="U405" s="193"/>
      <c r="V405" s="193"/>
      <c r="W405" s="193"/>
      <c r="X405" s="193"/>
      <c r="Y405" s="193"/>
      <c r="Z405" s="193"/>
      <c r="AB405" s="193"/>
      <c r="AC405" s="193"/>
      <c r="AD405" s="193"/>
      <c r="AE405" s="193"/>
      <c r="AF405" s="193"/>
    </row>
    <row r="406" hidden="1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O406" s="193"/>
      <c r="P406" s="193"/>
      <c r="Q406" s="193"/>
      <c r="S406" s="193"/>
      <c r="T406" s="193"/>
      <c r="U406" s="193"/>
      <c r="V406" s="193"/>
      <c r="W406" s="193"/>
      <c r="X406" s="193"/>
      <c r="Y406" s="193"/>
      <c r="Z406" s="193"/>
      <c r="AB406" s="193"/>
      <c r="AC406" s="193"/>
      <c r="AD406" s="193"/>
      <c r="AE406" s="193"/>
      <c r="AF406" s="193"/>
    </row>
    <row r="407" hidden="1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  <c r="AC407" s="193"/>
      <c r="AD407" s="193"/>
      <c r="AE407" s="193"/>
      <c r="AF407" s="193"/>
    </row>
    <row r="408" hidden="1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T408" s="193"/>
      <c r="U408" s="193"/>
      <c r="V408" s="193"/>
      <c r="W408" s="193"/>
      <c r="X408" s="193"/>
      <c r="Y408" s="193"/>
      <c r="Z408" s="193"/>
      <c r="AB408" s="193"/>
      <c r="AC408" s="193"/>
      <c r="AD408" s="193"/>
      <c r="AE408" s="193"/>
      <c r="AF408" s="193"/>
    </row>
    <row r="409" hidden="1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O409" s="193"/>
      <c r="P409" s="193"/>
      <c r="Q409" s="193"/>
      <c r="S409" s="193"/>
      <c r="T409" s="193"/>
      <c r="U409" s="193"/>
      <c r="V409" s="193"/>
      <c r="W409" s="193"/>
      <c r="X409" s="193"/>
      <c r="Y409" s="193"/>
      <c r="Z409" s="193"/>
      <c r="AB409" s="193"/>
      <c r="AC409" s="193"/>
      <c r="AD409" s="193"/>
      <c r="AE409" s="193"/>
      <c r="AF409" s="193"/>
    </row>
    <row r="410" hidden="1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T410" s="193"/>
      <c r="U410" s="193"/>
      <c r="V410" s="193"/>
      <c r="W410" s="193"/>
      <c r="X410" s="193"/>
      <c r="Y410" s="193"/>
      <c r="Z410" s="193"/>
      <c r="AB410" s="193"/>
      <c r="AC410" s="193"/>
      <c r="AD410" s="193"/>
      <c r="AE410" s="193"/>
      <c r="AF410" s="193"/>
    </row>
    <row r="411" hidden="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O411" s="193"/>
      <c r="P411" s="193"/>
      <c r="Q411" s="193"/>
      <c r="S411" s="193"/>
      <c r="T411" s="193"/>
      <c r="U411" s="193"/>
      <c r="V411" s="193"/>
      <c r="W411" s="193"/>
      <c r="X411" s="193"/>
      <c r="Y411" s="193"/>
      <c r="Z411" s="193"/>
      <c r="AB411" s="193"/>
      <c r="AC411" s="193"/>
      <c r="AD411" s="193"/>
      <c r="AE411" s="193"/>
      <c r="AF411" s="193"/>
    </row>
    <row r="412" hidden="1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O412" s="193"/>
      <c r="P412" s="193"/>
      <c r="Q412" s="193"/>
      <c r="S412" s="193"/>
      <c r="T412" s="193"/>
      <c r="U412" s="193"/>
      <c r="V412" s="193"/>
      <c r="W412" s="193"/>
      <c r="X412" s="193"/>
      <c r="Y412" s="193"/>
      <c r="Z412" s="193"/>
      <c r="AB412" s="193"/>
      <c r="AC412" s="193"/>
      <c r="AD412" s="193"/>
      <c r="AE412" s="193"/>
      <c r="AF412" s="193"/>
    </row>
    <row r="413" hidden="1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O413" s="193"/>
      <c r="P413" s="193"/>
      <c r="Q413" s="193"/>
      <c r="S413" s="193"/>
      <c r="T413" s="193"/>
      <c r="U413" s="193"/>
      <c r="V413" s="193"/>
      <c r="W413" s="193"/>
      <c r="X413" s="193"/>
      <c r="Y413" s="193"/>
      <c r="Z413" s="193"/>
      <c r="AB413" s="193"/>
      <c r="AC413" s="193"/>
      <c r="AD413" s="193"/>
      <c r="AE413" s="193"/>
      <c r="AF413" s="193"/>
    </row>
    <row r="414" hidden="1">
      <c r="A414" s="193"/>
      <c r="B414" s="193"/>
      <c r="C414" s="195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O414" s="193"/>
      <c r="P414" s="193"/>
      <c r="Q414" s="193"/>
      <c r="S414" s="193"/>
      <c r="T414" s="193"/>
      <c r="U414" s="193"/>
      <c r="V414" s="193"/>
      <c r="W414" s="193"/>
      <c r="X414" s="193"/>
      <c r="Y414" s="193"/>
      <c r="Z414" s="193"/>
      <c r="AB414" s="193"/>
      <c r="AC414" s="193"/>
      <c r="AD414" s="193"/>
      <c r="AE414" s="193"/>
      <c r="AF414" s="193"/>
    </row>
    <row r="415" hidden="1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O415" s="193"/>
      <c r="P415" s="193"/>
      <c r="Q415" s="193"/>
      <c r="S415" s="193"/>
      <c r="T415" s="193"/>
      <c r="U415" s="193"/>
      <c r="V415" s="193"/>
      <c r="W415" s="193"/>
      <c r="X415" s="193"/>
      <c r="Y415" s="193"/>
      <c r="Z415" s="193"/>
      <c r="AB415" s="193"/>
      <c r="AC415" s="193"/>
      <c r="AD415" s="193"/>
      <c r="AE415" s="193"/>
      <c r="AF415" s="193"/>
    </row>
    <row r="416" hidden="1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S416" s="193"/>
      <c r="T416" s="193"/>
      <c r="U416" s="193"/>
      <c r="V416" s="193"/>
      <c r="W416" s="193"/>
      <c r="X416" s="193"/>
      <c r="Y416" s="193"/>
      <c r="Z416" s="193"/>
      <c r="AB416" s="193"/>
      <c r="AC416" s="193"/>
      <c r="AD416" s="193"/>
      <c r="AE416" s="193"/>
      <c r="AF416" s="193"/>
    </row>
    <row r="417" hidden="1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O417" s="193"/>
      <c r="P417" s="193"/>
      <c r="Q417" s="193"/>
      <c r="S417" s="193"/>
      <c r="T417" s="193"/>
      <c r="U417" s="193"/>
      <c r="V417" s="193"/>
      <c r="W417" s="193"/>
      <c r="X417" s="193"/>
      <c r="Y417" s="193"/>
      <c r="Z417" s="193"/>
      <c r="AB417" s="193"/>
      <c r="AC417" s="193"/>
      <c r="AD417" s="193"/>
      <c r="AE417" s="193"/>
      <c r="AF417" s="193"/>
    </row>
    <row r="418" hidden="1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  <c r="AC418" s="193"/>
      <c r="AD418" s="193"/>
      <c r="AE418" s="193"/>
      <c r="AF418" s="193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""Mzdy!ac1:ad200"")"),31.0)</f>
        <v>31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2007</v>
      </c>
      <c r="B4" s="200" t="s">
        <v>2008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IFERROR(__xludf.DUMMYFUNCTION("""COMPUTED_VALUE"""),2789.082580645161)</f>
        <v>2789.082581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IFERROR(__xludf.DUMMYFUNCTION("""COMPUTED_VALUE"""),2789.082580645161)</f>
        <v>2789.082581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IFERROR(__xludf.DUMMYFUNCTION("""COMPUTED_VALUE"""),2201.2258064516127)</f>
        <v>2201.225806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IFERROR(__xludf.DUMMYFUNCTION("""COMPUTED_VALUE"""),"Chodov")</f>
        <v>Chodov</v>
      </c>
      <c r="H8" s="196" t="str">
        <f>IFERROR(__xludf.DUMMYFUNCTION("""COMPUTED_VALUE"""),"Prosek")</f>
        <v>Prosek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IFERROR(__xludf.DUMMYFUNCTION("""COMPUTED_VALUE"""),2789.082580645161)</f>
        <v>2789.082581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IFERROR(__xludf.DUMMYFUNCTION("""COMPUTED_VALUE"""),2201.2258064516127)</f>
        <v>2201.225806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IFERROR(__xludf.DUMMYFUNCTION("""COMPUTED_VALUE"""),2789.082580645161)</f>
        <v>2789.082581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>Veselý Ondřej</v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IFERROR(__xludf.DUMMYFUNCTION("""COMPUTED_VALUE"""),2201.2258064516127)</f>
        <v>2201.225806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>Kinkorová Petra</v>
      </c>
      <c r="B15" s="201" t="str">
        <f>IF(OR(E15=Report!$B$1, F15=Report!$B$1, G15=Report!$B$1, H15=Report!$B$1), D15, "")</f>
        <v>Kinkorová Petra</v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IFERROR(__xludf.DUMMYFUNCTION("""COMPUTED_VALUE"""),"Zličín")</f>
        <v>Zličín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IFERROR(__xludf.DUMMYFUNCTION("""COMPUTED_VALUE"""),2201.2258064516127)</f>
        <v>2201.225806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>Nováková Adéla</v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IFERROR(__xludf.DUMMYFUNCTION("""COMPUTED_VALUE"""),2201.2258064516127)</f>
        <v>2201.225806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 t="str">
        <f>IFERROR(__xludf.DUMMYFUNCTION("""COMPUTED_VALUE"""),"Stepanenko Solomiia")</f>
        <v>Stepanenko Solomiia</v>
      </c>
      <c r="E18" s="196" t="str">
        <f>IFERROR(__xludf.DUMMYFUNCTION("""COMPUTED_VALUE"""),"Výroba")</f>
        <v>Výroba</v>
      </c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IFERROR(__xludf.DUMMYFUNCTION("""COMPUTED_VALUE"""),286.332)</f>
        <v>286.332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/>
      </c>
      <c r="C19" s="196" t="b">
        <f>IFERROR(__xludf.DUMMYFUNCTION("""COMPUTED_VALUE"""),FALSE)</f>
        <v>0</v>
      </c>
      <c r="D19" s="196" t="str">
        <f>IFERROR(__xludf.DUMMYFUNCTION("""COMPUTED_VALUE"""),"Rothová Anastasia")</f>
        <v>Rothová Anastasia</v>
      </c>
      <c r="E19" s="196" t="str">
        <f>IFERROR(__xludf.DUMMYFUNCTION("""COMPUTED_VALUE"""),"Bolevec")</f>
        <v>Bolevec</v>
      </c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IFERROR(__xludf.DUMMYFUNCTION("""COMPUTED_VALUE"""),341.19)</f>
        <v>341.19</v>
      </c>
      <c r="W19" s="199">
        <f>IFERROR(__xludf.DUMMYFUNCTION("""COMPUTED_VALUE"""),0.0)</f>
        <v>0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IFERROR(__xludf.DUMMYFUNCTION("""COMPUTED_VALUE"""),FALSE)</f>
        <v>0</v>
      </c>
      <c r="D20" s="196" t="str">
        <f>IFERROR(__xludf.DUMMYFUNCTION("""COMPUTED_VALUE"""),"Pánková Vendula")</f>
        <v>Pánková Vendula</v>
      </c>
      <c r="E20" s="196" t="str">
        <f>IFERROR(__xludf.DUMMYFUNCTION("""COMPUTED_VALUE"""),"Zličín")</f>
        <v>Zličín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IFERROR(__xludf.DUMMYFUNCTION("""COMPUTED_VALUE"""),267.6)</f>
        <v>267.6</v>
      </c>
      <c r="W20" s="199">
        <f>IFERROR(__xludf.DUMMYFUNCTION("""COMPUTED_VALUE"""),0.0)</f>
        <v>0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>Hegedüs Erik</v>
      </c>
      <c r="C21" s="196" t="b">
        <f>IFERROR(__xludf.DUMMYFUNCTION("""COMPUTED_VALUE"""),TRUE)</f>
        <v>1</v>
      </c>
      <c r="D21" s="196" t="str">
        <f>IFERROR(__xludf.DUMMYFUNCTION("""COMPUTED_VALUE"""),"Hegedüs Erik")</f>
        <v>Hegedüs Erik</v>
      </c>
      <c r="E21" s="196" t="str">
        <f>IFERROR(__xludf.DUMMYFUNCTION("""COMPUTED_VALUE"""),"Libuš")</f>
        <v>Libuš</v>
      </c>
      <c r="F21" s="196" t="str">
        <f>IFERROR(__xludf.DUMMYFUNCTION("""COMPUTED_VALUE"""),"Chodov")</f>
        <v>Chodov</v>
      </c>
      <c r="G21" s="196" t="str">
        <f>IFERROR(__xludf.DUMMYFUNCTION("""COMPUTED_VALUE"""),"Malešice")</f>
        <v>Malešice</v>
      </c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IFERROR(__xludf.DUMMYFUNCTION("""COMPUTED_VALUE"""),432.3078)</f>
        <v>432.3078</v>
      </c>
      <c r="W21" s="199">
        <f>IFERROR(__xludf.DUMMYFUNCTION("""COMPUTED_VALUE"""),2789.082580645161)</f>
        <v>2789.082581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IFERROR(__xludf.DUMMYFUNCTION("""COMPUTED_VALUE"""),TRUE)</f>
        <v>1</v>
      </c>
      <c r="D22" s="196" t="str">
        <f>IFERROR(__xludf.DUMMYFUNCTION("""COMPUTED_VALUE"""),"Roth Stanislav ml.")</f>
        <v>Roth Stanislav ml.</v>
      </c>
      <c r="E22" s="196" t="str">
        <f>IFERROR(__xludf.DUMMYFUNCTION("""COMPUTED_VALUE"""),"Bolevec")</f>
        <v>Bolevec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IFERROR(__xludf.DUMMYFUNCTION("""COMPUTED_VALUE"""),432.3078)</f>
        <v>432.3078</v>
      </c>
      <c r="W22" s="199">
        <f>IFERROR(__xludf.DUMMYFUNCTION("""COMPUTED_VALUE"""),2789.082580645161)</f>
        <v>2789.082581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/>
      </c>
      <c r="C23" s="196" t="b">
        <f>IFERROR(__xludf.DUMMYFUNCTION("""COMPUTED_VALUE"""),FALSE)</f>
        <v>0</v>
      </c>
      <c r="D23" s="196" t="str">
        <f>IFERROR(__xludf.DUMMYFUNCTION("""COMPUTED_VALUE"""),"Makula Radek")</f>
        <v>Makula Radek</v>
      </c>
      <c r="E23" s="196" t="str">
        <f>IFERROR(__xludf.DUMMYFUNCTION("""COMPUTED_VALUE"""),"Prosek")</f>
        <v>Prosek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IFERROR(__xludf.DUMMYFUNCTION("""COMPUTED_VALUE"""),250.20600000000002)</f>
        <v>250.206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Bubník Martin</v>
      </c>
      <c r="C24" s="196" t="b">
        <f>IFERROR(__xludf.DUMMYFUNCTION("""COMPUTED_VALUE"""),FALSE)</f>
        <v>0</v>
      </c>
      <c r="D24" s="196" t="str">
        <f>IFERROR(__xludf.DUMMYFUNCTION("""COMPUTED_VALUE"""),"Bubník Martin")</f>
        <v>Bubník Martin</v>
      </c>
      <c r="E24" s="196" t="str">
        <f>IFERROR(__xludf.DUMMYFUNCTION("""COMPUTED_VALUE"""),"Libuš")</f>
        <v>Libuš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IFERROR(__xludf.DUMMYFUNCTION("""COMPUTED_VALUE"""),267.6)</f>
        <v>267.6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>Mirga Simon</v>
      </c>
      <c r="C25" s="196" t="b">
        <f>IFERROR(__xludf.DUMMYFUNCTION("""COMPUTED_VALUE"""),FALSE)</f>
        <v>0</v>
      </c>
      <c r="D25" s="196" t="str">
        <f>IFERROR(__xludf.DUMMYFUNCTION("""COMPUTED_VALUE"""),"Mirga Simon")</f>
        <v>Mirga Simon</v>
      </c>
      <c r="E25" s="196" t="str">
        <f>IFERROR(__xludf.DUMMYFUNCTION("""COMPUTED_VALUE"""),"Malešice")</f>
        <v>Malešice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IFERROR(__xludf.DUMMYFUNCTION("""COMPUTED_VALUE"""),0.0)</f>
        <v>0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/>
      </c>
      <c r="C27" s="196" t="b">
        <f>IFERROR(__xludf.DUMMYFUNCTION("""COMPUTED_VALUE"""),FALSE)</f>
        <v>0</v>
      </c>
      <c r="D27" s="196" t="str">
        <f>IFERROR(__xludf.DUMMYFUNCTION("""COMPUTED_VALUE"""),"Berdar Vasyl")</f>
        <v>Berdar Vasyl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IFERROR(__xludf.DUMMYFUNCTION("""COMPUTED_VALUE"""),286.332)</f>
        <v>286.332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>Yarushynskyi Vladyslav</v>
      </c>
      <c r="C28" s="196" t="b">
        <f>IFERROR(__xludf.DUMMYFUNCTION("""COMPUTED_VALUE"""),FALSE)</f>
        <v>0</v>
      </c>
      <c r="D28" s="196" t="str">
        <f>IFERROR(__xludf.DUMMYFUNCTION("""COMPUTED_VALUE"""),"Yarushynskyi Vladyslav")</f>
        <v>Yarushynskyi Vladyslav</v>
      </c>
      <c r="E28" s="196" t="str">
        <f>IFERROR(__xludf.DUMMYFUNCTION("""COMPUTED_VALUE"""),"Chodov")</f>
        <v>Chodov</v>
      </c>
      <c r="F28" s="196" t="str">
        <f>IFERROR(__xludf.DUMMYFUNCTION("""COMPUTED_VALUE"""),"Malešice")</f>
        <v>Malešice</v>
      </c>
      <c r="G28" s="196" t="str">
        <f>IFERROR(__xludf.DUMMYFUNCTION("""COMPUTED_VALUE"""),"Zličín")</f>
        <v>Zličín</v>
      </c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IFERROR(__xludf.DUMMYFUNCTION("""COMPUTED_VALUE"""),267.6)</f>
        <v>267.6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 t="str">
        <f>IFERROR(__xludf.DUMMYFUNCTION("""COMPUTED_VALUE"""),"Raboch Tomáš")</f>
        <v>Raboch Tomáš</v>
      </c>
      <c r="E29" s="196" t="str">
        <f>IFERROR(__xludf.DUMMYFUNCTION("""COMPUTED_VALUE"""),"Bolevec")</f>
        <v>Bolevec</v>
      </c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IFERROR(__xludf.DUMMYFUNCTION("""COMPUTED_VALUE"""),250.20600000000002)</f>
        <v>250.206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/>
      </c>
      <c r="C30" s="196" t="b">
        <f>IFERROR(__xludf.DUMMYFUNCTION("""COMPUTED_VALUE"""),FALSE)</f>
        <v>0</v>
      </c>
      <c r="D30" s="196" t="str">
        <f>IFERROR(__xludf.DUMMYFUNCTION("""COMPUTED_VALUE"""),"Židek Petr")</f>
        <v>Židek Petr</v>
      </c>
      <c r="E30" s="196" t="str">
        <f>IFERROR(__xludf.DUMMYFUNCTION("""COMPUTED_VALUE"""),"Chodov")</f>
        <v>Chodov</v>
      </c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Gorol Patrik</v>
      </c>
      <c r="C31" s="196" t="b">
        <f>IFERROR(__xludf.DUMMYFUNCTION("""COMPUTED_VALUE"""),FALSE)</f>
        <v>0</v>
      </c>
      <c r="D31" s="196" t="str">
        <f>IFERROR(__xludf.DUMMYFUNCTION("""COMPUTED_VALUE"""),"Gorol Patrik")</f>
        <v>Gorol Patrik</v>
      </c>
      <c r="E31" s="196" t="str">
        <f>IFERROR(__xludf.DUMMYFUNCTION("""COMPUTED_VALUE"""),"Malešice")</f>
        <v>Malešice</v>
      </c>
      <c r="F31" s="196" t="str">
        <f>IFERROR(__xludf.DUMMYFUNCTION("""COMPUTED_VALUE"""),"Libuš")</f>
        <v>Libuš</v>
      </c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IFERROR(__xludf.DUMMYFUNCTION("""COMPUTED_VALUE"""),231.474)</f>
        <v>231.474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IFERROR(__xludf.DUMMYFUNCTION("""COMPUTED_VALUE"""),"Kratochvíl Kryštof")</f>
        <v>Kratochvíl Kryštof</v>
      </c>
      <c r="E32" s="196" t="str">
        <f>IFERROR(__xludf.DUMMYFUNCTION("""COMPUTED_VALUE"""),"Bolevec")</f>
        <v>Bolevec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IFERROR(__xludf.DUMMYFUNCTION("""COMPUTED_VALUE"""),267.6)</f>
        <v>267.6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/>
      </c>
      <c r="C33" s="196" t="b">
        <f>IFERROR(__xludf.DUMMYFUNCTION("""COMPUTED_VALUE"""),FALSE)</f>
        <v>0</v>
      </c>
      <c r="D33" s="196" t="str">
        <f>IFERROR(__xludf.DUMMYFUNCTION("""COMPUTED_VALUE"""),"Hegedüs Gergö")</f>
        <v>Hegedüs Gergö</v>
      </c>
      <c r="E33" s="196" t="str">
        <f>IFERROR(__xludf.DUMMYFUNCTION("""COMPUTED_VALUE"""),"Libuš")</f>
        <v>Libuš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IFERROR(__xludf.DUMMYFUNCTION("""COMPUTED_VALUE"""),214.08)</f>
        <v>214.08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IFERROR(__xludf.DUMMYFUNCTION("""COMPUTED_VALUE"""),"Barvínková Eliška")</f>
        <v>Barvínková Eliška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IFERROR(__xludf.DUMMYFUNCTION("""COMPUTED_VALUE"""),231.474)</f>
        <v>231.474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IFERROR(__xludf.DUMMYFUNCTION("""COMPUTED_VALUE"""),"Kursheva Diana")</f>
        <v>Kursheva Diana</v>
      </c>
      <c r="E35" s="196" t="str">
        <f>IFERROR(__xludf.DUMMYFUNCTION("""COMPUTED_VALUE"""),"Výroba")</f>
        <v>Výroba</v>
      </c>
      <c r="F35" s="196" t="str">
        <f>IFERROR(__xludf.DUMMYFUNCTION("""COMPUTED_VALUE"""),"Chodov")</f>
        <v>Chodov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IFERROR(__xludf.DUMMYFUNCTION("""COMPUTED_VALUE"""),"Tůma Vladimír")</f>
        <v>Tůma Vladimír</v>
      </c>
      <c r="E36" s="196" t="str">
        <f>IFERROR(__xludf.DUMMYFUNCTION("""COMPUTED_VALUE"""),"Bolevec")</f>
        <v>Bolevec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IFERROR(__xludf.DUMMYFUNCTION("""COMPUTED_VALUE"""),"Kubík Martin")</f>
        <v>Kubík Martin</v>
      </c>
      <c r="E37" s="196" t="str">
        <f>IFERROR(__xludf.DUMMYFUNCTION("""COMPUTED_VALUE"""),"Libuš")</f>
        <v>Libuš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IFERROR(__xludf.DUMMYFUNCTION("""COMPUTED_VALUE"""),"Putna Jaroslav")</f>
        <v>Putna Jaroslav</v>
      </c>
      <c r="E38" s="196" t="str">
        <f>IFERROR(__xludf.DUMMYFUNCTION("""COMPUTED_VALUE"""),"Zličín")</f>
        <v>Zličín</v>
      </c>
      <c r="F38" s="196" t="str">
        <f>IFERROR(__xludf.DUMMYFUNCTION("""COMPUTED_VALUE"""),"Prosek")</f>
        <v>Prosek</v>
      </c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>Kopic Jakub</v>
      </c>
      <c r="C39" s="196" t="b">
        <f>IFERROR(__xludf.DUMMYFUNCTION("""COMPUTED_VALUE"""),FALSE)</f>
        <v>0</v>
      </c>
      <c r="D39" s="196" t="str">
        <f>IFERROR(__xludf.DUMMYFUNCTION("""COMPUTED_VALUE"""),"Kopic Jakub")</f>
        <v>Kopic Jakub</v>
      </c>
      <c r="E39" s="196" t="str">
        <f>IFERROR(__xludf.DUMMYFUNCTION("""COMPUTED_VALUE"""),"Malešice")</f>
        <v>Malešice</v>
      </c>
      <c r="F39" s="196" t="str">
        <f>IFERROR(__xludf.DUMMYFUNCTION("""COMPUTED_VALUE"""),"Prosek")</f>
        <v>Prosek</v>
      </c>
      <c r="G39" s="196" t="str">
        <f>IFERROR(__xludf.DUMMYFUNCTION("""COMPUTED_VALUE"""),"Libuš")</f>
        <v>Libuš</v>
      </c>
      <c r="H39" s="196" t="str">
        <f>IFERROR(__xludf.DUMMYFUNCTION("""COMPUTED_VALUE"""),"Prosek")</f>
        <v>Prosek</v>
      </c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IFERROR(__xludf.DUMMYFUNCTION("""COMPUTED_VALUE"""),250.20600000000002)</f>
        <v>250.206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 t="str">
        <f>IFERROR(__xludf.DUMMYFUNCTION("""COMPUTED_VALUE"""),"Fáberová Kateřina")</f>
        <v>Fáberová Kateřina</v>
      </c>
      <c r="E40" s="196" t="str">
        <f>IFERROR(__xludf.DUMMYFUNCTION("""COMPUTED_VALUE"""),"Prosek")</f>
        <v>Prosek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IFERROR(__xludf.DUMMYFUNCTION("""COMPUTED_VALUE"""),250.20600000000002)</f>
        <v>250.206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 t="str">
        <f>IFERROR(__xludf.DUMMYFUNCTION("""COMPUTED_VALUE"""),"Chlubnová Adéla")</f>
        <v>Chlubnová Adéla</v>
      </c>
      <c r="E41" s="196" t="str">
        <f>IFERROR(__xludf.DUMMYFUNCTION("""COMPUTED_VALUE"""),"Chodov")</f>
        <v>Chodov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IFERROR(__xludf.DUMMYFUNCTION("""COMPUTED_VALUE"""),250.20600000000002)</f>
        <v>250.206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IFERROR(__xludf.DUMMYFUNCTION("""COMPUTED_VALUE"""),0.0)</f>
        <v>0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>Novák Jakub</v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/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IFERROR(__xludf.DUMMYFUNCTION("""COMPUTED_VALUE"""),"Mikuš Pavel")</f>
        <v>Mikuš Pavel</v>
      </c>
      <c r="E86" s="196" t="str">
        <f>IFERROR(__xludf.DUMMYFUNCTION("""COMPUTED_VALUE"""),"Prosek")</f>
        <v>Prosek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IFERROR(__xludf.DUMMYFUNCTION("""COMPUTED_VALUE"""),250.20600000000002)</f>
        <v>250.206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/>
      </c>
      <c r="C87" s="196" t="b">
        <f>IFERROR(__xludf.DUMMYFUNCTION("""COMPUTED_VALUE"""),FALSE)</f>
        <v>0</v>
      </c>
      <c r="D87" s="196" t="str">
        <f>IFERROR(__xludf.DUMMYFUNCTION("""COMPUTED_VALUE"""),"Hyský Aleš")</f>
        <v>Hyský Aleš</v>
      </c>
      <c r="E87" s="196" t="str">
        <f>IFERROR(__xludf.DUMMYFUNCTION("""COMPUTED_VALUE"""),"Chodov")</f>
        <v>Chodov</v>
      </c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IFERROR(__xludf.DUMMYFUNCTION("""COMPUTED_VALUE"""),231.474)</f>
        <v>231.474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IFERROR(__xludf.DUMMYFUNCTION("""COMPUTED_VALUE"""),"Šmídová Sabina")</f>
        <v>Šmídová Sabina</v>
      </c>
      <c r="E88" s="196" t="str">
        <f>IFERROR(__xludf.DUMMYFUNCTION("""COMPUTED_VALUE"""),"Chodov")</f>
        <v>Chodov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IFERROR(__xludf.DUMMYFUNCTION("""COMPUTED_VALUE"""),250.20600000000002)</f>
        <v>250.206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>Lažek Jaroslav</v>
      </c>
      <c r="C89" s="196" t="b">
        <f>IFERROR(__xludf.DUMMYFUNCTION("""COMPUTED_VALUE"""),FALSE)</f>
        <v>0</v>
      </c>
      <c r="D89" s="196" t="str">
        <f>IFERROR(__xludf.DUMMYFUNCTION("""COMPUTED_VALUE"""),"Lažek Jaroslav")</f>
        <v>Lažek Jaroslav</v>
      </c>
      <c r="E89" s="196" t="str">
        <f>IFERROR(__xludf.DUMMYFUNCTION("""COMPUTED_VALUE"""),"Libuš")</f>
        <v>Libuš</v>
      </c>
      <c r="F89" s="196" t="str">
        <f>IFERROR(__xludf.DUMMYFUNCTION("""COMPUTED_VALUE"""),"Chodov")</f>
        <v>Chodov</v>
      </c>
      <c r="G89" s="196" t="str">
        <f>IFERROR(__xludf.DUMMYFUNCTION("""COMPUTED_VALUE"""),"Malešice")</f>
        <v>Malešice</v>
      </c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IFERROR(__xludf.DUMMYFUNCTION("""COMPUTED_VALUE"""),170.0)</f>
        <v>170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/>
      </c>
      <c r="C90" s="196" t="b">
        <f>IFERROR(__xludf.DUMMYFUNCTION("""COMPUTED_VALUE"""),FALSE)</f>
        <v>0</v>
      </c>
      <c r="D90" s="196" t="str">
        <f>IFERROR(__xludf.DUMMYFUNCTION("""COMPUTED_VALUE"""),"Kormash Liubov")</f>
        <v>Kormash Liubov</v>
      </c>
      <c r="E90" s="196" t="str">
        <f>IFERROR(__xludf.DUMMYFUNCTION("""COMPUTED_VALUE"""),"Zličín")</f>
        <v>Zličín</v>
      </c>
      <c r="F90" s="196" t="str">
        <f>IFERROR(__xludf.DUMMYFUNCTION("""COMPUTED_VALUE"""),"Prosek")</f>
        <v>Prosek</v>
      </c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IFERROR(__xludf.DUMMYFUNCTION("""COMPUTED_VALUE"""),160.0)</f>
        <v>160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IFERROR(__xludf.DUMMYFUNCTION("""COMPUTED_VALUE"""),0.0)</f>
        <v>0</v>
      </c>
      <c r="W91" s="199">
        <f>IFERROR(__xludf.DUMMYFUNCTION("""COMPUTED_VALUE"""),0.0)</f>
        <v>0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IFERROR(__xludf.DUMMYFUNCTION("""COMPUTED_VALUE"""),0.0)</f>
        <v>0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/>
      </c>
      <c r="C93" s="196" t="b">
        <f>IFERROR(__xludf.DUMMYFUNCTION("""COMPUTED_VALUE"""),FALSE)</f>
        <v>0</v>
      </c>
      <c r="D93" s="196" t="str">
        <f>IFERROR(__xludf.DUMMYFUNCTION("""COMPUTED_VALUE"""),"Chlubna Tomáš")</f>
        <v>Chlubna Tomáš</v>
      </c>
      <c r="E93" s="196" t="str">
        <f>IFERROR(__xludf.DUMMYFUNCTION("""COMPUTED_VALUE"""),"Chodov")</f>
        <v>Chodov</v>
      </c>
      <c r="F93" s="196" t="str">
        <f>IFERROR(__xludf.DUMMYFUNCTION("""COMPUTED_VALUE"""),"Libuš")</f>
        <v>Libuš</v>
      </c>
      <c r="G93" s="196" t="str">
        <f>IFERROR(__xludf.DUMMYFUNCTION("""COMPUTED_VALUE"""),"Výroba")</f>
        <v>Výroba</v>
      </c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IFERROR(__xludf.DUMMYFUNCTION("""COMPUTED_VALUE"""),250.20600000000002)</f>
        <v>250.206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>Vychivskyi Volodymyr</v>
      </c>
      <c r="C94" s="196" t="b">
        <f>IFERROR(__xludf.DUMMYFUNCTION("""COMPUTED_VALUE"""),FALSE)</f>
        <v>0</v>
      </c>
      <c r="D94" s="196" t="str">
        <f>IFERROR(__xludf.DUMMYFUNCTION("""COMPUTED_VALUE"""),"Vychivskyi Volodymyr")</f>
        <v>Vychivskyi Volodymyr</v>
      </c>
      <c r="E94" s="196" t="str">
        <f>IFERROR(__xludf.DUMMYFUNCTION("""COMPUTED_VALUE"""),"Malešice")</f>
        <v>Malešice</v>
      </c>
      <c r="F94" s="196" t="str">
        <f>IFERROR(__xludf.DUMMYFUNCTION("""COMPUTED_VALUE"""),"Prosek")</f>
        <v>Prosek</v>
      </c>
      <c r="G94" s="196" t="str">
        <f>IFERROR(__xludf.DUMMYFUNCTION("""COMPUTED_VALUE"""),"Zličín")</f>
        <v>Zličín</v>
      </c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IFERROR(__xludf.DUMMYFUNCTION("""COMPUTED_VALUE"""),250.20600000000002)</f>
        <v>250.206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IFERROR(__xludf.DUMMYFUNCTION("""COMPUTED_VALUE"""),0.0)</f>
        <v>0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/>
      </c>
      <c r="C96" s="196" t="b">
        <f>IFERROR(__xludf.DUMMYFUNCTION("""COMPUTED_VALUE"""),FALSE)</f>
        <v>0</v>
      </c>
      <c r="D96" s="196" t="str">
        <f>IFERROR(__xludf.DUMMYFUNCTION("""COMPUTED_VALUE"""),"Hřebík Martin")</f>
        <v>Hřebík Martin</v>
      </c>
      <c r="E96" s="196" t="str">
        <f>IFERROR(__xludf.DUMMYFUNCTION("""COMPUTED_VALUE"""),"Výroba")</f>
        <v>Výroba</v>
      </c>
      <c r="F96" s="196" t="str">
        <f>IFERROR(__xludf.DUMMYFUNCTION("""COMPUTED_VALUE"""),"Chodov")</f>
        <v>Chodov</v>
      </c>
      <c r="G96" s="196" t="str">
        <f>IFERROR(__xludf.DUMMYFUNCTION("""COMPUTED_VALUE"""),"Prosek")</f>
        <v>Prosek</v>
      </c>
      <c r="H96" s="196" t="str">
        <f>IFERROR(__xludf.DUMMYFUNCTION("""COMPUTED_VALUE"""),"Libuš")</f>
        <v>Libuš</v>
      </c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IFERROR(__xludf.DUMMYFUNCTION("""COMPUTED_VALUE"""),386.68199999999996)</f>
        <v>386.682</v>
      </c>
      <c r="W96" s="199">
        <f>IFERROR(__xludf.DUMMYFUNCTION("""COMPUTED_VALUE"""),2494.722580645161)</f>
        <v>2494.722581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/>
      </c>
      <c r="C97" s="196" t="b">
        <f>IFERROR(__xludf.DUMMYFUNCTION("""COMPUTED_VALUE"""),FALSE)</f>
        <v>0</v>
      </c>
      <c r="D97" s="196" t="str">
        <f>IFERROR(__xludf.DUMMYFUNCTION("""COMPUTED_VALUE"""),"Eszenyiová Patrícia")</f>
        <v>Eszenyiová Patrícia</v>
      </c>
      <c r="E97" s="196" t="str">
        <f>IFERROR(__xludf.DUMMYFUNCTION("""COMPUTED_VALUE"""),"Libuš")</f>
        <v>Libuš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IFERROR(__xludf.DUMMYFUNCTION("""COMPUTED_VALUE"""),250.20600000000002)</f>
        <v>250.206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Reischl Jan</v>
      </c>
      <c r="C98" s="196" t="b">
        <f>IFERROR(__xludf.DUMMYFUNCTION("""COMPUTED_VALUE"""),FALSE)</f>
        <v>0</v>
      </c>
      <c r="D98" s="196" t="str">
        <f>IFERROR(__xludf.DUMMYFUNCTION("""COMPUTED_VALUE"""),"Reischl Jan")</f>
        <v>Reischl Jan</v>
      </c>
      <c r="E98" s="196" t="str">
        <f>IFERROR(__xludf.DUMMYFUNCTION("""COMPUTED_VALUE"""),"Malešice")</f>
        <v>Malešice</v>
      </c>
      <c r="F98" s="196" t="str">
        <f>IFERROR(__xludf.DUMMYFUNCTION("""COMPUTED_VALUE"""),"Chodov")</f>
        <v>Chodov</v>
      </c>
      <c r="G98" s="196" t="str">
        <f>IFERROR(__xludf.DUMMYFUNCTION("""COMPUTED_VALUE"""),"Libuš")</f>
        <v>Libuš</v>
      </c>
      <c r="H98" s="196" t="str">
        <f>IFERROR(__xludf.DUMMYFUNCTION("""COMPUTED_VALUE"""),"Prosek")</f>
        <v>Prosek</v>
      </c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IFERROR(__xludf.DUMMYFUNCTION("""COMPUTED_VALUE"""),214.08)</f>
        <v>214.08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IFERROR(__xludf.DUMMYFUNCTION("""COMPUTED_VALUE"""),"Mikešová Adéla")</f>
        <v>Mikešová Adéla</v>
      </c>
      <c r="E99" s="196" t="str">
        <f>IFERROR(__xludf.DUMMYFUNCTION("""COMPUTED_VALUE"""),"Bolevec")</f>
        <v>Bolevec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IFERROR(__xludf.DUMMYFUNCTION("""COMPUTED_VALUE"""),214.08)</f>
        <v>214.08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IFERROR(__xludf.DUMMYFUNCTION("""COMPUTED_VALUE"""),"Pražák Aleš")</f>
        <v>Pražák Aleš</v>
      </c>
      <c r="E100" s="196" t="str">
        <f>IFERROR(__xludf.DUMMYFUNCTION("""COMPUTED_VALUE"""),"Chodov")</f>
        <v>Chodov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IFERROR(__xludf.DUMMYFUNCTION("""COMPUTED_VALUE"""),231.474)</f>
        <v>231.474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IFERROR(__xludf.DUMMYFUNCTION("""COMPUTED_VALUE"""),"Chyský David")</f>
        <v>Chyský David</v>
      </c>
      <c r="E101" s="196" t="str">
        <f>IFERROR(__xludf.DUMMYFUNCTION("""COMPUTED_VALUE"""),"Chodov")</f>
        <v>Chodov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IFERROR(__xludf.DUMMYFUNCTION("""COMPUTED_VALUE"""),231.474)</f>
        <v>231.474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/>
      </c>
      <c r="C102" s="196" t="b">
        <f>IFERROR(__xludf.DUMMYFUNCTION("""COMPUTED_VALUE"""),FALSE)</f>
        <v>0</v>
      </c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IFERROR(__xludf.DUMMYFUNCTION("""COMPUTED_VALUE"""),0.0)</f>
        <v>0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/>
      </c>
      <c r="C103" s="196" t="b">
        <f>IFERROR(__xludf.DUMMYFUNCTION("""COMPUTED_VALUE"""),FALSE)</f>
        <v>0</v>
      </c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IFERROR(__xludf.DUMMYFUNCTION("""COMPUTED_VALUE"""),0.0)</f>
        <v>0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IFERROR(__xludf.DUMMYFUNCTION("""COMPUTED_VALUE"""),"Kulinič Michail")</f>
        <v>Kulinič Michail</v>
      </c>
      <c r="E104" s="196" t="str">
        <f>IFERROR(__xludf.DUMMYFUNCTION("""COMPUTED_VALUE"""),"Prosek")</f>
        <v>Prosek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Kalina Filip</v>
      </c>
      <c r="C105" s="196" t="b">
        <f>IFERROR(__xludf.DUMMYFUNCTION("""COMPUTED_VALUE"""),FALSE)</f>
        <v>0</v>
      </c>
      <c r="D105" s="196" t="str">
        <f>IFERROR(__xludf.DUMMYFUNCTION("""COMPUTED_VALUE"""),"Kalina Filip")</f>
        <v>Kalina Filip</v>
      </c>
      <c r="E105" s="196" t="str">
        <f>IFERROR(__xludf.DUMMYFUNCTION("""COMPUTED_VALUE"""),"Malešice")</f>
        <v>Malešice</v>
      </c>
      <c r="F105" s="196" t="str">
        <f>IFERROR(__xludf.DUMMYFUNCTION("""COMPUTED_VALUE"""),"Libuš")</f>
        <v>Libuš</v>
      </c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IFERROR(__xludf.DUMMYFUNCTION("""COMPUTED_VALUE"""),231.474)</f>
        <v>231.474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IFERROR(__xludf.DUMMYFUNCTION("""COMPUTED_VALUE"""),0.0)</f>
        <v>0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IFERROR(__xludf.DUMMYFUNCTION("""COMPUTED_VALUE"""),"Kaločai Rudolf")</f>
        <v>Kaločai Rudolf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IFERROR(__xludf.DUMMYFUNCTION("""COMPUTED_VALUE"""),140.0)</f>
        <v>140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>Dušek Sam</v>
      </c>
      <c r="C108" s="196" t="b">
        <f>IFERROR(__xludf.DUMMYFUNCTION("""COMPUTED_VALUE"""),FALSE)</f>
        <v>0</v>
      </c>
      <c r="D108" s="196" t="str">
        <f>IFERROR(__xludf.DUMMYFUNCTION("""COMPUTED_VALUE"""),"Dušek Sam")</f>
        <v>Dušek Sam</v>
      </c>
      <c r="E108" s="196" t="str">
        <f>IFERROR(__xludf.DUMMYFUNCTION("""COMPUTED_VALUE"""),"Libuš")</f>
        <v>Libuš</v>
      </c>
      <c r="F108" s="196" t="str">
        <f>IFERROR(__xludf.DUMMYFUNCTION("""COMPUTED_VALUE"""),"Malešice")</f>
        <v>Malešice</v>
      </c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IFERROR(__xludf.DUMMYFUNCTION("""COMPUTED_VALUE"""),250.20600000000002)</f>
        <v>250.206</v>
      </c>
      <c r="W108" s="199">
        <f>IFERROR(__xludf.DUMMYFUNCTION("""COMPUTED_VALUE"""),0.0)</f>
        <v>0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IFERROR(__xludf.DUMMYFUNCTION("""COMPUTED_VALUE"""),"Kačena Stanislav")</f>
        <v>Kačena Stanislav</v>
      </c>
      <c r="E109" s="196" t="str">
        <f>IFERROR(__xludf.DUMMYFUNCTION("""COMPUTED_VALUE"""),"Prosek")</f>
        <v>Prosek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IFERROR(__xludf.DUMMYFUNCTION("""COMPUTED_VALUE"""),231.474)</f>
        <v>231.474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/>
      </c>
      <c r="C110" s="196" t="b">
        <f>IFERROR(__xludf.DUMMYFUNCTION("""COMPUTED_VALUE"""),FALSE)</f>
        <v>0</v>
      </c>
      <c r="D110" s="196" t="str">
        <f>IFERROR(__xludf.DUMMYFUNCTION("""COMPUTED_VALUE"""),"Cieslar Marek")</f>
        <v>Cieslar Marek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IFERROR(__xludf.DUMMYFUNCTION("""COMPUTED_VALUE"""),214.08)</f>
        <v>214.08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IFERROR(__xludf.DUMMYFUNCTION("""COMPUTED_VALUE"""),"Banga Adam")</f>
        <v>Banga Adam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IFERROR(__xludf.DUMMYFUNCTION("""COMPUTED_VALUE"""),231.474)</f>
        <v>231.474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/>
      </c>
      <c r="C112" s="196" t="b">
        <f>IFERROR(__xludf.DUMMYFUNCTION("""COMPUTED_VALUE"""),FALSE)</f>
        <v>0</v>
      </c>
      <c r="D112" s="196" t="str">
        <f>IFERROR(__xludf.DUMMYFUNCTION("""COMPUTED_VALUE"""),"Vopatová Anna")</f>
        <v>Vopatová Anna</v>
      </c>
      <c r="E112" s="196" t="str">
        <f>IFERROR(__xludf.DUMMYFUNCTION("""COMPUTED_VALUE"""),"Bolevec")</f>
        <v>Bolevec</v>
      </c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IFERROR(__xludf.DUMMYFUNCTION("""COMPUTED_VALUE"""),214.08)</f>
        <v>214.08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IFERROR(__xludf.DUMMYFUNCTION("""COMPUTED_VALUE"""),"Vopatová Šárka")</f>
        <v>Vopatová Šárka</v>
      </c>
      <c r="E113" s="196" t="str">
        <f>IFERROR(__xludf.DUMMYFUNCTION("""COMPUTED_VALUE"""),"Bolevec")</f>
        <v>Bolevec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IFERROR(__xludf.DUMMYFUNCTION("""COMPUTED_VALUE"""),214.08)</f>
        <v>214.08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>Richterová Monika</v>
      </c>
      <c r="C114" s="196" t="b">
        <f>IFERROR(__xludf.DUMMYFUNCTION("""COMPUTED_VALUE"""),FALSE)</f>
        <v>0</v>
      </c>
      <c r="D114" s="196" t="str">
        <f>IFERROR(__xludf.DUMMYFUNCTION("""COMPUTED_VALUE"""),"Richterová Monika")</f>
        <v>Richterová Monika</v>
      </c>
      <c r="E114" s="196" t="str">
        <f>IFERROR(__xludf.DUMMYFUNCTION("""COMPUTED_VALUE"""),"Malešice")</f>
        <v>Malešice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IFERROR(__xludf.DUMMYFUNCTION("""COMPUTED_VALUE"""),214.08)</f>
        <v>214.08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>Serin David</v>
      </c>
      <c r="C115" s="196" t="b">
        <f>IFERROR(__xludf.DUMMYFUNCTION("""COMPUTED_VALUE"""),FALSE)</f>
        <v>0</v>
      </c>
      <c r="D115" s="196" t="str">
        <f>IFERROR(__xludf.DUMMYFUNCTION("""COMPUTED_VALUE"""),"Serin David")</f>
        <v>Serin David</v>
      </c>
      <c r="E115" s="196" t="str">
        <f>IFERROR(__xludf.DUMMYFUNCTION("""COMPUTED_VALUE"""),"Libuš")</f>
        <v>Libuš</v>
      </c>
      <c r="F115" s="196" t="str">
        <f>IFERROR(__xludf.DUMMYFUNCTION("""COMPUTED_VALUE"""),"Malešice")</f>
        <v>Malešice</v>
      </c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IFERROR(__xludf.DUMMYFUNCTION("""COMPUTED_VALUE"""),250.20600000000002)</f>
        <v>250.206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/>
      </c>
      <c r="C116" s="196" t="b">
        <f>IFERROR(__xludf.DUMMYFUNCTION("""COMPUTED_VALUE"""),FALSE)</f>
        <v>0</v>
      </c>
      <c r="D116" s="196" t="str">
        <f>IFERROR(__xludf.DUMMYFUNCTION("""COMPUTED_VALUE"""),"Fabera Tomáš")</f>
        <v>Fabera Tomáš</v>
      </c>
      <c r="E116" s="196" t="str">
        <f>IFERROR(__xludf.DUMMYFUNCTION("""COMPUTED_VALUE"""),"Chodov")</f>
        <v>Chodov</v>
      </c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IFERROR(__xludf.DUMMYFUNCTION("""COMPUTED_VALUE"""),231.474)</f>
        <v>231.474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>Hendrych Rostislav</v>
      </c>
      <c r="C117" s="196" t="b">
        <f>IFERROR(__xludf.DUMMYFUNCTION("""COMPUTED_VALUE"""),FALSE)</f>
        <v>0</v>
      </c>
      <c r="D117" s="196" t="str">
        <f>IFERROR(__xludf.DUMMYFUNCTION("""COMPUTED_VALUE"""),"Hendrych Rostislav")</f>
        <v>Hendrych Rostislav</v>
      </c>
      <c r="E117" s="196" t="str">
        <f>IFERROR(__xludf.DUMMYFUNCTION("""COMPUTED_VALUE"""),"Malešice")</f>
        <v>Malešice</v>
      </c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IFERROR(__xludf.DUMMYFUNCTION("""COMPUTED_VALUE"""),250.20600000000002)</f>
        <v>250.206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 t="str">
        <f>IFERROR(__xludf.DUMMYFUNCTION("""COMPUTED_VALUE"""),"Světlík František")</f>
        <v>Světlík František</v>
      </c>
      <c r="E119" s="196" t="str">
        <f>IFERROR(__xludf.DUMMYFUNCTION("""COMPUTED_VALUE"""),"Bolevec")</f>
        <v>Bolevec</v>
      </c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IFERROR(__xludf.DUMMYFUNCTION("""COMPUTED_VALUE"""),214.08)</f>
        <v>214.08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 t="str">
        <f>IFERROR(__xludf.DUMMYFUNCTION("""COMPUTED_VALUE"""),"Ženíšek Lukáš")</f>
        <v>Ženíšek Lukáš</v>
      </c>
      <c r="E120" s="196" t="str">
        <f>IFERROR(__xludf.DUMMYFUNCTION("""COMPUTED_VALUE"""),"Bolevec")</f>
        <v>Bolevec</v>
      </c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IFERROR(__xludf.DUMMYFUNCTION("""COMPUTED_VALUE"""),214.08)</f>
        <v>214.08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 t="str">
        <f>IFERROR(__xludf.DUMMYFUNCTION("""COMPUTED_VALUE"""),"Chodov")</f>
        <v>Chodov</v>
      </c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IFERROR(__xludf.DUMMYFUNCTION("""COMPUTED_VALUE"""),231.474)</f>
        <v>231.474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 t="str">
        <f>IFERROR(__xludf.DUMMYFUNCTION("""COMPUTED_VALUE"""),"Roth Stanislav st.")</f>
        <v>Roth Stanislav st.</v>
      </c>
      <c r="E122" s="196" t="str">
        <f>IFERROR(__xludf.DUMMYFUNCTION("""COMPUTED_VALUE"""),"Bolevec")</f>
        <v>Bolevec</v>
      </c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IFERROR(__xludf.DUMMYFUNCTION("""COMPUTED_VALUE"""),49506.0)</f>
        <v>49506</v>
      </c>
      <c r="W122" s="199">
        <f>IFERROR(__xludf.DUMMYFUNCTION("""COMPUTED_VALUE"""),1596.967741935484)</f>
        <v>1596.967742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 t="str">
        <f>IFERROR(__xludf.DUMMYFUNCTION("""COMPUTED_VALUE"""),"Vaníková Anna")</f>
        <v>Vaníková Anna</v>
      </c>
      <c r="E125" s="196" t="str">
        <f>IFERROR(__xludf.DUMMYFUNCTION("""COMPUTED_VALUE"""),"Zličín")</f>
        <v>Zličín</v>
      </c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IFERROR(__xludf.DUMMYFUNCTION("""COMPUTED_VALUE"""),231.474)</f>
        <v>231.474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IFERROR(__xludf.DUMMYFUNCTION("""COMPUTED_VALUE"""),0.0)</f>
        <v>0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IFERROR(__xludf.DUMMYFUNCTION("""COMPUTED_VALUE"""),0.0)</f>
        <v>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/>
      </c>
      <c r="C128" s="196" t="b">
        <f>IFERROR(__xludf.DUMMYFUNCTION("""COMPUTED_VALUE"""),FALSE)</f>
        <v>0</v>
      </c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IFERROR(__xludf.DUMMYFUNCTION("""COMPUTED_VALUE"""),0.0)</f>
        <v>0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IFERROR(__xludf.DUMMYFUNCTION("""COMPUTED_VALUE"""),0.0)</f>
        <v>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IFERROR(__xludf.DUMMYFUNCTION("""COMPUTED_VALUE"""),0.0)</f>
        <v>0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IFERROR(__xludf.DUMMYFUNCTION("""COMPUTED_VALUE"""),0.0)</f>
        <v>0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