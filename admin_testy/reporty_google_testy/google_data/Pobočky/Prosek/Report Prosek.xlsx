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<sst xmlns="http://schemas.openxmlformats.org/spreadsheetml/2006/main" count="1939" uniqueCount="708">
  <si>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</si>
  <si>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</si>
  <si>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</si>
  <si>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</si>
  <si>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</si>
  <si>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</si>
  <si>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</si>
  <si>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</si>
  <si>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</si>
  <si>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</si>
  <si>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</si>
  <si>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</si>
  <si>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</si>
  <si>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</si>
  <si>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</si>
  <si>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</si>
  <si>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</si>
  <si>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</si>
  <si>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</si>
  <si>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</si>
  <si>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</si>
  <si>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</si>
  <si>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</si>
  <si>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</si>
  <si>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</si>
  <si>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</si>
  <si>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</si>
  <si>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</si>
  <si>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</si>
  <si>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</si>
  <si>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</si>
  <si>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</si>
  <si>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</si>
  <si>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</si>
  <si>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</si>
  <si>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</si>
  <si>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</si>
  <si>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</si>
  <si>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</si>
  <si>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</si>
  <si>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</si>
  <si>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</si>
  <si>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</si>
  <si>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</si>
  <si>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</si>
  <si>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</si>
  <si>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</si>
  <si>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</si>
  <si>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</si>
  <si>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</si>
  <si>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</si>
  <si>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</si>
  <si>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</si>
  <si>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</si>
  <si>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</si>
  <si>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</si>
  <si>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</si>
  <si>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</si>
  <si>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</si>
  <si>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</si>
  <si>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</si>
  <si>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</si>
  <si>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</si>
  <si>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</si>
  <si>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</si>
  <si>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</si>
  <si>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</si>
  <si>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</si>
  <si>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</si>
  <si>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</si>
  <si>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</si>
  <si>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</si>
  <si>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</si>
  <si>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</si>
  <si>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</si>
  <si>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</si>
  <si>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</si>
  <si>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</si>
  <si>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</si>
  <si>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</si>
  <si>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</si>
  <si>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</si>
  <si>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</si>
  <si>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</si>
  <si>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</si>
  <si>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</si>
  <si>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</si>
  <si>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</si>
  <si>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</si>
  <si>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</si>
  <si>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</si>
  <si>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</si>
  <si>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</si>
  <si>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</si>
  <si>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</si>
  <si>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</si>
  <si>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</si>
  <si>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</si>
  <si>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</si>
  <si>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</si>
  <si>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</si>
  <si>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</si>
  <si>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</si>
  <si>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</si>
  <si>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</si>
  <si>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</si>
  <si>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</si>
  <si>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</si>
  <si>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</si>
  <si>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</si>
  <si>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</si>
  <si>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</si>
  <si>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</si>
  <si>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</si>
  <si>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</si>
  <si>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</si>
  <si>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</si>
  <si>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</si>
  <si>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</si>
  <si>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</si>
  <si>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</si>
  <si>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</si>
  <si>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</si>
  <si>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</si>
  <si>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</si>
  <si>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</si>
  <si>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</si>
  <si>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</si>
  <si>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</si>
  <si>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</si>
  <si>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</si>
  <si>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</si>
  <si>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</si>
  <si>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</si>
  <si>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</si>
  <si>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</si>
  <si>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</si>
  <si>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</si>
  <si>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</si>
  <si>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</si>
  <si>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</si>
  <si>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</si>
  <si>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</si>
  <si>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</si>
  <si>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</si>
  <si>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</si>
  <si>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</si>
  <si>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</si>
  <si>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</si>
  <si>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</si>
  <si>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</si>
  <si>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</si>
  <si>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</si>
  <si>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</si>
  <si>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</si>
  <si>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</si>
  <si>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</si>
  <si>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</si>
  <si>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</si>
  <si>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</si>
  <si>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</si>
  <si>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</si>
  <si>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</si>
  <si>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</si>
  <si>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</si>
  <si>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</si>
  <si>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</si>
  <si>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</si>
  <si>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</si>
  <si>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</si>
  <si>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</si>
  <si>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</si>
  <si>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</si>
  <si>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</si>
  <si>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</si>
  <si>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</si>
  <si>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</si>
  <si>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</si>
  <si>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</si>
  <si>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</si>
  <si>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</si>
  <si>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</si>
  <si>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</si>
  <si>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</si>
  <si>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</si>
  <si>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</si>
  <si>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</si>
  <si>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</si>
  <si>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</si>
  <si>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</si>
  <si>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</si>
  <si>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</si>
  <si>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</si>
  <si>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</si>
  <si>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</si>
  <si>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</si>
  <si>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</si>
  <si>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</si>
  <si>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</si>
  <si>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</si>
  <si>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</si>
  <si>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</si>
  <si>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</si>
  <si>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</si>
  <si>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</si>
  <si>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</si>
  <si>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</si>
  <si>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</si>
  <si>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</si>
  <si>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</si>
  <si>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</si>
  <si>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</si>
  <si>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</si>
  <si>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</si>
  <si>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</si>
  <si>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</si>
  <si>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</si>
  <si>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</si>
  <si>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</si>
  <si>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</si>
  <si>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</si>
  <si>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</si>
  <si>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</si>
  <si>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</si>
  <si>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</si>
  <si>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</si>
  <si>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</si>
  <si>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</si>
  <si>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</si>
  <si>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</si>
  <si>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</si>
  <si>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</si>
  <si>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</si>
  <si>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</si>
  <si>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</si>
  <si>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</si>
  <si>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</si>
  <si>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</si>
  <si>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</si>
  <si>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</si>
  <si>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</si>
  <si>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</si>
  <si>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</si>
  <si>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</si>
  <si>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</si>
  <si>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</si>
  <si>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</si>
  <si>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</si>
  <si>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</si>
  <si>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</si>
  <si>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</si>
  <si>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</si>
  <si>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</si>
  <si>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</si>
  <si>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</si>
  <si>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</si>
  <si>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</si>
  <si>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</si>
  <si>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</si>
  <si>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</si>
  <si>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</si>
  <si>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</si>
  <si>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</si>
  <si>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</si>
  <si>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</si>
  <si>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</si>
  <si>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</si>
  <si>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</si>
  <si>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</si>
  <si>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</si>
  <si>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</si>
  <si>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</si>
  <si>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</si>
  <si>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</si>
  <si>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</si>
  <si>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</si>
  <si>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</si>
  <si>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</si>
  <si>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</si>
  <si>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</si>
  <si>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</si>
  <si>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</si>
  <si>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</si>
  <si>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</si>
  <si>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</si>
  <si>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</si>
  <si>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</si>
  <si>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</si>
  <si>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</si>
  <si>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</si>
  <si>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</si>
  <si>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</si>
  <si>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</si>
  <si>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</si>
  <si>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</si>
  <si>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</si>
  <si>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</si>
  <si>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</si>
  <si>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</si>
  <si>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</si>
  <si>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</si>
  <si>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</si>
  <si>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</si>
  <si>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</si>
  <si>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</si>
  <si>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</si>
  <si>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</si>
  <si>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</si>
  <si>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</si>
  <si>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</si>
  <si>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</si>
  <si>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</si>
  <si>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</si>
  <si>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</si>
  <si>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</si>
  <si>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</si>
  <si>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</si>
  <si>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</si>
  <si>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</si>
  <si>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</si>
  <si>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</si>
  <si>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</si>
  <si>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</si>
  <si>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</si>
  <si>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</si>
  <si>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</si>
  <si>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</si>
  <si>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</si>
  <si>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</si>
  <si>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</si>
  <si>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</si>
  <si>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</si>
  <si>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</si>
  <si>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</si>
  <si>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</si>
  <si>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</si>
  <si>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</si>
  <si>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</si>
  <si>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</si>
  <si>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</si>
  <si>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</si>
  <si>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</si>
  <si>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</si>
  <si>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</si>
  <si>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</si>
  <si>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</si>
  <si>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</si>
  <si>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</si>
  <si>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</si>
  <si>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</si>
  <si>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</si>
  <si>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</si>
  <si>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</si>
  <si>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</si>
  <si>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</si>
  <si>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</si>
  <si>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</si>
  <si>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</si>
  <si>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</si>
  <si>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</si>
  <si>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</si>
  <si>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</si>
  <si>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</si>
  <si>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</si>
  <si>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</si>
  <si>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</si>
  <si>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</si>
  <si>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</si>
  <si>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</si>
  <si>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</si>
  <si>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</si>
  <si>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</si>
  <si>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</si>
  <si>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</si>
  <si>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</si>
  <si>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</si>
  <si>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</si>
  <si>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</si>
  <si>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</si>
  <si>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</si>
  <si>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</si>
  <si>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</si>
  <si>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</si>
  <si>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</si>
  <si>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</si>
  <si>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</si>
  <si>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</si>
  <si>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</si>
  <si>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</si>
  <si>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</si>
  <si>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</si>
  <si>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</si>
  <si>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</si>
  <si>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</si>
  <si>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</si>
  <si>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</si>
  <si>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</si>
  <si>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</si>
  <si>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</si>
  <si>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</si>
  <si>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</si>
  <si>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</si>
  <si>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</si>
  <si>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</si>
  <si>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</si>
  <si>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</si>
  <si>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</si>
  <si>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</si>
  <si>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</si>
  <si>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</si>
  <si>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</si>
  <si>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</si>
  <si>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</si>
  <si>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</si>
  <si>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</si>
  <si>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</si>
  <si>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</si>
  <si>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</si>
  <si>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</si>
  <si>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</si>
  <si>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</si>
  <si>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</si>
  <si>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</si>
  <si>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</si>
  <si>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</si>
  <si>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</si>
  <si>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</si>
  <si>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</si>
  <si>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</si>
  <si>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</si>
  <si>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</si>
  <si>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</si>
  <si>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</si>
  <si>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</si>
  <si>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</si>
  <si>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</si>
  <si>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</si>
  <si>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</si>
  <si>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</si>
  <si>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</si>
  <si>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</si>
  <si>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</si>
  <si>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</si>
  <si>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</si>
  <si>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</si>
  <si>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</si>
  <si>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</si>
  <si>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</si>
  <si>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</si>
  <si>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</si>
  <si>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</si>
  <si>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</si>
  <si>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</si>
  <si>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</si>
  <si>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</si>
  <si>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</si>
  <si>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</si>
  <si>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</si>
  <si>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</si>
  <si>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</si>
  <si>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</si>
  <si>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</si>
  <si>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</si>
  <si>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</si>
  <si>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</si>
  <si>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</si>
  <si>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</si>
  <si>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</si>
  <si>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</si>
  <si>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</si>
  <si>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</si>
  <si>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</si>
  <si>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</si>
  <si>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</si>
  <si>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</si>
  <si>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</si>
  <si>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</si>
  <si>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</si>
  <si>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</si>
  <si>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</si>
  <si>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</si>
  <si>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</si>
  <si>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</si>
  <si>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</si>
  <si>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</si>
  <si>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</si>
  <si>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</si>
  <si>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</si>
  <si>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</si>
  <si>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</si>
  <si>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</si>
  <si>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</si>
  <si>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</si>
  <si>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</si>
  <si>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</si>
  <si>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</si>
  <si>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</si>
  <si>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</si>
  <si>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</si>
  <si>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</si>
  <si>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</si>
  <si>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</si>
  <si>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</si>
  <si>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</si>
  <si>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</si>
  <si>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</si>
  <si>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</si>
  <si>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</si>
  <si>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</si>
  <si>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</si>
  <si>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</si>
  <si>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</si>
  <si>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</si>
  <si>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</si>
  <si>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</si>
  <si>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</si>
  <si>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</si>
  <si>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</si>
  <si>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</si>
  <si>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</si>
  <si>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</si>
  <si>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</si>
  <si>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</si>
  <si>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</si>
  <si>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</si>
  <si>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</si>
  <si>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</si>
  <si>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</si>
  <si>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</si>
  <si>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</si>
  <si>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</si>
  <si>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</si>
  <si>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</si>
  <si>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</si>
  <si>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</si>
  <si>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</si>
  <si>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</si>
  <si>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</si>
  <si>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</si>
  <si>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</si>
  <si>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</si>
  <si>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</si>
  <si>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</si>
  <si>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</si>
  <si>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</si>
  <si>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</si>
  <si>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</si>
  <si>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</si>
  <si>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</si>
  <si>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</si>
  <si>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</si>
  <si>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</si>
  <si>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</si>
  <si>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</si>
  <si>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</si>
  <si>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</si>
  <si>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</si>
  <si>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</si>
  <si>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</si>
  <si>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</si>
  <si>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</si>
  <si>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</si>
  <si>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</si>
  <si>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</si>
  <si>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</si>
  <si>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</si>
  <si>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</si>
  <si>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</si>
  <si>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</si>
  <si>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</si>
  <si>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</si>
  <si>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</si>
  <si>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</si>
  <si>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</si>
  <si>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</si>
  <si>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</si>
  <si>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</si>
  <si>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</si>
  <si>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</si>
  <si>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</si>
  <si>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</si>
  <si>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</si>
  <si>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</si>
  <si>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</si>
  <si>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</si>
  <si>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</si>
  <si>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</si>
  <si>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</si>
  <si>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</si>
  <si>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</si>
  <si>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</si>
  <si>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</si>
  <si>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</si>
  <si>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</si>
  <si>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</si>
  <si>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</si>
  <si>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</si>
  <si>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</si>
  <si>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</si>
  <si>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</si>
  <si>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</si>
  <si>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</si>
  <si>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</si>
  <si>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</si>
  <si>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</si>
  <si>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</si>
  <si>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</si>
  <si>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</si>
  <si>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</si>
  <si>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</si>
  <si>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</si>
  <si>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</si>
  <si>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</si>
  <si>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</si>
  <si>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</si>
  <si>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</si>
  <si>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</si>
  <si>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</si>
  <si>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</si>
  <si>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</si>
  <si>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</si>
  <si>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</si>
  <si>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</si>
  <si>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</si>
  <si>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</si>
  <si>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</si>
  <si>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</si>
  <si>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</si>
  <si>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</si>
  <si>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</si>
  <si>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</si>
  <si>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</si>
  <si>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</si>
  <si>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</si>
  <si>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</si>
  <si>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Makula Radek</t>
  </si>
  <si>
    <t>38:00</t>
  </si>
  <si>
    <t>29:00</t>
  </si>
  <si>
    <t>Vychivskyi Volodymyr</t>
  </si>
  <si>
    <t>63:00</t>
  </si>
  <si>
    <t>Šebesta Tomáš</t>
  </si>
  <si>
    <t>23:00</t>
  </si>
  <si>
    <t>Kačena Stanislav</t>
  </si>
  <si>
    <t>6:00</t>
  </si>
  <si>
    <t>Nováková Adéla</t>
  </si>
  <si>
    <t>69:00</t>
  </si>
  <si>
    <t>13:00</t>
  </si>
  <si>
    <t>7:00</t>
  </si>
  <si>
    <t>11 min 02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</si>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</sst>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46154.0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Úterý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1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1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Tomáš,Nováková Adéla,Makula Radek,Putna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46143.0</v>
      </c>
      <c r="D1" s="108" t="s">
        <v>631</v>
      </c>
      <c r="E1" s="109">
        <v>46173.0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0.32496139858532447</v>
      </c>
      <c r="H2" s="20"/>
      <c r="I2" s="113">
        <v>270705.0</v>
      </c>
      <c r="K2" s="20"/>
      <c r="L2" s="114" t="s">
        <v>589</v>
      </c>
      <c r="M2" s="115">
        <v>97298.0</v>
      </c>
      <c r="N2" s="116"/>
    </row>
    <row r="3">
      <c r="A3" s="117"/>
      <c r="B3" s="118" t="str">
        <f>CHOOSE(WEEKDAY(C1), "Neděle", "Pondělí", "Úterý", "Středa", "Čtvrtek", "Pátek", "Sobota")</f>
        <v>Pátek</v>
      </c>
      <c r="C3" s="26"/>
      <c r="D3" s="118" t="str">
        <f>CHOOSE(WEEKDAY(E1), "Neděle", "Pondělí", "Úterý", "Středa", "Čtvrtek", "Pátek", "Sobota")</f>
        <v>Neděle</v>
      </c>
      <c r="E3" s="10"/>
      <c r="H3" s="20"/>
      <c r="K3" s="20"/>
      <c r="L3" s="119" t="s">
        <v>590</v>
      </c>
      <c r="M3" s="120">
        <v>51342.0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51506.0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33154.0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1314.0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145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69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-1937.0</v>
      </c>
      <c r="K9" s="10"/>
      <c r="L9" s="142" t="s">
        <v>597</v>
      </c>
      <c r="M9" s="120">
        <v>24234.0</v>
      </c>
      <c r="N9" s="116"/>
    </row>
    <row r="10" ht="18.75" customHeight="1">
      <c r="A10" s="143"/>
      <c r="B10" s="144" t="s">
        <v>635</v>
      </c>
      <c r="C10" s="145">
        <v>5.0</v>
      </c>
      <c r="D10" s="145" t="s">
        <v>636</v>
      </c>
      <c r="E10" s="146" t="s">
        <v>637</v>
      </c>
      <c r="F10" s="144" t="s">
        <v>638</v>
      </c>
      <c r="G10" s="145">
        <v>5.0</v>
      </c>
      <c r="H10" s="145" t="s">
        <v>639</v>
      </c>
      <c r="I10" s="147">
        <v>32.0</v>
      </c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640</v>
      </c>
      <c r="C11" s="145">
        <v>4.0</v>
      </c>
      <c r="D11" s="145" t="s">
        <v>636</v>
      </c>
      <c r="E11" s="146" t="s">
        <v>641</v>
      </c>
      <c r="F11" s="144" t="s">
        <v>642</v>
      </c>
      <c r="G11" s="145">
        <v>1.0</v>
      </c>
      <c r="H11" s="145" t="s">
        <v>643</v>
      </c>
      <c r="I11" s="147">
        <v>3.0</v>
      </c>
      <c r="J11" s="35"/>
      <c r="K11" s="20"/>
      <c r="L11" s="148" t="s">
        <v>596</v>
      </c>
      <c r="M11" s="149">
        <v>6262.0</v>
      </c>
      <c r="N11" s="116"/>
    </row>
    <row r="12" ht="18.75" customHeight="1">
      <c r="A12" s="143"/>
      <c r="B12" s="144" t="s">
        <v>644</v>
      </c>
      <c r="C12" s="145">
        <v>6.0</v>
      </c>
      <c r="D12" s="145" t="s">
        <v>645</v>
      </c>
      <c r="E12" s="146" t="s">
        <v>646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/>
      <c r="C13" s="145"/>
      <c r="D13" s="145"/>
      <c r="E13" s="146" t="s">
        <v>646</v>
      </c>
      <c r="F13" s="144"/>
      <c r="G13" s="145"/>
      <c r="H13" s="145"/>
      <c r="I13" s="147"/>
      <c r="J13" s="35"/>
      <c r="K13" s="20"/>
      <c r="L13" s="142" t="s">
        <v>608</v>
      </c>
      <c r="M13" s="120">
        <v>1700.0</v>
      </c>
      <c r="N13" s="116"/>
    </row>
    <row r="14" ht="18.75" customHeight="1">
      <c r="A14" s="143"/>
      <c r="B14" s="144"/>
      <c r="C14" s="145"/>
      <c r="D14" s="145"/>
      <c r="E14" s="146" t="s">
        <v>647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647</v>
      </c>
      <c r="F15" s="144"/>
      <c r="G15" s="145"/>
      <c r="H15" s="145"/>
      <c r="I15" s="147"/>
      <c r="J15" s="35"/>
      <c r="K15" s="20"/>
      <c r="L15" s="151" t="s">
        <v>610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863.0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1095.0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8.0</v>
      </c>
      <c r="K21" s="165">
        <v>2838.0</v>
      </c>
      <c r="L21" s="166">
        <v>5.0</v>
      </c>
      <c r="M21" s="167" t="s">
        <v>648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5.0</v>
      </c>
      <c r="K24" s="166">
        <v>655.0</v>
      </c>
      <c r="L24" s="166">
        <v>65.0</v>
      </c>
      <c r="M24" s="173">
        <v>3.0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2.0</v>
      </c>
      <c r="K27" s="94"/>
      <c r="L27" s="179">
        <v>0.0821969696969697</v>
      </c>
      <c r="M27" s="180">
        <v>2.0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0.9178030303030302</v>
      </c>
      <c r="M30" s="184">
        <v>0.03636363636363636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4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185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185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185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185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4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185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4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4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185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185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4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4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185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185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185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185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185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185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185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185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185"/>
      <c r="B58" s="185"/>
      <c r="C58" s="187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185"/>
      <c r="B59" s="185"/>
      <c r="C59" s="187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185"/>
      <c r="B60" s="185"/>
      <c r="C60" s="187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185"/>
      <c r="B61" s="185"/>
      <c r="C61" s="187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185"/>
      <c r="B62" s="185"/>
      <c r="C62" s="187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185"/>
      <c r="B63" s="185"/>
      <c r="C63" s="187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185"/>
      <c r="B64" s="185"/>
      <c r="C64" s="187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185"/>
      <c r="B65" s="185"/>
      <c r="C65" s="187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185"/>
      <c r="B66" s="185"/>
      <c r="C66" s="187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185"/>
      <c r="B67" s="185"/>
      <c r="C67" s="187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185"/>
      <c r="B70" s="185"/>
      <c r="C70" s="187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185"/>
      <c r="B71" s="185"/>
      <c r="C71" s="187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185"/>
      <c r="B73" s="185"/>
      <c r="C73" s="187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185"/>
      <c r="B74" s="187"/>
      <c r="C74" s="187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E77" s="185"/>
      <c r="AF77" s="185"/>
    </row>
    <row r="78">
      <c r="A78" s="185"/>
      <c r="B78" s="185"/>
      <c r="C78" s="187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E78" s="185"/>
      <c r="AF78" s="185"/>
    </row>
    <row r="79">
      <c r="A79" s="185"/>
      <c r="B79" s="185"/>
      <c r="C79" s="187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185"/>
      <c r="B80" s="185"/>
      <c r="C80" s="187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E80" s="185"/>
      <c r="AF80" s="185"/>
    </row>
    <row r="81">
      <c r="A81" s="185"/>
      <c r="B81" s="185"/>
      <c r="C81" s="187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E81" s="185"/>
      <c r="AF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185"/>
      <c r="B84" s="185"/>
      <c r="C84" s="18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185"/>
      <c r="B85" s="185"/>
      <c r="C85" s="187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S101" s="185"/>
      <c r="T101" s="185"/>
      <c r="U101" s="185"/>
      <c r="V101" s="185"/>
      <c r="W101" s="185"/>
      <c r="X101" s="185"/>
      <c r="Y101" s="185"/>
      <c r="Z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S104" s="185"/>
      <c r="T104" s="185"/>
      <c r="U104" s="185"/>
      <c r="V104" s="185"/>
      <c r="W104" s="185"/>
      <c r="X104" s="185"/>
      <c r="Y104" s="185"/>
      <c r="Z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O114" s="185"/>
      <c r="P114" s="185"/>
      <c r="Q114" s="185"/>
      <c r="S114" s="185"/>
      <c r="T114" s="185"/>
      <c r="U114" s="185"/>
      <c r="V114" s="185"/>
      <c r="W114" s="185"/>
      <c r="X114" s="185"/>
      <c r="Y114" s="185"/>
      <c r="Z114" s="185"/>
      <c r="AB114" s="185"/>
      <c r="AC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S117" s="185"/>
      <c r="T117" s="185"/>
      <c r="U117" s="185"/>
      <c r="V117" s="185"/>
      <c r="W117" s="185"/>
      <c r="X117" s="185"/>
      <c r="Y117" s="185"/>
      <c r="Z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O119" s="185"/>
      <c r="P119" s="185"/>
      <c r="Q119" s="185"/>
      <c r="S119" s="185"/>
      <c r="T119" s="185"/>
      <c r="U119" s="185"/>
      <c r="V119" s="185"/>
      <c r="W119" s="185"/>
      <c r="X119" s="185"/>
      <c r="Y119" s="185"/>
      <c r="Z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649</v>
      </c>
      <c r="B4" s="191" t="s">
        <v>650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IFERROR(__xludf.DUMMYFUNCTION("""COMPUTED_VALUE"""),"Chodov")</f>
        <v>Chodov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/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IFERROR(__xludf.DUMMYFUNCTION("""COMPUTED_VALUE"""),2789.082580645161)</f>
        <v>2789.082581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IFERROR(__xludf.DUMMYFUNCTION("""COMPUTED_VALUE"""),2789.082580645161)</f>
        <v>2789.082581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/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IFERROR(__xludf.DUMMYFUNCTION("""COMPUTED_VALUE"""),"Chodov")</f>
        <v>Chodov</v>
      </c>
      <c r="F28" s="2" t="str">
        <f>IFERROR(__xludf.DUMMYFUNCTION("""COMPUTED_VALUE"""),"Malešice")</f>
        <v>Malešice</v>
      </c>
      <c r="G28" s="2" t="str">
        <f>IFERROR(__xludf.DUMMYFUNCTION("""COMPUTED_VALUE"""),"Zličín")</f>
        <v>Zličín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/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IFERROR(__xludf.DUMMYFUNCTION("""COMPUTED_VALUE"""),2494.722580645161)</f>
        <v>2494.722581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IFERROR(__xludf.DUMMYFUNCTION("""COMPUTED_VALUE"""),1596.967741935484)</f>
        <v>1596.967742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IFERROR(__xludf.DUMMYFUNCTION("""COMPUTED_VALUE"""),0.0)</f>
        <v>0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IFERROR(__xludf.DUMMYFUNCTION("""COMPUTED_VALUE"""),0.0)</f>
        <v>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IFERROR(__xludf.DUMMYFUNCTION("""COMPUTED_VALUE"""),0.0)</f>
        <v>0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IFERROR(__xludf.DUMMYFUNCTION("""COMPUTED_VALUE"""),0.0)</f>
        <v>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651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652</v>
      </c>
      <c r="B2" s="4" t="s">
        <v>653</v>
      </c>
      <c r="C2" s="4" t="s">
        <v>654</v>
      </c>
      <c r="D2" s="4" t="s">
        <v>655</v>
      </c>
      <c r="E2" s="4" t="s">
        <v>656</v>
      </c>
      <c r="F2" s="4" t="s">
        <v>657</v>
      </c>
      <c r="G2" s="4" t="s">
        <v>658</v>
      </c>
      <c r="H2" s="4" t="s">
        <v>659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660</v>
      </c>
      <c r="B3" s="4" t="s">
        <v>661</v>
      </c>
      <c r="C3" s="185"/>
      <c r="D3" s="185"/>
      <c r="E3" s="4" t="s">
        <v>661</v>
      </c>
      <c r="F3" s="185"/>
      <c r="G3" s="4" t="s">
        <v>662</v>
      </c>
      <c r="H3" s="4" t="s">
        <v>663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664</v>
      </c>
      <c r="B4" s="4" t="s">
        <v>665</v>
      </c>
      <c r="C4" s="4" t="s">
        <v>665</v>
      </c>
      <c r="D4" s="185"/>
      <c r="E4" s="4" t="s">
        <v>666</v>
      </c>
      <c r="F4" s="4" t="s">
        <v>667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668</v>
      </c>
      <c r="B5" s="185"/>
      <c r="C5" s="4" t="s">
        <v>661</v>
      </c>
      <c r="D5" s="4" t="s">
        <v>661</v>
      </c>
      <c r="E5" s="185"/>
      <c r="F5" s="4" t="s">
        <v>662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669</v>
      </c>
      <c r="C6" s="185"/>
      <c r="D6" s="4" t="s">
        <v>666</v>
      </c>
      <c r="E6" s="185"/>
      <c r="F6" s="4" t="s">
        <v>666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670</v>
      </c>
      <c r="C7" s="185"/>
      <c r="D7" s="4" t="s">
        <v>671</v>
      </c>
      <c r="E7" s="4" t="s">
        <v>671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672</v>
      </c>
      <c r="D8" s="4" t="s">
        <v>673</v>
      </c>
      <c r="F8" s="185"/>
      <c r="H8" s="4" t="s">
        <v>673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674</v>
      </c>
      <c r="D9" s="185"/>
      <c r="E9" s="4" t="s">
        <v>675</v>
      </c>
      <c r="F9" s="4" t="s">
        <v>675</v>
      </c>
      <c r="G9" s="4" t="s">
        <v>675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676</v>
      </c>
      <c r="F10" s="185"/>
      <c r="G10" s="4" t="s">
        <v>677</v>
      </c>
      <c r="H10" s="4" t="s">
        <v>678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679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680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681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682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683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684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685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686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687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688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689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690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691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692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693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694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695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696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697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698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699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700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701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702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703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704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705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706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707</v>
      </c>
      <c r="AB141" s="4">
        <v>-10.0</v>
      </c>
    </row>
  </sheetData>
  <mergeCells count="1">
    <mergeCell ref="A1:H1"/>
  </mergeCells>
  <drawing r:id="rId1"/>
</worksheet>
</file>