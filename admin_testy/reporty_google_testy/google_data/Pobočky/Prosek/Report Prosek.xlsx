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DatabaseRestia" sheetId="1" state="visible" r:id="rId3"/>
    <sheet name="Report" sheetId="2" state="visible" r:id="rId4"/>
    <sheet name="Kontrola" sheetId="3" state="visible" r:id="rId5"/>
    <sheet name="RestiaCSV" sheetId="4" state="visible" r:id="rId6"/>
    <sheet name="HR" sheetId="5" state="visible" r:id="rId7"/>
    <sheet name="Denik" sheetId="6" state="visible" r:id="rId8"/>
    <sheet name="Směny" sheetId="7" state="visible" r:id="rId9"/>
  </sheets>
  <definedNames>
    <definedName function="false" hidden="true" localSheetId="3" name="_xlnm._FilterDatabase" vbProcedure="false">RestiaCSV!$A$1:$M$418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<sst xmlns="http://schemas.openxmlformats.org/spreadsheetml/2006/main" count="1935" uniqueCount="705">
  <si>
    <t xml:space="preserve">Datum</t>
  </si>
  <si>
    <t xml:space="preserve">Platforma</t>
  </si>
  <si>
    <t xml:space="preserve">Stav</t>
  </si>
  <si>
    <t xml:space="preserve">Cena</t>
  </si>
  <si>
    <t xml:space="preserve">Sleva</t>
  </si>
  <si>
    <t xml:space="preserve">Kurýr</t>
  </si>
  <si>
    <t xml:space="preserve">Doručení</t>
  </si>
  <si>
    <t xml:space="preserve">Platba</t>
  </si>
  <si>
    <t xml:space="preserve">Vytvořeno</t>
  </si>
  <si>
    <t xml:space="preserve">Připraveno v</t>
  </si>
  <si>
    <t xml:space="preserve">Dokončeno v</t>
  </si>
  <si>
    <t xml:space="preserve">Přenos do dispecinku</t>
  </si>
  <si>
    <t xml:space="preserve">Zpoždění</t>
  </si>
  <si>
    <t xml:space="preserve">Přiřazení WoltDrivu</t>
  </si>
  <si>
    <t xml:space="preserve">Make Time</t>
  </si>
  <si>
    <t xml:space="preserve">wolt</t>
  </si>
  <si>
    <t xml:space="preserve">delivered</t>
  </si>
  <si>
    <t xml:space="preserve">Wolt Kurýr</t>
  </si>
  <si>
    <t xml:space="preserve">external-delivery</t>
  </si>
  <si>
    <t xml:space="preserve">online</t>
  </si>
  <si>
    <t xml:space="preserve">2024-08-19T23:58:58.749+02:00</t>
  </si>
  <si>
    <t xml:space="preserve">2024-08-20T00:10:47.895+02:00</t>
  </si>
  <si>
    <t xml:space="preserve">generic</t>
  </si>
  <si>
    <t xml:space="preserve">David Sarkozi</t>
  </si>
  <si>
    <t xml:space="preserve">delivery</t>
  </si>
  <si>
    <t xml:space="preserve">2024-08-19T23:58:03.178+02:00</t>
  </si>
  <si>
    <t xml:space="preserve">2024-08-20T00:08:47.664+02:00</t>
  </si>
  <si>
    <t xml:space="preserve">2024-08-20T00:25:53.970+02:00</t>
  </si>
  <si>
    <t xml:space="preserve">2024-08-19T23:58:03.744+02:00</t>
  </si>
  <si>
    <t xml:space="preserve">2024-08-19T23:56:29.395+02:00</t>
  </si>
  <si>
    <t xml:space="preserve">2024-08-20T00:06:31.879+02:00</t>
  </si>
  <si>
    <t xml:space="preserve">bolt</t>
  </si>
  <si>
    <t xml:space="preserve">ready_pickup</t>
  </si>
  <si>
    <t xml:space="preserve">Rakib</t>
  </si>
  <si>
    <t xml:space="preserve">2024-08-19T23:48:48.507+02:00</t>
  </si>
  <si>
    <t xml:space="preserve">2024-08-20T00:01:52.755+02:00</t>
  </si>
  <si>
    <t xml:space="preserve">Karel</t>
  </si>
  <si>
    <t xml:space="preserve">2024-08-19T23:42:56.580+02:00</t>
  </si>
  <si>
    <t xml:space="preserve">2024-08-19T23:51:37.779+02:00</t>
  </si>
  <si>
    <t xml:space="preserve">2024-08-19T23:33:49.070+02:00</t>
  </si>
  <si>
    <t xml:space="preserve">2024-08-19T23:47:07.826+02:00</t>
  </si>
  <si>
    <t xml:space="preserve">2024-08-19T23:31:39.363+02:00</t>
  </si>
  <si>
    <t xml:space="preserve">2024-08-19T23:43:55.743+02:00</t>
  </si>
  <si>
    <t xml:space="preserve">cash</t>
  </si>
  <si>
    <t xml:space="preserve">2024-08-19T23:25:03.311+02:00</t>
  </si>
  <si>
    <t xml:space="preserve">2024-08-19T23:36:43.715+02:00</t>
  </si>
  <si>
    <t xml:space="preserve">2024-08-20T00:04:51.283+02:00</t>
  </si>
  <si>
    <t xml:space="preserve">2024-08-19T23:25:03.917+02:00</t>
  </si>
  <si>
    <t xml:space="preserve">2024-08-19T23:23:03.045+02:00</t>
  </si>
  <si>
    <t xml:space="preserve">2024-08-19T23:33:28.787+02:00</t>
  </si>
  <si>
    <t xml:space="preserve">2024-08-19T23:50:59.104+02:00</t>
  </si>
  <si>
    <t xml:space="preserve">2024-08-19T23:23:03.542+02:00</t>
  </si>
  <si>
    <t xml:space="preserve">2024-08-19T23:15:42.317+02:00</t>
  </si>
  <si>
    <t xml:space="preserve">2024-08-19T23:32:08.801+02:00</t>
  </si>
  <si>
    <t xml:space="preserve">damejidlo</t>
  </si>
  <si>
    <t xml:space="preserve">2024-08-19T23:14:58.535+02:00</t>
  </si>
  <si>
    <t xml:space="preserve">2024-08-19T23:26:49.035+02:00</t>
  </si>
  <si>
    <t xml:space="preserve">2024-08-19T23:14:57.369+02:00</t>
  </si>
  <si>
    <t xml:space="preserve">2024-08-19T23:24:50.897+02:00</t>
  </si>
  <si>
    <t xml:space="preserve">2024-08-19T23:08:04.305+02:00</t>
  </si>
  <si>
    <t xml:space="preserve">2024-08-19T23:19:10.937+02:00</t>
  </si>
  <si>
    <t xml:space="preserve">2024-08-19T23:35:16.750+02:00</t>
  </si>
  <si>
    <t xml:space="preserve">2024-08-19T23:08:04.797+02:00</t>
  </si>
  <si>
    <t xml:space="preserve">2024-08-19T22:39:03.895+02:00</t>
  </si>
  <si>
    <t xml:space="preserve">2024-08-19T22:50:36.631+02:00</t>
  </si>
  <si>
    <t xml:space="preserve">2024-08-19T23:02:14.652+02:00</t>
  </si>
  <si>
    <t xml:space="preserve">2024-08-19T22:39:04.429+02:00</t>
  </si>
  <si>
    <t xml:space="preserve">2024-08-19T22:37:31.754+02:00</t>
  </si>
  <si>
    <t xml:space="preserve">2024-08-19T22:50:32.912+02:00</t>
  </si>
  <si>
    <t xml:space="preserve">2024-08-19T22:31:31.556+02:00</t>
  </si>
  <si>
    <t xml:space="preserve">2024-08-19T22:42:33.025+02:00</t>
  </si>
  <si>
    <t xml:space="preserve">Tibor</t>
  </si>
  <si>
    <t xml:space="preserve">2024-08-19T22:23:03.166+02:00</t>
  </si>
  <si>
    <t xml:space="preserve">2024-08-19T22:34:31.850+02:00</t>
  </si>
  <si>
    <t xml:space="preserve">2024-08-19T22:19:15.867+02:00</t>
  </si>
  <si>
    <t xml:space="preserve">2024-08-19T22:29:46.834+02:00</t>
  </si>
  <si>
    <t xml:space="preserve">pickup</t>
  </si>
  <si>
    <t xml:space="preserve">2024-08-19T21:48:04.353+02:00</t>
  </si>
  <si>
    <t xml:space="preserve">2024-08-19T21:56:38.613+02:00</t>
  </si>
  <si>
    <t xml:space="preserve">canceled</t>
  </si>
  <si>
    <t xml:space="preserve">card</t>
  </si>
  <si>
    <t xml:space="preserve">2024-08-19T21:47:02.850+02:00</t>
  </si>
  <si>
    <t xml:space="preserve">2024-08-19T21:30:32.106+02:00</t>
  </si>
  <si>
    <t xml:space="preserve">2024-08-19T21:40:49.932+02:00</t>
  </si>
  <si>
    <t xml:space="preserve">2024-08-19T21:28:30.881+02:00</t>
  </si>
  <si>
    <t xml:space="preserve">2024-08-19T21:36:34.908+02:00</t>
  </si>
  <si>
    <t xml:space="preserve">2024-08-19T21:22:33.441+02:00</t>
  </si>
  <si>
    <t xml:space="preserve">2024-08-19T21:32:09.961+02:00</t>
  </si>
  <si>
    <t xml:space="preserve">2024-08-19T21:18:02.700+02:00</t>
  </si>
  <si>
    <t xml:space="preserve">2024-08-19T21:29:30.638+02:00</t>
  </si>
  <si>
    <t xml:space="preserve">2024-08-19T22:03:06.023+02:00</t>
  </si>
  <si>
    <t xml:space="preserve">2024-08-19T21:18:03.357+02:00</t>
  </si>
  <si>
    <t xml:space="preserve">2024-08-19T21:13:03.392+02:00</t>
  </si>
  <si>
    <t xml:space="preserve">2024-08-19T21:22:03.603+02:00</t>
  </si>
  <si>
    <t xml:space="preserve">2024-08-19T21:42:09.652+02:00</t>
  </si>
  <si>
    <t xml:space="preserve">2024-08-19T21:13:04.041+02:00</t>
  </si>
  <si>
    <t xml:space="preserve">manual</t>
  </si>
  <si>
    <t xml:space="preserve">2024-08-19T21:11:22.100+02:00</t>
  </si>
  <si>
    <t xml:space="preserve">2024-08-19T21:11:59.916+02:00</t>
  </si>
  <si>
    <t xml:space="preserve">2024-08-19T21:09:04.030+02:00</t>
  </si>
  <si>
    <t xml:space="preserve">2024-08-19T21:19:12.666+02:00</t>
  </si>
  <si>
    <t xml:space="preserve">2024-08-19T21:33:57.270+02:00</t>
  </si>
  <si>
    <t xml:space="preserve">2024-08-19T21:09:04.521+02:00</t>
  </si>
  <si>
    <t xml:space="preserve">2024-08-19T21:05:33.242+02:00</t>
  </si>
  <si>
    <t xml:space="preserve">2024-08-19T21:14:33.054+02:00</t>
  </si>
  <si>
    <t xml:space="preserve">2024-08-19T20:59:31.975+02:00</t>
  </si>
  <si>
    <t xml:space="preserve">2024-08-19T21:08:47.014+02:00</t>
  </si>
  <si>
    <t xml:space="preserve">Shehryar</t>
  </si>
  <si>
    <t xml:space="preserve">2024-08-19T20:54:46.747+02:00</t>
  </si>
  <si>
    <t xml:space="preserve">2024-08-19T21:06:05.751+02:00</t>
  </si>
  <si>
    <t xml:space="preserve">2024-08-19T20:54:33.919+02:00</t>
  </si>
  <si>
    <t xml:space="preserve">2024-08-19T21:05:41.884+02:00</t>
  </si>
  <si>
    <t xml:space="preserve">2024-08-19T20:51:13.748+02:00</t>
  </si>
  <si>
    <t xml:space="preserve">2024-08-19T20:52:07.867+02:00</t>
  </si>
  <si>
    <t xml:space="preserve">2024-08-19T20:43:28.341+02:00</t>
  </si>
  <si>
    <t xml:space="preserve">2024-08-19T20:57:27.636+02:00</t>
  </si>
  <si>
    <t xml:space="preserve">2024-08-19T20:42:30.337+02:00</t>
  </si>
  <si>
    <t xml:space="preserve">2024-08-19T20:54:22.604+02:00</t>
  </si>
  <si>
    <t xml:space="preserve">2024-08-19T20:38:02.760+02:00</t>
  </si>
  <si>
    <t xml:space="preserve">2024-08-19T20:53:17.576+02:00</t>
  </si>
  <si>
    <t xml:space="preserve">2024-08-19T20:37:03.327+02:00</t>
  </si>
  <si>
    <t xml:space="preserve">2024-08-19T20:52:01.586+02:00</t>
  </si>
  <si>
    <t xml:space="preserve">2024-08-19T20:26:05.863+02:00</t>
  </si>
  <si>
    <t xml:space="preserve">2024-08-19T20:38:57.692+02:00</t>
  </si>
  <si>
    <t xml:space="preserve">2024-08-19T20:25:02.914+02:00</t>
  </si>
  <si>
    <t xml:space="preserve">2024-08-19T20:37:44.580+02:00</t>
  </si>
  <si>
    <t xml:space="preserve">2024-08-19T20:24:34.143+02:00</t>
  </si>
  <si>
    <t xml:space="preserve">2024-08-19T20:44:20.765+02:00</t>
  </si>
  <si>
    <t xml:space="preserve">2024-08-19T20:08:32.365+02:00</t>
  </si>
  <si>
    <t xml:space="preserve">2024-08-19T20:22:59.968+02:00</t>
  </si>
  <si>
    <t xml:space="preserve">Ivan</t>
  </si>
  <si>
    <t xml:space="preserve">2024-08-19T20:02:58.509+02:00</t>
  </si>
  <si>
    <t xml:space="preserve">2024-08-19T20:18:15.756+02:00</t>
  </si>
  <si>
    <t xml:space="preserve">2024-08-19T19:59:03.262+02:00</t>
  </si>
  <si>
    <t xml:space="preserve">2024-08-19T20:11:39.915+02:00</t>
  </si>
  <si>
    <t xml:space="preserve">2024-08-19T19:52:03.015+02:00</t>
  </si>
  <si>
    <t xml:space="preserve">2024-08-19T20:02:34.580+02:00</t>
  </si>
  <si>
    <t xml:space="preserve">2024-08-19T19:48:03.550+02:00</t>
  </si>
  <si>
    <t xml:space="preserve">2024-08-19T19:57:14.619+02:00</t>
  </si>
  <si>
    <t xml:space="preserve">2024-08-19T19:44:33.739+02:00</t>
  </si>
  <si>
    <t xml:space="preserve">2024-08-19T20:08:44.852+02:00</t>
  </si>
  <si>
    <t xml:space="preserve">2024-08-19T19:43:03.569+02:00</t>
  </si>
  <si>
    <t xml:space="preserve">2024-08-19T19:59:07.660+02:00</t>
  </si>
  <si>
    <t xml:space="preserve">2024-08-19T20:05:51.653+02:00</t>
  </si>
  <si>
    <t xml:space="preserve">2024-08-19T19:43:04.077+02:00</t>
  </si>
  <si>
    <t xml:space="preserve">2024-08-19T19:39:22.915+02:00</t>
  </si>
  <si>
    <t xml:space="preserve">2024-08-19T19:55:05.137+02:00</t>
  </si>
  <si>
    <t xml:space="preserve">2024-08-19T19:28:38.772+02:00</t>
  </si>
  <si>
    <t xml:space="preserve">2024-08-19T19:51:10.851+02:00</t>
  </si>
  <si>
    <t xml:space="preserve">2024-08-19T19:28:03.094+02:00</t>
  </si>
  <si>
    <t xml:space="preserve">2024-08-19T19:47:43.642+02:00</t>
  </si>
  <si>
    <t xml:space="preserve">2024-08-19T19:26:32.666+02:00</t>
  </si>
  <si>
    <t xml:space="preserve">2024-08-19T19:48:56.057+02:00</t>
  </si>
  <si>
    <t xml:space="preserve">2024-08-19T19:22:31.220+02:00</t>
  </si>
  <si>
    <t xml:space="preserve">2024-08-19T19:29:55.922+02:00</t>
  </si>
  <si>
    <t xml:space="preserve">2024-08-19T19:14:02.588+02:00</t>
  </si>
  <si>
    <t xml:space="preserve">2024-08-19T19:28:37.733+02:00</t>
  </si>
  <si>
    <t xml:space="preserve">2024-08-19T19:45:04.398+02:00</t>
  </si>
  <si>
    <t xml:space="preserve">2024-08-19T19:26:26.162+02:00</t>
  </si>
  <si>
    <t xml:space="preserve">2024-08-19T19:11:03.170+02:00</t>
  </si>
  <si>
    <t xml:space="preserve">2024-08-19T19:10:32.538+02:00</t>
  </si>
  <si>
    <t xml:space="preserve">2024-08-19T19:23:43.858+02:00</t>
  </si>
  <si>
    <t xml:space="preserve">2024-08-19T19:07:48.806+02:00</t>
  </si>
  <si>
    <t xml:space="preserve">2024-08-19T19:16:21.593+02:00</t>
  </si>
  <si>
    <t xml:space="preserve">2024-08-19T19:07:33.472+02:00</t>
  </si>
  <si>
    <t xml:space="preserve">2024-08-19T19:20:20.924+02:00</t>
  </si>
  <si>
    <t xml:space="preserve">2024-08-19T19:02:02.259+02:00</t>
  </si>
  <si>
    <t xml:space="preserve">2024-08-19T19:14:05.596+02:00</t>
  </si>
  <si>
    <t xml:space="preserve">2024-08-19T18:55:03.050+02:00</t>
  </si>
  <si>
    <t xml:space="preserve">2024-08-19T19:09:36.958+02:00</t>
  </si>
  <si>
    <t xml:space="preserve">2024-08-19T19:32:35.367+02:00</t>
  </si>
  <si>
    <t xml:space="preserve">2024-08-19T18:55:03.811+02:00</t>
  </si>
  <si>
    <t xml:space="preserve">2024-08-19T18:53:57.517+02:00</t>
  </si>
  <si>
    <t xml:space="preserve">2024-08-19T19:11:34.042+02:00</t>
  </si>
  <si>
    <t xml:space="preserve">2024-08-19T18:50:04.868+02:00</t>
  </si>
  <si>
    <t xml:space="preserve">2024-08-19T19:01:06.624+02:00</t>
  </si>
  <si>
    <t xml:space="preserve">2024-08-19T19:21:44.901+02:00</t>
  </si>
  <si>
    <t xml:space="preserve">2024-08-19T18:50:05.462+02:00</t>
  </si>
  <si>
    <t xml:space="preserve">2024-08-19T18:44:35.209+02:00</t>
  </si>
  <si>
    <t xml:space="preserve">2024-08-19T18:55:21.828+02:00</t>
  </si>
  <si>
    <t xml:space="preserve">2024-08-19T18:41:22.809+02:00</t>
  </si>
  <si>
    <t xml:space="preserve">2024-08-19T18:51:03.576+02:00</t>
  </si>
  <si>
    <t xml:space="preserve">2024-08-19T18:37:02.626+02:00</t>
  </si>
  <si>
    <t xml:space="preserve">2024-08-19T20:06:41.576+02:00</t>
  </si>
  <si>
    <t xml:space="preserve">2024-08-19T18:26:36.258+02:00</t>
  </si>
  <si>
    <t xml:space="preserve">2024-08-19T18:38:59.556+02:00</t>
  </si>
  <si>
    <t xml:space="preserve">Jaroslava</t>
  </si>
  <si>
    <t xml:space="preserve">2024-08-19T18:24:39.678+02:00</t>
  </si>
  <si>
    <t xml:space="preserve">2024-08-19T18:42:42.837+02:00</t>
  </si>
  <si>
    <t xml:space="preserve">2024-08-19T18:23:03.373+02:00</t>
  </si>
  <si>
    <t xml:space="preserve">2024-08-19T18:44:23.619+02:00</t>
  </si>
  <si>
    <t xml:space="preserve">2024-08-19T19:00:07.904+02:00</t>
  </si>
  <si>
    <t xml:space="preserve">2024-08-19T18:23:03.909+02:00</t>
  </si>
  <si>
    <t xml:space="preserve">2024-08-19T18:15:03.437+02:00</t>
  </si>
  <si>
    <t xml:space="preserve">2024-08-19T18:30:12.559+02:00</t>
  </si>
  <si>
    <t xml:space="preserve">2024-08-19T18:46:22.021+02:00</t>
  </si>
  <si>
    <t xml:space="preserve">2024-08-19T18:15:03.948+02:00</t>
  </si>
  <si>
    <t xml:space="preserve">2024-08-19T18:14:02.908+02:00</t>
  </si>
  <si>
    <t xml:space="preserve">2024-08-19T18:27:12.649+02:00</t>
  </si>
  <si>
    <t xml:space="preserve">2024-08-19T19:01:46.863+02:00</t>
  </si>
  <si>
    <t xml:space="preserve">2024-08-19T18:25:00.974+02:00</t>
  </si>
  <si>
    <t xml:space="preserve">2024-08-19T18:11:03.368+02:00</t>
  </si>
  <si>
    <t xml:space="preserve">2024-08-19T18:23:38.549+02:00</t>
  </si>
  <si>
    <t xml:space="preserve">2024-08-19T18:02:29.683+02:00</t>
  </si>
  <si>
    <t xml:space="preserve">2024-08-19T18:11:05.826+02:00</t>
  </si>
  <si>
    <t xml:space="preserve">2024-08-19T17:59:30.778+02:00</t>
  </si>
  <si>
    <t xml:space="preserve">2024-08-19T18:10:14.148+02:00</t>
  </si>
  <si>
    <t xml:space="preserve">2024-08-19T17:51:44.943+02:00</t>
  </si>
  <si>
    <t xml:space="preserve">2024-08-19T18:02:04.071+02:00</t>
  </si>
  <si>
    <t xml:space="preserve">2024-08-19T17:50:02.401+02:00</t>
  </si>
  <si>
    <t xml:space="preserve">2024-08-19T17:58:19.676+02:00</t>
  </si>
  <si>
    <t xml:space="preserve">2024-08-19T17:39:27.683+02:00</t>
  </si>
  <si>
    <t xml:space="preserve">2024-08-19T17:51:22.805+02:00</t>
  </si>
  <si>
    <t xml:space="preserve">2024-08-19T17:36:03.509+02:00</t>
  </si>
  <si>
    <t xml:space="preserve">2024-08-19T17:23:02.659+02:00</t>
  </si>
  <si>
    <t xml:space="preserve">2024-08-19T17:32:17.529+02:00</t>
  </si>
  <si>
    <t xml:space="preserve">2024-08-19T17:19:03.523+02:00</t>
  </si>
  <si>
    <t xml:space="preserve">2024-08-19T17:29:29.550+02:00</t>
  </si>
  <si>
    <t xml:space="preserve">2024-08-19T17:18:02.819+02:00</t>
  </si>
  <si>
    <t xml:space="preserve">2024-08-19T17:27:57.586+02:00</t>
  </si>
  <si>
    <t xml:space="preserve">2024-08-19T17:12:26.254+02:00</t>
  </si>
  <si>
    <t xml:space="preserve">2024-08-19T17:23:40.918+02:00</t>
  </si>
  <si>
    <t xml:space="preserve">Richard</t>
  </si>
  <si>
    <t xml:space="preserve">2024-08-19T16:55:12.931+02:00</t>
  </si>
  <si>
    <t xml:space="preserve">2024-08-19T17:07:14.988+02:00</t>
  </si>
  <si>
    <t xml:space="preserve">Ondřej Navrátil</t>
  </si>
  <si>
    <t xml:space="preserve">2024-08-19T16:18:04.281+02:00</t>
  </si>
  <si>
    <t xml:space="preserve">2024-08-19T16:25:21.622+02:00</t>
  </si>
  <si>
    <t xml:space="preserve">2024-08-19T16:37:28.975+02:00</t>
  </si>
  <si>
    <t xml:space="preserve">2024-08-19T16:18:04.869+02:00</t>
  </si>
  <si>
    <t xml:space="preserve">2024-08-19T16:12:30.605+02:00</t>
  </si>
  <si>
    <t xml:space="preserve">2024-08-19T16:24:06.817+02:00</t>
  </si>
  <si>
    <t xml:space="preserve">2024-08-19T16:09:03.598+02:00</t>
  </si>
  <si>
    <t xml:space="preserve">2024-08-19T16:19:16.644+02:00</t>
  </si>
  <si>
    <t xml:space="preserve">2024-08-19T16:32:14.009+02:00</t>
  </si>
  <si>
    <t xml:space="preserve">2024-08-19T16:09:04.394+02:00</t>
  </si>
  <si>
    <t xml:space="preserve">2024-08-19T16:04:26.278+02:00</t>
  </si>
  <si>
    <t xml:space="preserve">2024-08-19T16:14:55.919+02:00</t>
  </si>
  <si>
    <t xml:space="preserve">2024-08-19T15:41:03.255+02:00</t>
  </si>
  <si>
    <t xml:space="preserve">2024-08-19T15:52:31.578+02:00</t>
  </si>
  <si>
    <t xml:space="preserve">2024-08-19T15:24:02.185+02:00</t>
  </si>
  <si>
    <t xml:space="preserve">2024-08-19T15:38:20.583+02:00</t>
  </si>
  <si>
    <t xml:space="preserve">2024-08-19T15:53:24.675+02:00</t>
  </si>
  <si>
    <t xml:space="preserve">2024-08-19T15:24:02.705+02:00</t>
  </si>
  <si>
    <t xml:space="preserve">2024-08-19T15:03:19.776+02:00</t>
  </si>
  <si>
    <t xml:space="preserve">2024-08-19T15:11:48.768+02:00</t>
  </si>
  <si>
    <t xml:space="preserve">Anna</t>
  </si>
  <si>
    <t xml:space="preserve">2024-08-19T15:02:28.706+02:00</t>
  </si>
  <si>
    <t xml:space="preserve">2024-08-19T15:16:44.654+02:00</t>
  </si>
  <si>
    <t xml:space="preserve">2024-08-19T14:56:35.134+02:00</t>
  </si>
  <si>
    <t xml:space="preserve">2024-08-19T15:09:23.451+02:00</t>
  </si>
  <si>
    <t xml:space="preserve">2024-08-19T14:54:02.976+02:00</t>
  </si>
  <si>
    <t xml:space="preserve">2024-08-19T15:09:19.470+02:00</t>
  </si>
  <si>
    <t xml:space="preserve">2024-08-19T14:52:04.211+02:00</t>
  </si>
  <si>
    <t xml:space="preserve">2024-08-19T15:08:17.527+02:00</t>
  </si>
  <si>
    <t xml:space="preserve">2024-08-19T15:14:31.598+02:00</t>
  </si>
  <si>
    <t xml:space="preserve">2024-08-19T14:52:04.716+02:00</t>
  </si>
  <si>
    <t xml:space="preserve">2024-08-19T14:51:29.634+02:00</t>
  </si>
  <si>
    <t xml:space="preserve">2024-08-19T15:00:45.597+02:00</t>
  </si>
  <si>
    <t xml:space="preserve">2024-08-19T14:34:04.226+02:00</t>
  </si>
  <si>
    <t xml:space="preserve">2024-08-19T14:42:14.510+02:00</t>
  </si>
  <si>
    <t xml:space="preserve">2024-08-19T15:00:14.407+02:00</t>
  </si>
  <si>
    <t xml:space="preserve">2024-08-19T14:34:04.781+02:00</t>
  </si>
  <si>
    <t xml:space="preserve">2024-08-19T14:24:03.308+02:00</t>
  </si>
  <si>
    <t xml:space="preserve">2024-08-19T14:36:03.525+02:00</t>
  </si>
  <si>
    <t xml:space="preserve">2024-08-19T14:43:13.926+02:00</t>
  </si>
  <si>
    <t xml:space="preserve">2024-08-19T14:24:04.010+02:00</t>
  </si>
  <si>
    <t xml:space="preserve">2024-08-19T14:24:03.297+02:00</t>
  </si>
  <si>
    <t xml:space="preserve">2024-08-19T14:33:18.494+02:00</t>
  </si>
  <si>
    <t xml:space="preserve">Gabriela</t>
  </si>
  <si>
    <t xml:space="preserve">2024-08-19T14:16:24.678+02:00</t>
  </si>
  <si>
    <t xml:space="preserve">2024-08-19T14:23:04.770+02:00</t>
  </si>
  <si>
    <t xml:space="preserve">2024-08-19T14:12:59.986+02:00</t>
  </si>
  <si>
    <t xml:space="preserve">2024-08-19T14:20:02.916+02:00</t>
  </si>
  <si>
    <t xml:space="preserve">2024-08-19T13:58:42.893+02:00</t>
  </si>
  <si>
    <t xml:space="preserve">2024-08-19T14:15:22.853+02:00</t>
  </si>
  <si>
    <t xml:space="preserve">2024-08-19T13:56:24.775+02:00</t>
  </si>
  <si>
    <t xml:space="preserve">2024-08-19T14:13:24.833+02:00</t>
  </si>
  <si>
    <t xml:space="preserve">2024-08-19T13:53:01.768+02:00</t>
  </si>
  <si>
    <t xml:space="preserve">2024-08-19T14:04:31.287+02:00</t>
  </si>
  <si>
    <t xml:space="preserve">2024-08-19T13:52:02.981+02:00</t>
  </si>
  <si>
    <t xml:space="preserve">2024-08-19T14:08:47.513+02:00</t>
  </si>
  <si>
    <t xml:space="preserve">2024-08-19T14:37:36.283+02:00</t>
  </si>
  <si>
    <t xml:space="preserve">2024-08-19T14:04:39.371+02:00</t>
  </si>
  <si>
    <t xml:space="preserve">2024-08-19T13:43:52.654+02:00</t>
  </si>
  <si>
    <t xml:space="preserve">2024-08-19T13:54:34.484+02:00</t>
  </si>
  <si>
    <t xml:space="preserve">2024-08-19T13:41:30.691+02:00</t>
  </si>
  <si>
    <t xml:space="preserve">2024-08-19T13:58:03.114+02:00</t>
  </si>
  <si>
    <t xml:space="preserve">Mesl Petr</t>
  </si>
  <si>
    <t xml:space="preserve">2024-08-19T13:40:45.792+02:00</t>
  </si>
  <si>
    <t xml:space="preserve">2024-08-19T14:00:50.647+02:00</t>
  </si>
  <si>
    <t xml:space="preserve">2024-08-19T13:12:19.509+02:00</t>
  </si>
  <si>
    <t xml:space="preserve">2024-08-19T13:21:50.752+02:00</t>
  </si>
  <si>
    <t xml:space="preserve">2024-08-19T13:02:18.327+02:00</t>
  </si>
  <si>
    <t xml:space="preserve">2024-08-19T13:10:30.752+02:00</t>
  </si>
  <si>
    <t xml:space="preserve">2024-08-19T12:45:03.318+02:00</t>
  </si>
  <si>
    <t xml:space="preserve">2024-08-19T12:57:34.771+02:00</t>
  </si>
  <si>
    <t xml:space="preserve">2024-08-19T12:44:37.632+02:00</t>
  </si>
  <si>
    <t xml:space="preserve">2024-08-19T12:59:22.712+02:00</t>
  </si>
  <si>
    <t xml:space="preserve">Roman</t>
  </si>
  <si>
    <t xml:space="preserve">2024-08-19T12:40:26.846+02:00</t>
  </si>
  <si>
    <t xml:space="preserve">2024-08-19T12:48:59.698+02:00</t>
  </si>
  <si>
    <t xml:space="preserve">2024-08-19T12:25:45.907+02:00</t>
  </si>
  <si>
    <t xml:space="preserve">2024-08-19T12:34:36.784+02:00</t>
  </si>
  <si>
    <t xml:space="preserve">2024-08-19T12:06:58.182+02:00</t>
  </si>
  <si>
    <t xml:space="preserve">2024-08-19T12:18:50.833+02:00</t>
  </si>
  <si>
    <t xml:space="preserve">Petro</t>
  </si>
  <si>
    <t xml:space="preserve">2024-08-19T11:54:12.786+02:00</t>
  </si>
  <si>
    <t xml:space="preserve">2024-08-19T12:08:00.691+02:00</t>
  </si>
  <si>
    <t xml:space="preserve">2024-08-19T11:42:03.601+02:00</t>
  </si>
  <si>
    <t xml:space="preserve">2024-08-19T11:52:12.986+02:00</t>
  </si>
  <si>
    <t xml:space="preserve">2024-08-19T11:24:04.165+02:00</t>
  </si>
  <si>
    <t xml:space="preserve">2024-08-19T11:39:43.737+02:00</t>
  </si>
  <si>
    <t xml:space="preserve">Kanatbek</t>
  </si>
  <si>
    <t xml:space="preserve">2024-08-19T11:24:00.410+02:00</t>
  </si>
  <si>
    <t xml:space="preserve">2024-08-19T11:34:55.545+02:00</t>
  </si>
  <si>
    <t xml:space="preserve">2024-08-19T11:18:02.395+02:00</t>
  </si>
  <si>
    <t xml:space="preserve">2024-08-19T11:25:11.405+02:00</t>
  </si>
  <si>
    <t xml:space="preserve">2024-08-19T11:38:30.924+02:00</t>
  </si>
  <si>
    <t xml:space="preserve">2024-08-19T11:18:03.011+02:00</t>
  </si>
  <si>
    <t xml:space="preserve">Oleksandr</t>
  </si>
  <si>
    <t xml:space="preserve">2024-08-19T11:02:39.103+02:00</t>
  </si>
  <si>
    <t xml:space="preserve">2024-08-19T11:19:26.499+02:00</t>
  </si>
  <si>
    <t xml:space="preserve">2024-08-19T10:59:02.484+02:00</t>
  </si>
  <si>
    <t xml:space="preserve">2024-08-19T11:17:41.369+02:00</t>
  </si>
  <si>
    <t xml:space="preserve">2024-08-19T11:37:12.093+02:00</t>
  </si>
  <si>
    <t xml:space="preserve">2024-08-19T11:18:36.368+02:00</t>
  </si>
  <si>
    <t xml:space="preserve">2024-08-19T10:43:03.671+02:00</t>
  </si>
  <si>
    <t xml:space="preserve">2024-08-19T11:14:21.411+02:00</t>
  </si>
  <si>
    <t xml:space="preserve">2024-08-19T11:26:46.026+02:00</t>
  </si>
  <si>
    <t xml:space="preserve">2024-08-19T11:10:40.069+02:00</t>
  </si>
  <si>
    <t xml:space="preserve">2024-08-31T01:40:54.048+02:00</t>
  </si>
  <si>
    <t xml:space="preserve">2024-08-31T01:48:09.176+02:00</t>
  </si>
  <si>
    <t xml:space="preserve">2024-08-31T01:22:47.449+02:00</t>
  </si>
  <si>
    <t xml:space="preserve">2024-08-31T01:27:03.508+02:00</t>
  </si>
  <si>
    <t xml:space="preserve">2024-08-31T01:00:02.218+02:00</t>
  </si>
  <si>
    <t xml:space="preserve">2024-08-31T01:10:57.909+02:00</t>
  </si>
  <si>
    <t xml:space="preserve">2024-08-31T00:59:01.884+02:00</t>
  </si>
  <si>
    <t xml:space="preserve">2024-08-31T01:05:07.723+02:00</t>
  </si>
  <si>
    <t xml:space="preserve">2024-08-31T00:39:01.957+02:00</t>
  </si>
  <si>
    <t xml:space="preserve">2024-08-31T00:46:29.087+02:00</t>
  </si>
  <si>
    <t xml:space="preserve">2024-08-31T00:32:01.237+02:00</t>
  </si>
  <si>
    <t xml:space="preserve">2024-08-31T00:42:55.677+02:00</t>
  </si>
  <si>
    <t xml:space="preserve">2024-08-31T00:27:44.971+02:00</t>
  </si>
  <si>
    <t xml:space="preserve">2024-08-31T00:31:41.654+02:00</t>
  </si>
  <si>
    <t xml:space="preserve">2024-08-31T00:10:34.157+02:00</t>
  </si>
  <si>
    <t xml:space="preserve">2024-08-31T00:19:40.693+02:00</t>
  </si>
  <si>
    <t xml:space="preserve">2024-08-31T00:08:59.788+02:00</t>
  </si>
  <si>
    <t xml:space="preserve">2024-08-31T00:14:38.797+02:00</t>
  </si>
  <si>
    <t xml:space="preserve">Kumar</t>
  </si>
  <si>
    <t xml:space="preserve">2024-08-30T23:58:55.305+02:00</t>
  </si>
  <si>
    <t xml:space="preserve">2024-08-31T00:05:36.566+02:00</t>
  </si>
  <si>
    <t xml:space="preserve">2024-08-30T23:43:43.856+02:00</t>
  </si>
  <si>
    <t xml:space="preserve">2024-08-30T23:48:06.659+02:00</t>
  </si>
  <si>
    <t xml:space="preserve">2024-08-30T23:38:15.522+02:00</t>
  </si>
  <si>
    <t xml:space="preserve">2024-08-30T23:44:04.852+02:00</t>
  </si>
  <si>
    <t xml:space="preserve">2024-08-30T23:22:01.076+02:00</t>
  </si>
  <si>
    <t xml:space="preserve">2024-08-30T23:25:38.752+02:00</t>
  </si>
  <si>
    <t xml:space="preserve">2024-08-30T23:20:00.513+02:00</t>
  </si>
  <si>
    <t xml:space="preserve">2024-08-30T23:22:24.679+02:00</t>
  </si>
  <si>
    <t xml:space="preserve">2024-08-30T23:07:29.447+02:00</t>
  </si>
  <si>
    <t xml:space="preserve">2024-08-30T23:11:51.678+02:00</t>
  </si>
  <si>
    <t xml:space="preserve">2024-08-30T23:04:47.223+02:00</t>
  </si>
  <si>
    <t xml:space="preserve">2024-08-30T23:11:19.531+02:00</t>
  </si>
  <si>
    <t xml:space="preserve">Pavol</t>
  </si>
  <si>
    <t xml:space="preserve">2024-08-30T23:04:27.150+02:00</t>
  </si>
  <si>
    <t xml:space="preserve">2024-08-30T23:09:11.568+02:00</t>
  </si>
  <si>
    <t xml:space="preserve">2024-08-30T23:00:55.031+02:00</t>
  </si>
  <si>
    <t xml:space="preserve">2024-08-30T23:04:07.578+02:00</t>
  </si>
  <si>
    <t xml:space="preserve">Martin</t>
  </si>
  <si>
    <t xml:space="preserve">2024-08-30T22:17:01.329+02:00</t>
  </si>
  <si>
    <t xml:space="preserve">2024-08-30T22:30:17.568+02:00</t>
  </si>
  <si>
    <t xml:space="preserve">2024-08-30T21:59:43.401+02:00</t>
  </si>
  <si>
    <t xml:space="preserve">2024-08-30T22:11:36.683+02:00</t>
  </si>
  <si>
    <t xml:space="preserve">2024-08-30T21:32:50.685+02:00</t>
  </si>
  <si>
    <t xml:space="preserve">2024-08-30T21:33:02.861+02:00</t>
  </si>
  <si>
    <t xml:space="preserve">2024-08-30T21:19:50.427+02:00</t>
  </si>
  <si>
    <t xml:space="preserve">2024-08-30T21:22:02.686+02:00</t>
  </si>
  <si>
    <t xml:space="preserve">2024-08-30T20:55:58.547+02:00</t>
  </si>
  <si>
    <t xml:space="preserve">2024-08-30T21:04:07.706+02:00</t>
  </si>
  <si>
    <t xml:space="preserve">2024-08-30T20:54:58.396+02:00</t>
  </si>
  <si>
    <t xml:space="preserve">2024-08-30T21:02:17.642+02:00</t>
  </si>
  <si>
    <t xml:space="preserve">2024-08-30T20:06:01.966+02:00</t>
  </si>
  <si>
    <t xml:space="preserve">2024-08-30T20:11:31.966+02:00</t>
  </si>
  <si>
    <t xml:space="preserve">2024-08-30T19:51:03.610+02:00</t>
  </si>
  <si>
    <t xml:space="preserve">2024-08-30T19:56:44.371+02:00</t>
  </si>
  <si>
    <t xml:space="preserve">2024-08-30T20:21:23.444+02:00</t>
  </si>
  <si>
    <t xml:space="preserve">2024-08-30T19:54:07.518+02:00</t>
  </si>
  <si>
    <t xml:space="preserve">2024-08-30T19:50:03.174+02:00</t>
  </si>
  <si>
    <t xml:space="preserve">2024-08-30T19:56:43.589+02:00</t>
  </si>
  <si>
    <t xml:space="preserve">2024-08-30T19:44:01.450+02:00</t>
  </si>
  <si>
    <t xml:space="preserve">2024-08-30T19:56:40.658+02:00</t>
  </si>
  <si>
    <t xml:space="preserve">2024-08-30T19:31:04.424+02:00</t>
  </si>
  <si>
    <t xml:space="preserve">2024-08-30T19:32:26.346+02:00</t>
  </si>
  <si>
    <t xml:space="preserve">2024-08-30T18:58:33.065+02:00</t>
  </si>
  <si>
    <t xml:space="preserve">2024-08-30T19:01:40.807+02:00</t>
  </si>
  <si>
    <t xml:space="preserve">2024-08-30T18:43:57.889+02:00</t>
  </si>
  <si>
    <t xml:space="preserve">2024-08-30T18:50:24.671+02:00</t>
  </si>
  <si>
    <t xml:space="preserve">2024-08-30T18:40:40.404+02:00</t>
  </si>
  <si>
    <t xml:space="preserve">2024-08-30T18:41:05.358+02:00</t>
  </si>
  <si>
    <t xml:space="preserve">2024-08-30T18:30:02.811+02:00</t>
  </si>
  <si>
    <t xml:space="preserve">2024-08-30T18:33:54.490+02:00</t>
  </si>
  <si>
    <t xml:space="preserve">2024-08-30T18:25:00.891+02:00</t>
  </si>
  <si>
    <t xml:space="preserve">2024-08-30T18:34:14.587+02:00</t>
  </si>
  <si>
    <t xml:space="preserve">Ismoiljon</t>
  </si>
  <si>
    <t xml:space="preserve">2024-08-30T18:24:02.443+02:00</t>
  </si>
  <si>
    <t xml:space="preserve">2024-08-30T18:30:27.431+02:00</t>
  </si>
  <si>
    <t xml:space="preserve">2024-08-30T17:58:57.380+02:00</t>
  </si>
  <si>
    <t xml:space="preserve">2024-08-30T18:06:46.544+02:00</t>
  </si>
  <si>
    <t xml:space="preserve">2024-08-30T17:51:21.753+02:00</t>
  </si>
  <si>
    <t xml:space="preserve">2024-08-30T18:01:21.952+02:00</t>
  </si>
  <si>
    <t xml:space="preserve">Michal</t>
  </si>
  <si>
    <t xml:space="preserve">2024-08-30T15:56:43.472+02:00</t>
  </si>
  <si>
    <t xml:space="preserve">2024-08-30T16:04:35.434+02:00</t>
  </si>
  <si>
    <t xml:space="preserve">2024-08-30T15:41:02.431+02:00</t>
  </si>
  <si>
    <t xml:space="preserve">2024-08-30T15:48:42.301+02:00</t>
  </si>
  <si>
    <t xml:space="preserve">2024-08-30T16:12:25.053+02:00</t>
  </si>
  <si>
    <t xml:space="preserve">2024-08-30T15:41:26.868+02:00</t>
  </si>
  <si>
    <t xml:space="preserve">2024-08-30T15:39:54.427+02:00</t>
  </si>
  <si>
    <t xml:space="preserve">2024-08-30T15:48:14.593+02:00</t>
  </si>
  <si>
    <t xml:space="preserve">2024-08-30T15:17:31.554+02:00</t>
  </si>
  <si>
    <t xml:space="preserve">2024-08-30T15:19:32.188+02:00</t>
  </si>
  <si>
    <t xml:space="preserve">2024-08-30T14:21:52.494+02:00</t>
  </si>
  <si>
    <t xml:space="preserve">2024-08-30T14:29:18.617+02:00</t>
  </si>
  <si>
    <t xml:space="preserve">2024-08-30T13:16:03.624+02:00</t>
  </si>
  <si>
    <t xml:space="preserve">2024-08-30T13:30:30.340+02:00</t>
  </si>
  <si>
    <t xml:space="preserve">2024-08-30T13:50:04.512+02:00</t>
  </si>
  <si>
    <t xml:space="preserve">2024-08-30T13:25:10.273+02:00</t>
  </si>
  <si>
    <t xml:space="preserve">2024-08-30T13:11:25.374+02:00</t>
  </si>
  <si>
    <t xml:space="preserve">2024-08-30T13:11:30.457+02:00</t>
  </si>
  <si>
    <t xml:space="preserve">2024-08-30T13:03:17.671+02:00</t>
  </si>
  <si>
    <t xml:space="preserve">2024-08-30T13:07:31.530+02:00</t>
  </si>
  <si>
    <t xml:space="preserve">2024-08-30T12:56:43.227+02:00</t>
  </si>
  <si>
    <t xml:space="preserve">2024-08-30T13:04:20.416+02:00</t>
  </si>
  <si>
    <t xml:space="preserve">2024-08-30T12:38:15.754+02:00</t>
  </si>
  <si>
    <t xml:space="preserve">2024-08-30T12:47:39.686+02:00</t>
  </si>
  <si>
    <t xml:space="preserve">2024-08-30T12:06:09.388+02:00</t>
  </si>
  <si>
    <t xml:space="preserve">2024-08-30T12:09:40.218+02:00</t>
  </si>
  <si>
    <t xml:space="preserve">2024-08-30T11:48:03.287+02:00</t>
  </si>
  <si>
    <t xml:space="preserve">2024-08-30T11:56:18.180+02:00</t>
  </si>
  <si>
    <t xml:space="preserve">2024-08-30T11:31:03.697+02:00</t>
  </si>
  <si>
    <t xml:space="preserve">2024-08-30T11:41:59.274+02:00</t>
  </si>
  <si>
    <t xml:space="preserve">2024-08-30T11:55:40.873+02:00</t>
  </si>
  <si>
    <t xml:space="preserve">2024-08-30T11:37:46.195+02:00</t>
  </si>
  <si>
    <t xml:space="preserve">2024-08-30T11:25:09.988+02:00</t>
  </si>
  <si>
    <t xml:space="preserve">2024-08-30T11:38:01.824+02:00</t>
  </si>
  <si>
    <t xml:space="preserve">2024-08-30T11:10:43.027+02:00</t>
  </si>
  <si>
    <t xml:space="preserve">2024-08-30T11:10:47.086+02:00</t>
  </si>
  <si>
    <t xml:space="preserve">2024-08-30T11:10:30.387+02:00</t>
  </si>
  <si>
    <t xml:space="preserve">2024-08-30T11:10:45.222+02:00</t>
  </si>
  <si>
    <t xml:space="preserve">2024-08-30T11:09:45.361+02:00</t>
  </si>
  <si>
    <t xml:space="preserve">2024-08-30T11:09:50.217+02:00</t>
  </si>
  <si>
    <t xml:space="preserve">2024-08-30T11:07:03.164+02:00</t>
  </si>
  <si>
    <t xml:space="preserve">2024-08-30T11:30:42.270+02:00</t>
  </si>
  <si>
    <t xml:space="preserve">2024-08-30T11:44:03.765+02:00</t>
  </si>
  <si>
    <t xml:space="preserve">2024-08-30T11:23:47.009+02:00</t>
  </si>
  <si>
    <t xml:space="preserve">Kamal</t>
  </si>
  <si>
    <t xml:space="preserve">2024-09-01T00:56:00.551+02:00</t>
  </si>
  <si>
    <t xml:space="preserve">2024-09-01T01:02:27.147+02:00</t>
  </si>
  <si>
    <t xml:space="preserve">Sonu</t>
  </si>
  <si>
    <t xml:space="preserve">2024-09-01T00:43:30.732+02:00</t>
  </si>
  <si>
    <t xml:space="preserve">2024-09-01T00:50:55.130+02:00</t>
  </si>
  <si>
    <t xml:space="preserve">2024-09-01T00:04:28.406+02:00</t>
  </si>
  <si>
    <t xml:space="preserve">2024-09-01T00:12:45.183+02:00</t>
  </si>
  <si>
    <t xml:space="preserve">2024-08-31T23:57:21.203+02:00</t>
  </si>
  <si>
    <t xml:space="preserve">2024-09-01T00:07:16.312+02:00</t>
  </si>
  <si>
    <t xml:space="preserve">2024-08-31T23:51:20.355+02:00</t>
  </si>
  <si>
    <t xml:space="preserve">2024-08-31T23:58:16.056+02:00</t>
  </si>
  <si>
    <t xml:space="preserve">2024-08-31T23:49:45.527+02:00</t>
  </si>
  <si>
    <t xml:space="preserve">2024-08-31T23:55:50.263+02:00</t>
  </si>
  <si>
    <t xml:space="preserve">2024-08-31T23:19:38.097+02:00</t>
  </si>
  <si>
    <t xml:space="preserve">2024-08-31T23:30:34.336+02:00</t>
  </si>
  <si>
    <t xml:space="preserve">Abdurakhmon</t>
  </si>
  <si>
    <t xml:space="preserve">2024-08-31T23:19:08.342+02:00</t>
  </si>
  <si>
    <t xml:space="preserve">2024-08-31T23:30:35.133+02:00</t>
  </si>
  <si>
    <t xml:space="preserve">2024-08-31T23:16:28.270+02:00</t>
  </si>
  <si>
    <t xml:space="preserve">2024-08-31T23:29:12.353+02:00</t>
  </si>
  <si>
    <t xml:space="preserve">2024-08-31T23:15:28.779+02:00</t>
  </si>
  <si>
    <t xml:space="preserve">2024-08-31T23:29:10.297+02:00</t>
  </si>
  <si>
    <t xml:space="preserve">2024-08-31T23:09:05.201+02:00</t>
  </si>
  <si>
    <t xml:space="preserve">2024-08-31T23:13:46.015+02:00</t>
  </si>
  <si>
    <t xml:space="preserve">2024-08-31T23:02:28.019+02:00</t>
  </si>
  <si>
    <t xml:space="preserve">2024-08-31T23:13:38.578+02:00</t>
  </si>
  <si>
    <t xml:space="preserve">2024-08-31T23:01:59.400+02:00</t>
  </si>
  <si>
    <t xml:space="preserve">2024-08-31T23:07:20.018+02:00</t>
  </si>
  <si>
    <t xml:space="preserve">2024-08-31T22:47:03.497+02:00</t>
  </si>
  <si>
    <t xml:space="preserve">2024-08-31T22:55:14.161+02:00</t>
  </si>
  <si>
    <t xml:space="preserve">2024-08-31T23:08:11.659+02:00</t>
  </si>
  <si>
    <t xml:space="preserve">2024-08-31T22:47:51.822+02:00</t>
  </si>
  <si>
    <t xml:space="preserve">2024-08-31T22:38:22.336+02:00</t>
  </si>
  <si>
    <t xml:space="preserve">2024-08-31T22:41:32.346+02:00</t>
  </si>
  <si>
    <t xml:space="preserve">2024-08-31T22:35:04.596+02:00</t>
  </si>
  <si>
    <t xml:space="preserve">2024-08-31T22:41:32.938+02:00</t>
  </si>
  <si>
    <t xml:space="preserve">2024-08-31T22:51:55.319+02:00</t>
  </si>
  <si>
    <t xml:space="preserve">2024-08-31T22:35:48.276+02:00</t>
  </si>
  <si>
    <t xml:space="preserve">2024-08-31T22:28:58.870+02:00</t>
  </si>
  <si>
    <t xml:space="preserve">2024-08-31T22:29:00.512+02:00</t>
  </si>
  <si>
    <t xml:space="preserve">2024-08-31T22:22:44.058+02:00</t>
  </si>
  <si>
    <t xml:space="preserve">2024-08-31T22:28:45.198+02:00</t>
  </si>
  <si>
    <t xml:space="preserve">2024-08-31T22:16:00.507+02:00</t>
  </si>
  <si>
    <t xml:space="preserve">2024-08-31T22:23:10.166+02:00</t>
  </si>
  <si>
    <t xml:space="preserve">Vasyl</t>
  </si>
  <si>
    <t xml:space="preserve">2024-08-31T22:12:26.108+02:00</t>
  </si>
  <si>
    <t xml:space="preserve">2024-08-31T22:21:55.233+02:00</t>
  </si>
  <si>
    <t xml:space="preserve">2024-08-31T22:12:03.470+02:00</t>
  </si>
  <si>
    <t xml:space="preserve">2024-08-31T22:24:00.220+02:00</t>
  </si>
  <si>
    <t xml:space="preserve">2024-08-31T22:31:03.239+02:00</t>
  </si>
  <si>
    <t xml:space="preserve">2024-08-31T22:13:09.602+02:00</t>
  </si>
  <si>
    <t xml:space="preserve">Azamot</t>
  </si>
  <si>
    <t xml:space="preserve">2024-08-31T20:53:51.928+02:00</t>
  </si>
  <si>
    <t xml:space="preserve">2024-08-31T21:01:17.140+02:00</t>
  </si>
  <si>
    <t xml:space="preserve">2024-08-31T20:52:02.774+02:00</t>
  </si>
  <si>
    <t xml:space="preserve">2024-08-31T21:00:11.143+02:00</t>
  </si>
  <si>
    <t xml:space="preserve">2024-08-31T21:10:31.431+02:00</t>
  </si>
  <si>
    <t xml:space="preserve">2024-08-31T20:52:12.288+02:00</t>
  </si>
  <si>
    <t xml:space="preserve">2024-08-31T20:43:13.604+02:00</t>
  </si>
  <si>
    <t xml:space="preserve">2024-08-31T20:49:15.213+02:00</t>
  </si>
  <si>
    <t xml:space="preserve">David</t>
  </si>
  <si>
    <t xml:space="preserve">2024-08-31T20:41:31.836+02:00</t>
  </si>
  <si>
    <t xml:space="preserve">2024-08-31T20:49:16.073+02:00</t>
  </si>
  <si>
    <t xml:space="preserve">Nadir</t>
  </si>
  <si>
    <t xml:space="preserve">2024-08-31T20:35:01.769+02:00</t>
  </si>
  <si>
    <t xml:space="preserve">2024-08-31T20:43:36.159+02:00</t>
  </si>
  <si>
    <t xml:space="preserve">Mohamed</t>
  </si>
  <si>
    <t xml:space="preserve">2024-08-31T20:22:01.718+02:00</t>
  </si>
  <si>
    <t xml:space="preserve">2024-08-31T20:30:26.114+02:00</t>
  </si>
  <si>
    <t xml:space="preserve">2024-08-31T20:11:34.979+02:00</t>
  </si>
  <si>
    <t xml:space="preserve">2024-08-31T20:18:35.226+02:00</t>
  </si>
  <si>
    <t xml:space="preserve">2024-08-31T19:53:54.613+02:00</t>
  </si>
  <si>
    <t xml:space="preserve">2024-08-31T20:02:06.474+02:00</t>
  </si>
  <si>
    <t xml:space="preserve">2024-08-31T19:30:18.392+02:00</t>
  </si>
  <si>
    <t xml:space="preserve">2024-08-31T19:41:21.137+02:00</t>
  </si>
  <si>
    <t xml:space="preserve">2024-08-31T19:06:42.390+02:00</t>
  </si>
  <si>
    <t xml:space="preserve">2024-08-31T19:14:00.931+02:00</t>
  </si>
  <si>
    <t xml:space="preserve">Peter</t>
  </si>
  <si>
    <t xml:space="preserve">2024-08-31T19:05:53.215+02:00</t>
  </si>
  <si>
    <t xml:space="preserve">2024-08-31T19:11:28.879+02:00</t>
  </si>
  <si>
    <t xml:space="preserve">2024-08-31T18:45:47.174+02:00</t>
  </si>
  <si>
    <t xml:space="preserve">2024-08-31T18:58:11.927+02:00</t>
  </si>
  <si>
    <t xml:space="preserve">2024-08-31T18:45:03.195+02:00</t>
  </si>
  <si>
    <t xml:space="preserve">2024-08-31T18:52:06.351+02:00</t>
  </si>
  <si>
    <t xml:space="preserve">2024-08-31T18:30:03.289+02:00</t>
  </si>
  <si>
    <t xml:space="preserve">2024-08-31T18:33:06.760+02:00</t>
  </si>
  <si>
    <t xml:space="preserve">2024-08-31T18:26:29.988+02:00</t>
  </si>
  <si>
    <t xml:space="preserve">2024-08-31T18:35:21.178+02:00</t>
  </si>
  <si>
    <t xml:space="preserve">2024-08-31T17:47:13.943+02:00</t>
  </si>
  <si>
    <t xml:space="preserve">2024-08-31T17:55:44.016+02:00</t>
  </si>
  <si>
    <t xml:space="preserve">2024-08-31T17:39:25.641+02:00</t>
  </si>
  <si>
    <t xml:space="preserve">2024-08-31T17:51:36.001+02:00</t>
  </si>
  <si>
    <t xml:space="preserve">2024-08-31T17:37:40.196+02:00</t>
  </si>
  <si>
    <t xml:space="preserve">2024-08-31T17:47:28.071+02:00</t>
  </si>
  <si>
    <t xml:space="preserve">2024-08-31T16:58:03.392+02:00</t>
  </si>
  <si>
    <t xml:space="preserve">2024-08-31T16:59:09.778+02:00</t>
  </si>
  <si>
    <t xml:space="preserve">Ahmed</t>
  </si>
  <si>
    <t xml:space="preserve">2024-08-31T16:46:04.569+02:00</t>
  </si>
  <si>
    <t xml:space="preserve">2024-08-31T16:50:20.860+02:00</t>
  </si>
  <si>
    <t xml:space="preserve">2024-08-31T16:38:02.555+02:00</t>
  </si>
  <si>
    <t xml:space="preserve">2024-08-31T16:44:34.937+02:00</t>
  </si>
  <si>
    <t xml:space="preserve">2024-08-31T16:25:43.089+02:00</t>
  </si>
  <si>
    <t xml:space="preserve">2024-08-31T16:32:59.252+02:00</t>
  </si>
  <si>
    <t xml:space="preserve">2024-08-31T15:53:22.424+02:00</t>
  </si>
  <si>
    <t xml:space="preserve">2024-08-31T15:58:48.022+02:00</t>
  </si>
  <si>
    <t xml:space="preserve">2024-08-31T15:11:56.850+02:00</t>
  </si>
  <si>
    <t xml:space="preserve">2024-08-31T15:12:03.315+02:00</t>
  </si>
  <si>
    <t xml:space="preserve">2024-08-31T14:06:02.781+02:00</t>
  </si>
  <si>
    <t xml:space="preserve">2024-08-31T14:06:50.806+02:00</t>
  </si>
  <si>
    <t xml:space="preserve">2024-08-31T13:10:19.666+02:00</t>
  </si>
  <si>
    <t xml:space="preserve">2024-08-31T13:14:59.128+02:00</t>
  </si>
  <si>
    <t xml:space="preserve">2024-08-31T13:06:21.521+02:00</t>
  </si>
  <si>
    <t xml:space="preserve">2024-08-31T12:57:02.506+02:00</t>
  </si>
  <si>
    <t xml:space="preserve">2024-08-31T13:01:12.826+02:00</t>
  </si>
  <si>
    <t xml:space="preserve">2024-08-31T13:28:53.552+02:00</t>
  </si>
  <si>
    <t xml:space="preserve">2024-08-31T12:57:55.046+02:00</t>
  </si>
  <si>
    <t xml:space="preserve">2024-08-31T12:38:03.109+02:00</t>
  </si>
  <si>
    <t xml:space="preserve">2024-08-31T12:43:47.749+02:00</t>
  </si>
  <si>
    <t xml:space="preserve">2024-08-31T13:04:25.110+02:00</t>
  </si>
  <si>
    <t xml:space="preserve">2024-08-31T12:38:38.514+02:00</t>
  </si>
  <si>
    <t xml:space="preserve">2024-08-31T12:25:02.592+02:00</t>
  </si>
  <si>
    <t xml:space="preserve">2024-08-31T12:27:36.655+02:00</t>
  </si>
  <si>
    <t xml:space="preserve">2024-08-31T12:22:34.325+02:00</t>
  </si>
  <si>
    <t xml:space="preserve">2024-08-31T12:30:01.860+02:00</t>
  </si>
  <si>
    <t xml:space="preserve">2024-08-31T12:22:05.230+02:00</t>
  </si>
  <si>
    <t xml:space="preserve">2024-08-31T12:27:34.011+02:00</t>
  </si>
  <si>
    <t xml:space="preserve">2024-08-31T11:24:06.050+02:00</t>
  </si>
  <si>
    <t xml:space="preserve">2024-08-31T11:24:07.477+02:00</t>
  </si>
  <si>
    <t xml:space="preserve">Prosek</t>
  </si>
  <si>
    <t xml:space="preserve">COL</t>
  </si>
  <si>
    <t xml:space="preserve">Tržba</t>
  </si>
  <si>
    <t xml:space="preserve">Online Platby</t>
  </si>
  <si>
    <t xml:space="preserve">Wolt</t>
  </si>
  <si>
    <t xml:space="preserve">Bolt</t>
  </si>
  <si>
    <t xml:space="preserve">Dáme jídlo</t>
  </si>
  <si>
    <t xml:space="preserve">     Napiš vzkaz  ⬇️    📖   Deník   📖     ⬇️ Včerejší vzkaz</t>
  </si>
  <si>
    <t xml:space="preserve">Web</t>
  </si>
  <si>
    <t xml:space="preserve">Wolt drive cash</t>
  </si>
  <si>
    <t xml:space="preserve">DJ Cash</t>
  </si>
  <si>
    <t xml:space="preserve">Hotovost</t>
  </si>
  <si>
    <t xml:space="preserve">Terminál</t>
  </si>
  <si>
    <t xml:space="preserve">Instor</t>
  </si>
  <si>
    <t xml:space="preserve">Otevíral</t>
  </si>
  <si>
    <t xml:space="preserve">Pokladna</t>
  </si>
  <si>
    <t xml:space="preserve">Stravenky</t>
  </si>
  <si>
    <t xml:space="preserve">Jméno</t>
  </si>
  <si>
    <t xml:space="preserve">Začátek směny</t>
  </si>
  <si>
    <t xml:space="preserve">Konec směny</t>
  </si>
  <si>
    <t xml:space="preserve">pauza</t>
  </si>
  <si>
    <t xml:space="preserve">Počet hodin</t>
  </si>
  <si>
    <t xml:space="preserve">Výdaje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</si>
  <si>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</si>
  <si>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</si>
  <si>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</si>
  <si>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</si>
  <si>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</si>
  <si>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Zavíral</t>
  </si>
  <si>
    <t xml:space="preserve">Zrušené obj. ks</t>
  </si>
  <si>
    <t xml:space="preserve">Zrušené obj. $</t>
  </si>
  <si>
    <t xml:space="preserve">Počet zpožděných našich rozvozů +5 min</t>
  </si>
  <si>
    <t xml:space="preserve">Průměrný make Time</t>
  </si>
  <si>
    <t xml:space="preserve">Počet rozvozů</t>
  </si>
  <si>
    <t xml:space="preserve">Vlastní vůz </t>
  </si>
  <si>
    <t xml:space="preserve">Vyplatit PHM</t>
  </si>
  <si>
    <t xml:space="preserve">počet výdajových dokadů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</si>
  <si>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</si>
  <si>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</si>
  <si>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</si>
  <si>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</si>
  <si>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</si>
  <si>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</si>
  <si>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</si>
  <si>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</si>
  <si>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Wolt drive</t>
  </si>
  <si>
    <t xml:space="preserve">Vyber datum    &lt;----------&gt;</t>
  </si>
  <si>
    <t xml:space="preserve">Celkem hodin Instor</t>
  </si>
  <si>
    <t xml:space="preserve">Celkem hodin Kurýr</t>
  </si>
  <si>
    <t xml:space="preserve">Počet dní</t>
  </si>
  <si>
    <t xml:space="preserve">Makula Radek</t>
  </si>
  <si>
    <t xml:space="preserve">8:30</t>
  </si>
  <si>
    <t xml:space="preserve">29:00</t>
  </si>
  <si>
    <t xml:space="preserve">Pešová Hana</t>
  </si>
  <si>
    <t xml:space="preserve">10:30</t>
  </si>
  <si>
    <t xml:space="preserve">23:00</t>
  </si>
  <si>
    <t xml:space="preserve">Bušek Pavel</t>
  </si>
  <si>
    <t xml:space="preserve">5:00</t>
  </si>
  <si>
    <t xml:space="preserve">13:00</t>
  </si>
  <si>
    <t xml:space="preserve">7:00</t>
  </si>
  <si>
    <t xml:space="preserve">11 min 19 s</t>
  </si>
  <si>
    <t xml:space="preserve">Manažeři</t>
  </si>
  <si>
    <t xml:space="preserve">Zamestnanci pobocky</t>
  </si>
  <si>
    <t xml:space="preserve"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</si>
  <si>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 xml:space="preserve">Pracovníci</t>
  </si>
  <si>
    <t xml:space="preserve">Pondělí</t>
  </si>
  <si>
    <t xml:space="preserve">Úterý</t>
  </si>
  <si>
    <t xml:space="preserve">Středa</t>
  </si>
  <si>
    <t xml:space="preserve">Čtvrtek</t>
  </si>
  <si>
    <t xml:space="preserve">Pátek</t>
  </si>
  <si>
    <t xml:space="preserve">Sobota</t>
  </si>
  <si>
    <t xml:space="preserve">Neděle</t>
  </si>
  <si>
    <t xml:space="preserve">Míla Pekárková</t>
  </si>
  <si>
    <t xml:space="preserve">10:00 - 1:00 (Instor)</t>
  </si>
  <si>
    <t xml:space="preserve">10:00 - 3:00 (Instor)</t>
  </si>
  <si>
    <t xml:space="preserve">10:00 - 0:00 (Instor)</t>
  </si>
  <si>
    <t xml:space="preserve">Volodymyr Vychivskyi</t>
  </si>
  <si>
    <t xml:space="preserve">11:00 - 1:00 (Kurýr)</t>
  </si>
  <si>
    <t xml:space="preserve">11:00 - 17:00 (Kurýr)</t>
  </si>
  <si>
    <t xml:space="preserve">17:00 - 3:00 (Kurýr)</t>
  </si>
  <si>
    <t xml:space="preserve">Adéla Nováková</t>
  </si>
  <si>
    <t xml:space="preserve">Martin Hřebík</t>
  </si>
  <si>
    <t xml:space="preserve">Pavel Hochman</t>
  </si>
  <si>
    <t xml:space="preserve">17:00 - 1:00 (Kurýr)</t>
  </si>
  <si>
    <t xml:space="preserve">Michal Nedbal</t>
  </si>
  <si>
    <t xml:space="preserve">17:00 - 22:00 (Instor)</t>
  </si>
  <si>
    <t xml:space="preserve">Daniel Suchánek</t>
  </si>
  <si>
    <t xml:space="preserve">17:00 - 1:00 (Instor)</t>
  </si>
  <si>
    <t xml:space="preserve">Lukáš Petržilka</t>
  </si>
  <si>
    <t xml:space="preserve">11:00 - 3:00 (Kurýr)</t>
  </si>
  <si>
    <t xml:space="preserve">11:00 - 23:00 (Kurýr)</t>
  </si>
  <si>
    <t xml:space="preserve">2024-08-09T22:19:02.895+02:00</t>
  </si>
  <si>
    <t xml:space="preserve">2024-08-09T20:59:02.480+02:00</t>
  </si>
  <si>
    <t xml:space="preserve">2024-08-09T20:46:02.837+02:00</t>
  </si>
  <si>
    <t xml:space="preserve">2024-08-09T20:34:02.891+02:00</t>
  </si>
  <si>
    <t xml:space="preserve">2024-08-09T20:47:12.087+02:00</t>
  </si>
  <si>
    <t xml:space="preserve">2024-08-09T20:23:02.590+02:00</t>
  </si>
  <si>
    <t xml:space="preserve">2024-08-09T20:03:02.507+02:00</t>
  </si>
  <si>
    <t xml:space="preserve">2024-08-09T19:56:02.899+02:00</t>
  </si>
  <si>
    <t xml:space="preserve">2024-08-09T19:38:02.296+02:00</t>
  </si>
  <si>
    <t xml:space="preserve">2024-08-09T19:24:02.984+02:00</t>
  </si>
  <si>
    <t xml:space="preserve">2024-08-09T19:01:02.783+02:00</t>
  </si>
  <si>
    <t xml:space="preserve">2024-08-09T17:51:02.506+02:00</t>
  </si>
  <si>
    <t xml:space="preserve">2024-08-09T17:46:03.097+02:00</t>
  </si>
  <si>
    <t xml:space="preserve">2024-08-09T17:39:01.978+02:00</t>
  </si>
  <si>
    <t xml:space="preserve">2024-08-09T17:17:02.097+02:00</t>
  </si>
  <si>
    <t xml:space="preserve">2024-08-09T17:00:02.267+02:00</t>
  </si>
  <si>
    <t xml:space="preserve">2024-08-09T15:56:10.646+02:00</t>
  </si>
  <si>
    <t xml:space="preserve">2024-08-09T15:42:02.038+02:00</t>
  </si>
  <si>
    <t xml:space="preserve">2024-08-09T15:26:53.898+02:00</t>
  </si>
  <si>
    <t xml:space="preserve">2024-08-09T14:45:02.906+02:00</t>
  </si>
  <si>
    <t xml:space="preserve">2024-08-09T14:28:20.232+02:00</t>
  </si>
  <si>
    <t xml:space="preserve">2024-08-09T14:10:02.851+02:00</t>
  </si>
  <si>
    <t xml:space="preserve">2024-08-09T14:08:02.430+02:00</t>
  </si>
  <si>
    <t xml:space="preserve">2024-08-09T14:12:06.958+02:00</t>
  </si>
  <si>
    <t xml:space="preserve">2024-08-09T13:44:03.241+02:00</t>
  </si>
  <si>
    <t xml:space="preserve">2024-08-09T13:36:02.419+02:00</t>
  </si>
  <si>
    <t xml:space="preserve">2024-08-09T13:20:03.247+02:00</t>
  </si>
  <si>
    <t xml:space="preserve">2024-08-09T12:25:02.690+02:00</t>
  </si>
  <si>
    <t xml:space="preserve">2024-08-09T09:59:03.260+02:00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</si>
</sst>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dd/mm/yyyy"/>
    <numFmt numFmtId="166" formatCode="0.00"/>
    <numFmt numFmtId="167" formatCode="dd\-mm\-yyyy"/>
    <numFmt numFmtId="168" formatCode="0.00\ %"/>
    <numFmt numFmtId="169" formatCode="#,##0\ [$Kč-405]"/>
    <numFmt numFmtId="170" formatCode="\/d\/myy"/>
    <numFmt numFmtId="171" formatCode="h:mm"/>
    <numFmt numFmtId="172" formatCode="@"/>
    <numFmt numFmtId="173" formatCode="d\-m\-yyyy"/>
    <numFmt numFmtId="174" formatCode="h:mm:ss"/>
    <numFmt numFmtId="175" formatCode="0.00E+00"/>
  </numFmts>
  <fonts count="28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  <font>
      <b val="true"/>
      <sz val="20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7"/>
      <color theme="1"/>
      <name val="&quot;Google Sans Mono&quot;"/>
      <family val="0"/>
      <charset val="1"/>
    </font>
    <font>
      <b val="true"/>
      <sz val="26"/>
      <color theme="1"/>
      <name val="Arial"/>
      <family val="0"/>
      <charset val="1"/>
    </font>
    <font>
      <b val="true"/>
      <sz val="14"/>
      <color theme="1"/>
      <name val="Arial"/>
      <family val="0"/>
      <charset val="1"/>
    </font>
    <font>
      <b val="true"/>
      <sz val="25"/>
      <color theme="1"/>
      <name val="Google Sans Mono"/>
      <family val="0"/>
      <charset val="1"/>
    </font>
    <font>
      <b val="true"/>
      <sz val="12"/>
      <color theme="1"/>
      <name val="Arial"/>
      <family val="0"/>
      <charset val="1"/>
    </font>
    <font>
      <sz val="12"/>
      <color theme="1"/>
      <name val="Arial"/>
      <family val="0"/>
      <charset val="1"/>
    </font>
    <font>
      <b val="true"/>
      <sz val="21"/>
      <color theme="1"/>
      <name val="Arial"/>
      <family val="0"/>
      <charset val="1"/>
    </font>
    <font>
      <b val="true"/>
      <sz val="15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22"/>
      <color theme="1"/>
      <name val="Arial"/>
      <family val="0"/>
      <charset val="1"/>
    </font>
    <font>
      <b val="true"/>
      <sz val="23"/>
      <color theme="1"/>
      <name val="Arial"/>
      <family val="0"/>
      <charset val="1"/>
    </font>
    <font>
      <sz val="9"/>
      <color theme="1"/>
      <name val="Google Sans Mono"/>
      <family val="0"/>
      <charset val="1"/>
    </font>
    <font>
      <sz val="12"/>
      <color rgb="FF000000"/>
      <name val="Arial"/>
      <family val="0"/>
      <charset val="1"/>
    </font>
    <font>
      <b val="true"/>
      <sz val="11"/>
      <color rgb="FFEFEFEF"/>
      <name val="Arial"/>
      <family val="0"/>
      <charset val="1"/>
    </font>
    <font>
      <sz val="11"/>
      <color rgb="FFCCCCCC"/>
      <name val="Arial"/>
      <family val="0"/>
      <charset val="1"/>
    </font>
    <font>
      <b val="true"/>
      <sz val="16"/>
      <name val="Times New Roman"/>
      <family val="1"/>
      <charset val="238"/>
    </font>
    <font>
      <b val="true"/>
      <sz val="13"/>
      <name val="Times New Roman"/>
      <family val="1"/>
      <charset val="238"/>
    </font>
    <font>
      <b val="true"/>
      <sz val="14"/>
      <name val="Times New Roman"/>
      <family val="1"/>
      <charset val="238"/>
    </font>
    <font>
      <b val="true"/>
      <sz val="14"/>
      <color theme="1"/>
      <name val="&quot;Google Sans Mono&quot;"/>
      <family val="0"/>
      <charset val="1"/>
    </font>
    <font>
      <b val="true"/>
      <sz val="25"/>
      <color rgb="FF000000"/>
      <name val="&quot;Google Sans Mono&quot;"/>
      <family val="0"/>
      <charset val="1"/>
    </font>
    <font>
      <sz val="24"/>
      <name val="Times New Roman"/>
      <family val="1"/>
      <charset val="238"/>
    </font>
  </fonts>
  <fills count="22">
    <fill>
      <patternFill patternType="none"/>
    </fill>
    <fill>
      <patternFill patternType="gray125"/>
    </fill>
    <fill>
      <patternFill patternType="solid">
        <fgColor theme="0"/>
        <bgColor rgb="FFEFEFEF"/>
      </patternFill>
    </fill>
    <fill>
      <patternFill patternType="solid">
        <fgColor rgb="FFDD7E6B"/>
        <bgColor rgb="FFFF6600"/>
      </patternFill>
    </fill>
    <fill>
      <patternFill patternType="solid">
        <fgColor rgb="FFF9CB9C"/>
        <bgColor rgb="FFFFE599"/>
      </patternFill>
    </fill>
    <fill>
      <patternFill patternType="solid">
        <fgColor rgb="FFFFE6DD"/>
        <bgColor rgb="FFFCE5CD"/>
      </patternFill>
    </fill>
    <fill>
      <patternFill patternType="solid">
        <fgColor rgb="FFFFE599"/>
        <bgColor rgb="FFFCE5CD"/>
      </patternFill>
    </fill>
    <fill>
      <patternFill patternType="solid">
        <fgColor rgb="FFCCCCCC"/>
        <bgColor rgb="FFD9D9D9"/>
      </patternFill>
    </fill>
    <fill>
      <patternFill patternType="solid">
        <fgColor rgb="FFC9DAF8"/>
        <bgColor rgb="FFCFE2F3"/>
      </patternFill>
    </fill>
    <fill>
      <patternFill patternType="solid">
        <fgColor rgb="FFD9D9D9"/>
        <bgColor rgb="FFCFE2F3"/>
      </patternFill>
    </fill>
    <fill>
      <patternFill patternType="solid">
        <fgColor rgb="FFB7E1CD"/>
        <bgColor rgb="FFC9DAF8"/>
      </patternFill>
    </fill>
    <fill>
      <patternFill patternType="solid">
        <fgColor rgb="FFFFF2CC"/>
        <bgColor rgb="FFFCE5CD"/>
      </patternFill>
    </fill>
    <fill>
      <patternFill patternType="solid">
        <fgColor rgb="FFB4A7D6"/>
        <bgColor rgb="FF9999FF"/>
      </patternFill>
    </fill>
    <fill>
      <patternFill patternType="solid">
        <fgColor rgb="FF000000"/>
        <bgColor rgb="FF003300"/>
      </patternFill>
    </fill>
    <fill>
      <patternFill patternType="solid">
        <fgColor rgb="FF9900FF"/>
        <bgColor rgb="FF800080"/>
      </patternFill>
    </fill>
    <fill>
      <patternFill patternType="solid">
        <fgColor rgb="FF00FF00"/>
        <bgColor rgb="FF33CCCC"/>
      </patternFill>
    </fill>
    <fill>
      <patternFill patternType="solid">
        <fgColor rgb="FFEFEFEF"/>
        <bgColor rgb="FFFFE6DD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D9D9"/>
      </patternFill>
    </fill>
    <fill>
      <patternFill patternType="solid">
        <fgColor rgb="FFFF0000"/>
        <bgColor rgb="FF9933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FE6DD"/>
      </patternFill>
    </fill>
  </fills>
  <borders count="33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/>
      <right style="thick"/>
      <top style="thick"/>
      <bottom style="thick"/>
      <diagonal/>
    </border>
    <border diagonalUp="false" diagonalDown="false">
      <left/>
      <right style="thick"/>
      <top/>
      <bottom style="medium"/>
      <diagonal/>
    </border>
    <border diagonalUp="false" diagonalDown="false">
      <left/>
      <right style="thick"/>
      <top/>
      <bottom style="thick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 style="thin"/>
      <top/>
      <bottom style="thin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/>
      <diagonal/>
    </border>
    <border diagonalUp="false" diagonalDown="false">
      <left style="thick"/>
      <right style="thick"/>
      <top/>
      <bottom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 style="thick"/>
      <right style="thin"/>
      <top style="thick"/>
      <bottom style="thin"/>
      <diagonal/>
    </border>
    <border diagonalUp="false" diagonalDown="false">
      <left/>
      <right style="thin"/>
      <top style="thick"/>
      <bottom style="thin"/>
      <diagonal/>
    </border>
    <border diagonalUp="false" diagonalDown="false">
      <left/>
      <right style="thick"/>
      <top style="thick"/>
      <bottom style="thin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 style="thin"/>
      <top/>
      <bottom style="thick"/>
      <diagonal/>
    </border>
    <border diagonalUp="false" diagonalDown="false">
      <left style="thin"/>
      <right style="thick"/>
      <top style="thin"/>
      <bottom style="thick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ck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 style="thick"/>
      <right style="thin"/>
      <top style="thin"/>
      <bottom style="thick"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ck"/>
      <bottom style="thin"/>
      <diagonal/>
    </border>
    <border diagonalUp="false" diagonalDown="false">
      <left style="thin"/>
      <right style="thick"/>
      <top style="thick"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 style="thin"/>
      <top style="thin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8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1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2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12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2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1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8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4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5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12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2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1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2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12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4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" fillId="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4" fillId="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9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1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4" fillId="1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4" fillId="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1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12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1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21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0000"/>
        </patternFill>
      </fill>
    </dxf>
    <dxf>
      <fill>
        <patternFill>
          <bgColor rgb="FFFFFFFF"/>
        </patternFill>
      </fill>
    </dxf>
    <dxf>
      <fill>
        <patternFill>
          <bgColor rgb="FFCFE2F3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E6DD"/>
      <rgbColor rgb="FFFF00FF"/>
      <rgbColor rgb="FF00FFFF"/>
      <rgbColor rgb="FF800000"/>
      <rgbColor rgb="FF008000"/>
      <rgbColor rgb="FF000080"/>
      <rgbColor rgb="FF808000"/>
      <rgbColor rgb="FF9900FF"/>
      <rgbColor rgb="FF008080"/>
      <rgbColor rgb="FFCCCCCC"/>
      <rgbColor rgb="FF808080"/>
      <rgbColor rgb="FF9999FF"/>
      <rgbColor rgb="FF993366"/>
      <rgbColor rgb="FFFFF2CC"/>
      <rgbColor rgb="FFCFE2F3"/>
      <rgbColor rgb="FF660066"/>
      <rgbColor rgb="FFDD7E6B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FE599"/>
      <rgbColor rgb="FFB7E1CD"/>
      <rgbColor rgb="FFD9D9D9"/>
      <rgbColor rgb="FFB4A7D6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657360</xdr:colOff>
      <xdr:row>16</xdr:row>
      <xdr:rowOff>198720</xdr:rowOff>
    </xdr:from>
    <xdr:to>
      <xdr:col>13</xdr:col>
      <xdr:colOff>153720</xdr:colOff>
      <xdr:row>21</xdr:row>
      <xdr:rowOff>36720</xdr:rowOff>
    </xdr:to>
    <xdr:sp>
      <xdr:nvSpPr>
        <xdr:cNvPr id="1" name="Shape 3"/>
        <xdr:cNvSpPr/>
      </xdr:nvSpPr>
      <xdr:spPr>
        <a:xfrm>
          <a:off x="9955800" y="3723120"/>
          <a:ext cx="1514160" cy="1009440"/>
        </a:xfrm>
        <a:prstGeom prst="rect">
          <a:avLst/>
        </a:prstGeom>
        <a:solidFill>
          <a:srgbClr val="FF9900"/>
        </a:solidFill>
        <a:ln w="381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600" b="1" u="none" strike="noStrike">
              <a:effectLst/>
              <a:uFillTx/>
              <a:latin typeface="Times New Roman"/>
            </a:rPr>
            <a:t>Vlož Restii</a:t>
          </a:r>
          <a:endParaRPr lang="cs-CZ" sz="16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</xdr:col>
      <xdr:colOff>0</xdr:colOff>
      <xdr:row>20</xdr:row>
      <xdr:rowOff>276120</xdr:rowOff>
    </xdr:from>
    <xdr:to>
      <xdr:col>3</xdr:col>
      <xdr:colOff>200880</xdr:colOff>
      <xdr:row>21</xdr:row>
      <xdr:rowOff>542520</xdr:rowOff>
    </xdr:to>
    <xdr:sp>
      <xdr:nvSpPr>
        <xdr:cNvPr id="2" name="Shape 4"/>
        <xdr:cNvSpPr/>
      </xdr:nvSpPr>
      <xdr:spPr>
        <a:xfrm>
          <a:off x="0" y="4676760"/>
          <a:ext cx="2447640" cy="561600"/>
        </a:xfrm>
        <a:prstGeom prst="rect">
          <a:avLst/>
        </a:prstGeom>
        <a:solidFill>
          <a:srgbClr val="FF9900"/>
        </a:solidFill>
        <a:ln w="762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300" b="1" u="none" strike="noStrike">
              <a:effectLst/>
              <a:uFillTx/>
              <a:latin typeface="Times New Roman"/>
            </a:rPr>
            <a:t>Nahraj dnešní směny</a:t>
          </a:r>
          <a:endParaRPr lang="cs-CZ" sz="13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7</xdr:col>
      <xdr:colOff>343080</xdr:colOff>
      <xdr:row>20</xdr:row>
      <xdr:rowOff>266760</xdr:rowOff>
    </xdr:from>
    <xdr:to>
      <xdr:col>9</xdr:col>
      <xdr:colOff>134280</xdr:colOff>
      <xdr:row>21</xdr:row>
      <xdr:rowOff>552240</xdr:rowOff>
    </xdr:to>
    <xdr:sp>
      <xdr:nvSpPr>
        <xdr:cNvPr id="3" name="Shape 5"/>
        <xdr:cNvSpPr/>
      </xdr:nvSpPr>
      <xdr:spPr>
        <a:xfrm>
          <a:off x="6150960" y="4667400"/>
          <a:ext cx="1571400" cy="580680"/>
        </a:xfrm>
        <a:prstGeom prst="rect">
          <a:avLst/>
        </a:prstGeom>
        <a:solidFill>
          <a:srgbClr val="D5A6BD"/>
        </a:solidFill>
        <a:ln w="381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400" b="1" u="none" strike="noStrike">
              <a:effectLst/>
              <a:uFillTx/>
              <a:latin typeface="Times New Roman"/>
            </a:rPr>
            <a:t>Vlož směny na celý týden</a:t>
          </a:r>
          <a:endParaRPr lang="cs-CZ" sz="14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977040</xdr:colOff>
      <xdr:row>0</xdr:row>
      <xdr:rowOff>0</xdr:rowOff>
    </xdr:from>
    <xdr:to>
      <xdr:col>4</xdr:col>
      <xdr:colOff>88920</xdr:colOff>
      <xdr:row>2</xdr:row>
      <xdr:rowOff>18720</xdr:rowOff>
    </xdr:to>
    <xdr:sp>
      <xdr:nvSpPr>
        <xdr:cNvPr id="4" name="Shape 6"/>
        <xdr:cNvSpPr/>
      </xdr:nvSpPr>
      <xdr:spPr>
        <a:xfrm>
          <a:off x="2070000" y="0"/>
          <a:ext cx="980640" cy="666360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600" b="1" u="none" strike="noStrike">
              <a:effectLst/>
              <a:uFillTx/>
              <a:latin typeface="Times New Roman"/>
            </a:rPr>
            <a:t>Vyber datum</a:t>
          </a:r>
          <a:endParaRPr lang="cs-CZ" sz="1600" b="0" u="none" strike="noStrik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2400" b="0" u="none" strike="noStrike">
              <a:effectLst/>
              <a:uFillTx/>
              <a:latin typeface="Times New Roman"/>
            </a:rPr>
            <a:t>&lt;&lt;  &gt;&gt;</a:t>
          </a:r>
          <a:endParaRPr lang="cs-CZ" sz="24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.75" hidden="false" customHeight="false" outlineLevel="0" collapsed="false">
      <c r="A2" s="2" t="n">
        <v>45531</v>
      </c>
      <c r="B2" s="1" t="s">
        <v>15</v>
      </c>
      <c r="C2" s="1" t="s">
        <v>16</v>
      </c>
      <c r="D2" s="1" t="n">
        <v>289</v>
      </c>
      <c r="E2" s="1" t="n">
        <v>0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21</v>
      </c>
      <c r="M2" s="1" t="n">
        <v>-3</v>
      </c>
      <c r="O2" s="1" t="n">
        <v>11.8191</v>
      </c>
    </row>
    <row r="3" customFormat="false" ht="15.75" hidden="false" customHeight="false" outlineLevel="0" collapsed="false">
      <c r="A3" s="2" t="n">
        <v>45531</v>
      </c>
      <c r="B3" s="1" t="s">
        <v>22</v>
      </c>
      <c r="C3" s="1" t="s">
        <v>16</v>
      </c>
      <c r="D3" s="1" t="n">
        <v>400</v>
      </c>
      <c r="E3" s="1" t="n">
        <v>47</v>
      </c>
      <c r="F3" s="1" t="s">
        <v>23</v>
      </c>
      <c r="G3" s="1" t="s">
        <v>24</v>
      </c>
      <c r="H3" s="1" t="s">
        <v>19</v>
      </c>
      <c r="I3" s="1" t="s">
        <v>25</v>
      </c>
      <c r="J3" s="1" t="s">
        <v>26</v>
      </c>
      <c r="K3" s="1" t="s">
        <v>27</v>
      </c>
      <c r="L3" s="1" t="s">
        <v>28</v>
      </c>
      <c r="M3" s="1" t="n">
        <v>0</v>
      </c>
      <c r="N3" s="1" t="n">
        <v>0.00943333333333333</v>
      </c>
      <c r="O3" s="1" t="n">
        <v>10.7414333333333</v>
      </c>
    </row>
    <row r="4" customFormat="false" ht="15.75" hidden="false" customHeight="false" outlineLevel="0" collapsed="false">
      <c r="A4" s="2" t="n">
        <v>45531</v>
      </c>
      <c r="B4" s="1" t="s">
        <v>15</v>
      </c>
      <c r="C4" s="1" t="s">
        <v>16</v>
      </c>
      <c r="D4" s="1" t="n">
        <v>464</v>
      </c>
      <c r="E4" s="1" t="n">
        <v>0</v>
      </c>
      <c r="F4" s="1" t="s">
        <v>17</v>
      </c>
      <c r="G4" s="1" t="s">
        <v>18</v>
      </c>
      <c r="H4" s="1" t="s">
        <v>19</v>
      </c>
      <c r="I4" s="1" t="s">
        <v>29</v>
      </c>
      <c r="J4" s="1" t="s">
        <v>30</v>
      </c>
      <c r="K4" s="1" t="s">
        <v>30</v>
      </c>
      <c r="M4" s="1" t="n">
        <v>-4</v>
      </c>
      <c r="O4" s="1" t="n">
        <v>10.0414</v>
      </c>
    </row>
    <row r="5" customFormat="false" ht="15.75" hidden="false" customHeight="false" outlineLevel="0" collapsed="false">
      <c r="A5" s="2" t="n">
        <v>45531</v>
      </c>
      <c r="B5" s="1" t="s">
        <v>31</v>
      </c>
      <c r="C5" s="1" t="s">
        <v>32</v>
      </c>
      <c r="D5" s="1" t="n">
        <v>329</v>
      </c>
      <c r="E5" s="1" t="n">
        <v>0</v>
      </c>
      <c r="F5" s="1" t="s">
        <v>33</v>
      </c>
      <c r="G5" s="1" t="s">
        <v>18</v>
      </c>
      <c r="H5" s="1" t="s">
        <v>19</v>
      </c>
      <c r="I5" s="1" t="s">
        <v>34</v>
      </c>
      <c r="J5" s="1" t="s">
        <v>35</v>
      </c>
      <c r="K5" s="1" t="s">
        <v>35</v>
      </c>
      <c r="M5" s="1" t="n">
        <v>-1</v>
      </c>
      <c r="O5" s="1" t="n">
        <v>13.0708</v>
      </c>
    </row>
    <row r="6" customFormat="false" ht="15.75" hidden="false" customHeight="false" outlineLevel="0" collapsed="false">
      <c r="A6" s="2" t="n">
        <v>45531</v>
      </c>
      <c r="B6" s="1" t="s">
        <v>31</v>
      </c>
      <c r="C6" s="1" t="s">
        <v>32</v>
      </c>
      <c r="D6" s="1" t="n">
        <v>329</v>
      </c>
      <c r="E6" s="1" t="n">
        <v>0</v>
      </c>
      <c r="F6" s="1" t="s">
        <v>36</v>
      </c>
      <c r="G6" s="1" t="s">
        <v>18</v>
      </c>
      <c r="H6" s="1" t="s">
        <v>19</v>
      </c>
      <c r="I6" s="1" t="s">
        <v>37</v>
      </c>
      <c r="J6" s="1" t="s">
        <v>38</v>
      </c>
      <c r="K6" s="1" t="s">
        <v>38</v>
      </c>
      <c r="M6" s="1" t="n">
        <v>-6</v>
      </c>
      <c r="O6" s="1" t="n">
        <v>8.68665</v>
      </c>
    </row>
    <row r="7" customFormat="false" ht="15.75" hidden="false" customHeight="false" outlineLevel="0" collapsed="false">
      <c r="A7" s="2" t="n">
        <v>45531</v>
      </c>
      <c r="B7" s="1" t="s">
        <v>15</v>
      </c>
      <c r="C7" s="1" t="s">
        <v>16</v>
      </c>
      <c r="D7" s="1" t="n">
        <v>321</v>
      </c>
      <c r="E7" s="1" t="n">
        <v>0</v>
      </c>
      <c r="F7" s="1" t="s">
        <v>17</v>
      </c>
      <c r="G7" s="1" t="s">
        <v>18</v>
      </c>
      <c r="H7" s="1" t="s">
        <v>19</v>
      </c>
      <c r="I7" s="1" t="s">
        <v>39</v>
      </c>
      <c r="J7" s="1" t="s">
        <v>40</v>
      </c>
      <c r="K7" s="1" t="s">
        <v>40</v>
      </c>
      <c r="M7" s="1" t="n">
        <v>-2</v>
      </c>
      <c r="O7" s="1" t="n">
        <v>13.3126</v>
      </c>
    </row>
    <row r="8" customFormat="false" ht="15.75" hidden="false" customHeight="false" outlineLevel="0" collapsed="false">
      <c r="A8" s="2" t="n">
        <v>45531</v>
      </c>
      <c r="B8" s="1" t="s">
        <v>31</v>
      </c>
      <c r="C8" s="1" t="s">
        <v>32</v>
      </c>
      <c r="D8" s="1" t="n">
        <v>321</v>
      </c>
      <c r="E8" s="1" t="n">
        <v>0</v>
      </c>
      <c r="F8" s="1" t="s">
        <v>33</v>
      </c>
      <c r="G8" s="1" t="s">
        <v>18</v>
      </c>
      <c r="H8" s="1" t="s">
        <v>19</v>
      </c>
      <c r="I8" s="1" t="s">
        <v>41</v>
      </c>
      <c r="J8" s="1" t="s">
        <v>42</v>
      </c>
      <c r="K8" s="1" t="s">
        <v>42</v>
      </c>
      <c r="M8" s="1" t="n">
        <v>-2</v>
      </c>
      <c r="O8" s="1" t="n">
        <v>12.273</v>
      </c>
    </row>
    <row r="9" customFormat="false" ht="15.75" hidden="false" customHeight="false" outlineLevel="0" collapsed="false">
      <c r="A9" s="2" t="n">
        <v>45531</v>
      </c>
      <c r="B9" s="1" t="s">
        <v>22</v>
      </c>
      <c r="C9" s="1" t="s">
        <v>16</v>
      </c>
      <c r="D9" s="1" t="n">
        <v>299</v>
      </c>
      <c r="E9" s="1" t="n">
        <v>0</v>
      </c>
      <c r="F9" s="1" t="s">
        <v>23</v>
      </c>
      <c r="G9" s="1" t="s">
        <v>24</v>
      </c>
      <c r="H9" s="1" t="s">
        <v>43</v>
      </c>
      <c r="I9" s="1" t="s">
        <v>44</v>
      </c>
      <c r="J9" s="1" t="s">
        <v>45</v>
      </c>
      <c r="K9" s="1" t="s">
        <v>46</v>
      </c>
      <c r="L9" s="1" t="s">
        <v>47</v>
      </c>
      <c r="M9" s="1" t="n">
        <v>10</v>
      </c>
      <c r="N9" s="1" t="n">
        <v>0.0101</v>
      </c>
      <c r="O9" s="1" t="n">
        <v>11.6734</v>
      </c>
    </row>
    <row r="10" customFormat="false" ht="15.75" hidden="false" customHeight="false" outlineLevel="0" collapsed="false">
      <c r="A10" s="2" t="n">
        <v>45531</v>
      </c>
      <c r="B10" s="1" t="s">
        <v>22</v>
      </c>
      <c r="C10" s="1" t="s">
        <v>16</v>
      </c>
      <c r="D10" s="1" t="n">
        <v>288</v>
      </c>
      <c r="E10" s="1" t="n">
        <v>0</v>
      </c>
      <c r="F10" s="1" t="s">
        <v>23</v>
      </c>
      <c r="G10" s="1" t="s">
        <v>24</v>
      </c>
      <c r="H10" s="1" t="s">
        <v>43</v>
      </c>
      <c r="I10" s="1" t="s">
        <v>48</v>
      </c>
      <c r="J10" s="1" t="s">
        <v>49</v>
      </c>
      <c r="K10" s="1" t="s">
        <v>50</v>
      </c>
      <c r="L10" s="1" t="s">
        <v>51</v>
      </c>
      <c r="M10" s="1" t="n">
        <v>-1</v>
      </c>
      <c r="N10" s="1" t="n">
        <v>0.00828333333333333</v>
      </c>
      <c r="O10" s="1" t="n">
        <v>10.4290333333333</v>
      </c>
    </row>
    <row r="11" customFormat="false" ht="15.75" hidden="false" customHeight="false" outlineLevel="0" collapsed="false">
      <c r="A11" s="2" t="n">
        <v>45531</v>
      </c>
      <c r="B11" s="1" t="s">
        <v>15</v>
      </c>
      <c r="C11" s="1" t="s">
        <v>16</v>
      </c>
      <c r="D11" s="1" t="n">
        <v>394</v>
      </c>
      <c r="E11" s="1" t="n">
        <v>0</v>
      </c>
      <c r="F11" s="1" t="s">
        <v>17</v>
      </c>
      <c r="G11" s="1" t="s">
        <v>18</v>
      </c>
      <c r="H11" s="1" t="s">
        <v>19</v>
      </c>
      <c r="I11" s="1" t="s">
        <v>52</v>
      </c>
      <c r="J11" s="1" t="s">
        <v>53</v>
      </c>
      <c r="K11" s="1" t="s">
        <v>53</v>
      </c>
      <c r="M11" s="1" t="n">
        <v>1</v>
      </c>
      <c r="O11" s="1" t="n">
        <v>16.4414</v>
      </c>
    </row>
    <row r="12" customFormat="false" ht="15.75" hidden="false" customHeight="false" outlineLevel="0" collapsed="false">
      <c r="A12" s="2" t="n">
        <v>45531</v>
      </c>
      <c r="B12" s="1" t="s">
        <v>54</v>
      </c>
      <c r="C12" s="1" t="s">
        <v>32</v>
      </c>
      <c r="D12" s="1" t="n">
        <v>264</v>
      </c>
      <c r="E12" s="1" t="n">
        <v>0</v>
      </c>
      <c r="G12" s="1" t="s">
        <v>18</v>
      </c>
      <c r="H12" s="1" t="s">
        <v>43</v>
      </c>
      <c r="I12" s="1" t="s">
        <v>55</v>
      </c>
      <c r="J12" s="1" t="s">
        <v>56</v>
      </c>
      <c r="K12" s="1" t="s">
        <v>56</v>
      </c>
      <c r="M12" s="1" t="n">
        <v>1</v>
      </c>
      <c r="O12" s="1" t="n">
        <v>11.8416666666667</v>
      </c>
    </row>
    <row r="13" customFormat="false" ht="15.75" hidden="false" customHeight="false" outlineLevel="0" collapsed="false">
      <c r="A13" s="2" t="n">
        <v>45531</v>
      </c>
      <c r="B13" s="1" t="s">
        <v>54</v>
      </c>
      <c r="C13" s="1" t="s">
        <v>32</v>
      </c>
      <c r="D13" s="1" t="n">
        <v>264</v>
      </c>
      <c r="E13" s="1" t="n">
        <v>0</v>
      </c>
      <c r="G13" s="1" t="s">
        <v>18</v>
      </c>
      <c r="H13" s="1" t="s">
        <v>43</v>
      </c>
      <c r="I13" s="1" t="s">
        <v>57</v>
      </c>
      <c r="J13" s="1" t="s">
        <v>58</v>
      </c>
      <c r="K13" s="1" t="s">
        <v>58</v>
      </c>
      <c r="M13" s="1" t="n">
        <v>0</v>
      </c>
      <c r="O13" s="1" t="n">
        <v>9.89213333333333</v>
      </c>
    </row>
    <row r="14" customFormat="false" ht="15.75" hidden="false" customHeight="false" outlineLevel="0" collapsed="false">
      <c r="A14" s="2" t="n">
        <v>45531</v>
      </c>
      <c r="B14" s="1" t="s">
        <v>22</v>
      </c>
      <c r="C14" s="1" t="s">
        <v>16</v>
      </c>
      <c r="D14" s="1" t="n">
        <v>309</v>
      </c>
      <c r="E14" s="1" t="n">
        <v>0</v>
      </c>
      <c r="F14" s="1" t="s">
        <v>23</v>
      </c>
      <c r="G14" s="1" t="s">
        <v>24</v>
      </c>
      <c r="H14" s="1" t="s">
        <v>19</v>
      </c>
      <c r="I14" s="1" t="s">
        <v>59</v>
      </c>
      <c r="J14" s="1" t="s">
        <v>60</v>
      </c>
      <c r="K14" s="1" t="s">
        <v>61</v>
      </c>
      <c r="L14" s="1" t="s">
        <v>62</v>
      </c>
      <c r="M14" s="1" t="n">
        <v>1</v>
      </c>
      <c r="N14" s="1" t="n">
        <v>0.0082</v>
      </c>
      <c r="O14" s="1" t="n">
        <v>11.1105333333333</v>
      </c>
    </row>
    <row r="15" customFormat="false" ht="15.75" hidden="false" customHeight="false" outlineLevel="0" collapsed="false">
      <c r="A15" s="2" t="n">
        <v>45531</v>
      </c>
      <c r="B15" s="1" t="s">
        <v>22</v>
      </c>
      <c r="C15" s="1" t="s">
        <v>16</v>
      </c>
      <c r="D15" s="1" t="n">
        <v>250</v>
      </c>
      <c r="E15" s="1" t="n">
        <v>0</v>
      </c>
      <c r="F15" s="1" t="s">
        <v>23</v>
      </c>
      <c r="G15" s="1" t="s">
        <v>24</v>
      </c>
      <c r="H15" s="1" t="s">
        <v>19</v>
      </c>
      <c r="I15" s="1" t="s">
        <v>63</v>
      </c>
      <c r="J15" s="1" t="s">
        <v>64</v>
      </c>
      <c r="K15" s="1" t="s">
        <v>65</v>
      </c>
      <c r="L15" s="1" t="s">
        <v>66</v>
      </c>
      <c r="M15" s="1" t="n">
        <v>-5</v>
      </c>
      <c r="N15" s="1" t="n">
        <v>0.0089</v>
      </c>
      <c r="O15" s="1" t="n">
        <v>11.5456</v>
      </c>
    </row>
    <row r="16" customFormat="false" ht="15.75" hidden="false" customHeight="false" outlineLevel="0" collapsed="false">
      <c r="A16" s="2" t="n">
        <v>45531</v>
      </c>
      <c r="B16" s="1" t="s">
        <v>54</v>
      </c>
      <c r="C16" s="1" t="s">
        <v>16</v>
      </c>
      <c r="D16" s="1" t="n">
        <v>394</v>
      </c>
      <c r="E16" s="1" t="n">
        <v>0</v>
      </c>
      <c r="G16" s="1" t="s">
        <v>18</v>
      </c>
      <c r="H16" s="1" t="s">
        <v>19</v>
      </c>
      <c r="I16" s="1" t="s">
        <v>67</v>
      </c>
      <c r="J16" s="1" t="s">
        <v>68</v>
      </c>
      <c r="K16" s="1" t="s">
        <v>68</v>
      </c>
      <c r="M16" s="1" t="n">
        <v>0</v>
      </c>
      <c r="O16" s="1" t="n">
        <v>13.0193</v>
      </c>
    </row>
    <row r="17" customFormat="false" ht="15.75" hidden="false" customHeight="false" outlineLevel="0" collapsed="false">
      <c r="A17" s="2" t="n">
        <v>45531</v>
      </c>
      <c r="B17" s="1" t="s">
        <v>54</v>
      </c>
      <c r="C17" s="1" t="s">
        <v>16</v>
      </c>
      <c r="D17" s="1" t="n">
        <v>358</v>
      </c>
      <c r="E17" s="1" t="n">
        <v>0</v>
      </c>
      <c r="G17" s="1" t="s">
        <v>18</v>
      </c>
      <c r="H17" s="1" t="s">
        <v>19</v>
      </c>
      <c r="I17" s="1" t="s">
        <v>69</v>
      </c>
      <c r="J17" s="1" t="s">
        <v>70</v>
      </c>
      <c r="K17" s="1" t="s">
        <v>70</v>
      </c>
      <c r="M17" s="1" t="n">
        <v>0</v>
      </c>
      <c r="O17" s="1" t="n">
        <v>11.0244833333333</v>
      </c>
    </row>
    <row r="18" customFormat="false" ht="15.75" hidden="false" customHeight="false" outlineLevel="0" collapsed="false">
      <c r="A18" s="2" t="n">
        <v>45531</v>
      </c>
      <c r="B18" s="1" t="s">
        <v>31</v>
      </c>
      <c r="C18" s="1" t="s">
        <v>32</v>
      </c>
      <c r="D18" s="1" t="n">
        <v>329</v>
      </c>
      <c r="E18" s="1" t="n">
        <v>0</v>
      </c>
      <c r="F18" s="1" t="s">
        <v>71</v>
      </c>
      <c r="G18" s="1" t="s">
        <v>18</v>
      </c>
      <c r="H18" s="1" t="s">
        <v>19</v>
      </c>
      <c r="I18" s="1" t="s">
        <v>72</v>
      </c>
      <c r="J18" s="1" t="s">
        <v>73</v>
      </c>
      <c r="K18" s="1" t="s">
        <v>73</v>
      </c>
      <c r="M18" s="1" t="n">
        <v>-3</v>
      </c>
      <c r="O18" s="1" t="n">
        <v>11.4780666666667</v>
      </c>
    </row>
    <row r="19" customFormat="false" ht="15.75" hidden="false" customHeight="false" outlineLevel="0" collapsed="false">
      <c r="A19" s="2" t="n">
        <v>45531</v>
      </c>
      <c r="B19" s="1" t="s">
        <v>15</v>
      </c>
      <c r="C19" s="1" t="s">
        <v>16</v>
      </c>
      <c r="D19" s="1" t="n">
        <v>264</v>
      </c>
      <c r="E19" s="1" t="n">
        <v>0</v>
      </c>
      <c r="F19" s="1" t="s">
        <v>17</v>
      </c>
      <c r="G19" s="1" t="s">
        <v>18</v>
      </c>
      <c r="H19" s="1" t="s">
        <v>19</v>
      </c>
      <c r="I19" s="1" t="s">
        <v>74</v>
      </c>
      <c r="J19" s="1" t="s">
        <v>75</v>
      </c>
      <c r="K19" s="1" t="s">
        <v>75</v>
      </c>
      <c r="M19" s="1" t="n">
        <v>-4</v>
      </c>
      <c r="O19" s="1" t="n">
        <v>10.5161166666667</v>
      </c>
    </row>
    <row r="20" customFormat="false" ht="15.75" hidden="false" customHeight="false" outlineLevel="0" collapsed="false">
      <c r="A20" s="2" t="n">
        <v>45531</v>
      </c>
      <c r="B20" s="1" t="s">
        <v>22</v>
      </c>
      <c r="C20" s="1" t="s">
        <v>16</v>
      </c>
      <c r="D20" s="1" t="n">
        <v>267</v>
      </c>
      <c r="E20" s="1" t="n">
        <v>67</v>
      </c>
      <c r="G20" s="1" t="s">
        <v>76</v>
      </c>
      <c r="H20" s="1" t="s">
        <v>19</v>
      </c>
      <c r="I20" s="1" t="s">
        <v>77</v>
      </c>
      <c r="J20" s="1" t="s">
        <v>78</v>
      </c>
      <c r="K20" s="1" t="s">
        <v>78</v>
      </c>
      <c r="M20" s="1" t="n">
        <v>-8</v>
      </c>
      <c r="O20" s="1" t="n">
        <v>8.571</v>
      </c>
    </row>
    <row r="21" customFormat="false" ht="15.75" hidden="false" customHeight="false" outlineLevel="0" collapsed="false">
      <c r="A21" s="2" t="n">
        <v>45531</v>
      </c>
      <c r="B21" s="1" t="s">
        <v>22</v>
      </c>
      <c r="C21" s="1" t="s">
        <v>79</v>
      </c>
      <c r="D21" s="1" t="n">
        <v>267</v>
      </c>
      <c r="E21" s="1" t="n">
        <v>67</v>
      </c>
      <c r="G21" s="1" t="s">
        <v>76</v>
      </c>
      <c r="H21" s="1" t="s">
        <v>80</v>
      </c>
      <c r="I21" s="1" t="s">
        <v>81</v>
      </c>
      <c r="M21" s="1" t="n">
        <v>0</v>
      </c>
    </row>
    <row r="22" customFormat="false" ht="15.75" hidden="false" customHeight="false" outlineLevel="0" collapsed="false">
      <c r="A22" s="2" t="n">
        <v>45531</v>
      </c>
      <c r="B22" s="1" t="s">
        <v>54</v>
      </c>
      <c r="C22" s="1" t="s">
        <v>32</v>
      </c>
      <c r="D22" s="1" t="n">
        <v>394</v>
      </c>
      <c r="E22" s="1" t="n">
        <v>0</v>
      </c>
      <c r="G22" s="1" t="s">
        <v>18</v>
      </c>
      <c r="H22" s="1" t="s">
        <v>43</v>
      </c>
      <c r="I22" s="1" t="s">
        <v>82</v>
      </c>
      <c r="J22" s="1" t="s">
        <v>83</v>
      </c>
      <c r="K22" s="1" t="s">
        <v>83</v>
      </c>
      <c r="M22" s="1" t="n">
        <v>-2</v>
      </c>
      <c r="O22" s="1" t="n">
        <v>10.2971</v>
      </c>
    </row>
    <row r="23" customFormat="false" ht="15.75" hidden="false" customHeight="false" outlineLevel="0" collapsed="false">
      <c r="A23" s="2" t="n">
        <v>45531</v>
      </c>
      <c r="B23" s="1" t="s">
        <v>15</v>
      </c>
      <c r="C23" s="1" t="s">
        <v>16</v>
      </c>
      <c r="D23" s="1" t="n">
        <v>264</v>
      </c>
      <c r="E23" s="1" t="n">
        <v>0</v>
      </c>
      <c r="F23" s="1" t="s">
        <v>17</v>
      </c>
      <c r="G23" s="1" t="s">
        <v>18</v>
      </c>
      <c r="H23" s="1" t="s">
        <v>19</v>
      </c>
      <c r="I23" s="1" t="s">
        <v>84</v>
      </c>
      <c r="J23" s="1" t="s">
        <v>85</v>
      </c>
      <c r="K23" s="1" t="s">
        <v>85</v>
      </c>
      <c r="M23" s="1" t="n">
        <v>-6</v>
      </c>
      <c r="O23" s="1" t="n">
        <v>8.06711666666667</v>
      </c>
    </row>
    <row r="24" customFormat="false" ht="15.75" hidden="false" customHeight="false" outlineLevel="0" collapsed="false">
      <c r="A24" s="2" t="n">
        <v>45531</v>
      </c>
      <c r="B24" s="1" t="s">
        <v>54</v>
      </c>
      <c r="C24" s="1" t="s">
        <v>32</v>
      </c>
      <c r="D24" s="1" t="n">
        <v>368</v>
      </c>
      <c r="E24" s="1" t="n">
        <v>0</v>
      </c>
      <c r="G24" s="1" t="s">
        <v>18</v>
      </c>
      <c r="H24" s="1" t="s">
        <v>19</v>
      </c>
      <c r="I24" s="1" t="s">
        <v>86</v>
      </c>
      <c r="J24" s="1" t="s">
        <v>87</v>
      </c>
      <c r="K24" s="1" t="s">
        <v>87</v>
      </c>
      <c r="M24" s="1" t="n">
        <v>-2</v>
      </c>
      <c r="O24" s="1" t="n">
        <v>9.60866666666667</v>
      </c>
    </row>
    <row r="25" customFormat="false" ht="15.75" hidden="false" customHeight="false" outlineLevel="0" collapsed="false">
      <c r="A25" s="2" t="n">
        <v>45531</v>
      </c>
      <c r="B25" s="1" t="s">
        <v>22</v>
      </c>
      <c r="C25" s="1" t="s">
        <v>16</v>
      </c>
      <c r="D25" s="1" t="n">
        <v>426</v>
      </c>
      <c r="E25" s="1" t="n">
        <v>0</v>
      </c>
      <c r="F25" s="1" t="s">
        <v>23</v>
      </c>
      <c r="G25" s="1" t="s">
        <v>24</v>
      </c>
      <c r="H25" s="1" t="s">
        <v>43</v>
      </c>
      <c r="I25" s="1" t="s">
        <v>88</v>
      </c>
      <c r="J25" s="1" t="s">
        <v>89</v>
      </c>
      <c r="K25" s="1" t="s">
        <v>90</v>
      </c>
      <c r="L25" s="1" t="s">
        <v>91</v>
      </c>
      <c r="M25" s="1" t="n">
        <v>15</v>
      </c>
      <c r="N25" s="1" t="n">
        <v>0.01095</v>
      </c>
      <c r="O25" s="1" t="n">
        <v>11.4656333333333</v>
      </c>
    </row>
    <row r="26" customFormat="false" ht="15.75" hidden="false" customHeight="false" outlineLevel="0" collapsed="false">
      <c r="A26" s="2" t="n">
        <v>45531</v>
      </c>
      <c r="B26" s="1" t="s">
        <v>22</v>
      </c>
      <c r="C26" s="1" t="s">
        <v>16</v>
      </c>
      <c r="D26" s="1" t="n">
        <v>329</v>
      </c>
      <c r="E26" s="1" t="n">
        <v>0</v>
      </c>
      <c r="F26" s="1" t="s">
        <v>23</v>
      </c>
      <c r="G26" s="1" t="s">
        <v>24</v>
      </c>
      <c r="H26" s="1" t="s">
        <v>43</v>
      </c>
      <c r="I26" s="1" t="s">
        <v>92</v>
      </c>
      <c r="J26" s="1" t="s">
        <v>93</v>
      </c>
      <c r="K26" s="1" t="s">
        <v>94</v>
      </c>
      <c r="L26" s="1" t="s">
        <v>95</v>
      </c>
      <c r="M26" s="1" t="n">
        <v>0</v>
      </c>
      <c r="N26" s="1" t="n">
        <v>0.0108166666666667</v>
      </c>
      <c r="O26" s="1" t="n">
        <v>9.00351666666667</v>
      </c>
    </row>
    <row r="27" customFormat="false" ht="15.75" hidden="false" customHeight="false" outlineLevel="0" collapsed="false">
      <c r="A27" s="2" t="n">
        <v>45531</v>
      </c>
      <c r="B27" s="1" t="s">
        <v>96</v>
      </c>
      <c r="C27" s="1" t="s">
        <v>16</v>
      </c>
      <c r="D27" s="1" t="n">
        <v>90</v>
      </c>
      <c r="E27" s="1" t="n">
        <v>0</v>
      </c>
      <c r="G27" s="1" t="s">
        <v>76</v>
      </c>
      <c r="H27" s="1" t="s">
        <v>43</v>
      </c>
      <c r="I27" s="1" t="s">
        <v>97</v>
      </c>
      <c r="J27" s="1" t="s">
        <v>98</v>
      </c>
      <c r="K27" s="1" t="s">
        <v>98</v>
      </c>
      <c r="M27" s="1" t="n">
        <v>-4</v>
      </c>
      <c r="O27" s="1" t="n">
        <v>0.630266666666667</v>
      </c>
    </row>
    <row r="28" customFormat="false" ht="15.75" hidden="false" customHeight="false" outlineLevel="0" collapsed="false">
      <c r="A28" s="2" t="n">
        <v>45531</v>
      </c>
      <c r="B28" s="1" t="s">
        <v>22</v>
      </c>
      <c r="C28" s="1" t="s">
        <v>16</v>
      </c>
      <c r="D28" s="1" t="n">
        <v>374</v>
      </c>
      <c r="E28" s="1" t="n">
        <v>0</v>
      </c>
      <c r="F28" s="1" t="s">
        <v>23</v>
      </c>
      <c r="G28" s="1" t="s">
        <v>24</v>
      </c>
      <c r="H28" s="1" t="s">
        <v>19</v>
      </c>
      <c r="I28" s="1" t="s">
        <v>99</v>
      </c>
      <c r="J28" s="1" t="s">
        <v>100</v>
      </c>
      <c r="K28" s="1" t="s">
        <v>101</v>
      </c>
      <c r="L28" s="1" t="s">
        <v>102</v>
      </c>
      <c r="M28" s="1" t="n">
        <v>-3</v>
      </c>
      <c r="N28" s="1" t="n">
        <v>0.00818333333333333</v>
      </c>
      <c r="O28" s="1" t="n">
        <v>10.1439333333333</v>
      </c>
    </row>
    <row r="29" customFormat="false" ht="15.75" hidden="false" customHeight="false" outlineLevel="0" collapsed="false">
      <c r="A29" s="2" t="n">
        <v>45531</v>
      </c>
      <c r="B29" s="1" t="s">
        <v>54</v>
      </c>
      <c r="C29" s="1" t="s">
        <v>32</v>
      </c>
      <c r="D29" s="1" t="n">
        <v>264</v>
      </c>
      <c r="E29" s="1" t="n">
        <v>0</v>
      </c>
      <c r="G29" s="1" t="s">
        <v>18</v>
      </c>
      <c r="H29" s="1" t="s">
        <v>19</v>
      </c>
      <c r="I29" s="1" t="s">
        <v>103</v>
      </c>
      <c r="J29" s="1" t="s">
        <v>104</v>
      </c>
      <c r="K29" s="1" t="s">
        <v>104</v>
      </c>
      <c r="M29" s="1" t="n">
        <v>-1</v>
      </c>
      <c r="O29" s="1" t="n">
        <v>8.99686666666667</v>
      </c>
    </row>
    <row r="30" customFormat="false" ht="15.75" hidden="false" customHeight="false" outlineLevel="0" collapsed="false">
      <c r="A30" s="2" t="n">
        <v>45531</v>
      </c>
      <c r="B30" s="1" t="s">
        <v>54</v>
      </c>
      <c r="C30" s="1" t="s">
        <v>32</v>
      </c>
      <c r="D30" s="1" t="n">
        <v>294</v>
      </c>
      <c r="E30" s="1" t="n">
        <v>0</v>
      </c>
      <c r="G30" s="1" t="s">
        <v>18</v>
      </c>
      <c r="H30" s="1" t="s">
        <v>19</v>
      </c>
      <c r="I30" s="1" t="s">
        <v>105</v>
      </c>
      <c r="J30" s="1" t="s">
        <v>106</v>
      </c>
      <c r="K30" s="1" t="s">
        <v>106</v>
      </c>
      <c r="M30" s="1" t="n">
        <v>-2</v>
      </c>
      <c r="O30" s="1" t="n">
        <v>9.25065</v>
      </c>
    </row>
    <row r="31" customFormat="false" ht="15.75" hidden="false" customHeight="false" outlineLevel="0" collapsed="false">
      <c r="A31" s="2" t="n">
        <v>45531</v>
      </c>
      <c r="B31" s="1" t="s">
        <v>31</v>
      </c>
      <c r="C31" s="1" t="s">
        <v>32</v>
      </c>
      <c r="D31" s="1" t="n">
        <v>368</v>
      </c>
      <c r="E31" s="1" t="n">
        <v>0</v>
      </c>
      <c r="F31" s="1" t="s">
        <v>107</v>
      </c>
      <c r="G31" s="1" t="s">
        <v>18</v>
      </c>
      <c r="H31" s="1" t="s">
        <v>19</v>
      </c>
      <c r="I31" s="1" t="s">
        <v>108</v>
      </c>
      <c r="J31" s="1" t="s">
        <v>109</v>
      </c>
      <c r="K31" s="1" t="s">
        <v>109</v>
      </c>
      <c r="M31" s="1" t="n">
        <v>-3</v>
      </c>
      <c r="O31" s="1" t="n">
        <v>11.3167333333333</v>
      </c>
    </row>
    <row r="32" customFormat="false" ht="15.75" hidden="false" customHeight="false" outlineLevel="0" collapsed="false">
      <c r="A32" s="2" t="n">
        <v>45531</v>
      </c>
      <c r="B32" s="1" t="s">
        <v>54</v>
      </c>
      <c r="C32" s="1" t="s">
        <v>32</v>
      </c>
      <c r="D32" s="1" t="n">
        <v>264</v>
      </c>
      <c r="E32" s="1" t="n">
        <v>0</v>
      </c>
      <c r="G32" s="1" t="s">
        <v>18</v>
      </c>
      <c r="H32" s="1" t="s">
        <v>19</v>
      </c>
      <c r="I32" s="1" t="s">
        <v>110</v>
      </c>
      <c r="J32" s="1" t="s">
        <v>111</v>
      </c>
      <c r="K32" s="1" t="s">
        <v>111</v>
      </c>
      <c r="M32" s="1" t="n">
        <v>0</v>
      </c>
      <c r="O32" s="1" t="n">
        <v>11.13275</v>
      </c>
    </row>
    <row r="33" customFormat="false" ht="15.75" hidden="false" customHeight="false" outlineLevel="0" collapsed="false">
      <c r="A33" s="2" t="n">
        <v>45531</v>
      </c>
      <c r="B33" s="1" t="s">
        <v>15</v>
      </c>
      <c r="C33" s="1" t="s">
        <v>16</v>
      </c>
      <c r="D33" s="1" t="n">
        <v>258</v>
      </c>
      <c r="E33" s="1" t="n">
        <v>0</v>
      </c>
      <c r="F33" s="1" t="s">
        <v>17</v>
      </c>
      <c r="G33" s="1" t="s">
        <v>18</v>
      </c>
      <c r="H33" s="1" t="s">
        <v>19</v>
      </c>
      <c r="I33" s="1" t="s">
        <v>112</v>
      </c>
      <c r="J33" s="1" t="s">
        <v>113</v>
      </c>
      <c r="K33" s="1" t="s">
        <v>113</v>
      </c>
      <c r="M33" s="1" t="n">
        <v>-14</v>
      </c>
      <c r="O33" s="1" t="n">
        <v>0.901983333333333</v>
      </c>
    </row>
    <row r="34" customFormat="false" ht="15.75" hidden="false" customHeight="false" outlineLevel="0" collapsed="false">
      <c r="A34" s="2" t="n">
        <v>45531</v>
      </c>
      <c r="B34" s="1" t="s">
        <v>96</v>
      </c>
      <c r="C34" s="1" t="s">
        <v>16</v>
      </c>
      <c r="D34" s="1" t="n">
        <v>309</v>
      </c>
      <c r="E34" s="1" t="n">
        <v>0</v>
      </c>
      <c r="G34" s="1" t="s">
        <v>76</v>
      </c>
      <c r="H34" s="1" t="s">
        <v>43</v>
      </c>
      <c r="I34" s="1" t="s">
        <v>114</v>
      </c>
      <c r="J34" s="1" t="s">
        <v>115</v>
      </c>
      <c r="K34" s="1" t="s">
        <v>115</v>
      </c>
      <c r="M34" s="1" t="n">
        <v>8</v>
      </c>
      <c r="O34" s="1" t="n">
        <v>13.98825</v>
      </c>
    </row>
    <row r="35" customFormat="false" ht="15.75" hidden="false" customHeight="false" outlineLevel="0" collapsed="false">
      <c r="A35" s="2" t="n">
        <v>45531</v>
      </c>
      <c r="B35" s="1" t="s">
        <v>96</v>
      </c>
      <c r="C35" s="1" t="s">
        <v>16</v>
      </c>
      <c r="D35" s="1" t="n">
        <v>209</v>
      </c>
      <c r="E35" s="1" t="n">
        <v>0</v>
      </c>
      <c r="G35" s="1" t="s">
        <v>76</v>
      </c>
      <c r="H35" s="1" t="s">
        <v>43</v>
      </c>
      <c r="I35" s="1" t="s">
        <v>116</v>
      </c>
      <c r="J35" s="1" t="s">
        <v>117</v>
      </c>
      <c r="K35" s="1" t="s">
        <v>117</v>
      </c>
      <c r="M35" s="1" t="n">
        <v>6</v>
      </c>
      <c r="O35" s="1" t="n">
        <v>11.8711166666667</v>
      </c>
    </row>
    <row r="36" customFormat="false" ht="15.75" hidden="false" customHeight="false" outlineLevel="0" collapsed="false">
      <c r="A36" s="2" t="n">
        <v>45531</v>
      </c>
      <c r="B36" s="1" t="s">
        <v>22</v>
      </c>
      <c r="C36" s="1" t="s">
        <v>16</v>
      </c>
      <c r="D36" s="1" t="n">
        <v>199</v>
      </c>
      <c r="E36" s="1" t="n">
        <v>50</v>
      </c>
      <c r="G36" s="1" t="s">
        <v>76</v>
      </c>
      <c r="H36" s="1" t="s">
        <v>80</v>
      </c>
      <c r="I36" s="1" t="s">
        <v>118</v>
      </c>
      <c r="J36" s="1" t="s">
        <v>119</v>
      </c>
      <c r="K36" s="1" t="s">
        <v>119</v>
      </c>
      <c r="M36" s="1" t="n">
        <v>-4</v>
      </c>
      <c r="O36" s="1" t="n">
        <v>15.2469333333333</v>
      </c>
    </row>
    <row r="37" customFormat="false" ht="15.75" hidden="false" customHeight="false" outlineLevel="0" collapsed="false">
      <c r="A37" s="2" t="n">
        <v>45531</v>
      </c>
      <c r="B37" s="1" t="s">
        <v>22</v>
      </c>
      <c r="C37" s="1" t="s">
        <v>16</v>
      </c>
      <c r="D37" s="1" t="n">
        <v>279</v>
      </c>
      <c r="E37" s="1" t="n">
        <v>70</v>
      </c>
      <c r="G37" s="1" t="s">
        <v>76</v>
      </c>
      <c r="H37" s="1" t="s">
        <v>43</v>
      </c>
      <c r="I37" s="1" t="s">
        <v>120</v>
      </c>
      <c r="J37" s="1" t="s">
        <v>121</v>
      </c>
      <c r="K37" s="1" t="s">
        <v>121</v>
      </c>
      <c r="M37" s="1" t="n">
        <v>-4</v>
      </c>
      <c r="O37" s="1" t="n">
        <v>14.9709833333333</v>
      </c>
    </row>
    <row r="38" customFormat="false" ht="15.75" hidden="false" customHeight="false" outlineLevel="0" collapsed="false">
      <c r="A38" s="2" t="n">
        <v>45531</v>
      </c>
      <c r="B38" s="1" t="s">
        <v>96</v>
      </c>
      <c r="C38" s="1" t="s">
        <v>79</v>
      </c>
      <c r="D38" s="1" t="n">
        <v>249</v>
      </c>
      <c r="E38" s="1" t="n">
        <v>0</v>
      </c>
      <c r="G38" s="1" t="s">
        <v>76</v>
      </c>
      <c r="H38" s="1" t="s">
        <v>43</v>
      </c>
      <c r="I38" s="1" t="s">
        <v>122</v>
      </c>
      <c r="J38" s="1" t="s">
        <v>123</v>
      </c>
      <c r="K38" s="1" t="s">
        <v>123</v>
      </c>
      <c r="M38" s="1" t="n">
        <v>7</v>
      </c>
      <c r="O38" s="1" t="n">
        <v>12.8638166666667</v>
      </c>
    </row>
    <row r="39" customFormat="false" ht="15.75" hidden="false" customHeight="false" outlineLevel="0" collapsed="false">
      <c r="A39" s="2" t="n">
        <v>45531</v>
      </c>
      <c r="B39" s="1" t="s">
        <v>22</v>
      </c>
      <c r="C39" s="1" t="s">
        <v>16</v>
      </c>
      <c r="D39" s="1" t="n">
        <v>247</v>
      </c>
      <c r="E39" s="1" t="n">
        <v>62</v>
      </c>
      <c r="G39" s="1" t="s">
        <v>76</v>
      </c>
      <c r="H39" s="1" t="s">
        <v>43</v>
      </c>
      <c r="I39" s="1" t="s">
        <v>124</v>
      </c>
      <c r="J39" s="1" t="s">
        <v>125</v>
      </c>
      <c r="K39" s="1" t="s">
        <v>125</v>
      </c>
      <c r="M39" s="1" t="n">
        <v>-6</v>
      </c>
      <c r="O39" s="1" t="n">
        <v>12.6944333333333</v>
      </c>
    </row>
    <row r="40" customFormat="false" ht="15.75" hidden="false" customHeight="false" outlineLevel="0" collapsed="false">
      <c r="A40" s="2" t="n">
        <v>45531</v>
      </c>
      <c r="B40" s="1" t="s">
        <v>15</v>
      </c>
      <c r="C40" s="1" t="s">
        <v>16</v>
      </c>
      <c r="D40" s="1" t="n">
        <v>313</v>
      </c>
      <c r="E40" s="1" t="n">
        <v>0</v>
      </c>
      <c r="F40" s="1" t="s">
        <v>17</v>
      </c>
      <c r="G40" s="1" t="s">
        <v>18</v>
      </c>
      <c r="H40" s="1" t="s">
        <v>19</v>
      </c>
      <c r="I40" s="1" t="s">
        <v>126</v>
      </c>
      <c r="J40" s="1" t="s">
        <v>127</v>
      </c>
      <c r="K40" s="1" t="s">
        <v>127</v>
      </c>
      <c r="M40" s="1" t="n">
        <v>4</v>
      </c>
      <c r="O40" s="1" t="n">
        <v>19.7770333333333</v>
      </c>
    </row>
    <row r="41" customFormat="false" ht="15.75" hidden="false" customHeight="false" outlineLevel="0" collapsed="false">
      <c r="A41" s="2" t="n">
        <v>45531</v>
      </c>
      <c r="B41" s="1" t="s">
        <v>54</v>
      </c>
      <c r="C41" s="1" t="s">
        <v>32</v>
      </c>
      <c r="D41" s="1" t="n">
        <v>693</v>
      </c>
      <c r="E41" s="1" t="n">
        <v>0</v>
      </c>
      <c r="G41" s="1" t="s">
        <v>18</v>
      </c>
      <c r="H41" s="1" t="s">
        <v>19</v>
      </c>
      <c r="I41" s="1" t="s">
        <v>128</v>
      </c>
      <c r="J41" s="1" t="s">
        <v>129</v>
      </c>
      <c r="K41" s="1" t="s">
        <v>129</v>
      </c>
      <c r="M41" s="1" t="n">
        <v>0</v>
      </c>
      <c r="O41" s="1" t="n">
        <v>14.46005</v>
      </c>
    </row>
    <row r="42" customFormat="false" ht="15.75" hidden="false" customHeight="false" outlineLevel="0" collapsed="false">
      <c r="A42" s="2" t="n">
        <v>45531</v>
      </c>
      <c r="B42" s="1" t="s">
        <v>31</v>
      </c>
      <c r="C42" s="1" t="s">
        <v>32</v>
      </c>
      <c r="D42" s="1" t="n">
        <v>356</v>
      </c>
      <c r="E42" s="1" t="n">
        <v>0</v>
      </c>
      <c r="F42" s="1" t="s">
        <v>130</v>
      </c>
      <c r="G42" s="1" t="s">
        <v>18</v>
      </c>
      <c r="H42" s="1" t="s">
        <v>19</v>
      </c>
      <c r="I42" s="1" t="s">
        <v>131</v>
      </c>
      <c r="J42" s="1" t="s">
        <v>132</v>
      </c>
      <c r="K42" s="1" t="s">
        <v>132</v>
      </c>
      <c r="M42" s="1" t="n">
        <v>0</v>
      </c>
      <c r="O42" s="1" t="n">
        <v>15.28745</v>
      </c>
    </row>
    <row r="43" customFormat="false" ht="15.75" hidden="false" customHeight="false" outlineLevel="0" collapsed="false">
      <c r="A43" s="2" t="n">
        <v>45531</v>
      </c>
      <c r="B43" s="1" t="s">
        <v>22</v>
      </c>
      <c r="C43" s="1" t="s">
        <v>16</v>
      </c>
      <c r="D43" s="1" t="n">
        <v>379</v>
      </c>
      <c r="E43" s="1" t="n">
        <v>0</v>
      </c>
      <c r="G43" s="1" t="s">
        <v>76</v>
      </c>
      <c r="H43" s="1" t="s">
        <v>19</v>
      </c>
      <c r="I43" s="1" t="s">
        <v>133</v>
      </c>
      <c r="J43" s="1" t="s">
        <v>134</v>
      </c>
      <c r="K43" s="1" t="s">
        <v>134</v>
      </c>
      <c r="M43" s="1" t="n">
        <v>-5</v>
      </c>
      <c r="O43" s="1" t="n">
        <v>12.6108833333333</v>
      </c>
    </row>
    <row r="44" customFormat="false" ht="15.75" hidden="false" customHeight="false" outlineLevel="0" collapsed="false">
      <c r="A44" s="2" t="n">
        <v>45531</v>
      </c>
      <c r="B44" s="1" t="s">
        <v>22</v>
      </c>
      <c r="C44" s="1" t="s">
        <v>16</v>
      </c>
      <c r="D44" s="1" t="n">
        <v>247</v>
      </c>
      <c r="E44" s="1" t="n">
        <v>62</v>
      </c>
      <c r="G44" s="1" t="s">
        <v>76</v>
      </c>
      <c r="H44" s="1" t="s">
        <v>43</v>
      </c>
      <c r="I44" s="1" t="s">
        <v>135</v>
      </c>
      <c r="J44" s="1" t="s">
        <v>136</v>
      </c>
      <c r="K44" s="1" t="s">
        <v>136</v>
      </c>
      <c r="M44" s="1" t="n">
        <v>-8</v>
      </c>
      <c r="O44" s="1" t="n">
        <v>10.5260833333333</v>
      </c>
    </row>
    <row r="45" customFormat="false" ht="15.75" hidden="false" customHeight="false" outlineLevel="0" collapsed="false">
      <c r="A45" s="2" t="n">
        <v>45531</v>
      </c>
      <c r="B45" s="1" t="s">
        <v>22</v>
      </c>
      <c r="C45" s="1" t="s">
        <v>16</v>
      </c>
      <c r="D45" s="1" t="n">
        <v>245</v>
      </c>
      <c r="E45" s="1" t="n">
        <v>61</v>
      </c>
      <c r="G45" s="1" t="s">
        <v>76</v>
      </c>
      <c r="H45" s="1" t="s">
        <v>80</v>
      </c>
      <c r="I45" s="1" t="s">
        <v>137</v>
      </c>
      <c r="J45" s="1" t="s">
        <v>138</v>
      </c>
      <c r="K45" s="1" t="s">
        <v>138</v>
      </c>
      <c r="M45" s="1" t="n">
        <v>-9</v>
      </c>
      <c r="O45" s="1" t="n">
        <v>9.18448333333333</v>
      </c>
    </row>
    <row r="46" customFormat="false" ht="15.75" hidden="false" customHeight="false" outlineLevel="0" collapsed="false">
      <c r="A46" s="2" t="n">
        <v>45531</v>
      </c>
      <c r="B46" s="1" t="s">
        <v>15</v>
      </c>
      <c r="C46" s="1" t="s">
        <v>16</v>
      </c>
      <c r="D46" s="1" t="n">
        <v>321</v>
      </c>
      <c r="E46" s="1" t="n">
        <v>0</v>
      </c>
      <c r="F46" s="1" t="s">
        <v>17</v>
      </c>
      <c r="G46" s="1" t="s">
        <v>18</v>
      </c>
      <c r="H46" s="1" t="s">
        <v>19</v>
      </c>
      <c r="I46" s="1" t="s">
        <v>139</v>
      </c>
      <c r="J46" s="1" t="s">
        <v>140</v>
      </c>
      <c r="K46" s="1" t="s">
        <v>140</v>
      </c>
      <c r="M46" s="1" t="n">
        <v>8</v>
      </c>
      <c r="O46" s="1" t="n">
        <v>24.1852166666667</v>
      </c>
    </row>
    <row r="47" customFormat="false" ht="15.75" hidden="false" customHeight="false" outlineLevel="0" collapsed="false">
      <c r="A47" s="2" t="n">
        <v>45531</v>
      </c>
      <c r="B47" s="1" t="s">
        <v>22</v>
      </c>
      <c r="C47" s="1" t="s">
        <v>16</v>
      </c>
      <c r="D47" s="1" t="n">
        <v>274</v>
      </c>
      <c r="E47" s="1" t="n">
        <v>0</v>
      </c>
      <c r="F47" s="1" t="s">
        <v>23</v>
      </c>
      <c r="G47" s="1" t="s">
        <v>24</v>
      </c>
      <c r="H47" s="1" t="s">
        <v>19</v>
      </c>
      <c r="I47" s="1" t="s">
        <v>141</v>
      </c>
      <c r="J47" s="1" t="s">
        <v>142</v>
      </c>
      <c r="K47" s="1" t="s">
        <v>143</v>
      </c>
      <c r="L47" s="1" t="s">
        <v>144</v>
      </c>
      <c r="M47" s="1" t="n">
        <v>-6</v>
      </c>
      <c r="N47" s="1" t="n">
        <v>0.00846666666666667</v>
      </c>
      <c r="O47" s="1" t="n">
        <v>16.0681833333333</v>
      </c>
    </row>
    <row r="48" customFormat="false" ht="15.75" hidden="false" customHeight="false" outlineLevel="0" collapsed="false">
      <c r="A48" s="2" t="n">
        <v>45531</v>
      </c>
      <c r="B48" s="1" t="s">
        <v>54</v>
      </c>
      <c r="C48" s="1" t="s">
        <v>16</v>
      </c>
      <c r="D48" s="1" t="n">
        <v>582</v>
      </c>
      <c r="E48" s="1" t="n">
        <v>0</v>
      </c>
      <c r="G48" s="1" t="s">
        <v>18</v>
      </c>
      <c r="H48" s="1" t="s">
        <v>19</v>
      </c>
      <c r="I48" s="1" t="s">
        <v>145</v>
      </c>
      <c r="J48" s="1" t="s">
        <v>146</v>
      </c>
      <c r="K48" s="1" t="s">
        <v>146</v>
      </c>
      <c r="M48" s="1" t="n">
        <v>0</v>
      </c>
      <c r="O48" s="1" t="n">
        <v>15.7037</v>
      </c>
    </row>
    <row r="49" customFormat="false" ht="15.75" hidden="false" customHeight="false" outlineLevel="0" collapsed="false">
      <c r="A49" s="2" t="n">
        <v>45531</v>
      </c>
      <c r="B49" s="1" t="s">
        <v>54</v>
      </c>
      <c r="C49" s="1" t="s">
        <v>32</v>
      </c>
      <c r="D49" s="1" t="n">
        <v>214</v>
      </c>
      <c r="E49" s="1" t="n">
        <v>50</v>
      </c>
      <c r="G49" s="1" t="s">
        <v>18</v>
      </c>
      <c r="H49" s="1" t="s">
        <v>19</v>
      </c>
      <c r="I49" s="1" t="s">
        <v>147</v>
      </c>
      <c r="J49" s="1" t="s">
        <v>148</v>
      </c>
      <c r="K49" s="1" t="s">
        <v>148</v>
      </c>
      <c r="M49" s="1" t="n">
        <v>11</v>
      </c>
      <c r="O49" s="1" t="n">
        <v>22.53465</v>
      </c>
    </row>
    <row r="50" customFormat="false" ht="15.75" hidden="false" customHeight="false" outlineLevel="0" collapsed="false">
      <c r="A50" s="2" t="n">
        <v>45531</v>
      </c>
      <c r="B50" s="1" t="s">
        <v>22</v>
      </c>
      <c r="C50" s="1" t="s">
        <v>16</v>
      </c>
      <c r="D50" s="1" t="n">
        <v>797</v>
      </c>
      <c r="E50" s="1" t="n">
        <v>199</v>
      </c>
      <c r="G50" s="1" t="s">
        <v>76</v>
      </c>
      <c r="H50" s="1" t="s">
        <v>80</v>
      </c>
      <c r="I50" s="1" t="s">
        <v>149</v>
      </c>
      <c r="J50" s="1" t="s">
        <v>150</v>
      </c>
      <c r="K50" s="1" t="s">
        <v>150</v>
      </c>
      <c r="M50" s="1" t="n">
        <v>0</v>
      </c>
      <c r="O50" s="1" t="n">
        <v>19.6758</v>
      </c>
    </row>
    <row r="51" customFormat="false" ht="15.75" hidden="false" customHeight="false" outlineLevel="0" collapsed="false">
      <c r="A51" s="2" t="n">
        <v>45531</v>
      </c>
      <c r="B51" s="1" t="s">
        <v>54</v>
      </c>
      <c r="C51" s="1" t="s">
        <v>32</v>
      </c>
      <c r="D51" s="1" t="n">
        <v>368</v>
      </c>
      <c r="E51" s="1" t="n">
        <v>0</v>
      </c>
      <c r="G51" s="1" t="s">
        <v>18</v>
      </c>
      <c r="H51" s="1" t="s">
        <v>43</v>
      </c>
      <c r="I51" s="1" t="s">
        <v>151</v>
      </c>
      <c r="J51" s="1" t="s">
        <v>152</v>
      </c>
      <c r="K51" s="1" t="s">
        <v>152</v>
      </c>
      <c r="M51" s="1" t="n">
        <v>9</v>
      </c>
      <c r="O51" s="1" t="n">
        <v>22.38985</v>
      </c>
    </row>
    <row r="52" customFormat="false" ht="15.75" hidden="false" customHeight="false" outlineLevel="0" collapsed="false">
      <c r="A52" s="2" t="n">
        <v>45531</v>
      </c>
      <c r="B52" s="1" t="s">
        <v>54</v>
      </c>
      <c r="C52" s="1" t="s">
        <v>32</v>
      </c>
      <c r="D52" s="1" t="n">
        <v>264</v>
      </c>
      <c r="E52" s="1" t="n">
        <v>0</v>
      </c>
      <c r="G52" s="1" t="s">
        <v>18</v>
      </c>
      <c r="H52" s="1" t="s">
        <v>19</v>
      </c>
      <c r="I52" s="1" t="s">
        <v>153</v>
      </c>
      <c r="J52" s="1" t="s">
        <v>154</v>
      </c>
      <c r="K52" s="1" t="s">
        <v>154</v>
      </c>
      <c r="M52" s="1" t="n">
        <v>-3</v>
      </c>
      <c r="O52" s="1" t="n">
        <v>7.4117</v>
      </c>
    </row>
    <row r="53" customFormat="false" ht="15.75" hidden="false" customHeight="false" outlineLevel="0" collapsed="false">
      <c r="A53" s="2" t="n">
        <v>45531</v>
      </c>
      <c r="B53" s="1" t="s">
        <v>22</v>
      </c>
      <c r="C53" s="1" t="s">
        <v>16</v>
      </c>
      <c r="D53" s="1" t="n">
        <v>336</v>
      </c>
      <c r="E53" s="1" t="n">
        <v>0</v>
      </c>
      <c r="F53" s="1" t="s">
        <v>17</v>
      </c>
      <c r="G53" s="1" t="s">
        <v>24</v>
      </c>
      <c r="H53" s="1" t="s">
        <v>19</v>
      </c>
      <c r="I53" s="1" t="s">
        <v>155</v>
      </c>
      <c r="J53" s="1" t="s">
        <v>156</v>
      </c>
      <c r="K53" s="1" t="s">
        <v>157</v>
      </c>
      <c r="L53" s="1" t="s">
        <v>158</v>
      </c>
      <c r="M53" s="1" t="n">
        <v>1</v>
      </c>
      <c r="N53" s="1" t="n">
        <v>12.3929</v>
      </c>
      <c r="O53" s="1" t="n">
        <v>14.58575</v>
      </c>
    </row>
    <row r="54" customFormat="false" ht="15.75" hidden="false" customHeight="false" outlineLevel="0" collapsed="false">
      <c r="A54" s="2" t="n">
        <v>45531</v>
      </c>
      <c r="B54" s="1" t="s">
        <v>22</v>
      </c>
      <c r="C54" s="1" t="s">
        <v>79</v>
      </c>
      <c r="D54" s="1" t="n">
        <v>299</v>
      </c>
      <c r="E54" s="1" t="n">
        <v>75</v>
      </c>
      <c r="G54" s="1" t="s">
        <v>76</v>
      </c>
      <c r="H54" s="1" t="s">
        <v>80</v>
      </c>
      <c r="I54" s="1" t="s">
        <v>159</v>
      </c>
      <c r="M54" s="1" t="n">
        <v>0</v>
      </c>
    </row>
    <row r="55" customFormat="false" ht="15.75" hidden="false" customHeight="false" outlineLevel="0" collapsed="false">
      <c r="A55" s="2" t="n">
        <v>45531</v>
      </c>
      <c r="B55" s="1" t="s">
        <v>31</v>
      </c>
      <c r="C55" s="1" t="s">
        <v>32</v>
      </c>
      <c r="D55" s="1" t="n">
        <v>553</v>
      </c>
      <c r="E55" s="1" t="n">
        <v>0</v>
      </c>
      <c r="F55" s="1" t="s">
        <v>130</v>
      </c>
      <c r="G55" s="1" t="s">
        <v>18</v>
      </c>
      <c r="H55" s="1" t="s">
        <v>19</v>
      </c>
      <c r="I55" s="1" t="s">
        <v>160</v>
      </c>
      <c r="J55" s="1" t="s">
        <v>161</v>
      </c>
      <c r="K55" s="1" t="s">
        <v>161</v>
      </c>
      <c r="M55" s="1" t="n">
        <v>-5</v>
      </c>
      <c r="O55" s="1" t="n">
        <v>13.1886666666667</v>
      </c>
    </row>
    <row r="56" customFormat="false" ht="15.75" hidden="false" customHeight="false" outlineLevel="0" collapsed="false">
      <c r="A56" s="2" t="n">
        <v>45531</v>
      </c>
      <c r="B56" s="1" t="s">
        <v>96</v>
      </c>
      <c r="C56" s="1" t="s">
        <v>16</v>
      </c>
      <c r="D56" s="1" t="n">
        <v>168</v>
      </c>
      <c r="E56" s="1" t="n">
        <v>0</v>
      </c>
      <c r="G56" s="1" t="s">
        <v>76</v>
      </c>
      <c r="H56" s="1" t="s">
        <v>43</v>
      </c>
      <c r="I56" s="1" t="s">
        <v>162</v>
      </c>
      <c r="J56" s="1" t="s">
        <v>163</v>
      </c>
      <c r="K56" s="1" t="s">
        <v>163</v>
      </c>
      <c r="M56" s="1" t="n">
        <v>3</v>
      </c>
      <c r="O56" s="1" t="n">
        <v>8.54645</v>
      </c>
    </row>
    <row r="57" customFormat="false" ht="15.75" hidden="false" customHeight="false" outlineLevel="0" collapsed="false">
      <c r="A57" s="2" t="n">
        <v>45531</v>
      </c>
      <c r="B57" s="1" t="s">
        <v>54</v>
      </c>
      <c r="C57" s="1" t="s">
        <v>32</v>
      </c>
      <c r="D57" s="1" t="n">
        <v>528</v>
      </c>
      <c r="E57" s="1" t="n">
        <v>0</v>
      </c>
      <c r="G57" s="1" t="s">
        <v>18</v>
      </c>
      <c r="H57" s="1" t="s">
        <v>19</v>
      </c>
      <c r="I57" s="1" t="s">
        <v>164</v>
      </c>
      <c r="J57" s="1" t="s">
        <v>165</v>
      </c>
      <c r="K57" s="1" t="s">
        <v>165</v>
      </c>
      <c r="M57" s="1" t="n">
        <v>-1</v>
      </c>
      <c r="O57" s="1" t="n">
        <v>12.7908666666667</v>
      </c>
    </row>
    <row r="58" customFormat="false" ht="15.75" hidden="false" customHeight="false" outlineLevel="0" collapsed="false">
      <c r="A58" s="2" t="n">
        <v>45531</v>
      </c>
      <c r="B58" s="1" t="s">
        <v>22</v>
      </c>
      <c r="C58" s="1" t="s">
        <v>16</v>
      </c>
      <c r="D58" s="1" t="n">
        <v>299</v>
      </c>
      <c r="E58" s="1" t="n">
        <v>75</v>
      </c>
      <c r="G58" s="1" t="s">
        <v>76</v>
      </c>
      <c r="H58" s="1" t="s">
        <v>80</v>
      </c>
      <c r="I58" s="1" t="s">
        <v>166</v>
      </c>
      <c r="J58" s="1" t="s">
        <v>167</v>
      </c>
      <c r="K58" s="1" t="s">
        <v>167</v>
      </c>
      <c r="M58" s="1" t="n">
        <v>-7</v>
      </c>
      <c r="O58" s="1" t="n">
        <v>12.0556166666667</v>
      </c>
    </row>
    <row r="59" customFormat="false" ht="15.75" hidden="false" customHeight="false" outlineLevel="0" collapsed="false">
      <c r="A59" s="2" t="n">
        <v>45531</v>
      </c>
      <c r="B59" s="1" t="s">
        <v>22</v>
      </c>
      <c r="C59" s="1" t="s">
        <v>16</v>
      </c>
      <c r="D59" s="1" t="n">
        <v>683</v>
      </c>
      <c r="E59" s="1" t="n">
        <v>0</v>
      </c>
      <c r="F59" s="1" t="s">
        <v>23</v>
      </c>
      <c r="G59" s="1" t="s">
        <v>24</v>
      </c>
      <c r="H59" s="1" t="s">
        <v>19</v>
      </c>
      <c r="I59" s="1" t="s">
        <v>168</v>
      </c>
      <c r="J59" s="1" t="s">
        <v>169</v>
      </c>
      <c r="K59" s="1" t="s">
        <v>170</v>
      </c>
      <c r="L59" s="1" t="s">
        <v>171</v>
      </c>
      <c r="M59" s="1" t="n">
        <v>10</v>
      </c>
      <c r="N59" s="1" t="n">
        <v>0.0126833333333333</v>
      </c>
      <c r="O59" s="1" t="n">
        <v>14.5651333333333</v>
      </c>
    </row>
    <row r="60" customFormat="false" ht="15.75" hidden="false" customHeight="false" outlineLevel="0" collapsed="false">
      <c r="A60" s="2" t="n">
        <v>45531</v>
      </c>
      <c r="B60" s="1" t="s">
        <v>31</v>
      </c>
      <c r="C60" s="1" t="s">
        <v>16</v>
      </c>
      <c r="D60" s="1" t="n">
        <v>329</v>
      </c>
      <c r="E60" s="1" t="n">
        <v>0</v>
      </c>
      <c r="G60" s="1" t="s">
        <v>76</v>
      </c>
      <c r="H60" s="1" t="s">
        <v>19</v>
      </c>
      <c r="I60" s="1" t="s">
        <v>172</v>
      </c>
      <c r="J60" s="1" t="s">
        <v>173</v>
      </c>
      <c r="K60" s="1" t="s">
        <v>173</v>
      </c>
      <c r="M60" s="1" t="n">
        <v>2</v>
      </c>
      <c r="O60" s="1" t="n">
        <v>17.60875</v>
      </c>
    </row>
    <row r="61" customFormat="false" ht="15.75" hidden="false" customHeight="false" outlineLevel="0" collapsed="false">
      <c r="A61" s="2" t="n">
        <v>45531</v>
      </c>
      <c r="B61" s="1" t="s">
        <v>22</v>
      </c>
      <c r="C61" s="1" t="s">
        <v>16</v>
      </c>
      <c r="D61" s="1" t="n">
        <v>575</v>
      </c>
      <c r="E61" s="1" t="n">
        <v>0</v>
      </c>
      <c r="F61" s="1" t="s">
        <v>23</v>
      </c>
      <c r="G61" s="1" t="s">
        <v>24</v>
      </c>
      <c r="H61" s="1" t="s">
        <v>19</v>
      </c>
      <c r="I61" s="1" t="s">
        <v>174</v>
      </c>
      <c r="J61" s="1" t="s">
        <v>175</v>
      </c>
      <c r="K61" s="1" t="s">
        <v>176</v>
      </c>
      <c r="L61" s="1" t="s">
        <v>177</v>
      </c>
      <c r="M61" s="1" t="n">
        <v>3</v>
      </c>
      <c r="N61" s="1" t="n">
        <v>0.0099</v>
      </c>
      <c r="O61" s="1" t="n">
        <v>11.0292666666667</v>
      </c>
    </row>
    <row r="62" customFormat="false" ht="15.75" hidden="false" customHeight="false" outlineLevel="0" collapsed="false">
      <c r="A62" s="2" t="n">
        <v>45531</v>
      </c>
      <c r="B62" s="1" t="s">
        <v>54</v>
      </c>
      <c r="C62" s="1" t="s">
        <v>32</v>
      </c>
      <c r="D62" s="1" t="n">
        <v>653</v>
      </c>
      <c r="E62" s="1" t="n">
        <v>0</v>
      </c>
      <c r="G62" s="1" t="s">
        <v>18</v>
      </c>
      <c r="H62" s="1" t="s">
        <v>43</v>
      </c>
      <c r="I62" s="1" t="s">
        <v>178</v>
      </c>
      <c r="J62" s="1" t="s">
        <v>179</v>
      </c>
      <c r="K62" s="1" t="s">
        <v>179</v>
      </c>
      <c r="M62" s="1" t="n">
        <v>-4</v>
      </c>
      <c r="O62" s="1" t="n">
        <v>10.7769833333333</v>
      </c>
    </row>
    <row r="63" customFormat="false" ht="15.75" hidden="false" customHeight="false" outlineLevel="0" collapsed="false">
      <c r="A63" s="2" t="n">
        <v>45531</v>
      </c>
      <c r="B63" s="1" t="s">
        <v>96</v>
      </c>
      <c r="C63" s="1" t="s">
        <v>16</v>
      </c>
      <c r="D63" s="1" t="n">
        <v>398</v>
      </c>
      <c r="E63" s="1" t="n">
        <v>0</v>
      </c>
      <c r="G63" s="1" t="s">
        <v>76</v>
      </c>
      <c r="H63" s="1" t="s">
        <v>43</v>
      </c>
      <c r="I63" s="1" t="s">
        <v>180</v>
      </c>
      <c r="J63" s="1" t="s">
        <v>181</v>
      </c>
      <c r="K63" s="1" t="s">
        <v>181</v>
      </c>
      <c r="M63" s="1" t="n">
        <v>4</v>
      </c>
      <c r="O63" s="1" t="n">
        <v>9.67945</v>
      </c>
    </row>
    <row r="64" customFormat="false" ht="15.75" hidden="false" customHeight="false" outlineLevel="0" collapsed="false">
      <c r="A64" s="2" t="n">
        <v>45531</v>
      </c>
      <c r="B64" s="1" t="s">
        <v>22</v>
      </c>
      <c r="C64" s="1" t="s">
        <v>16</v>
      </c>
      <c r="D64" s="1" t="n">
        <v>366</v>
      </c>
      <c r="E64" s="1" t="n">
        <v>62</v>
      </c>
      <c r="G64" s="1" t="s">
        <v>76</v>
      </c>
      <c r="H64" s="1" t="s">
        <v>43</v>
      </c>
      <c r="I64" s="1" t="s">
        <v>182</v>
      </c>
      <c r="J64" s="1" t="s">
        <v>183</v>
      </c>
      <c r="K64" s="1" t="s">
        <v>183</v>
      </c>
      <c r="M64" s="1" t="n">
        <v>-8</v>
      </c>
      <c r="O64" s="1" t="n">
        <v>89.6491666666667</v>
      </c>
    </row>
    <row r="65" customFormat="false" ht="15.75" hidden="false" customHeight="false" outlineLevel="0" collapsed="false">
      <c r="A65" s="2" t="n">
        <v>45531</v>
      </c>
      <c r="B65" s="1" t="s">
        <v>96</v>
      </c>
      <c r="C65" s="1" t="s">
        <v>16</v>
      </c>
      <c r="D65" s="1" t="n">
        <v>348</v>
      </c>
      <c r="E65" s="1" t="n">
        <v>0</v>
      </c>
      <c r="G65" s="1" t="s">
        <v>76</v>
      </c>
      <c r="H65" s="1" t="s">
        <v>43</v>
      </c>
      <c r="I65" s="1" t="s">
        <v>184</v>
      </c>
      <c r="J65" s="1" t="s">
        <v>185</v>
      </c>
      <c r="K65" s="1" t="s">
        <v>185</v>
      </c>
      <c r="M65" s="1" t="n">
        <v>7</v>
      </c>
      <c r="O65" s="1" t="n">
        <v>12.3883</v>
      </c>
    </row>
    <row r="66" customFormat="false" ht="15.75" hidden="false" customHeight="false" outlineLevel="0" collapsed="false">
      <c r="A66" s="2" t="n">
        <v>45531</v>
      </c>
      <c r="B66" s="1" t="s">
        <v>31</v>
      </c>
      <c r="C66" s="1" t="s">
        <v>32</v>
      </c>
      <c r="D66" s="1" t="n">
        <v>588</v>
      </c>
      <c r="E66" s="1" t="n">
        <v>0</v>
      </c>
      <c r="F66" s="1" t="s">
        <v>186</v>
      </c>
      <c r="G66" s="1" t="s">
        <v>18</v>
      </c>
      <c r="H66" s="1" t="s">
        <v>19</v>
      </c>
      <c r="I66" s="1" t="s">
        <v>187</v>
      </c>
      <c r="J66" s="1" t="s">
        <v>188</v>
      </c>
      <c r="K66" s="1" t="s">
        <v>188</v>
      </c>
      <c r="M66" s="1" t="n">
        <v>0</v>
      </c>
      <c r="O66" s="1" t="n">
        <v>18.05265</v>
      </c>
    </row>
    <row r="67" customFormat="false" ht="15.75" hidden="false" customHeight="false" outlineLevel="0" collapsed="false">
      <c r="A67" s="2" t="n">
        <v>45531</v>
      </c>
      <c r="B67" s="1" t="s">
        <v>22</v>
      </c>
      <c r="C67" s="1" t="s">
        <v>16</v>
      </c>
      <c r="D67" s="1" t="n">
        <v>329</v>
      </c>
      <c r="E67" s="1" t="n">
        <v>0</v>
      </c>
      <c r="F67" s="1" t="s">
        <v>23</v>
      </c>
      <c r="G67" s="1" t="s">
        <v>24</v>
      </c>
      <c r="H67" s="1" t="s">
        <v>19</v>
      </c>
      <c r="I67" s="1" t="s">
        <v>189</v>
      </c>
      <c r="J67" s="1" t="s">
        <v>190</v>
      </c>
      <c r="K67" s="1" t="s">
        <v>191</v>
      </c>
      <c r="L67" s="1" t="s">
        <v>192</v>
      </c>
      <c r="M67" s="1" t="n">
        <v>9</v>
      </c>
      <c r="N67" s="1" t="n">
        <v>0.00893333333333333</v>
      </c>
      <c r="O67" s="1" t="n">
        <v>21.3374333333333</v>
      </c>
    </row>
    <row r="68" customFormat="false" ht="15.75" hidden="false" customHeight="false" outlineLevel="0" collapsed="false">
      <c r="A68" s="2" t="n">
        <v>45531</v>
      </c>
      <c r="B68" s="1" t="s">
        <v>22</v>
      </c>
      <c r="C68" s="1" t="s">
        <v>16</v>
      </c>
      <c r="D68" s="1" t="n">
        <v>374</v>
      </c>
      <c r="E68" s="1" t="n">
        <v>0</v>
      </c>
      <c r="F68" s="1" t="s">
        <v>23</v>
      </c>
      <c r="G68" s="1" t="s">
        <v>24</v>
      </c>
      <c r="H68" s="1" t="s">
        <v>43</v>
      </c>
      <c r="I68" s="1" t="s">
        <v>193</v>
      </c>
      <c r="J68" s="1" t="s">
        <v>194</v>
      </c>
      <c r="K68" s="1" t="s">
        <v>195</v>
      </c>
      <c r="L68" s="1" t="s">
        <v>196</v>
      </c>
      <c r="M68" s="1" t="n">
        <v>2</v>
      </c>
      <c r="N68" s="1" t="n">
        <v>0.00851666666666667</v>
      </c>
      <c r="O68" s="1" t="n">
        <v>15.1520333333333</v>
      </c>
    </row>
    <row r="69" customFormat="false" ht="15.75" hidden="false" customHeight="false" outlineLevel="0" collapsed="false">
      <c r="A69" s="2" t="n">
        <v>45531</v>
      </c>
      <c r="B69" s="1" t="s">
        <v>22</v>
      </c>
      <c r="C69" s="1" t="s">
        <v>16</v>
      </c>
      <c r="D69" s="1" t="n">
        <v>523</v>
      </c>
      <c r="E69" s="1" t="n">
        <v>32</v>
      </c>
      <c r="F69" s="1" t="s">
        <v>17</v>
      </c>
      <c r="G69" s="1" t="s">
        <v>24</v>
      </c>
      <c r="H69" s="1" t="s">
        <v>19</v>
      </c>
      <c r="I69" s="1" t="s">
        <v>197</v>
      </c>
      <c r="J69" s="1" t="s">
        <v>198</v>
      </c>
      <c r="K69" s="1" t="s">
        <v>199</v>
      </c>
      <c r="L69" s="1" t="s">
        <v>200</v>
      </c>
      <c r="M69" s="1" t="n">
        <v>18</v>
      </c>
      <c r="N69" s="1" t="n">
        <v>10.9677666666667</v>
      </c>
      <c r="O69" s="1" t="n">
        <v>13.16235</v>
      </c>
    </row>
    <row r="70" customFormat="false" ht="15.75" hidden="false" customHeight="false" outlineLevel="0" collapsed="false">
      <c r="A70" s="2" t="n">
        <v>45531</v>
      </c>
      <c r="B70" s="1" t="s">
        <v>22</v>
      </c>
      <c r="C70" s="1" t="s">
        <v>16</v>
      </c>
      <c r="D70" s="1" t="n">
        <v>168</v>
      </c>
      <c r="E70" s="1" t="n">
        <v>0</v>
      </c>
      <c r="G70" s="1" t="s">
        <v>76</v>
      </c>
      <c r="H70" s="1" t="s">
        <v>43</v>
      </c>
      <c r="I70" s="1" t="s">
        <v>201</v>
      </c>
      <c r="J70" s="1" t="s">
        <v>202</v>
      </c>
      <c r="K70" s="1" t="s">
        <v>202</v>
      </c>
      <c r="M70" s="1" t="n">
        <v>-6</v>
      </c>
      <c r="O70" s="1" t="n">
        <v>12.58635</v>
      </c>
    </row>
    <row r="71" customFormat="false" ht="15.75" hidden="false" customHeight="false" outlineLevel="0" collapsed="false">
      <c r="A71" s="2" t="n">
        <v>45531</v>
      </c>
      <c r="B71" s="1" t="s">
        <v>54</v>
      </c>
      <c r="C71" s="1" t="s">
        <v>32</v>
      </c>
      <c r="D71" s="1" t="n">
        <v>264</v>
      </c>
      <c r="E71" s="1" t="n">
        <v>0</v>
      </c>
      <c r="G71" s="1" t="s">
        <v>18</v>
      </c>
      <c r="H71" s="1" t="s">
        <v>19</v>
      </c>
      <c r="I71" s="1" t="s">
        <v>203</v>
      </c>
      <c r="J71" s="1" t="s">
        <v>204</v>
      </c>
      <c r="K71" s="1" t="s">
        <v>204</v>
      </c>
      <c r="M71" s="1" t="n">
        <v>-2</v>
      </c>
      <c r="O71" s="1" t="n">
        <v>8.60238333333333</v>
      </c>
    </row>
    <row r="72" customFormat="false" ht="15.75" hidden="false" customHeight="false" outlineLevel="0" collapsed="false">
      <c r="A72" s="2" t="n">
        <v>45531</v>
      </c>
      <c r="B72" s="1" t="s">
        <v>54</v>
      </c>
      <c r="C72" s="1" t="s">
        <v>32</v>
      </c>
      <c r="D72" s="1" t="n">
        <v>429</v>
      </c>
      <c r="E72" s="1" t="n">
        <v>0</v>
      </c>
      <c r="G72" s="1" t="s">
        <v>18</v>
      </c>
      <c r="H72" s="1" t="s">
        <v>19</v>
      </c>
      <c r="I72" s="1" t="s">
        <v>205</v>
      </c>
      <c r="J72" s="1" t="s">
        <v>206</v>
      </c>
      <c r="K72" s="1" t="s">
        <v>206</v>
      </c>
      <c r="M72" s="1" t="n">
        <v>-2</v>
      </c>
      <c r="O72" s="1" t="n">
        <v>10.7228333333333</v>
      </c>
    </row>
    <row r="73" customFormat="false" ht="15.75" hidden="false" customHeight="false" outlineLevel="0" collapsed="false">
      <c r="A73" s="2" t="n">
        <v>45531</v>
      </c>
      <c r="B73" s="1" t="s">
        <v>15</v>
      </c>
      <c r="C73" s="1" t="s">
        <v>16</v>
      </c>
      <c r="D73" s="1" t="n">
        <v>593</v>
      </c>
      <c r="E73" s="1" t="n">
        <v>0</v>
      </c>
      <c r="F73" s="1" t="s">
        <v>17</v>
      </c>
      <c r="G73" s="1" t="s">
        <v>18</v>
      </c>
      <c r="H73" s="1" t="s">
        <v>19</v>
      </c>
      <c r="I73" s="1" t="s">
        <v>207</v>
      </c>
      <c r="J73" s="1" t="s">
        <v>208</v>
      </c>
      <c r="K73" s="1" t="s">
        <v>208</v>
      </c>
      <c r="M73" s="1" t="n">
        <v>-4</v>
      </c>
      <c r="O73" s="1" t="n">
        <v>10.3188</v>
      </c>
    </row>
    <row r="74" customFormat="false" ht="15.75" hidden="false" customHeight="false" outlineLevel="0" collapsed="false">
      <c r="A74" s="2" t="n">
        <v>45531</v>
      </c>
      <c r="B74" s="1" t="s">
        <v>22</v>
      </c>
      <c r="C74" s="1" t="s">
        <v>16</v>
      </c>
      <c r="D74" s="1" t="n">
        <v>219</v>
      </c>
      <c r="E74" s="1" t="n">
        <v>55</v>
      </c>
      <c r="G74" s="1" t="s">
        <v>76</v>
      </c>
      <c r="H74" s="1" t="s">
        <v>80</v>
      </c>
      <c r="I74" s="1" t="s">
        <v>209</v>
      </c>
      <c r="J74" s="1" t="s">
        <v>210</v>
      </c>
      <c r="K74" s="1" t="s">
        <v>210</v>
      </c>
      <c r="M74" s="1" t="n">
        <v>-11</v>
      </c>
      <c r="O74" s="1" t="n">
        <v>8.28791666666667</v>
      </c>
    </row>
    <row r="75" customFormat="false" ht="15.75" hidden="false" customHeight="false" outlineLevel="0" collapsed="false">
      <c r="A75" s="2" t="n">
        <v>45531</v>
      </c>
      <c r="B75" s="1" t="s">
        <v>54</v>
      </c>
      <c r="C75" s="1" t="s">
        <v>32</v>
      </c>
      <c r="D75" s="1" t="n">
        <v>553</v>
      </c>
      <c r="E75" s="1" t="n">
        <v>0</v>
      </c>
      <c r="G75" s="1" t="s">
        <v>18</v>
      </c>
      <c r="H75" s="1" t="s">
        <v>19</v>
      </c>
      <c r="I75" s="1" t="s">
        <v>211</v>
      </c>
      <c r="J75" s="1" t="s">
        <v>212</v>
      </c>
      <c r="K75" s="1" t="s">
        <v>212</v>
      </c>
      <c r="M75" s="1" t="n">
        <v>-2</v>
      </c>
      <c r="O75" s="1" t="n">
        <v>11.9187</v>
      </c>
    </row>
    <row r="76" customFormat="false" ht="15.75" hidden="false" customHeight="false" outlineLevel="0" collapsed="false">
      <c r="A76" s="2" t="n">
        <v>45531</v>
      </c>
      <c r="B76" s="1" t="s">
        <v>22</v>
      </c>
      <c r="C76" s="1" t="s">
        <v>79</v>
      </c>
      <c r="D76" s="1" t="n">
        <v>267</v>
      </c>
      <c r="E76" s="1" t="n">
        <v>62</v>
      </c>
      <c r="G76" s="1" t="s">
        <v>76</v>
      </c>
      <c r="H76" s="1" t="s">
        <v>80</v>
      </c>
      <c r="I76" s="1" t="s">
        <v>213</v>
      </c>
      <c r="M76" s="1" t="n">
        <v>0</v>
      </c>
    </row>
    <row r="77" customFormat="false" ht="15.75" hidden="false" customHeight="false" outlineLevel="0" collapsed="false">
      <c r="A77" s="2" t="n">
        <v>45531</v>
      </c>
      <c r="B77" s="1" t="s">
        <v>22</v>
      </c>
      <c r="C77" s="1" t="s">
        <v>16</v>
      </c>
      <c r="D77" s="1" t="n">
        <v>267</v>
      </c>
      <c r="E77" s="1" t="n">
        <v>62</v>
      </c>
      <c r="G77" s="1" t="s">
        <v>76</v>
      </c>
      <c r="H77" s="1" t="s">
        <v>80</v>
      </c>
      <c r="I77" s="1" t="s">
        <v>214</v>
      </c>
      <c r="J77" s="1" t="s">
        <v>215</v>
      </c>
      <c r="K77" s="1" t="s">
        <v>215</v>
      </c>
      <c r="M77" s="1" t="n">
        <v>-10</v>
      </c>
      <c r="O77" s="1" t="n">
        <v>9.24783333333333</v>
      </c>
    </row>
    <row r="78" customFormat="false" ht="15.75" hidden="false" customHeight="false" outlineLevel="0" collapsed="false">
      <c r="A78" s="2" t="n">
        <v>45531</v>
      </c>
      <c r="B78" s="1" t="s">
        <v>22</v>
      </c>
      <c r="C78" s="1" t="s">
        <v>16</v>
      </c>
      <c r="D78" s="1" t="n">
        <v>267</v>
      </c>
      <c r="E78" s="1" t="n">
        <v>62</v>
      </c>
      <c r="G78" s="1" t="s">
        <v>76</v>
      </c>
      <c r="H78" s="1" t="s">
        <v>19</v>
      </c>
      <c r="I78" s="1" t="s">
        <v>216</v>
      </c>
      <c r="J78" s="1" t="s">
        <v>217</v>
      </c>
      <c r="K78" s="1" t="s">
        <v>217</v>
      </c>
      <c r="M78" s="1" t="n">
        <v>-8</v>
      </c>
      <c r="O78" s="1" t="n">
        <v>10.4337833333333</v>
      </c>
    </row>
    <row r="79" customFormat="false" ht="15.75" hidden="false" customHeight="false" outlineLevel="0" collapsed="false">
      <c r="A79" s="2" t="n">
        <v>45531</v>
      </c>
      <c r="B79" s="1" t="s">
        <v>22</v>
      </c>
      <c r="C79" s="1" t="s">
        <v>16</v>
      </c>
      <c r="D79" s="1" t="n">
        <v>324</v>
      </c>
      <c r="E79" s="1" t="n">
        <v>69</v>
      </c>
      <c r="G79" s="1" t="s">
        <v>76</v>
      </c>
      <c r="H79" s="1" t="s">
        <v>43</v>
      </c>
      <c r="I79" s="1" t="s">
        <v>218</v>
      </c>
      <c r="J79" s="1" t="s">
        <v>219</v>
      </c>
      <c r="K79" s="1" t="s">
        <v>219</v>
      </c>
      <c r="M79" s="1" t="n">
        <v>-9</v>
      </c>
      <c r="O79" s="1" t="n">
        <v>9.91278333333333</v>
      </c>
    </row>
    <row r="80" customFormat="false" ht="15.75" hidden="false" customHeight="false" outlineLevel="0" collapsed="false">
      <c r="A80" s="2" t="n">
        <v>45531</v>
      </c>
      <c r="B80" s="1" t="s">
        <v>54</v>
      </c>
      <c r="C80" s="1" t="s">
        <v>32</v>
      </c>
      <c r="D80" s="1" t="n">
        <v>573</v>
      </c>
      <c r="E80" s="1" t="n">
        <v>0</v>
      </c>
      <c r="G80" s="1" t="s">
        <v>18</v>
      </c>
      <c r="H80" s="1" t="s">
        <v>43</v>
      </c>
      <c r="I80" s="1" t="s">
        <v>220</v>
      </c>
      <c r="J80" s="1" t="s">
        <v>221</v>
      </c>
      <c r="K80" s="1" t="s">
        <v>221</v>
      </c>
      <c r="M80" s="1" t="n">
        <v>-2</v>
      </c>
      <c r="O80" s="1" t="n">
        <v>11.2444</v>
      </c>
    </row>
    <row r="81" customFormat="false" ht="15.75" hidden="false" customHeight="false" outlineLevel="0" collapsed="false">
      <c r="A81" s="2" t="n">
        <v>45531</v>
      </c>
      <c r="B81" s="1" t="s">
        <v>31</v>
      </c>
      <c r="C81" s="1" t="s">
        <v>32</v>
      </c>
      <c r="D81" s="1" t="n">
        <v>788</v>
      </c>
      <c r="E81" s="1" t="n">
        <v>0</v>
      </c>
      <c r="F81" s="1" t="s">
        <v>222</v>
      </c>
      <c r="G81" s="1" t="s">
        <v>18</v>
      </c>
      <c r="H81" s="1" t="s">
        <v>19</v>
      </c>
      <c r="I81" s="1" t="s">
        <v>223</v>
      </c>
      <c r="J81" s="1" t="s">
        <v>224</v>
      </c>
      <c r="K81" s="1" t="s">
        <v>224</v>
      </c>
      <c r="M81" s="1" t="n">
        <v>-6</v>
      </c>
      <c r="O81" s="1" t="n">
        <v>12.0342833333333</v>
      </c>
    </row>
    <row r="82" customFormat="false" ht="15.75" hidden="false" customHeight="false" outlineLevel="0" collapsed="false">
      <c r="A82" s="2" t="n">
        <v>45531</v>
      </c>
      <c r="B82" s="1" t="s">
        <v>22</v>
      </c>
      <c r="C82" s="1" t="s">
        <v>16</v>
      </c>
      <c r="D82" s="1" t="n">
        <v>289</v>
      </c>
      <c r="E82" s="1" t="n">
        <v>0</v>
      </c>
      <c r="F82" s="1" t="s">
        <v>225</v>
      </c>
      <c r="G82" s="1" t="s">
        <v>24</v>
      </c>
      <c r="H82" s="1" t="s">
        <v>19</v>
      </c>
      <c r="I82" s="1" t="s">
        <v>226</v>
      </c>
      <c r="J82" s="1" t="s">
        <v>227</v>
      </c>
      <c r="K82" s="1" t="s">
        <v>228</v>
      </c>
      <c r="L82" s="1" t="s">
        <v>229</v>
      </c>
      <c r="M82" s="1" t="n">
        <v>-9</v>
      </c>
      <c r="N82" s="1" t="n">
        <v>0.0098</v>
      </c>
      <c r="O82" s="1" t="n">
        <v>7.28901666666667</v>
      </c>
    </row>
    <row r="83" customFormat="false" ht="15.75" hidden="false" customHeight="false" outlineLevel="0" collapsed="false">
      <c r="A83" s="2" t="n">
        <v>45531</v>
      </c>
      <c r="B83" s="1" t="s">
        <v>54</v>
      </c>
      <c r="C83" s="1" t="s">
        <v>16</v>
      </c>
      <c r="D83" s="1" t="n">
        <v>294</v>
      </c>
      <c r="E83" s="1" t="n">
        <v>100</v>
      </c>
      <c r="G83" s="1" t="s">
        <v>18</v>
      </c>
      <c r="H83" s="1" t="s">
        <v>19</v>
      </c>
      <c r="I83" s="1" t="s">
        <v>230</v>
      </c>
      <c r="J83" s="1" t="s">
        <v>231</v>
      </c>
      <c r="K83" s="1" t="s">
        <v>231</v>
      </c>
      <c r="M83" s="1" t="n">
        <v>-1</v>
      </c>
      <c r="O83" s="1" t="n">
        <v>11.6035333333333</v>
      </c>
    </row>
    <row r="84" customFormat="false" ht="15.75" hidden="false" customHeight="false" outlineLevel="0" collapsed="false">
      <c r="A84" s="2" t="n">
        <v>45531</v>
      </c>
      <c r="B84" s="1" t="s">
        <v>22</v>
      </c>
      <c r="C84" s="1" t="s">
        <v>16</v>
      </c>
      <c r="D84" s="1" t="n">
        <v>575</v>
      </c>
      <c r="E84" s="1" t="n">
        <v>0</v>
      </c>
      <c r="F84" s="1" t="s">
        <v>225</v>
      </c>
      <c r="G84" s="1" t="s">
        <v>24</v>
      </c>
      <c r="H84" s="1" t="s">
        <v>19</v>
      </c>
      <c r="I84" s="1" t="s">
        <v>232</v>
      </c>
      <c r="J84" s="1" t="s">
        <v>233</v>
      </c>
      <c r="K84" s="1" t="s">
        <v>234</v>
      </c>
      <c r="L84" s="1" t="s">
        <v>235</v>
      </c>
      <c r="M84" s="1" t="n">
        <v>-3</v>
      </c>
      <c r="N84" s="1" t="n">
        <v>0.0132666666666667</v>
      </c>
      <c r="O84" s="1" t="n">
        <v>10.2174333333333</v>
      </c>
    </row>
    <row r="85" customFormat="false" ht="15.75" hidden="false" customHeight="false" outlineLevel="0" collapsed="false">
      <c r="A85" s="2" t="n">
        <v>45531</v>
      </c>
      <c r="B85" s="1" t="s">
        <v>54</v>
      </c>
      <c r="C85" s="1" t="s">
        <v>16</v>
      </c>
      <c r="D85" s="1" t="n">
        <v>665</v>
      </c>
      <c r="E85" s="1" t="n">
        <v>0</v>
      </c>
      <c r="G85" s="1" t="s">
        <v>18</v>
      </c>
      <c r="H85" s="1" t="s">
        <v>19</v>
      </c>
      <c r="I85" s="1" t="s">
        <v>236</v>
      </c>
      <c r="J85" s="1" t="s">
        <v>237</v>
      </c>
      <c r="K85" s="1" t="s">
        <v>237</v>
      </c>
      <c r="M85" s="1" t="n">
        <v>-3</v>
      </c>
      <c r="O85" s="1" t="n">
        <v>10.4940166666667</v>
      </c>
    </row>
    <row r="86" customFormat="false" ht="15.75" hidden="false" customHeight="false" outlineLevel="0" collapsed="false">
      <c r="A86" s="2" t="n">
        <v>45531</v>
      </c>
      <c r="B86" s="1" t="s">
        <v>22</v>
      </c>
      <c r="C86" s="1" t="s">
        <v>16</v>
      </c>
      <c r="D86" s="1" t="n">
        <v>285</v>
      </c>
      <c r="E86" s="1" t="n">
        <v>61</v>
      </c>
      <c r="G86" s="1" t="s">
        <v>76</v>
      </c>
      <c r="H86" s="1" t="s">
        <v>19</v>
      </c>
      <c r="I86" s="1" t="s">
        <v>238</v>
      </c>
      <c r="J86" s="1" t="s">
        <v>239</v>
      </c>
      <c r="K86" s="1" t="s">
        <v>239</v>
      </c>
      <c r="M86" s="1" t="n">
        <v>-7</v>
      </c>
      <c r="O86" s="1" t="n">
        <v>11.47205</v>
      </c>
    </row>
    <row r="87" customFormat="false" ht="15.75" hidden="false" customHeight="false" outlineLevel="0" collapsed="false">
      <c r="A87" s="2" t="n">
        <v>45531</v>
      </c>
      <c r="B87" s="1" t="s">
        <v>22</v>
      </c>
      <c r="C87" s="1" t="s">
        <v>16</v>
      </c>
      <c r="D87" s="1" t="n">
        <v>309</v>
      </c>
      <c r="E87" s="1" t="n">
        <v>0</v>
      </c>
      <c r="F87" s="1" t="s">
        <v>225</v>
      </c>
      <c r="G87" s="1" t="s">
        <v>24</v>
      </c>
      <c r="H87" s="1" t="s">
        <v>43</v>
      </c>
      <c r="I87" s="1" t="s">
        <v>240</v>
      </c>
      <c r="J87" s="1" t="s">
        <v>241</v>
      </c>
      <c r="K87" s="1" t="s">
        <v>242</v>
      </c>
      <c r="L87" s="1" t="s">
        <v>243</v>
      </c>
      <c r="M87" s="1" t="n">
        <v>0</v>
      </c>
      <c r="N87" s="1" t="n">
        <v>0.00866666666666667</v>
      </c>
      <c r="O87" s="1" t="n">
        <v>14.3066333333333</v>
      </c>
    </row>
    <row r="88" customFormat="false" ht="15.75" hidden="false" customHeight="false" outlineLevel="0" collapsed="false">
      <c r="A88" s="2" t="n">
        <v>45531</v>
      </c>
      <c r="B88" s="1" t="s">
        <v>15</v>
      </c>
      <c r="C88" s="1" t="s">
        <v>16</v>
      </c>
      <c r="D88" s="1" t="n">
        <v>406</v>
      </c>
      <c r="E88" s="1" t="n">
        <v>0</v>
      </c>
      <c r="F88" s="1" t="s">
        <v>17</v>
      </c>
      <c r="G88" s="1" t="s">
        <v>18</v>
      </c>
      <c r="H88" s="1" t="s">
        <v>19</v>
      </c>
      <c r="I88" s="1" t="s">
        <v>244</v>
      </c>
      <c r="J88" s="1" t="s">
        <v>245</v>
      </c>
      <c r="K88" s="1" t="s">
        <v>245</v>
      </c>
      <c r="M88" s="1" t="n">
        <v>-6</v>
      </c>
      <c r="O88" s="1" t="n">
        <v>8.4832</v>
      </c>
    </row>
    <row r="89" customFormat="false" ht="15.75" hidden="false" customHeight="false" outlineLevel="0" collapsed="false">
      <c r="A89" s="2" t="n">
        <v>45531</v>
      </c>
      <c r="B89" s="1" t="s">
        <v>31</v>
      </c>
      <c r="C89" s="1" t="s">
        <v>32</v>
      </c>
      <c r="D89" s="1" t="n">
        <v>553</v>
      </c>
      <c r="E89" s="1" t="n">
        <v>0</v>
      </c>
      <c r="F89" s="1" t="s">
        <v>246</v>
      </c>
      <c r="G89" s="1" t="s">
        <v>18</v>
      </c>
      <c r="H89" s="1" t="s">
        <v>19</v>
      </c>
      <c r="I89" s="1" t="s">
        <v>247</v>
      </c>
      <c r="J89" s="1" t="s">
        <v>248</v>
      </c>
      <c r="K89" s="1" t="s">
        <v>248</v>
      </c>
      <c r="M89" s="1" t="n">
        <v>-1</v>
      </c>
      <c r="O89" s="1" t="n">
        <v>14.2658</v>
      </c>
    </row>
    <row r="90" customFormat="false" ht="15.75" hidden="false" customHeight="false" outlineLevel="0" collapsed="false">
      <c r="A90" s="2" t="n">
        <v>45531</v>
      </c>
      <c r="B90" s="1" t="s">
        <v>96</v>
      </c>
      <c r="C90" s="1" t="s">
        <v>16</v>
      </c>
      <c r="D90" s="1" t="n">
        <v>119</v>
      </c>
      <c r="E90" s="1" t="n">
        <v>0</v>
      </c>
      <c r="G90" s="1" t="s">
        <v>76</v>
      </c>
      <c r="H90" s="1" t="s">
        <v>43</v>
      </c>
      <c r="I90" s="1" t="s">
        <v>249</v>
      </c>
      <c r="J90" s="1" t="s">
        <v>250</v>
      </c>
      <c r="K90" s="1" t="s">
        <v>250</v>
      </c>
      <c r="M90" s="1" t="n">
        <v>7</v>
      </c>
      <c r="O90" s="1" t="n">
        <v>12.8052833333333</v>
      </c>
    </row>
    <row r="91" customFormat="false" ht="15.75" hidden="false" customHeight="false" outlineLevel="0" collapsed="false">
      <c r="A91" s="2" t="n">
        <v>45531</v>
      </c>
      <c r="B91" s="1" t="s">
        <v>22</v>
      </c>
      <c r="C91" s="1" t="s">
        <v>16</v>
      </c>
      <c r="D91" s="1" t="n">
        <v>357</v>
      </c>
      <c r="E91" s="1" t="n">
        <v>0</v>
      </c>
      <c r="G91" s="1" t="s">
        <v>76</v>
      </c>
      <c r="H91" s="1" t="s">
        <v>43</v>
      </c>
      <c r="I91" s="1" t="s">
        <v>251</v>
      </c>
      <c r="J91" s="1" t="s">
        <v>252</v>
      </c>
      <c r="K91" s="1" t="s">
        <v>252</v>
      </c>
      <c r="M91" s="1" t="n">
        <v>-5</v>
      </c>
      <c r="O91" s="1" t="n">
        <v>15.2749</v>
      </c>
    </row>
    <row r="92" customFormat="false" ht="15.75" hidden="false" customHeight="false" outlineLevel="0" collapsed="false">
      <c r="A92" s="2" t="n">
        <v>45531</v>
      </c>
      <c r="B92" s="1" t="s">
        <v>22</v>
      </c>
      <c r="C92" s="1" t="s">
        <v>16</v>
      </c>
      <c r="D92" s="1" t="n">
        <v>331</v>
      </c>
      <c r="E92" s="1" t="n">
        <v>0</v>
      </c>
      <c r="F92" s="1" t="s">
        <v>225</v>
      </c>
      <c r="G92" s="1" t="s">
        <v>24</v>
      </c>
      <c r="H92" s="1" t="s">
        <v>19</v>
      </c>
      <c r="I92" s="1" t="s">
        <v>253</v>
      </c>
      <c r="J92" s="1" t="s">
        <v>254</v>
      </c>
      <c r="K92" s="1" t="s">
        <v>255</v>
      </c>
      <c r="L92" s="1" t="s">
        <v>256</v>
      </c>
      <c r="M92" s="1" t="n">
        <v>-6</v>
      </c>
      <c r="N92" s="1" t="n">
        <v>0.00841666666666667</v>
      </c>
      <c r="O92" s="1" t="n">
        <v>16.2219333333333</v>
      </c>
    </row>
    <row r="93" customFormat="false" ht="15.75" hidden="false" customHeight="false" outlineLevel="0" collapsed="false">
      <c r="A93" s="2" t="n">
        <v>45531</v>
      </c>
      <c r="B93" s="1" t="s">
        <v>96</v>
      </c>
      <c r="C93" s="1" t="s">
        <v>16</v>
      </c>
      <c r="D93" s="1" t="n">
        <v>45</v>
      </c>
      <c r="E93" s="1" t="n">
        <v>0</v>
      </c>
      <c r="G93" s="1" t="s">
        <v>76</v>
      </c>
      <c r="H93" s="1" t="s">
        <v>43</v>
      </c>
      <c r="I93" s="1" t="s">
        <v>257</v>
      </c>
      <c r="J93" s="1" t="s">
        <v>258</v>
      </c>
      <c r="K93" s="1" t="s">
        <v>258</v>
      </c>
      <c r="M93" s="1" t="n">
        <v>4</v>
      </c>
      <c r="O93" s="1" t="n">
        <v>9.26605</v>
      </c>
    </row>
    <row r="94" customFormat="false" ht="15.75" hidden="false" customHeight="false" outlineLevel="0" collapsed="false">
      <c r="A94" s="2" t="n">
        <v>45531</v>
      </c>
      <c r="B94" s="1" t="s">
        <v>22</v>
      </c>
      <c r="C94" s="1" t="s">
        <v>16</v>
      </c>
      <c r="D94" s="1" t="n">
        <v>358</v>
      </c>
      <c r="E94" s="1" t="n">
        <v>0</v>
      </c>
      <c r="F94" s="1" t="s">
        <v>225</v>
      </c>
      <c r="G94" s="1" t="s">
        <v>24</v>
      </c>
      <c r="H94" s="1" t="s">
        <v>19</v>
      </c>
      <c r="I94" s="1" t="s">
        <v>259</v>
      </c>
      <c r="J94" s="1" t="s">
        <v>260</v>
      </c>
      <c r="K94" s="1" t="s">
        <v>261</v>
      </c>
      <c r="L94" s="1" t="s">
        <v>262</v>
      </c>
      <c r="M94" s="1" t="n">
        <v>-2</v>
      </c>
      <c r="N94" s="1" t="n">
        <v>0.00925</v>
      </c>
      <c r="O94" s="1" t="n">
        <v>8.1714</v>
      </c>
    </row>
    <row r="95" customFormat="false" ht="15.75" hidden="false" customHeight="false" outlineLevel="0" collapsed="false">
      <c r="A95" s="2" t="n">
        <v>45531</v>
      </c>
      <c r="B95" s="1" t="s">
        <v>22</v>
      </c>
      <c r="C95" s="1" t="s">
        <v>16</v>
      </c>
      <c r="D95" s="1" t="n">
        <v>339</v>
      </c>
      <c r="E95" s="1" t="n">
        <v>0</v>
      </c>
      <c r="F95" s="1" t="s">
        <v>225</v>
      </c>
      <c r="G95" s="1" t="s">
        <v>24</v>
      </c>
      <c r="H95" s="1" t="s">
        <v>19</v>
      </c>
      <c r="I95" s="1" t="s">
        <v>263</v>
      </c>
      <c r="J95" s="1" t="s">
        <v>264</v>
      </c>
      <c r="K95" s="1" t="s">
        <v>265</v>
      </c>
      <c r="L95" s="1" t="s">
        <v>266</v>
      </c>
      <c r="M95" s="1" t="n">
        <v>-9</v>
      </c>
      <c r="N95" s="1" t="n">
        <v>0.0117</v>
      </c>
      <c r="O95" s="1" t="n">
        <v>12.0036166666667</v>
      </c>
    </row>
    <row r="96" customFormat="false" ht="15.75" hidden="false" customHeight="false" outlineLevel="0" collapsed="false">
      <c r="A96" s="2" t="n">
        <v>45531</v>
      </c>
      <c r="B96" s="1" t="s">
        <v>22</v>
      </c>
      <c r="C96" s="1" t="s">
        <v>16</v>
      </c>
      <c r="D96" s="1" t="n">
        <v>247</v>
      </c>
      <c r="E96" s="1" t="n">
        <v>62</v>
      </c>
      <c r="G96" s="1" t="s">
        <v>76</v>
      </c>
      <c r="H96" s="1" t="s">
        <v>43</v>
      </c>
      <c r="I96" s="1" t="s">
        <v>267</v>
      </c>
      <c r="J96" s="1" t="s">
        <v>268</v>
      </c>
      <c r="K96" s="1" t="s">
        <v>268</v>
      </c>
      <c r="M96" s="1" t="n">
        <v>-10</v>
      </c>
      <c r="O96" s="1" t="n">
        <v>9.25328333333333</v>
      </c>
    </row>
    <row r="97" customFormat="false" ht="15.75" hidden="false" customHeight="false" outlineLevel="0" collapsed="false">
      <c r="A97" s="2" t="n">
        <v>45531</v>
      </c>
      <c r="B97" s="1" t="s">
        <v>31</v>
      </c>
      <c r="C97" s="1" t="s">
        <v>32</v>
      </c>
      <c r="D97" s="1" t="n">
        <v>264</v>
      </c>
      <c r="E97" s="1" t="n">
        <v>0</v>
      </c>
      <c r="F97" s="1" t="s">
        <v>269</v>
      </c>
      <c r="G97" s="1" t="s">
        <v>18</v>
      </c>
      <c r="H97" s="1" t="s">
        <v>19</v>
      </c>
      <c r="I97" s="1" t="s">
        <v>270</v>
      </c>
      <c r="J97" s="1" t="s">
        <v>271</v>
      </c>
      <c r="K97" s="1" t="s">
        <v>271</v>
      </c>
      <c r="M97" s="1" t="n">
        <v>-8</v>
      </c>
      <c r="O97" s="1" t="n">
        <v>6.6682</v>
      </c>
    </row>
    <row r="98" customFormat="false" ht="15.75" hidden="false" customHeight="false" outlineLevel="0" collapsed="false">
      <c r="A98" s="2" t="n">
        <v>45531</v>
      </c>
      <c r="B98" s="1" t="s">
        <v>15</v>
      </c>
      <c r="C98" s="1" t="s">
        <v>16</v>
      </c>
      <c r="D98" s="1" t="n">
        <v>321</v>
      </c>
      <c r="E98" s="1" t="n">
        <v>0</v>
      </c>
      <c r="F98" s="1" t="s">
        <v>17</v>
      </c>
      <c r="G98" s="1" t="s">
        <v>18</v>
      </c>
      <c r="H98" s="1" t="s">
        <v>19</v>
      </c>
      <c r="I98" s="1" t="s">
        <v>272</v>
      </c>
      <c r="J98" s="1" t="s">
        <v>273</v>
      </c>
      <c r="K98" s="1" t="s">
        <v>273</v>
      </c>
      <c r="M98" s="1" t="n">
        <v>-7</v>
      </c>
      <c r="O98" s="1" t="n">
        <v>7.04883333333333</v>
      </c>
    </row>
    <row r="99" customFormat="false" ht="15.75" hidden="false" customHeight="false" outlineLevel="0" collapsed="false">
      <c r="A99" s="2" t="n">
        <v>45531</v>
      </c>
      <c r="B99" s="1" t="s">
        <v>54</v>
      </c>
      <c r="C99" s="1" t="s">
        <v>32</v>
      </c>
      <c r="D99" s="1" t="n">
        <v>321</v>
      </c>
      <c r="E99" s="1" t="n">
        <v>0</v>
      </c>
      <c r="G99" s="1" t="s">
        <v>18</v>
      </c>
      <c r="H99" s="1" t="s">
        <v>19</v>
      </c>
      <c r="I99" s="1" t="s">
        <v>274</v>
      </c>
      <c r="J99" s="1" t="s">
        <v>275</v>
      </c>
      <c r="K99" s="1" t="s">
        <v>275</v>
      </c>
      <c r="M99" s="1" t="n">
        <v>4</v>
      </c>
      <c r="O99" s="1" t="n">
        <v>16.666</v>
      </c>
    </row>
    <row r="100" customFormat="false" ht="15.75" hidden="false" customHeight="false" outlineLevel="0" collapsed="false">
      <c r="A100" s="2" t="n">
        <v>45531</v>
      </c>
      <c r="B100" s="1" t="s">
        <v>54</v>
      </c>
      <c r="C100" s="1" t="s">
        <v>32</v>
      </c>
      <c r="D100" s="1" t="n">
        <v>423</v>
      </c>
      <c r="E100" s="1" t="n">
        <v>150</v>
      </c>
      <c r="G100" s="1" t="s">
        <v>18</v>
      </c>
      <c r="H100" s="1" t="s">
        <v>19</v>
      </c>
      <c r="I100" s="1" t="s">
        <v>276</v>
      </c>
      <c r="J100" s="1" t="s">
        <v>277</v>
      </c>
      <c r="K100" s="1" t="s">
        <v>277</v>
      </c>
      <c r="M100" s="1" t="n">
        <v>3</v>
      </c>
      <c r="O100" s="1" t="n">
        <v>17.0009666666667</v>
      </c>
    </row>
    <row r="101" customFormat="false" ht="15.75" hidden="false" customHeight="false" outlineLevel="0" collapsed="false">
      <c r="A101" s="2" t="n">
        <v>45531</v>
      </c>
      <c r="B101" s="1" t="s">
        <v>96</v>
      </c>
      <c r="C101" s="1" t="s">
        <v>16</v>
      </c>
      <c r="D101" s="1" t="n">
        <v>249</v>
      </c>
      <c r="E101" s="1" t="n">
        <v>0</v>
      </c>
      <c r="G101" s="1" t="s">
        <v>76</v>
      </c>
      <c r="H101" s="1" t="s">
        <v>43</v>
      </c>
      <c r="I101" s="1" t="s">
        <v>278</v>
      </c>
      <c r="J101" s="1" t="s">
        <v>279</v>
      </c>
      <c r="K101" s="1" t="s">
        <v>279</v>
      </c>
      <c r="M101" s="1" t="n">
        <v>6</v>
      </c>
      <c r="O101" s="1" t="n">
        <v>11.4919833333333</v>
      </c>
    </row>
    <row r="102" customFormat="false" ht="15.75" hidden="false" customHeight="false" outlineLevel="0" collapsed="false">
      <c r="A102" s="2" t="n">
        <v>45531</v>
      </c>
      <c r="B102" s="1" t="s">
        <v>22</v>
      </c>
      <c r="C102" s="1" t="s">
        <v>16</v>
      </c>
      <c r="D102" s="1" t="n">
        <v>653</v>
      </c>
      <c r="E102" s="1" t="n">
        <v>0</v>
      </c>
      <c r="F102" s="1" t="s">
        <v>17</v>
      </c>
      <c r="G102" s="1" t="s">
        <v>24</v>
      </c>
      <c r="H102" s="1" t="s">
        <v>43</v>
      </c>
      <c r="I102" s="1" t="s">
        <v>280</v>
      </c>
      <c r="J102" s="1" t="s">
        <v>281</v>
      </c>
      <c r="K102" s="1" t="s">
        <v>282</v>
      </c>
      <c r="L102" s="1" t="s">
        <v>283</v>
      </c>
      <c r="M102" s="1" t="n">
        <v>15</v>
      </c>
      <c r="N102" s="1" t="n">
        <v>12.6065</v>
      </c>
      <c r="O102" s="1" t="n">
        <v>16.7422</v>
      </c>
    </row>
    <row r="103" customFormat="false" ht="15.75" hidden="false" customHeight="false" outlineLevel="0" collapsed="false">
      <c r="A103" s="2" t="n">
        <v>45531</v>
      </c>
      <c r="B103" s="1" t="s">
        <v>96</v>
      </c>
      <c r="C103" s="1" t="s">
        <v>16</v>
      </c>
      <c r="D103" s="1" t="n">
        <v>119</v>
      </c>
      <c r="E103" s="1" t="n">
        <v>0</v>
      </c>
      <c r="G103" s="1" t="s">
        <v>76</v>
      </c>
      <c r="H103" s="1" t="s">
        <v>43</v>
      </c>
      <c r="I103" s="1" t="s">
        <v>284</v>
      </c>
      <c r="J103" s="1" t="s">
        <v>285</v>
      </c>
      <c r="K103" s="1" t="s">
        <v>285</v>
      </c>
      <c r="M103" s="1" t="n">
        <v>5</v>
      </c>
      <c r="O103" s="1" t="n">
        <v>10.6971666666667</v>
      </c>
    </row>
    <row r="104" customFormat="false" ht="15.75" hidden="false" customHeight="false" outlineLevel="0" collapsed="false">
      <c r="A104" s="2" t="n">
        <v>45531</v>
      </c>
      <c r="B104" s="1" t="s">
        <v>54</v>
      </c>
      <c r="C104" s="1" t="s">
        <v>32</v>
      </c>
      <c r="D104" s="1" t="n">
        <v>429</v>
      </c>
      <c r="E104" s="1" t="n">
        <v>0</v>
      </c>
      <c r="G104" s="1" t="s">
        <v>18</v>
      </c>
      <c r="H104" s="1" t="s">
        <v>19</v>
      </c>
      <c r="I104" s="1" t="s">
        <v>286</v>
      </c>
      <c r="J104" s="1" t="s">
        <v>287</v>
      </c>
      <c r="K104" s="1" t="s">
        <v>287</v>
      </c>
      <c r="M104" s="1" t="n">
        <v>4</v>
      </c>
      <c r="O104" s="1" t="n">
        <v>16.5403833333333</v>
      </c>
    </row>
    <row r="105" customFormat="false" ht="15.75" hidden="false" customHeight="false" outlineLevel="0" collapsed="false">
      <c r="A105" s="2" t="n">
        <v>45531</v>
      </c>
      <c r="B105" s="1" t="s">
        <v>31</v>
      </c>
      <c r="C105" s="1" t="s">
        <v>32</v>
      </c>
      <c r="D105" s="1" t="n">
        <v>596</v>
      </c>
      <c r="E105" s="1" t="n">
        <v>0</v>
      </c>
      <c r="F105" s="1" t="s">
        <v>288</v>
      </c>
      <c r="G105" s="1" t="s">
        <v>18</v>
      </c>
      <c r="H105" s="1" t="s">
        <v>19</v>
      </c>
      <c r="I105" s="1" t="s">
        <v>289</v>
      </c>
      <c r="J105" s="1" t="s">
        <v>290</v>
      </c>
      <c r="K105" s="1" t="s">
        <v>290</v>
      </c>
      <c r="M105" s="1" t="n">
        <v>3</v>
      </c>
      <c r="O105" s="1" t="n">
        <v>20.0809166666667</v>
      </c>
    </row>
    <row r="106" customFormat="false" ht="15.75" hidden="false" customHeight="false" outlineLevel="0" collapsed="false">
      <c r="A106" s="2" t="n">
        <v>45531</v>
      </c>
      <c r="B106" s="1" t="s">
        <v>15</v>
      </c>
      <c r="C106" s="1" t="s">
        <v>16</v>
      </c>
      <c r="D106" s="1" t="n">
        <v>264</v>
      </c>
      <c r="E106" s="1" t="n">
        <v>0</v>
      </c>
      <c r="F106" s="1" t="s">
        <v>17</v>
      </c>
      <c r="G106" s="1" t="s">
        <v>18</v>
      </c>
      <c r="H106" s="1" t="s">
        <v>19</v>
      </c>
      <c r="I106" s="1" t="s">
        <v>291</v>
      </c>
      <c r="J106" s="1" t="s">
        <v>292</v>
      </c>
      <c r="K106" s="1" t="s">
        <v>292</v>
      </c>
      <c r="M106" s="1" t="n">
        <v>-5</v>
      </c>
      <c r="O106" s="1" t="n">
        <v>9.52071666666667</v>
      </c>
    </row>
    <row r="107" customFormat="false" ht="15.75" hidden="false" customHeight="false" outlineLevel="0" collapsed="false">
      <c r="A107" s="2" t="n">
        <v>45531</v>
      </c>
      <c r="B107" s="1" t="s">
        <v>15</v>
      </c>
      <c r="C107" s="1" t="s">
        <v>16</v>
      </c>
      <c r="D107" s="1" t="n">
        <v>348</v>
      </c>
      <c r="E107" s="1" t="n">
        <v>0</v>
      </c>
      <c r="F107" s="1" t="s">
        <v>17</v>
      </c>
      <c r="G107" s="1" t="s">
        <v>18</v>
      </c>
      <c r="H107" s="1" t="s">
        <v>19</v>
      </c>
      <c r="I107" s="1" t="s">
        <v>293</v>
      </c>
      <c r="J107" s="1" t="s">
        <v>294</v>
      </c>
      <c r="K107" s="1" t="s">
        <v>294</v>
      </c>
      <c r="M107" s="1" t="n">
        <v>-6</v>
      </c>
      <c r="O107" s="1" t="n">
        <v>8.20708333333333</v>
      </c>
    </row>
    <row r="108" customFormat="false" ht="15.75" hidden="false" customHeight="false" outlineLevel="0" collapsed="false">
      <c r="A108" s="2" t="n">
        <v>45531</v>
      </c>
      <c r="B108" s="1" t="s">
        <v>22</v>
      </c>
      <c r="C108" s="1" t="s">
        <v>16</v>
      </c>
      <c r="D108" s="1" t="n">
        <v>494</v>
      </c>
      <c r="E108" s="1" t="n">
        <v>124</v>
      </c>
      <c r="G108" s="1" t="s">
        <v>76</v>
      </c>
      <c r="H108" s="1" t="s">
        <v>43</v>
      </c>
      <c r="I108" s="1" t="s">
        <v>295</v>
      </c>
      <c r="J108" s="1" t="s">
        <v>296</v>
      </c>
      <c r="K108" s="1" t="s">
        <v>296</v>
      </c>
      <c r="M108" s="1" t="n">
        <v>-6</v>
      </c>
      <c r="O108" s="1" t="n">
        <v>12.5242166666667</v>
      </c>
    </row>
    <row r="109" customFormat="false" ht="15.75" hidden="false" customHeight="false" outlineLevel="0" collapsed="false">
      <c r="A109" s="2" t="n">
        <v>45531</v>
      </c>
      <c r="B109" s="1" t="s">
        <v>54</v>
      </c>
      <c r="C109" s="1" t="s">
        <v>32</v>
      </c>
      <c r="D109" s="1" t="n">
        <v>279</v>
      </c>
      <c r="E109" s="1" t="n">
        <v>50</v>
      </c>
      <c r="G109" s="1" t="s">
        <v>18</v>
      </c>
      <c r="H109" s="1" t="s">
        <v>19</v>
      </c>
      <c r="I109" s="1" t="s">
        <v>297</v>
      </c>
      <c r="J109" s="1" t="s">
        <v>298</v>
      </c>
      <c r="K109" s="1" t="s">
        <v>298</v>
      </c>
      <c r="M109" s="1" t="n">
        <v>1</v>
      </c>
      <c r="O109" s="1" t="n">
        <v>14.7513333333333</v>
      </c>
    </row>
    <row r="110" customFormat="false" ht="15.75" hidden="false" customHeight="false" outlineLevel="0" collapsed="false">
      <c r="A110" s="2" t="n">
        <v>45531</v>
      </c>
      <c r="B110" s="1" t="s">
        <v>31</v>
      </c>
      <c r="C110" s="1" t="s">
        <v>32</v>
      </c>
      <c r="D110" s="1" t="n">
        <v>299</v>
      </c>
      <c r="E110" s="1" t="n">
        <v>0</v>
      </c>
      <c r="F110" s="1" t="s">
        <v>299</v>
      </c>
      <c r="G110" s="1" t="s">
        <v>18</v>
      </c>
      <c r="H110" s="1" t="s">
        <v>19</v>
      </c>
      <c r="I110" s="1" t="s">
        <v>300</v>
      </c>
      <c r="J110" s="1" t="s">
        <v>301</v>
      </c>
      <c r="K110" s="1" t="s">
        <v>301</v>
      </c>
      <c r="M110" s="1" t="n">
        <v>-6</v>
      </c>
      <c r="O110" s="1" t="n">
        <v>8.54753333333333</v>
      </c>
    </row>
    <row r="111" customFormat="false" ht="15.75" hidden="false" customHeight="false" outlineLevel="0" collapsed="false">
      <c r="A111" s="2" t="n">
        <v>45531</v>
      </c>
      <c r="B111" s="1" t="s">
        <v>54</v>
      </c>
      <c r="C111" s="1" t="s">
        <v>32</v>
      </c>
      <c r="D111" s="1" t="n">
        <v>334</v>
      </c>
      <c r="E111" s="1" t="n">
        <v>100</v>
      </c>
      <c r="G111" s="1" t="s">
        <v>18</v>
      </c>
      <c r="H111" s="1" t="s">
        <v>43</v>
      </c>
      <c r="I111" s="1" t="s">
        <v>302</v>
      </c>
      <c r="J111" s="1" t="s">
        <v>303</v>
      </c>
      <c r="K111" s="1" t="s">
        <v>303</v>
      </c>
      <c r="M111" s="1" t="n">
        <v>-4</v>
      </c>
      <c r="O111" s="1" t="n">
        <v>8.84795</v>
      </c>
    </row>
    <row r="112" customFormat="false" ht="15.75" hidden="false" customHeight="false" outlineLevel="0" collapsed="false">
      <c r="A112" s="2" t="n">
        <v>45531</v>
      </c>
      <c r="B112" s="1" t="s">
        <v>54</v>
      </c>
      <c r="C112" s="1" t="s">
        <v>32</v>
      </c>
      <c r="D112" s="1" t="n">
        <v>321</v>
      </c>
      <c r="E112" s="1" t="n">
        <v>0</v>
      </c>
      <c r="G112" s="1" t="s">
        <v>18</v>
      </c>
      <c r="H112" s="1" t="s">
        <v>19</v>
      </c>
      <c r="I112" s="1" t="s">
        <v>304</v>
      </c>
      <c r="J112" s="1" t="s">
        <v>305</v>
      </c>
      <c r="K112" s="1" t="s">
        <v>305</v>
      </c>
      <c r="M112" s="1" t="n">
        <v>0</v>
      </c>
      <c r="O112" s="1" t="n">
        <v>11.8775166666667</v>
      </c>
    </row>
    <row r="113" customFormat="false" ht="15.75" hidden="false" customHeight="false" outlineLevel="0" collapsed="false">
      <c r="A113" s="2" t="n">
        <v>45531</v>
      </c>
      <c r="B113" s="1" t="s">
        <v>31</v>
      </c>
      <c r="C113" s="1" t="s">
        <v>32</v>
      </c>
      <c r="D113" s="1" t="n">
        <v>313</v>
      </c>
      <c r="E113" s="1" t="n">
        <v>0</v>
      </c>
      <c r="F113" s="1" t="s">
        <v>306</v>
      </c>
      <c r="G113" s="1" t="s">
        <v>18</v>
      </c>
      <c r="H113" s="1" t="s">
        <v>19</v>
      </c>
      <c r="I113" s="1" t="s">
        <v>307</v>
      </c>
      <c r="J113" s="1" t="s">
        <v>308</v>
      </c>
      <c r="K113" s="1" t="s">
        <v>308</v>
      </c>
      <c r="M113" s="1" t="n">
        <v>-1</v>
      </c>
      <c r="O113" s="1" t="n">
        <v>13.7984166666667</v>
      </c>
    </row>
    <row r="114" customFormat="false" ht="15.75" hidden="false" customHeight="false" outlineLevel="0" collapsed="false">
      <c r="A114" s="2" t="n">
        <v>45531</v>
      </c>
      <c r="B114" s="1" t="s">
        <v>54</v>
      </c>
      <c r="C114" s="1" t="s">
        <v>32</v>
      </c>
      <c r="D114" s="1" t="n">
        <v>393</v>
      </c>
      <c r="E114" s="1" t="n">
        <v>0</v>
      </c>
      <c r="G114" s="1" t="s">
        <v>18</v>
      </c>
      <c r="H114" s="1" t="s">
        <v>19</v>
      </c>
      <c r="I114" s="1" t="s">
        <v>309</v>
      </c>
      <c r="J114" s="1" t="s">
        <v>310</v>
      </c>
      <c r="K114" s="1" t="s">
        <v>310</v>
      </c>
      <c r="M114" s="1" t="n">
        <v>-2</v>
      </c>
      <c r="O114" s="1" t="n">
        <v>10.1564166666667</v>
      </c>
    </row>
    <row r="115" customFormat="false" ht="15.75" hidden="false" customHeight="false" outlineLevel="0" collapsed="false">
      <c r="A115" s="2" t="n">
        <v>45531</v>
      </c>
      <c r="B115" s="1" t="s">
        <v>54</v>
      </c>
      <c r="C115" s="1" t="s">
        <v>32</v>
      </c>
      <c r="D115" s="1" t="n">
        <v>466</v>
      </c>
      <c r="E115" s="1" t="n">
        <v>0</v>
      </c>
      <c r="G115" s="1" t="s">
        <v>18</v>
      </c>
      <c r="H115" s="1" t="s">
        <v>19</v>
      </c>
      <c r="I115" s="1" t="s">
        <v>311</v>
      </c>
      <c r="J115" s="1" t="s">
        <v>312</v>
      </c>
      <c r="K115" s="1" t="s">
        <v>312</v>
      </c>
      <c r="M115" s="1" t="n">
        <v>2</v>
      </c>
      <c r="O115" s="1" t="n">
        <v>15.6595333333333</v>
      </c>
    </row>
    <row r="116" customFormat="false" ht="15.75" hidden="false" customHeight="false" outlineLevel="0" collapsed="false">
      <c r="A116" s="2" t="n">
        <v>45531</v>
      </c>
      <c r="B116" s="1" t="s">
        <v>31</v>
      </c>
      <c r="C116" s="1" t="s">
        <v>32</v>
      </c>
      <c r="D116" s="1" t="n">
        <v>329</v>
      </c>
      <c r="E116" s="1" t="n">
        <v>0</v>
      </c>
      <c r="F116" s="1" t="s">
        <v>313</v>
      </c>
      <c r="G116" s="1" t="s">
        <v>18</v>
      </c>
      <c r="H116" s="1" t="s">
        <v>19</v>
      </c>
      <c r="I116" s="1" t="s">
        <v>314</v>
      </c>
      <c r="J116" s="1" t="s">
        <v>315</v>
      </c>
      <c r="K116" s="1" t="s">
        <v>315</v>
      </c>
      <c r="M116" s="1" t="n">
        <v>-4</v>
      </c>
      <c r="O116" s="1" t="n">
        <v>10.9189166666667</v>
      </c>
    </row>
    <row r="117" customFormat="false" ht="15.75" hidden="false" customHeight="false" outlineLevel="0" collapsed="false">
      <c r="A117" s="2" t="n">
        <v>45531</v>
      </c>
      <c r="B117" s="1" t="s">
        <v>22</v>
      </c>
      <c r="C117" s="1" t="s">
        <v>16</v>
      </c>
      <c r="D117" s="1" t="n">
        <v>270</v>
      </c>
      <c r="E117" s="1" t="n">
        <v>0</v>
      </c>
      <c r="F117" s="1" t="s">
        <v>225</v>
      </c>
      <c r="G117" s="1" t="s">
        <v>24</v>
      </c>
      <c r="H117" s="1" t="s">
        <v>19</v>
      </c>
      <c r="I117" s="1" t="s">
        <v>316</v>
      </c>
      <c r="J117" s="1" t="s">
        <v>317</v>
      </c>
      <c r="K117" s="1" t="s">
        <v>318</v>
      </c>
      <c r="L117" s="1" t="s">
        <v>319</v>
      </c>
      <c r="M117" s="1" t="n">
        <v>-21</v>
      </c>
      <c r="N117" s="1" t="n">
        <v>0.0102666666666667</v>
      </c>
      <c r="O117" s="1" t="n">
        <v>7.15016666666667</v>
      </c>
    </row>
    <row r="118" customFormat="false" ht="15.75" hidden="false" customHeight="false" outlineLevel="0" collapsed="false">
      <c r="A118" s="2" t="n">
        <v>45531</v>
      </c>
      <c r="B118" s="1" t="s">
        <v>31</v>
      </c>
      <c r="C118" s="1" t="s">
        <v>32</v>
      </c>
      <c r="D118" s="1" t="n">
        <v>329</v>
      </c>
      <c r="E118" s="1" t="n">
        <v>0</v>
      </c>
      <c r="F118" s="1" t="s">
        <v>320</v>
      </c>
      <c r="G118" s="1" t="s">
        <v>18</v>
      </c>
      <c r="H118" s="1" t="s">
        <v>19</v>
      </c>
      <c r="I118" s="1" t="s">
        <v>321</v>
      </c>
      <c r="J118" s="1" t="s">
        <v>322</v>
      </c>
      <c r="K118" s="1" t="s">
        <v>322</v>
      </c>
      <c r="M118" s="1" t="n">
        <v>1</v>
      </c>
      <c r="O118" s="1" t="n">
        <v>16.7899333333333</v>
      </c>
    </row>
    <row r="119" customFormat="false" ht="15.75" hidden="false" customHeight="false" outlineLevel="0" collapsed="false">
      <c r="A119" s="2" t="n">
        <v>45531</v>
      </c>
      <c r="B119" s="1" t="s">
        <v>22</v>
      </c>
      <c r="C119" s="1" t="s">
        <v>16</v>
      </c>
      <c r="D119" s="1" t="n">
        <v>368</v>
      </c>
      <c r="E119" s="1" t="n">
        <v>0</v>
      </c>
      <c r="F119" s="1" t="s">
        <v>17</v>
      </c>
      <c r="G119" s="1" t="s">
        <v>24</v>
      </c>
      <c r="H119" s="1" t="s">
        <v>19</v>
      </c>
      <c r="I119" s="1" t="s">
        <v>323</v>
      </c>
      <c r="J119" s="1" t="s">
        <v>324</v>
      </c>
      <c r="K119" s="1" t="s">
        <v>325</v>
      </c>
      <c r="L119" s="1" t="s">
        <v>326</v>
      </c>
      <c r="M119" s="1" t="n">
        <v>7</v>
      </c>
      <c r="N119" s="1" t="n">
        <v>19.5647333333333</v>
      </c>
      <c r="O119" s="1" t="n">
        <v>18.6480833333333</v>
      </c>
    </row>
    <row r="120" customFormat="false" ht="15.75" hidden="false" customHeight="false" outlineLevel="0" collapsed="false">
      <c r="A120" s="2" t="n">
        <v>45531</v>
      </c>
      <c r="B120" s="1" t="s">
        <v>22</v>
      </c>
      <c r="C120" s="1" t="s">
        <v>16</v>
      </c>
      <c r="D120" s="1" t="n">
        <v>423</v>
      </c>
      <c r="E120" s="1" t="n">
        <v>0</v>
      </c>
      <c r="F120" s="1" t="s">
        <v>17</v>
      </c>
      <c r="G120" s="1" t="s">
        <v>24</v>
      </c>
      <c r="H120" s="1" t="s">
        <v>19</v>
      </c>
      <c r="I120" s="1" t="s">
        <v>327</v>
      </c>
      <c r="J120" s="1" t="s">
        <v>328</v>
      </c>
      <c r="K120" s="1" t="s">
        <v>329</v>
      </c>
      <c r="L120" s="1" t="s">
        <v>330</v>
      </c>
      <c r="M120" s="1" t="n">
        <v>-3</v>
      </c>
      <c r="N120" s="1" t="n">
        <v>27.6066333333333</v>
      </c>
      <c r="O120" s="1" t="n">
        <v>31.2956666666667</v>
      </c>
    </row>
    <row r="121" customFormat="false" ht="15.75" hidden="false" customHeight="false" outlineLevel="0" collapsed="false">
      <c r="A121" s="2" t="n">
        <v>45532</v>
      </c>
      <c r="F121" s="1" t="s">
        <v>5</v>
      </c>
    </row>
    <row r="122" customFormat="false" ht="15.75" hidden="false" customHeight="false" outlineLevel="0" collapsed="false">
      <c r="A122" s="2" t="n">
        <v>45534</v>
      </c>
      <c r="B122" s="1" t="s">
        <v>54</v>
      </c>
      <c r="C122" s="1" t="s">
        <v>16</v>
      </c>
      <c r="D122" s="1" t="n">
        <v>251</v>
      </c>
      <c r="E122" s="1" t="n">
        <v>100</v>
      </c>
      <c r="G122" s="1" t="s">
        <v>18</v>
      </c>
      <c r="H122" s="1" t="s">
        <v>19</v>
      </c>
      <c r="I122" s="1" t="s">
        <v>331</v>
      </c>
      <c r="J122" s="1" t="s">
        <v>332</v>
      </c>
      <c r="K122" s="1" t="s">
        <v>332</v>
      </c>
      <c r="M122" s="1" t="n">
        <v>-3</v>
      </c>
      <c r="O122" s="1" t="n">
        <v>7.25213333333333</v>
      </c>
    </row>
    <row r="123" customFormat="false" ht="15.75" hidden="false" customHeight="false" outlineLevel="0" collapsed="false">
      <c r="A123" s="2" t="n">
        <v>45534</v>
      </c>
      <c r="B123" s="1" t="s">
        <v>31</v>
      </c>
      <c r="C123" s="1" t="s">
        <v>16</v>
      </c>
      <c r="D123" s="1" t="n">
        <v>269</v>
      </c>
      <c r="E123" s="1" t="n">
        <v>0</v>
      </c>
      <c r="F123" s="1" t="s">
        <v>320</v>
      </c>
      <c r="G123" s="1" t="s">
        <v>18</v>
      </c>
      <c r="H123" s="1" t="s">
        <v>19</v>
      </c>
      <c r="I123" s="1" t="s">
        <v>333</v>
      </c>
      <c r="J123" s="1" t="s">
        <v>334</v>
      </c>
      <c r="K123" s="1" t="s">
        <v>334</v>
      </c>
      <c r="M123" s="1" t="n">
        <v>-10</v>
      </c>
      <c r="O123" s="1" t="n">
        <v>4.26765</v>
      </c>
    </row>
    <row r="124" customFormat="false" ht="15.75" hidden="false" customHeight="false" outlineLevel="0" collapsed="false">
      <c r="A124" s="2" t="n">
        <v>45534</v>
      </c>
      <c r="B124" s="1" t="s">
        <v>54</v>
      </c>
      <c r="C124" s="1" t="s">
        <v>16</v>
      </c>
      <c r="D124" s="1" t="n">
        <v>640</v>
      </c>
      <c r="E124" s="1" t="n">
        <v>0</v>
      </c>
      <c r="G124" s="1" t="s">
        <v>18</v>
      </c>
      <c r="H124" s="1" t="s">
        <v>19</v>
      </c>
      <c r="I124" s="1" t="s">
        <v>335</v>
      </c>
      <c r="J124" s="1" t="s">
        <v>336</v>
      </c>
      <c r="K124" s="1" t="s">
        <v>336</v>
      </c>
      <c r="M124" s="1" t="n">
        <v>-3</v>
      </c>
      <c r="O124" s="1" t="n">
        <v>10.9281833333333</v>
      </c>
    </row>
    <row r="125" customFormat="false" ht="15.75" hidden="false" customHeight="false" outlineLevel="0" collapsed="false">
      <c r="A125" s="2" t="n">
        <v>45534</v>
      </c>
      <c r="B125" s="1" t="s">
        <v>54</v>
      </c>
      <c r="C125" s="1" t="s">
        <v>16</v>
      </c>
      <c r="D125" s="1" t="n">
        <v>378</v>
      </c>
      <c r="E125" s="1" t="n">
        <v>0</v>
      </c>
      <c r="G125" s="1" t="s">
        <v>18</v>
      </c>
      <c r="H125" s="1" t="s">
        <v>19</v>
      </c>
      <c r="I125" s="1" t="s">
        <v>337</v>
      </c>
      <c r="J125" s="1" t="s">
        <v>338</v>
      </c>
      <c r="K125" s="1" t="s">
        <v>338</v>
      </c>
      <c r="M125" s="1" t="n">
        <v>-5</v>
      </c>
      <c r="O125" s="1" t="n">
        <v>6.09731666666667</v>
      </c>
    </row>
    <row r="126" customFormat="false" ht="15.75" hidden="false" customHeight="false" outlineLevel="0" collapsed="false">
      <c r="A126" s="2" t="n">
        <v>45534</v>
      </c>
      <c r="B126" s="1" t="s">
        <v>54</v>
      </c>
      <c r="C126" s="1" t="s">
        <v>16</v>
      </c>
      <c r="D126" s="1" t="n">
        <v>349</v>
      </c>
      <c r="E126" s="1" t="n">
        <v>0</v>
      </c>
      <c r="G126" s="1" t="s">
        <v>18</v>
      </c>
      <c r="H126" s="1" t="s">
        <v>19</v>
      </c>
      <c r="I126" s="1" t="s">
        <v>339</v>
      </c>
      <c r="J126" s="1" t="s">
        <v>340</v>
      </c>
      <c r="K126" s="1" t="s">
        <v>340</v>
      </c>
      <c r="M126" s="1" t="n">
        <v>-4</v>
      </c>
      <c r="O126" s="1" t="n">
        <v>7.45216666666667</v>
      </c>
    </row>
    <row r="127" customFormat="false" ht="15.75" hidden="false" customHeight="false" outlineLevel="0" collapsed="false">
      <c r="A127" s="2" t="n">
        <v>45534</v>
      </c>
      <c r="B127" s="1" t="s">
        <v>54</v>
      </c>
      <c r="C127" s="1" t="s">
        <v>16</v>
      </c>
      <c r="D127" s="1" t="n">
        <v>578</v>
      </c>
      <c r="E127" s="1" t="n">
        <v>0</v>
      </c>
      <c r="G127" s="1" t="s">
        <v>18</v>
      </c>
      <c r="H127" s="1" t="s">
        <v>19</v>
      </c>
      <c r="I127" s="1" t="s">
        <v>341</v>
      </c>
      <c r="J127" s="1" t="s">
        <v>342</v>
      </c>
      <c r="K127" s="1" t="s">
        <v>342</v>
      </c>
      <c r="M127" s="1" t="n">
        <v>-2</v>
      </c>
      <c r="O127" s="1" t="n">
        <v>10.9073333333333</v>
      </c>
    </row>
    <row r="128" customFormat="false" ht="15.75" hidden="false" customHeight="false" outlineLevel="0" collapsed="false">
      <c r="A128" s="2" t="n">
        <v>45534</v>
      </c>
      <c r="B128" s="1" t="s">
        <v>15</v>
      </c>
      <c r="C128" s="1" t="s">
        <v>16</v>
      </c>
      <c r="D128" s="1" t="n">
        <v>279</v>
      </c>
      <c r="E128" s="1" t="n">
        <v>0</v>
      </c>
      <c r="F128" s="1" t="s">
        <v>17</v>
      </c>
      <c r="G128" s="1" t="s">
        <v>18</v>
      </c>
      <c r="H128" s="1" t="s">
        <v>19</v>
      </c>
      <c r="I128" s="1" t="s">
        <v>343</v>
      </c>
      <c r="J128" s="1" t="s">
        <v>344</v>
      </c>
      <c r="K128" s="1" t="s">
        <v>344</v>
      </c>
      <c r="M128" s="1" t="n">
        <v>-11</v>
      </c>
      <c r="O128" s="1" t="n">
        <v>3.94471666666667</v>
      </c>
    </row>
    <row r="129" customFormat="false" ht="15.75" hidden="false" customHeight="false" outlineLevel="0" collapsed="false">
      <c r="A129" s="2" t="n">
        <v>45534</v>
      </c>
      <c r="B129" s="1" t="s">
        <v>15</v>
      </c>
      <c r="C129" s="1" t="s">
        <v>16</v>
      </c>
      <c r="D129" s="1" t="n">
        <v>458</v>
      </c>
      <c r="E129" s="1" t="n">
        <v>0</v>
      </c>
      <c r="F129" s="1" t="s">
        <v>17</v>
      </c>
      <c r="G129" s="1" t="s">
        <v>18</v>
      </c>
      <c r="H129" s="1" t="s">
        <v>19</v>
      </c>
      <c r="I129" s="1" t="s">
        <v>345</v>
      </c>
      <c r="J129" s="1" t="s">
        <v>346</v>
      </c>
      <c r="K129" s="1" t="s">
        <v>346</v>
      </c>
      <c r="M129" s="1" t="n">
        <v>-5</v>
      </c>
      <c r="O129" s="1" t="n">
        <v>9.10893333333333</v>
      </c>
    </row>
    <row r="130" customFormat="false" ht="15.75" hidden="false" customHeight="false" outlineLevel="0" collapsed="false">
      <c r="A130" s="2" t="n">
        <v>45534</v>
      </c>
      <c r="B130" s="1" t="s">
        <v>54</v>
      </c>
      <c r="C130" s="1" t="s">
        <v>16</v>
      </c>
      <c r="D130" s="1" t="n">
        <v>264</v>
      </c>
      <c r="E130" s="1" t="n">
        <v>0</v>
      </c>
      <c r="G130" s="1" t="s">
        <v>18</v>
      </c>
      <c r="H130" s="1" t="s">
        <v>19</v>
      </c>
      <c r="I130" s="1" t="s">
        <v>347</v>
      </c>
      <c r="J130" s="1" t="s">
        <v>348</v>
      </c>
      <c r="K130" s="1" t="s">
        <v>348</v>
      </c>
      <c r="M130" s="1" t="n">
        <v>-5</v>
      </c>
      <c r="O130" s="1" t="n">
        <v>5.65015</v>
      </c>
    </row>
    <row r="131" customFormat="false" ht="15.75" hidden="false" customHeight="false" outlineLevel="0" collapsed="false">
      <c r="A131" s="2" t="n">
        <v>45534</v>
      </c>
      <c r="B131" s="1" t="s">
        <v>31</v>
      </c>
      <c r="C131" s="1" t="s">
        <v>16</v>
      </c>
      <c r="D131" s="1" t="n">
        <v>329</v>
      </c>
      <c r="E131" s="1" t="n">
        <v>0</v>
      </c>
      <c r="F131" s="1" t="s">
        <v>349</v>
      </c>
      <c r="G131" s="1" t="s">
        <v>18</v>
      </c>
      <c r="H131" s="1" t="s">
        <v>19</v>
      </c>
      <c r="I131" s="1" t="s">
        <v>350</v>
      </c>
      <c r="J131" s="1" t="s">
        <v>351</v>
      </c>
      <c r="K131" s="1" t="s">
        <v>351</v>
      </c>
      <c r="M131" s="1" t="n">
        <v>-8</v>
      </c>
      <c r="O131" s="1" t="n">
        <v>6.68768333333333</v>
      </c>
    </row>
    <row r="132" customFormat="false" ht="15.75" hidden="false" customHeight="false" outlineLevel="0" collapsed="false">
      <c r="A132" s="2" t="n">
        <v>45534</v>
      </c>
      <c r="B132" s="1" t="s">
        <v>15</v>
      </c>
      <c r="C132" s="1" t="s">
        <v>16</v>
      </c>
      <c r="D132" s="1" t="n">
        <v>443</v>
      </c>
      <c r="E132" s="1" t="n">
        <v>0</v>
      </c>
      <c r="F132" s="1" t="s">
        <v>17</v>
      </c>
      <c r="G132" s="1" t="s">
        <v>18</v>
      </c>
      <c r="H132" s="1" t="s">
        <v>19</v>
      </c>
      <c r="I132" s="1" t="s">
        <v>352</v>
      </c>
      <c r="J132" s="1" t="s">
        <v>353</v>
      </c>
      <c r="K132" s="1" t="s">
        <v>353</v>
      </c>
      <c r="M132" s="1" t="n">
        <v>-10</v>
      </c>
      <c r="O132" s="1" t="n">
        <v>4.38005</v>
      </c>
    </row>
    <row r="133" customFormat="false" ht="15.75" hidden="false" customHeight="false" outlineLevel="0" collapsed="false">
      <c r="A133" s="2" t="n">
        <v>45534</v>
      </c>
      <c r="B133" s="1" t="s">
        <v>31</v>
      </c>
      <c r="C133" s="1" t="s">
        <v>16</v>
      </c>
      <c r="D133" s="1" t="n">
        <v>658</v>
      </c>
      <c r="E133" s="1" t="n">
        <v>0</v>
      </c>
      <c r="F133" s="1" t="s">
        <v>320</v>
      </c>
      <c r="G133" s="1" t="s">
        <v>18</v>
      </c>
      <c r="H133" s="1" t="s">
        <v>19</v>
      </c>
      <c r="I133" s="1" t="s">
        <v>354</v>
      </c>
      <c r="J133" s="1" t="s">
        <v>355</v>
      </c>
      <c r="K133" s="1" t="s">
        <v>355</v>
      </c>
      <c r="M133" s="1" t="n">
        <v>-14</v>
      </c>
      <c r="O133" s="1" t="n">
        <v>5.82216666666667</v>
      </c>
    </row>
    <row r="134" customFormat="false" ht="15.75" hidden="false" customHeight="false" outlineLevel="0" collapsed="false">
      <c r="A134" s="2" t="n">
        <v>45534</v>
      </c>
      <c r="B134" s="1" t="s">
        <v>54</v>
      </c>
      <c r="C134" s="1" t="s">
        <v>16</v>
      </c>
      <c r="D134" s="1" t="n">
        <v>329</v>
      </c>
      <c r="E134" s="1" t="n">
        <v>0</v>
      </c>
      <c r="G134" s="1" t="s">
        <v>18</v>
      </c>
      <c r="H134" s="1" t="s">
        <v>19</v>
      </c>
      <c r="I134" s="1" t="s">
        <v>356</v>
      </c>
      <c r="J134" s="1" t="s">
        <v>357</v>
      </c>
      <c r="K134" s="1" t="s">
        <v>357</v>
      </c>
      <c r="M134" s="1" t="n">
        <v>-8</v>
      </c>
      <c r="O134" s="1" t="n">
        <v>3.62793333333333</v>
      </c>
    </row>
    <row r="135" customFormat="false" ht="15.75" hidden="false" customHeight="false" outlineLevel="0" collapsed="false">
      <c r="A135" s="2" t="n">
        <v>45534</v>
      </c>
      <c r="B135" s="1" t="s">
        <v>54</v>
      </c>
      <c r="C135" s="1" t="s">
        <v>16</v>
      </c>
      <c r="D135" s="1" t="n">
        <v>214</v>
      </c>
      <c r="E135" s="1" t="n">
        <v>50</v>
      </c>
      <c r="G135" s="1" t="s">
        <v>18</v>
      </c>
      <c r="H135" s="1" t="s">
        <v>19</v>
      </c>
      <c r="I135" s="1" t="s">
        <v>358</v>
      </c>
      <c r="J135" s="1" t="s">
        <v>359</v>
      </c>
      <c r="K135" s="1" t="s">
        <v>359</v>
      </c>
      <c r="M135" s="1" t="n">
        <v>-8</v>
      </c>
      <c r="O135" s="1" t="n">
        <v>2.40276666666667</v>
      </c>
    </row>
    <row r="136" customFormat="false" ht="15.75" hidden="false" customHeight="false" outlineLevel="0" collapsed="false">
      <c r="A136" s="2" t="n">
        <v>45534</v>
      </c>
      <c r="B136" s="1" t="s">
        <v>15</v>
      </c>
      <c r="C136" s="1" t="s">
        <v>16</v>
      </c>
      <c r="D136" s="1" t="n">
        <v>264</v>
      </c>
      <c r="E136" s="1" t="n">
        <v>0</v>
      </c>
      <c r="F136" s="1" t="s">
        <v>17</v>
      </c>
      <c r="G136" s="1" t="s">
        <v>18</v>
      </c>
      <c r="H136" s="1" t="s">
        <v>19</v>
      </c>
      <c r="I136" s="1" t="s">
        <v>360</v>
      </c>
      <c r="J136" s="1" t="s">
        <v>361</v>
      </c>
      <c r="K136" s="1" t="s">
        <v>361</v>
      </c>
      <c r="M136" s="1" t="n">
        <v>-10</v>
      </c>
      <c r="O136" s="1" t="n">
        <v>4.37051666666667</v>
      </c>
    </row>
    <row r="137" customFormat="false" ht="15.75" hidden="false" customHeight="false" outlineLevel="0" collapsed="false">
      <c r="A137" s="2" t="n">
        <v>45534</v>
      </c>
      <c r="B137" s="1" t="s">
        <v>31</v>
      </c>
      <c r="C137" s="1" t="s">
        <v>16</v>
      </c>
      <c r="D137" s="1" t="n">
        <v>329</v>
      </c>
      <c r="E137" s="1" t="n">
        <v>0</v>
      </c>
      <c r="F137" s="1" t="s">
        <v>320</v>
      </c>
      <c r="G137" s="1" t="s">
        <v>18</v>
      </c>
      <c r="H137" s="1" t="s">
        <v>19</v>
      </c>
      <c r="I137" s="1" t="s">
        <v>362</v>
      </c>
      <c r="J137" s="1" t="s">
        <v>363</v>
      </c>
      <c r="K137" s="1" t="s">
        <v>363</v>
      </c>
      <c r="M137" s="1" t="n">
        <v>-8</v>
      </c>
      <c r="O137" s="1" t="n">
        <v>6.53846666666667</v>
      </c>
    </row>
    <row r="138" customFormat="false" ht="15.75" hidden="false" customHeight="false" outlineLevel="0" collapsed="false">
      <c r="A138" s="2" t="n">
        <v>45534</v>
      </c>
      <c r="B138" s="1" t="s">
        <v>31</v>
      </c>
      <c r="C138" s="1" t="s">
        <v>16</v>
      </c>
      <c r="D138" s="1" t="n">
        <v>329</v>
      </c>
      <c r="E138" s="1" t="n">
        <v>0</v>
      </c>
      <c r="F138" s="1" t="s">
        <v>364</v>
      </c>
      <c r="G138" s="1" t="s">
        <v>18</v>
      </c>
      <c r="H138" s="1" t="s">
        <v>19</v>
      </c>
      <c r="I138" s="1" t="s">
        <v>365</v>
      </c>
      <c r="J138" s="1" t="s">
        <v>366</v>
      </c>
      <c r="K138" s="1" t="s">
        <v>366</v>
      </c>
      <c r="M138" s="1" t="n">
        <v>-10</v>
      </c>
      <c r="O138" s="1" t="n">
        <v>4.7403</v>
      </c>
    </row>
    <row r="139" customFormat="false" ht="15.75" hidden="false" customHeight="false" outlineLevel="0" collapsed="false">
      <c r="A139" s="2" t="n">
        <v>45534</v>
      </c>
      <c r="B139" s="1" t="s">
        <v>15</v>
      </c>
      <c r="C139" s="1" t="s">
        <v>16</v>
      </c>
      <c r="D139" s="1" t="n">
        <v>264</v>
      </c>
      <c r="E139" s="1" t="n">
        <v>0</v>
      </c>
      <c r="F139" s="1" t="s">
        <v>17</v>
      </c>
      <c r="G139" s="1" t="s">
        <v>18</v>
      </c>
      <c r="H139" s="1" t="s">
        <v>19</v>
      </c>
      <c r="I139" s="1" t="s">
        <v>367</v>
      </c>
      <c r="J139" s="1" t="s">
        <v>368</v>
      </c>
      <c r="K139" s="1" t="s">
        <v>368</v>
      </c>
      <c r="M139" s="1" t="n">
        <v>-11</v>
      </c>
      <c r="O139" s="1" t="n">
        <v>3.20911666666667</v>
      </c>
    </row>
    <row r="140" customFormat="false" ht="15.75" hidden="false" customHeight="false" outlineLevel="0" collapsed="false">
      <c r="A140" s="2" t="n">
        <v>45534</v>
      </c>
      <c r="B140" s="1" t="s">
        <v>31</v>
      </c>
      <c r="C140" s="1" t="s">
        <v>16</v>
      </c>
      <c r="D140" s="1" t="n">
        <v>329</v>
      </c>
      <c r="E140" s="1" t="n">
        <v>0</v>
      </c>
      <c r="F140" s="1" t="s">
        <v>369</v>
      </c>
      <c r="G140" s="1" t="s">
        <v>18</v>
      </c>
      <c r="H140" s="1" t="s">
        <v>19</v>
      </c>
      <c r="I140" s="1" t="s">
        <v>370</v>
      </c>
      <c r="J140" s="1" t="s">
        <v>371</v>
      </c>
      <c r="K140" s="1" t="s">
        <v>371</v>
      </c>
      <c r="M140" s="1" t="n">
        <v>-1</v>
      </c>
      <c r="O140" s="1" t="n">
        <v>13.27065</v>
      </c>
    </row>
    <row r="141" customFormat="false" ht="15.75" hidden="false" customHeight="false" outlineLevel="0" collapsed="false">
      <c r="A141" s="2" t="n">
        <v>45534</v>
      </c>
      <c r="B141" s="1" t="s">
        <v>54</v>
      </c>
      <c r="C141" s="1" t="s">
        <v>16</v>
      </c>
      <c r="D141" s="1" t="n">
        <v>558</v>
      </c>
      <c r="E141" s="1" t="n">
        <v>0</v>
      </c>
      <c r="G141" s="1" t="s">
        <v>18</v>
      </c>
      <c r="H141" s="1" t="s">
        <v>19</v>
      </c>
      <c r="I141" s="1" t="s">
        <v>372</v>
      </c>
      <c r="J141" s="1" t="s">
        <v>373</v>
      </c>
      <c r="K141" s="1" t="s">
        <v>373</v>
      </c>
      <c r="M141" s="1" t="n">
        <v>-1</v>
      </c>
      <c r="O141" s="1" t="n">
        <v>11.8880333333333</v>
      </c>
    </row>
    <row r="142" customFormat="false" ht="15.75" hidden="false" customHeight="false" outlineLevel="0" collapsed="false">
      <c r="A142" s="2" t="n">
        <v>45534</v>
      </c>
      <c r="B142" s="1" t="s">
        <v>96</v>
      </c>
      <c r="C142" s="1" t="s">
        <v>16</v>
      </c>
      <c r="D142" s="1" t="n">
        <v>238</v>
      </c>
      <c r="E142" s="1" t="n">
        <v>0</v>
      </c>
      <c r="G142" s="1" t="s">
        <v>76</v>
      </c>
      <c r="H142" s="1" t="s">
        <v>43</v>
      </c>
      <c r="I142" s="1" t="s">
        <v>374</v>
      </c>
      <c r="J142" s="1" t="s">
        <v>375</v>
      </c>
      <c r="K142" s="1" t="s">
        <v>375</v>
      </c>
      <c r="M142" s="1" t="n">
        <v>-4</v>
      </c>
      <c r="O142" s="1" t="n">
        <v>0.202933333333333</v>
      </c>
    </row>
    <row r="143" customFormat="false" ht="15.75" hidden="false" customHeight="false" outlineLevel="0" collapsed="false">
      <c r="A143" s="2" t="n">
        <v>45534</v>
      </c>
      <c r="B143" s="1" t="s">
        <v>15</v>
      </c>
      <c r="C143" s="1" t="s">
        <v>16</v>
      </c>
      <c r="D143" s="1" t="n">
        <v>264</v>
      </c>
      <c r="E143" s="1" t="n">
        <v>0</v>
      </c>
      <c r="F143" s="1" t="s">
        <v>17</v>
      </c>
      <c r="G143" s="1" t="s">
        <v>18</v>
      </c>
      <c r="H143" s="1" t="s">
        <v>19</v>
      </c>
      <c r="I143" s="1" t="s">
        <v>376</v>
      </c>
      <c r="J143" s="1" t="s">
        <v>377</v>
      </c>
      <c r="K143" s="1" t="s">
        <v>377</v>
      </c>
      <c r="M143" s="1" t="n">
        <v>-12</v>
      </c>
      <c r="O143" s="1" t="n">
        <v>2.20431666666667</v>
      </c>
    </row>
    <row r="144" customFormat="false" ht="15.75" hidden="false" customHeight="false" outlineLevel="0" collapsed="false">
      <c r="A144" s="2" t="n">
        <v>45534</v>
      </c>
      <c r="B144" s="1" t="s">
        <v>54</v>
      </c>
      <c r="C144" s="1" t="s">
        <v>16</v>
      </c>
      <c r="D144" s="1" t="n">
        <v>329</v>
      </c>
      <c r="E144" s="1" t="n">
        <v>0</v>
      </c>
      <c r="G144" s="1" t="s">
        <v>18</v>
      </c>
      <c r="H144" s="1" t="s">
        <v>19</v>
      </c>
      <c r="I144" s="1" t="s">
        <v>378</v>
      </c>
      <c r="J144" s="1" t="s">
        <v>379</v>
      </c>
      <c r="K144" s="1" t="s">
        <v>379</v>
      </c>
      <c r="M144" s="1" t="n">
        <v>-3</v>
      </c>
      <c r="O144" s="1" t="n">
        <v>8.15265</v>
      </c>
    </row>
    <row r="145" customFormat="false" ht="15.75" hidden="false" customHeight="false" outlineLevel="0" collapsed="false">
      <c r="A145" s="2" t="n">
        <v>45534</v>
      </c>
      <c r="B145" s="1" t="s">
        <v>54</v>
      </c>
      <c r="C145" s="1" t="s">
        <v>16</v>
      </c>
      <c r="D145" s="1" t="n">
        <v>528</v>
      </c>
      <c r="E145" s="1" t="n">
        <v>0</v>
      </c>
      <c r="G145" s="1" t="s">
        <v>18</v>
      </c>
      <c r="H145" s="1" t="s">
        <v>19</v>
      </c>
      <c r="I145" s="1" t="s">
        <v>380</v>
      </c>
      <c r="J145" s="1" t="s">
        <v>381</v>
      </c>
      <c r="K145" s="1" t="s">
        <v>381</v>
      </c>
      <c r="M145" s="1" t="n">
        <v>-5</v>
      </c>
      <c r="O145" s="1" t="n">
        <v>7.32076666666667</v>
      </c>
    </row>
    <row r="146" customFormat="false" ht="15.75" hidden="false" customHeight="false" outlineLevel="0" collapsed="false">
      <c r="A146" s="2" t="n">
        <v>45534</v>
      </c>
      <c r="B146" s="1" t="s">
        <v>54</v>
      </c>
      <c r="C146" s="1" t="s">
        <v>16</v>
      </c>
      <c r="D146" s="1" t="n">
        <v>378</v>
      </c>
      <c r="E146" s="1" t="n">
        <v>150</v>
      </c>
      <c r="G146" s="1" t="s">
        <v>18</v>
      </c>
      <c r="H146" s="1" t="s">
        <v>19</v>
      </c>
      <c r="I146" s="1" t="s">
        <v>382</v>
      </c>
      <c r="J146" s="1" t="s">
        <v>383</v>
      </c>
      <c r="K146" s="1" t="s">
        <v>383</v>
      </c>
      <c r="M146" s="1" t="n">
        <v>-7</v>
      </c>
      <c r="O146" s="1" t="n">
        <v>5.5</v>
      </c>
    </row>
    <row r="147" customFormat="false" ht="15.75" hidden="false" customHeight="false" outlineLevel="0" collapsed="false">
      <c r="A147" s="2" t="n">
        <v>45534</v>
      </c>
      <c r="B147" s="1" t="s">
        <v>22</v>
      </c>
      <c r="C147" s="1" t="s">
        <v>16</v>
      </c>
      <c r="D147" s="1" t="n">
        <v>430</v>
      </c>
      <c r="E147" s="1" t="n">
        <v>0</v>
      </c>
      <c r="F147" s="1" t="s">
        <v>17</v>
      </c>
      <c r="G147" s="1" t="s">
        <v>24</v>
      </c>
      <c r="H147" s="1" t="s">
        <v>43</v>
      </c>
      <c r="I147" s="1" t="s">
        <v>384</v>
      </c>
      <c r="J147" s="1" t="s">
        <v>385</v>
      </c>
      <c r="K147" s="1" t="s">
        <v>386</v>
      </c>
      <c r="L147" s="1" t="s">
        <v>387</v>
      </c>
      <c r="M147" s="1" t="n">
        <v>-19</v>
      </c>
      <c r="N147" s="1" t="n">
        <v>3.06513333333333</v>
      </c>
      <c r="O147" s="1" t="n">
        <v>5.67935</v>
      </c>
    </row>
    <row r="148" customFormat="false" ht="15.75" hidden="false" customHeight="false" outlineLevel="0" collapsed="false">
      <c r="A148" s="2" t="n">
        <v>45534</v>
      </c>
      <c r="B148" s="1" t="s">
        <v>54</v>
      </c>
      <c r="C148" s="1" t="s">
        <v>16</v>
      </c>
      <c r="D148" s="1" t="n">
        <v>336</v>
      </c>
      <c r="E148" s="1" t="n">
        <v>0</v>
      </c>
      <c r="G148" s="1" t="s">
        <v>18</v>
      </c>
      <c r="H148" s="1" t="s">
        <v>19</v>
      </c>
      <c r="I148" s="1" t="s">
        <v>388</v>
      </c>
      <c r="J148" s="1" t="s">
        <v>389</v>
      </c>
      <c r="K148" s="1" t="s">
        <v>389</v>
      </c>
      <c r="M148" s="1" t="n">
        <v>-5</v>
      </c>
      <c r="O148" s="1" t="n">
        <v>6.67358333333333</v>
      </c>
    </row>
    <row r="149" customFormat="false" ht="15.75" hidden="false" customHeight="false" outlineLevel="0" collapsed="false">
      <c r="A149" s="2" t="n">
        <v>45534</v>
      </c>
      <c r="B149" s="1" t="s">
        <v>54</v>
      </c>
      <c r="C149" s="1" t="s">
        <v>16</v>
      </c>
      <c r="D149" s="1" t="n">
        <v>517</v>
      </c>
      <c r="E149" s="1" t="n">
        <v>150</v>
      </c>
      <c r="G149" s="1" t="s">
        <v>18</v>
      </c>
      <c r="H149" s="1" t="s">
        <v>19</v>
      </c>
      <c r="I149" s="1" t="s">
        <v>390</v>
      </c>
      <c r="J149" s="1" t="s">
        <v>391</v>
      </c>
      <c r="K149" s="1" t="s">
        <v>391</v>
      </c>
      <c r="M149" s="1" t="n">
        <v>-1</v>
      </c>
      <c r="O149" s="1" t="n">
        <v>12.6534666666667</v>
      </c>
    </row>
    <row r="150" customFormat="false" ht="15.75" hidden="false" customHeight="false" outlineLevel="0" collapsed="false">
      <c r="A150" s="2" t="n">
        <v>45534</v>
      </c>
      <c r="B150" s="1" t="s">
        <v>22</v>
      </c>
      <c r="C150" s="1" t="s">
        <v>16</v>
      </c>
      <c r="D150" s="1" t="n">
        <v>398</v>
      </c>
      <c r="E150" s="1" t="n">
        <v>100</v>
      </c>
      <c r="G150" s="1" t="s">
        <v>76</v>
      </c>
      <c r="H150" s="1" t="s">
        <v>43</v>
      </c>
      <c r="I150" s="1" t="s">
        <v>392</v>
      </c>
      <c r="J150" s="1" t="s">
        <v>393</v>
      </c>
      <c r="K150" s="1" t="s">
        <v>393</v>
      </c>
      <c r="M150" s="1" t="n">
        <v>-18</v>
      </c>
      <c r="O150" s="1" t="n">
        <v>1.36536666666667</v>
      </c>
    </row>
    <row r="151" customFormat="false" ht="15.75" hidden="false" customHeight="false" outlineLevel="0" collapsed="false">
      <c r="A151" s="2" t="n">
        <v>45534</v>
      </c>
      <c r="B151" s="1" t="s">
        <v>15</v>
      </c>
      <c r="C151" s="1" t="s">
        <v>16</v>
      </c>
      <c r="D151" s="1" t="n">
        <v>264</v>
      </c>
      <c r="E151" s="1" t="n">
        <v>0</v>
      </c>
      <c r="F151" s="1" t="s">
        <v>17</v>
      </c>
      <c r="G151" s="1" t="s">
        <v>18</v>
      </c>
      <c r="H151" s="1" t="s">
        <v>19</v>
      </c>
      <c r="I151" s="1" t="s">
        <v>394</v>
      </c>
      <c r="J151" s="1" t="s">
        <v>395</v>
      </c>
      <c r="K151" s="1" t="s">
        <v>395</v>
      </c>
      <c r="M151" s="1" t="n">
        <v>-11</v>
      </c>
      <c r="O151" s="1" t="n">
        <v>3.12903333333333</v>
      </c>
    </row>
    <row r="152" customFormat="false" ht="15.75" hidden="false" customHeight="false" outlineLevel="0" collapsed="false">
      <c r="A152" s="2" t="n">
        <v>45534</v>
      </c>
      <c r="B152" s="1" t="s">
        <v>54</v>
      </c>
      <c r="C152" s="1" t="s">
        <v>16</v>
      </c>
      <c r="D152" s="1" t="n">
        <v>329</v>
      </c>
      <c r="E152" s="1" t="n">
        <v>0</v>
      </c>
      <c r="G152" s="1" t="s">
        <v>18</v>
      </c>
      <c r="H152" s="1" t="s">
        <v>19</v>
      </c>
      <c r="I152" s="1" t="s">
        <v>396</v>
      </c>
      <c r="J152" s="1" t="s">
        <v>397</v>
      </c>
      <c r="K152" s="1" t="s">
        <v>397</v>
      </c>
      <c r="M152" s="1" t="n">
        <v>-5</v>
      </c>
      <c r="O152" s="1" t="n">
        <v>6.44636666666667</v>
      </c>
    </row>
    <row r="153" customFormat="false" ht="15.75" hidden="false" customHeight="false" outlineLevel="0" collapsed="false">
      <c r="A153" s="2" t="n">
        <v>45534</v>
      </c>
      <c r="B153" s="1" t="s">
        <v>96</v>
      </c>
      <c r="C153" s="1" t="s">
        <v>16</v>
      </c>
      <c r="D153" s="1" t="n">
        <v>309</v>
      </c>
      <c r="E153" s="1" t="n">
        <v>0</v>
      </c>
      <c r="G153" s="1" t="s">
        <v>76</v>
      </c>
      <c r="H153" s="1" t="s">
        <v>43</v>
      </c>
      <c r="I153" s="1" t="s">
        <v>398</v>
      </c>
      <c r="J153" s="1" t="s">
        <v>399</v>
      </c>
      <c r="K153" s="1" t="s">
        <v>399</v>
      </c>
      <c r="M153" s="1" t="n">
        <v>-4</v>
      </c>
      <c r="O153" s="1" t="n">
        <v>0.4159</v>
      </c>
    </row>
    <row r="154" customFormat="false" ht="15.75" hidden="false" customHeight="false" outlineLevel="0" collapsed="false">
      <c r="A154" s="2" t="n">
        <v>45534</v>
      </c>
      <c r="B154" s="1" t="s">
        <v>15</v>
      </c>
      <c r="C154" s="1" t="s">
        <v>16</v>
      </c>
      <c r="D154" s="1" t="n">
        <v>264</v>
      </c>
      <c r="E154" s="1" t="n">
        <v>0</v>
      </c>
      <c r="F154" s="1" t="s">
        <v>17</v>
      </c>
      <c r="G154" s="1" t="s">
        <v>18</v>
      </c>
      <c r="H154" s="1" t="s">
        <v>19</v>
      </c>
      <c r="I154" s="1" t="s">
        <v>400</v>
      </c>
      <c r="J154" s="1" t="s">
        <v>401</v>
      </c>
      <c r="K154" s="1" t="s">
        <v>401</v>
      </c>
      <c r="M154" s="1" t="n">
        <v>-11</v>
      </c>
      <c r="O154" s="1" t="n">
        <v>3.86131666666667</v>
      </c>
    </row>
    <row r="155" customFormat="false" ht="15.75" hidden="false" customHeight="false" outlineLevel="0" collapsed="false">
      <c r="A155" s="2" t="n">
        <v>45534</v>
      </c>
      <c r="B155" s="1" t="s">
        <v>54</v>
      </c>
      <c r="C155" s="1" t="s">
        <v>16</v>
      </c>
      <c r="D155" s="1" t="n">
        <v>214</v>
      </c>
      <c r="E155" s="1" t="n">
        <v>50</v>
      </c>
      <c r="G155" s="1" t="s">
        <v>18</v>
      </c>
      <c r="H155" s="1" t="s">
        <v>19</v>
      </c>
      <c r="I155" s="1" t="s">
        <v>402</v>
      </c>
      <c r="J155" s="1" t="s">
        <v>403</v>
      </c>
      <c r="K155" s="1" t="s">
        <v>403</v>
      </c>
      <c r="M155" s="1" t="n">
        <v>-1</v>
      </c>
      <c r="O155" s="1" t="n">
        <v>9.22826666666667</v>
      </c>
    </row>
    <row r="156" customFormat="false" ht="15.75" hidden="false" customHeight="false" outlineLevel="0" collapsed="false">
      <c r="A156" s="2" t="n">
        <v>45534</v>
      </c>
      <c r="B156" s="1" t="s">
        <v>31</v>
      </c>
      <c r="C156" s="1" t="s">
        <v>16</v>
      </c>
      <c r="D156" s="1" t="n">
        <v>321</v>
      </c>
      <c r="E156" s="1" t="n">
        <v>0</v>
      </c>
      <c r="F156" s="1" t="s">
        <v>404</v>
      </c>
      <c r="G156" s="1" t="s">
        <v>18</v>
      </c>
      <c r="H156" s="1" t="s">
        <v>19</v>
      </c>
      <c r="I156" s="1" t="s">
        <v>405</v>
      </c>
      <c r="J156" s="1" t="s">
        <v>406</v>
      </c>
      <c r="K156" s="1" t="s">
        <v>406</v>
      </c>
      <c r="M156" s="1" t="n">
        <v>-8</v>
      </c>
      <c r="O156" s="1" t="n">
        <v>6.41646666666667</v>
      </c>
    </row>
    <row r="157" customFormat="false" ht="15.75" hidden="false" customHeight="false" outlineLevel="0" collapsed="false">
      <c r="A157" s="2" t="n">
        <v>45534</v>
      </c>
      <c r="B157" s="1" t="s">
        <v>54</v>
      </c>
      <c r="C157" s="1" t="s">
        <v>16</v>
      </c>
      <c r="D157" s="1" t="n">
        <v>528</v>
      </c>
      <c r="E157" s="1" t="n">
        <v>0</v>
      </c>
      <c r="G157" s="1" t="s">
        <v>18</v>
      </c>
      <c r="H157" s="1" t="s">
        <v>19</v>
      </c>
      <c r="I157" s="1" t="s">
        <v>407</v>
      </c>
      <c r="J157" s="1" t="s">
        <v>408</v>
      </c>
      <c r="K157" s="1" t="s">
        <v>408</v>
      </c>
      <c r="M157" s="1" t="n">
        <v>-5</v>
      </c>
      <c r="O157" s="1" t="n">
        <v>7.8194</v>
      </c>
    </row>
    <row r="158" customFormat="false" ht="15.75" hidden="false" customHeight="false" outlineLevel="0" collapsed="false">
      <c r="A158" s="2" t="n">
        <v>45534</v>
      </c>
      <c r="B158" s="1" t="s">
        <v>54</v>
      </c>
      <c r="C158" s="1" t="s">
        <v>16</v>
      </c>
      <c r="D158" s="1" t="n">
        <v>468</v>
      </c>
      <c r="E158" s="1" t="n">
        <v>150</v>
      </c>
      <c r="G158" s="1" t="s">
        <v>18</v>
      </c>
      <c r="H158" s="1" t="s">
        <v>19</v>
      </c>
      <c r="I158" s="1" t="s">
        <v>409</v>
      </c>
      <c r="J158" s="1" t="s">
        <v>410</v>
      </c>
      <c r="K158" s="1" t="s">
        <v>410</v>
      </c>
      <c r="M158" s="1" t="n">
        <v>-2</v>
      </c>
      <c r="O158" s="1" t="n">
        <v>10.0033166666667</v>
      </c>
    </row>
    <row r="159" customFormat="false" ht="15.75" hidden="false" customHeight="false" outlineLevel="0" collapsed="false">
      <c r="A159" s="2" t="n">
        <v>45534</v>
      </c>
      <c r="B159" s="1" t="s">
        <v>31</v>
      </c>
      <c r="C159" s="1" t="s">
        <v>16</v>
      </c>
      <c r="D159" s="1" t="n">
        <v>394</v>
      </c>
      <c r="E159" s="1" t="n">
        <v>0</v>
      </c>
      <c r="F159" s="1" t="s">
        <v>411</v>
      </c>
      <c r="G159" s="1" t="s">
        <v>18</v>
      </c>
      <c r="H159" s="1" t="s">
        <v>19</v>
      </c>
      <c r="I159" s="1" t="s">
        <v>412</v>
      </c>
      <c r="J159" s="1" t="s">
        <v>413</v>
      </c>
      <c r="K159" s="1" t="s">
        <v>413</v>
      </c>
      <c r="M159" s="1" t="n">
        <v>-7</v>
      </c>
      <c r="O159" s="1" t="n">
        <v>7.86603333333333</v>
      </c>
    </row>
    <row r="160" customFormat="false" ht="15.75" hidden="false" customHeight="false" outlineLevel="0" collapsed="false">
      <c r="A160" s="2" t="n">
        <v>45534</v>
      </c>
      <c r="B160" s="1" t="s">
        <v>22</v>
      </c>
      <c r="C160" s="1" t="s">
        <v>16</v>
      </c>
      <c r="D160" s="1" t="n">
        <v>710</v>
      </c>
      <c r="E160" s="1" t="n">
        <v>0</v>
      </c>
      <c r="F160" s="1" t="s">
        <v>17</v>
      </c>
      <c r="G160" s="1" t="s">
        <v>24</v>
      </c>
      <c r="H160" s="1" t="s">
        <v>43</v>
      </c>
      <c r="I160" s="1" t="s">
        <v>414</v>
      </c>
      <c r="J160" s="1" t="s">
        <v>415</v>
      </c>
      <c r="K160" s="1" t="s">
        <v>416</v>
      </c>
      <c r="L160" s="1" t="s">
        <v>417</v>
      </c>
      <c r="M160" s="1" t="n">
        <v>-23</v>
      </c>
      <c r="N160" s="1" t="n">
        <v>0.407283333333333</v>
      </c>
      <c r="O160" s="1" t="n">
        <v>7.6645</v>
      </c>
    </row>
    <row r="161" customFormat="false" ht="15.75" hidden="false" customHeight="false" outlineLevel="0" collapsed="false">
      <c r="A161" s="2" t="n">
        <v>45534</v>
      </c>
      <c r="B161" s="1" t="s">
        <v>54</v>
      </c>
      <c r="C161" s="1" t="s">
        <v>16</v>
      </c>
      <c r="D161" s="1" t="n">
        <v>443</v>
      </c>
      <c r="E161" s="1" t="n">
        <v>0</v>
      </c>
      <c r="G161" s="1" t="s">
        <v>18</v>
      </c>
      <c r="H161" s="1" t="s">
        <v>19</v>
      </c>
      <c r="I161" s="1" t="s">
        <v>418</v>
      </c>
      <c r="J161" s="1" t="s">
        <v>419</v>
      </c>
      <c r="K161" s="1" t="s">
        <v>419</v>
      </c>
      <c r="M161" s="1" t="n">
        <v>-3</v>
      </c>
      <c r="O161" s="1" t="n">
        <v>8.3361</v>
      </c>
    </row>
    <row r="162" customFormat="false" ht="15.75" hidden="false" customHeight="false" outlineLevel="0" collapsed="false">
      <c r="A162" s="2" t="n">
        <v>45534</v>
      </c>
      <c r="B162" s="1" t="s">
        <v>96</v>
      </c>
      <c r="C162" s="1" t="s">
        <v>16</v>
      </c>
      <c r="D162" s="1" t="n">
        <v>119</v>
      </c>
      <c r="E162" s="1" t="n">
        <v>0</v>
      </c>
      <c r="G162" s="1" t="s">
        <v>76</v>
      </c>
      <c r="H162" s="1" t="s">
        <v>43</v>
      </c>
      <c r="I162" s="1" t="s">
        <v>420</v>
      </c>
      <c r="J162" s="1" t="s">
        <v>421</v>
      </c>
      <c r="K162" s="1" t="s">
        <v>421</v>
      </c>
      <c r="M162" s="1" t="n">
        <v>-2</v>
      </c>
      <c r="O162" s="1" t="n">
        <v>2.01056666666667</v>
      </c>
    </row>
    <row r="163" customFormat="false" ht="15.75" hidden="false" customHeight="false" outlineLevel="0" collapsed="false">
      <c r="A163" s="2" t="n">
        <v>45534</v>
      </c>
      <c r="B163" s="1" t="s">
        <v>54</v>
      </c>
      <c r="C163" s="1" t="s">
        <v>16</v>
      </c>
      <c r="D163" s="1" t="n">
        <v>329</v>
      </c>
      <c r="E163" s="1" t="n">
        <v>0</v>
      </c>
      <c r="G163" s="1" t="s">
        <v>18</v>
      </c>
      <c r="H163" s="1" t="s">
        <v>19</v>
      </c>
      <c r="I163" s="1" t="s">
        <v>422</v>
      </c>
      <c r="J163" s="1" t="s">
        <v>423</v>
      </c>
      <c r="K163" s="1" t="s">
        <v>423</v>
      </c>
      <c r="M163" s="1" t="n">
        <v>-3</v>
      </c>
      <c r="O163" s="1" t="n">
        <v>7.43538333333333</v>
      </c>
    </row>
    <row r="164" customFormat="false" ht="15.75" hidden="false" customHeight="false" outlineLevel="0" collapsed="false">
      <c r="A164" s="2" t="n">
        <v>45534</v>
      </c>
      <c r="B164" s="1" t="s">
        <v>22</v>
      </c>
      <c r="C164" s="1" t="s">
        <v>16</v>
      </c>
      <c r="D164" s="1" t="n">
        <v>503</v>
      </c>
      <c r="E164" s="1" t="n">
        <v>0</v>
      </c>
      <c r="F164" s="1" t="s">
        <v>17</v>
      </c>
      <c r="G164" s="1" t="s">
        <v>24</v>
      </c>
      <c r="H164" s="1" t="s">
        <v>19</v>
      </c>
      <c r="I164" s="1" t="s">
        <v>424</v>
      </c>
      <c r="J164" s="1" t="s">
        <v>425</v>
      </c>
      <c r="K164" s="1" t="s">
        <v>426</v>
      </c>
      <c r="L164" s="1" t="s">
        <v>427</v>
      </c>
      <c r="M164" s="1" t="n">
        <v>-19</v>
      </c>
      <c r="N164" s="1" t="n">
        <v>9.11081666666667</v>
      </c>
      <c r="O164" s="1" t="n">
        <v>14.4452666666667</v>
      </c>
    </row>
    <row r="165" customFormat="false" ht="15.75" hidden="false" customHeight="false" outlineLevel="0" collapsed="false">
      <c r="A165" s="2" t="n">
        <v>45534</v>
      </c>
      <c r="B165" s="1" t="s">
        <v>96</v>
      </c>
      <c r="C165" s="1" t="s">
        <v>16</v>
      </c>
      <c r="D165" s="1" t="n">
        <v>39</v>
      </c>
      <c r="E165" s="1" t="n">
        <v>0</v>
      </c>
      <c r="G165" s="1" t="s">
        <v>76</v>
      </c>
      <c r="H165" s="1" t="s">
        <v>43</v>
      </c>
      <c r="I165" s="1" t="s">
        <v>428</v>
      </c>
      <c r="J165" s="1" t="s">
        <v>429</v>
      </c>
      <c r="K165" s="1" t="s">
        <v>429</v>
      </c>
      <c r="M165" s="1" t="n">
        <v>-4</v>
      </c>
      <c r="O165" s="1" t="n">
        <v>0.0847166666666667</v>
      </c>
    </row>
    <row r="166" customFormat="false" ht="15.75" hidden="false" customHeight="false" outlineLevel="0" collapsed="false">
      <c r="A166" s="2" t="n">
        <v>45534</v>
      </c>
      <c r="B166" s="1" t="s">
        <v>96</v>
      </c>
      <c r="C166" s="1" t="s">
        <v>16</v>
      </c>
      <c r="D166" s="1" t="n">
        <v>249</v>
      </c>
      <c r="E166" s="1" t="n">
        <v>0</v>
      </c>
      <c r="G166" s="1" t="s">
        <v>76</v>
      </c>
      <c r="H166" s="1" t="s">
        <v>43</v>
      </c>
      <c r="I166" s="1" t="s">
        <v>430</v>
      </c>
      <c r="J166" s="1" t="s">
        <v>431</v>
      </c>
      <c r="K166" s="1" t="s">
        <v>431</v>
      </c>
      <c r="M166" s="1" t="n">
        <v>0</v>
      </c>
      <c r="O166" s="1" t="n">
        <v>4.23098333333333</v>
      </c>
    </row>
    <row r="167" customFormat="false" ht="15.75" hidden="false" customHeight="false" outlineLevel="0" collapsed="false">
      <c r="A167" s="2" t="n">
        <v>45534</v>
      </c>
      <c r="B167" s="1" t="s">
        <v>15</v>
      </c>
      <c r="C167" s="1" t="s">
        <v>16</v>
      </c>
      <c r="D167" s="1" t="n">
        <v>264</v>
      </c>
      <c r="E167" s="1" t="n">
        <v>0</v>
      </c>
      <c r="F167" s="1" t="s">
        <v>17</v>
      </c>
      <c r="G167" s="1" t="s">
        <v>18</v>
      </c>
      <c r="H167" s="1" t="s">
        <v>19</v>
      </c>
      <c r="I167" s="1" t="s">
        <v>432</v>
      </c>
      <c r="J167" s="1" t="s">
        <v>433</v>
      </c>
      <c r="K167" s="1" t="s">
        <v>433</v>
      </c>
      <c r="M167" s="1" t="n">
        <v>-7</v>
      </c>
      <c r="O167" s="1" t="n">
        <v>7.61981666666667</v>
      </c>
    </row>
    <row r="168" customFormat="false" ht="15.75" hidden="false" customHeight="false" outlineLevel="0" collapsed="false">
      <c r="A168" s="2" t="n">
        <v>45534</v>
      </c>
      <c r="B168" s="1" t="s">
        <v>15</v>
      </c>
      <c r="C168" s="1" t="s">
        <v>16</v>
      </c>
      <c r="D168" s="1" t="n">
        <v>329</v>
      </c>
      <c r="E168" s="1" t="n">
        <v>0</v>
      </c>
      <c r="F168" s="1" t="s">
        <v>17</v>
      </c>
      <c r="G168" s="1" t="s">
        <v>18</v>
      </c>
      <c r="H168" s="1" t="s">
        <v>19</v>
      </c>
      <c r="I168" s="1" t="s">
        <v>434</v>
      </c>
      <c r="J168" s="1" t="s">
        <v>435</v>
      </c>
      <c r="K168" s="1" t="s">
        <v>435</v>
      </c>
      <c r="M168" s="1" t="n">
        <v>-8</v>
      </c>
      <c r="O168" s="1" t="n">
        <v>9.39886666666667</v>
      </c>
    </row>
    <row r="169" customFormat="false" ht="15.75" hidden="false" customHeight="false" outlineLevel="0" collapsed="false">
      <c r="A169" s="2" t="n">
        <v>45534</v>
      </c>
      <c r="B169" s="1" t="s">
        <v>96</v>
      </c>
      <c r="C169" s="1" t="s">
        <v>16</v>
      </c>
      <c r="D169" s="1" t="n">
        <v>249</v>
      </c>
      <c r="E169" s="1" t="n">
        <v>0</v>
      </c>
      <c r="G169" s="1" t="s">
        <v>76</v>
      </c>
      <c r="H169" s="1" t="s">
        <v>43</v>
      </c>
      <c r="I169" s="1" t="s">
        <v>436</v>
      </c>
      <c r="J169" s="1" t="s">
        <v>437</v>
      </c>
      <c r="K169" s="1" t="s">
        <v>437</v>
      </c>
      <c r="M169" s="1" t="n">
        <v>-1</v>
      </c>
      <c r="O169" s="1" t="n">
        <v>3.51383333333333</v>
      </c>
    </row>
    <row r="170" customFormat="false" ht="15.75" hidden="false" customHeight="false" outlineLevel="0" collapsed="false">
      <c r="A170" s="2" t="n">
        <v>45534</v>
      </c>
      <c r="B170" s="1" t="s">
        <v>22</v>
      </c>
      <c r="C170" s="1" t="s">
        <v>16</v>
      </c>
      <c r="D170" s="1" t="n">
        <v>220</v>
      </c>
      <c r="E170" s="1" t="n">
        <v>106</v>
      </c>
      <c r="G170" s="1" t="s">
        <v>76</v>
      </c>
      <c r="H170" s="1" t="s">
        <v>19</v>
      </c>
      <c r="I170" s="1" t="s">
        <v>438</v>
      </c>
      <c r="J170" s="1" t="s">
        <v>439</v>
      </c>
      <c r="K170" s="1" t="s">
        <v>439</v>
      </c>
      <c r="M170" s="1" t="n">
        <v>-11</v>
      </c>
      <c r="O170" s="1" t="n">
        <v>8.24821666666667</v>
      </c>
    </row>
    <row r="171" customFormat="false" ht="15.75" hidden="false" customHeight="false" outlineLevel="0" collapsed="false">
      <c r="A171" s="2" t="n">
        <v>45534</v>
      </c>
      <c r="B171" s="1" t="s">
        <v>22</v>
      </c>
      <c r="C171" s="1" t="s">
        <v>16</v>
      </c>
      <c r="D171" s="1" t="n">
        <v>0</v>
      </c>
      <c r="E171" s="1" t="n">
        <v>249</v>
      </c>
      <c r="F171" s="1" t="s">
        <v>17</v>
      </c>
      <c r="G171" s="1" t="s">
        <v>24</v>
      </c>
      <c r="H171" s="1" t="s">
        <v>19</v>
      </c>
      <c r="I171" s="1" t="s">
        <v>440</v>
      </c>
      <c r="J171" s="1" t="s">
        <v>441</v>
      </c>
      <c r="K171" s="1" t="s">
        <v>442</v>
      </c>
      <c r="L171" s="1" t="s">
        <v>443</v>
      </c>
      <c r="M171" s="1" t="n">
        <v>-5</v>
      </c>
      <c r="N171" s="1" t="n">
        <v>6.7083</v>
      </c>
      <c r="O171" s="1" t="n">
        <v>10.9262833333333</v>
      </c>
    </row>
    <row r="172" customFormat="false" ht="15.75" hidden="false" customHeight="false" outlineLevel="0" collapsed="false">
      <c r="A172" s="2" t="n">
        <v>45534</v>
      </c>
      <c r="B172" s="1" t="s">
        <v>54</v>
      </c>
      <c r="C172" s="1" t="s">
        <v>16</v>
      </c>
      <c r="D172" s="1" t="n">
        <v>553</v>
      </c>
      <c r="E172" s="1" t="n">
        <v>0</v>
      </c>
      <c r="G172" s="1" t="s">
        <v>18</v>
      </c>
      <c r="H172" s="1" t="s">
        <v>19</v>
      </c>
      <c r="I172" s="1" t="s">
        <v>444</v>
      </c>
      <c r="J172" s="1" t="s">
        <v>445</v>
      </c>
      <c r="K172" s="1" t="s">
        <v>445</v>
      </c>
      <c r="M172" s="1" t="n">
        <v>0</v>
      </c>
      <c r="O172" s="1" t="n">
        <v>12.8639333333333</v>
      </c>
    </row>
    <row r="173" customFormat="false" ht="15.75" hidden="false" customHeight="false" outlineLevel="0" collapsed="false">
      <c r="A173" s="2" t="n">
        <v>45534</v>
      </c>
      <c r="B173" s="1" t="s">
        <v>96</v>
      </c>
      <c r="C173" s="1" t="s">
        <v>16</v>
      </c>
      <c r="D173" s="1" t="n">
        <v>249</v>
      </c>
      <c r="E173" s="1" t="n">
        <v>0</v>
      </c>
      <c r="G173" s="1" t="s">
        <v>76</v>
      </c>
      <c r="H173" s="1" t="s">
        <v>43</v>
      </c>
      <c r="I173" s="1" t="s">
        <v>446</v>
      </c>
      <c r="J173" s="1" t="s">
        <v>447</v>
      </c>
      <c r="K173" s="1" t="s">
        <v>447</v>
      </c>
      <c r="M173" s="1" t="n">
        <v>-4</v>
      </c>
      <c r="O173" s="1" t="n">
        <v>0.06765</v>
      </c>
    </row>
    <row r="174" customFormat="false" ht="15.75" hidden="false" customHeight="false" outlineLevel="0" collapsed="false">
      <c r="A174" s="2" t="n">
        <v>45534</v>
      </c>
      <c r="B174" s="1" t="s">
        <v>96</v>
      </c>
      <c r="C174" s="1" t="s">
        <v>16</v>
      </c>
      <c r="D174" s="1" t="n">
        <v>249</v>
      </c>
      <c r="E174" s="1" t="n">
        <v>0</v>
      </c>
      <c r="G174" s="1" t="s">
        <v>76</v>
      </c>
      <c r="H174" s="1" t="s">
        <v>43</v>
      </c>
      <c r="I174" s="1" t="s">
        <v>448</v>
      </c>
      <c r="J174" s="1" t="s">
        <v>449</v>
      </c>
      <c r="K174" s="1" t="s">
        <v>449</v>
      </c>
      <c r="M174" s="1" t="n">
        <v>-4</v>
      </c>
      <c r="O174" s="1" t="n">
        <v>0.24725</v>
      </c>
    </row>
    <row r="175" customFormat="false" ht="15.75" hidden="false" customHeight="false" outlineLevel="0" collapsed="false">
      <c r="A175" s="2" t="n">
        <v>45534</v>
      </c>
      <c r="B175" s="1" t="s">
        <v>96</v>
      </c>
      <c r="C175" s="1" t="s">
        <v>16</v>
      </c>
      <c r="D175" s="1" t="n">
        <v>249</v>
      </c>
      <c r="E175" s="1" t="n">
        <v>0</v>
      </c>
      <c r="G175" s="1" t="s">
        <v>76</v>
      </c>
      <c r="H175" s="1" t="s">
        <v>43</v>
      </c>
      <c r="I175" s="1" t="s">
        <v>450</v>
      </c>
      <c r="J175" s="1" t="s">
        <v>451</v>
      </c>
      <c r="K175" s="1" t="s">
        <v>451</v>
      </c>
      <c r="M175" s="1" t="n">
        <v>-4</v>
      </c>
      <c r="O175" s="1" t="n">
        <v>0.0809333333333333</v>
      </c>
    </row>
    <row r="176" customFormat="false" ht="15.75" hidden="false" customHeight="false" outlineLevel="0" collapsed="false">
      <c r="A176" s="2" t="n">
        <v>45534</v>
      </c>
      <c r="B176" s="1" t="s">
        <v>22</v>
      </c>
      <c r="C176" s="1" t="s">
        <v>16</v>
      </c>
      <c r="D176" s="1" t="n">
        <v>555</v>
      </c>
      <c r="E176" s="1" t="n">
        <v>0</v>
      </c>
      <c r="F176" s="1" t="s">
        <v>17</v>
      </c>
      <c r="G176" s="1" t="s">
        <v>24</v>
      </c>
      <c r="H176" s="1" t="s">
        <v>19</v>
      </c>
      <c r="I176" s="1" t="s">
        <v>452</v>
      </c>
      <c r="J176" s="1" t="s">
        <v>453</v>
      </c>
      <c r="K176" s="1" t="s">
        <v>454</v>
      </c>
      <c r="L176" s="1" t="s">
        <v>455</v>
      </c>
      <c r="M176" s="1" t="n">
        <v>14</v>
      </c>
      <c r="N176" s="1" t="n">
        <v>16.73075</v>
      </c>
      <c r="O176" s="1" t="n">
        <v>23.6517666666667</v>
      </c>
    </row>
    <row r="177" customFormat="false" ht="15.75" hidden="false" customHeight="false" outlineLevel="0" collapsed="false">
      <c r="A177" s="2" t="n">
        <v>45535</v>
      </c>
      <c r="B177" s="1" t="s">
        <v>31</v>
      </c>
      <c r="C177" s="1" t="s">
        <v>16</v>
      </c>
      <c r="D177" s="1" t="n">
        <v>417</v>
      </c>
      <c r="E177" s="1" t="n">
        <v>0</v>
      </c>
      <c r="F177" s="1" t="s">
        <v>456</v>
      </c>
      <c r="G177" s="1" t="s">
        <v>18</v>
      </c>
      <c r="H177" s="1" t="s">
        <v>19</v>
      </c>
      <c r="I177" s="1" t="s">
        <v>457</v>
      </c>
      <c r="J177" s="1" t="s">
        <v>458</v>
      </c>
      <c r="K177" s="1" t="s">
        <v>458</v>
      </c>
      <c r="M177" s="1" t="n">
        <v>-8</v>
      </c>
      <c r="O177" s="1" t="n">
        <v>6.44326666666667</v>
      </c>
    </row>
    <row r="178" customFormat="false" ht="15.75" hidden="false" customHeight="false" outlineLevel="0" collapsed="false">
      <c r="A178" s="2" t="n">
        <v>45535</v>
      </c>
      <c r="B178" s="1" t="s">
        <v>31</v>
      </c>
      <c r="C178" s="1" t="s">
        <v>16</v>
      </c>
      <c r="D178" s="1" t="n">
        <v>379</v>
      </c>
      <c r="E178" s="1" t="n">
        <v>0</v>
      </c>
      <c r="F178" s="1" t="s">
        <v>459</v>
      </c>
      <c r="G178" s="1" t="s">
        <v>18</v>
      </c>
      <c r="H178" s="1" t="s">
        <v>19</v>
      </c>
      <c r="I178" s="1" t="s">
        <v>460</v>
      </c>
      <c r="J178" s="1" t="s">
        <v>461</v>
      </c>
      <c r="K178" s="1" t="s">
        <v>461</v>
      </c>
      <c r="M178" s="1" t="n">
        <v>-7</v>
      </c>
      <c r="O178" s="1" t="n">
        <v>7.40663333333333</v>
      </c>
    </row>
    <row r="179" customFormat="false" ht="15.75" hidden="false" customHeight="false" outlineLevel="0" collapsed="false">
      <c r="A179" s="2" t="n">
        <v>45535</v>
      </c>
      <c r="B179" s="1" t="s">
        <v>31</v>
      </c>
      <c r="C179" s="1" t="s">
        <v>16</v>
      </c>
      <c r="D179" s="1" t="n">
        <v>394</v>
      </c>
      <c r="E179" s="1" t="n">
        <v>0</v>
      </c>
      <c r="F179" s="1" t="s">
        <v>222</v>
      </c>
      <c r="G179" s="1" t="s">
        <v>18</v>
      </c>
      <c r="H179" s="1" t="s">
        <v>19</v>
      </c>
      <c r="I179" s="1" t="s">
        <v>462</v>
      </c>
      <c r="J179" s="1" t="s">
        <v>463</v>
      </c>
      <c r="K179" s="1" t="s">
        <v>463</v>
      </c>
      <c r="M179" s="1" t="n">
        <v>-6</v>
      </c>
      <c r="O179" s="1" t="n">
        <v>8.27961666666667</v>
      </c>
    </row>
    <row r="180" customFormat="false" ht="15.75" hidden="false" customHeight="false" outlineLevel="0" collapsed="false">
      <c r="A180" s="2" t="n">
        <v>45535</v>
      </c>
      <c r="B180" s="1" t="s">
        <v>54</v>
      </c>
      <c r="C180" s="1" t="s">
        <v>16</v>
      </c>
      <c r="D180" s="1" t="n">
        <v>368</v>
      </c>
      <c r="E180" s="1" t="n">
        <v>150</v>
      </c>
      <c r="G180" s="1" t="s">
        <v>18</v>
      </c>
      <c r="H180" s="1" t="s">
        <v>19</v>
      </c>
      <c r="I180" s="1" t="s">
        <v>464</v>
      </c>
      <c r="J180" s="1" t="s">
        <v>465</v>
      </c>
      <c r="K180" s="1" t="s">
        <v>465</v>
      </c>
      <c r="M180" s="1" t="n">
        <v>-3</v>
      </c>
      <c r="O180" s="1" t="n">
        <v>9.91848333333333</v>
      </c>
    </row>
    <row r="181" customFormat="false" ht="15.75" hidden="false" customHeight="false" outlineLevel="0" collapsed="false">
      <c r="A181" s="2" t="n">
        <v>45535</v>
      </c>
      <c r="B181" s="1" t="s">
        <v>54</v>
      </c>
      <c r="C181" s="1" t="s">
        <v>16</v>
      </c>
      <c r="D181" s="1" t="n">
        <v>577</v>
      </c>
      <c r="E181" s="1" t="n">
        <v>0</v>
      </c>
      <c r="G181" s="1" t="s">
        <v>18</v>
      </c>
      <c r="H181" s="1" t="s">
        <v>19</v>
      </c>
      <c r="I181" s="1" t="s">
        <v>466</v>
      </c>
      <c r="J181" s="1" t="s">
        <v>467</v>
      </c>
      <c r="K181" s="1" t="s">
        <v>467</v>
      </c>
      <c r="M181" s="1" t="n">
        <v>-6</v>
      </c>
      <c r="O181" s="1" t="n">
        <v>6.92835</v>
      </c>
    </row>
    <row r="182" customFormat="false" ht="15.75" hidden="false" customHeight="false" outlineLevel="0" collapsed="false">
      <c r="A182" s="2" t="n">
        <v>45535</v>
      </c>
      <c r="B182" s="1" t="s">
        <v>15</v>
      </c>
      <c r="C182" s="1" t="s">
        <v>16</v>
      </c>
      <c r="D182" s="1" t="n">
        <v>264</v>
      </c>
      <c r="E182" s="1" t="n">
        <v>0</v>
      </c>
      <c r="F182" s="1" t="s">
        <v>17</v>
      </c>
      <c r="G182" s="1" t="s">
        <v>18</v>
      </c>
      <c r="H182" s="1" t="s">
        <v>19</v>
      </c>
      <c r="I182" s="1" t="s">
        <v>468</v>
      </c>
      <c r="J182" s="1" t="s">
        <v>469</v>
      </c>
      <c r="K182" s="1" t="s">
        <v>469</v>
      </c>
      <c r="M182" s="1" t="n">
        <v>-8</v>
      </c>
      <c r="O182" s="1" t="n">
        <v>6.07893333333333</v>
      </c>
    </row>
    <row r="183" customFormat="false" ht="15.75" hidden="false" customHeight="false" outlineLevel="0" collapsed="false">
      <c r="A183" s="2" t="n">
        <v>45535</v>
      </c>
      <c r="B183" s="1" t="s">
        <v>54</v>
      </c>
      <c r="C183" s="1" t="s">
        <v>16</v>
      </c>
      <c r="D183" s="1" t="n">
        <v>329</v>
      </c>
      <c r="E183" s="1" t="n">
        <v>0</v>
      </c>
      <c r="G183" s="1" t="s">
        <v>18</v>
      </c>
      <c r="H183" s="1" t="s">
        <v>19</v>
      </c>
      <c r="I183" s="1" t="s">
        <v>470</v>
      </c>
      <c r="J183" s="1" t="s">
        <v>471</v>
      </c>
      <c r="K183" s="1" t="s">
        <v>471</v>
      </c>
      <c r="M183" s="1" t="n">
        <v>0</v>
      </c>
      <c r="O183" s="1" t="n">
        <v>10.9373166666667</v>
      </c>
    </row>
    <row r="184" customFormat="false" ht="15.75" hidden="false" customHeight="false" outlineLevel="0" collapsed="false">
      <c r="A184" s="2" t="n">
        <v>45535</v>
      </c>
      <c r="B184" s="1" t="s">
        <v>31</v>
      </c>
      <c r="C184" s="1" t="s">
        <v>16</v>
      </c>
      <c r="D184" s="1" t="n">
        <v>329</v>
      </c>
      <c r="E184" s="1" t="n">
        <v>0</v>
      </c>
      <c r="F184" s="1" t="s">
        <v>472</v>
      </c>
      <c r="G184" s="1" t="s">
        <v>18</v>
      </c>
      <c r="H184" s="1" t="s">
        <v>19</v>
      </c>
      <c r="I184" s="1" t="s">
        <v>473</v>
      </c>
      <c r="J184" s="1" t="s">
        <v>474</v>
      </c>
      <c r="K184" s="1" t="s">
        <v>474</v>
      </c>
      <c r="M184" s="1" t="n">
        <v>-3</v>
      </c>
      <c r="O184" s="1" t="n">
        <v>11.4465166666667</v>
      </c>
    </row>
    <row r="185" customFormat="false" ht="15.75" hidden="false" customHeight="false" outlineLevel="0" collapsed="false">
      <c r="A185" s="2" t="n">
        <v>45535</v>
      </c>
      <c r="B185" s="1" t="s">
        <v>54</v>
      </c>
      <c r="C185" s="1" t="s">
        <v>16</v>
      </c>
      <c r="D185" s="1" t="n">
        <v>528</v>
      </c>
      <c r="E185" s="1" t="n">
        <v>0</v>
      </c>
      <c r="G185" s="1" t="s">
        <v>18</v>
      </c>
      <c r="H185" s="1" t="s">
        <v>19</v>
      </c>
      <c r="I185" s="1" t="s">
        <v>475</v>
      </c>
      <c r="J185" s="1" t="s">
        <v>476</v>
      </c>
      <c r="K185" s="1" t="s">
        <v>476</v>
      </c>
      <c r="M185" s="1" t="n">
        <v>0</v>
      </c>
      <c r="O185" s="1" t="n">
        <v>12.7347166666667</v>
      </c>
    </row>
    <row r="186" customFormat="false" ht="15.75" hidden="false" customHeight="false" outlineLevel="0" collapsed="false">
      <c r="A186" s="2" t="n">
        <v>45535</v>
      </c>
      <c r="B186" s="1" t="s">
        <v>54</v>
      </c>
      <c r="C186" s="1" t="s">
        <v>16</v>
      </c>
      <c r="D186" s="1" t="n">
        <v>264</v>
      </c>
      <c r="E186" s="1" t="n">
        <v>0</v>
      </c>
      <c r="G186" s="1" t="s">
        <v>18</v>
      </c>
      <c r="H186" s="1" t="s">
        <v>19</v>
      </c>
      <c r="I186" s="1" t="s">
        <v>477</v>
      </c>
      <c r="J186" s="1" t="s">
        <v>478</v>
      </c>
      <c r="K186" s="1" t="s">
        <v>478</v>
      </c>
      <c r="M186" s="1" t="n">
        <v>2</v>
      </c>
      <c r="O186" s="1" t="n">
        <v>13.6919666666667</v>
      </c>
    </row>
    <row r="187" customFormat="false" ht="15.75" hidden="false" customHeight="false" outlineLevel="0" collapsed="false">
      <c r="A187" s="2" t="n">
        <v>45535</v>
      </c>
      <c r="B187" s="1" t="s">
        <v>22</v>
      </c>
      <c r="C187" s="1" t="s">
        <v>16</v>
      </c>
      <c r="D187" s="1" t="n">
        <v>283</v>
      </c>
      <c r="E187" s="1" t="n">
        <v>83</v>
      </c>
      <c r="G187" s="1" t="s">
        <v>76</v>
      </c>
      <c r="H187" s="1" t="s">
        <v>80</v>
      </c>
      <c r="I187" s="1" t="s">
        <v>479</v>
      </c>
      <c r="J187" s="1" t="s">
        <v>480</v>
      </c>
      <c r="K187" s="1" t="s">
        <v>480</v>
      </c>
      <c r="M187" s="1" t="n">
        <v>-15</v>
      </c>
      <c r="O187" s="1" t="n">
        <v>4.68023333333333</v>
      </c>
    </row>
    <row r="188" customFormat="false" ht="15.75" hidden="false" customHeight="false" outlineLevel="0" collapsed="false">
      <c r="A188" s="2" t="n">
        <v>45535</v>
      </c>
      <c r="B188" s="1" t="s">
        <v>15</v>
      </c>
      <c r="C188" s="1" t="s">
        <v>16</v>
      </c>
      <c r="D188" s="1" t="n">
        <v>1365</v>
      </c>
      <c r="E188" s="1" t="n">
        <v>0</v>
      </c>
      <c r="F188" s="1" t="s">
        <v>17</v>
      </c>
      <c r="G188" s="1" t="s">
        <v>18</v>
      </c>
      <c r="H188" s="1" t="s">
        <v>19</v>
      </c>
      <c r="I188" s="1" t="s">
        <v>481</v>
      </c>
      <c r="J188" s="1" t="s">
        <v>482</v>
      </c>
      <c r="K188" s="1" t="s">
        <v>482</v>
      </c>
      <c r="M188" s="1" t="n">
        <v>-8</v>
      </c>
      <c r="O188" s="1" t="n">
        <v>11.1759833333333</v>
      </c>
    </row>
    <row r="189" customFormat="false" ht="15.75" hidden="false" customHeight="false" outlineLevel="0" collapsed="false">
      <c r="A189" s="2" t="n">
        <v>45535</v>
      </c>
      <c r="B189" s="1" t="s">
        <v>96</v>
      </c>
      <c r="C189" s="1" t="s">
        <v>16</v>
      </c>
      <c r="D189" s="1" t="n">
        <v>358</v>
      </c>
      <c r="E189" s="1" t="n">
        <v>0</v>
      </c>
      <c r="G189" s="1" t="s">
        <v>76</v>
      </c>
      <c r="H189" s="1" t="s">
        <v>43</v>
      </c>
      <c r="I189" s="1" t="s">
        <v>483</v>
      </c>
      <c r="J189" s="1" t="s">
        <v>484</v>
      </c>
      <c r="K189" s="1" t="s">
        <v>484</v>
      </c>
      <c r="M189" s="1" t="n">
        <v>0</v>
      </c>
      <c r="O189" s="1" t="n">
        <v>5.34363333333333</v>
      </c>
    </row>
    <row r="190" customFormat="false" ht="15.75" hidden="false" customHeight="false" outlineLevel="0" collapsed="false">
      <c r="A190" s="2" t="n">
        <v>45535</v>
      </c>
      <c r="B190" s="1" t="s">
        <v>22</v>
      </c>
      <c r="C190" s="1" t="s">
        <v>16</v>
      </c>
      <c r="D190" s="1" t="n">
        <v>511</v>
      </c>
      <c r="E190" s="1" t="n">
        <v>0</v>
      </c>
      <c r="F190" s="1" t="s">
        <v>17</v>
      </c>
      <c r="G190" s="1" t="s">
        <v>24</v>
      </c>
      <c r="H190" s="1" t="s">
        <v>43</v>
      </c>
      <c r="I190" s="1" t="s">
        <v>485</v>
      </c>
      <c r="J190" s="1" t="s">
        <v>486</v>
      </c>
      <c r="K190" s="1" t="s">
        <v>487</v>
      </c>
      <c r="L190" s="1" t="s">
        <v>488</v>
      </c>
      <c r="M190" s="1" t="n">
        <v>-13</v>
      </c>
      <c r="N190" s="1" t="n">
        <v>0.805416666666667</v>
      </c>
      <c r="O190" s="1" t="n">
        <v>8.17773333333333</v>
      </c>
    </row>
    <row r="191" customFormat="false" ht="15.75" hidden="false" customHeight="false" outlineLevel="0" collapsed="false">
      <c r="A191" s="2" t="n">
        <v>45535</v>
      </c>
      <c r="B191" s="1" t="s">
        <v>96</v>
      </c>
      <c r="C191" s="1" t="s">
        <v>16</v>
      </c>
      <c r="D191" s="1" t="n">
        <v>747</v>
      </c>
      <c r="E191" s="1" t="n">
        <v>0</v>
      </c>
      <c r="G191" s="1" t="s">
        <v>76</v>
      </c>
      <c r="H191" s="1" t="s">
        <v>43</v>
      </c>
      <c r="I191" s="1" t="s">
        <v>489</v>
      </c>
      <c r="J191" s="1" t="s">
        <v>490</v>
      </c>
      <c r="K191" s="1" t="s">
        <v>490</v>
      </c>
      <c r="M191" s="1" t="n">
        <v>-6</v>
      </c>
      <c r="O191" s="1" t="n">
        <v>3.16683333333333</v>
      </c>
    </row>
    <row r="192" customFormat="false" ht="15.75" hidden="false" customHeight="false" outlineLevel="0" collapsed="false">
      <c r="A192" s="2" t="n">
        <v>45535</v>
      </c>
      <c r="B192" s="1" t="s">
        <v>22</v>
      </c>
      <c r="C192" s="1" t="s">
        <v>16</v>
      </c>
      <c r="D192" s="1" t="n">
        <v>269</v>
      </c>
      <c r="E192" s="1" t="n">
        <v>0</v>
      </c>
      <c r="F192" s="1" t="s">
        <v>17</v>
      </c>
      <c r="G192" s="1" t="s">
        <v>24</v>
      </c>
      <c r="H192" s="1" t="s">
        <v>43</v>
      </c>
      <c r="I192" s="1" t="s">
        <v>491</v>
      </c>
      <c r="J192" s="1" t="s">
        <v>492</v>
      </c>
      <c r="K192" s="1" t="s">
        <v>493</v>
      </c>
      <c r="L192" s="1" t="s">
        <v>494</v>
      </c>
      <c r="M192" s="1" t="n">
        <v>-12</v>
      </c>
      <c r="N192" s="1" t="n">
        <v>0.728</v>
      </c>
      <c r="O192" s="1" t="n">
        <v>6.47236666666667</v>
      </c>
    </row>
    <row r="193" customFormat="false" ht="15.75" hidden="false" customHeight="false" outlineLevel="0" collapsed="false">
      <c r="A193" s="2" t="n">
        <v>45535</v>
      </c>
      <c r="B193" s="1" t="s">
        <v>96</v>
      </c>
      <c r="C193" s="1" t="s">
        <v>16</v>
      </c>
      <c r="D193" s="1" t="n">
        <v>249</v>
      </c>
      <c r="E193" s="1" t="n">
        <v>0</v>
      </c>
      <c r="G193" s="1" t="s">
        <v>76</v>
      </c>
      <c r="H193" s="1" t="s">
        <v>43</v>
      </c>
      <c r="I193" s="1" t="s">
        <v>495</v>
      </c>
      <c r="J193" s="1" t="s">
        <v>496</v>
      </c>
      <c r="K193" s="1" t="s">
        <v>496</v>
      </c>
      <c r="M193" s="1" t="n">
        <v>-4</v>
      </c>
      <c r="O193" s="1" t="n">
        <v>0.0273666666666667</v>
      </c>
    </row>
    <row r="194" customFormat="false" ht="15.75" hidden="false" customHeight="false" outlineLevel="0" collapsed="false">
      <c r="A194" s="2" t="n">
        <v>45535</v>
      </c>
      <c r="B194" s="1" t="s">
        <v>15</v>
      </c>
      <c r="C194" s="1" t="s">
        <v>16</v>
      </c>
      <c r="D194" s="1" t="n">
        <v>289</v>
      </c>
      <c r="E194" s="1" t="n">
        <v>0</v>
      </c>
      <c r="F194" s="1" t="s">
        <v>17</v>
      </c>
      <c r="G194" s="1" t="s">
        <v>18</v>
      </c>
      <c r="H194" s="1" t="s">
        <v>19</v>
      </c>
      <c r="I194" s="1" t="s">
        <v>497</v>
      </c>
      <c r="J194" s="1" t="s">
        <v>498</v>
      </c>
      <c r="K194" s="1" t="s">
        <v>498</v>
      </c>
      <c r="M194" s="1" t="n">
        <v>-8</v>
      </c>
      <c r="O194" s="1" t="n">
        <v>6.019</v>
      </c>
    </row>
    <row r="195" customFormat="false" ht="15.75" hidden="false" customHeight="false" outlineLevel="0" collapsed="false">
      <c r="A195" s="2" t="n">
        <v>45535</v>
      </c>
      <c r="B195" s="1" t="s">
        <v>15</v>
      </c>
      <c r="C195" s="1" t="s">
        <v>16</v>
      </c>
      <c r="D195" s="1" t="n">
        <v>289</v>
      </c>
      <c r="E195" s="1" t="n">
        <v>0</v>
      </c>
      <c r="F195" s="1" t="s">
        <v>17</v>
      </c>
      <c r="G195" s="1" t="s">
        <v>18</v>
      </c>
      <c r="H195" s="1" t="s">
        <v>19</v>
      </c>
      <c r="I195" s="1" t="s">
        <v>499</v>
      </c>
      <c r="J195" s="1" t="s">
        <v>500</v>
      </c>
      <c r="K195" s="1" t="s">
        <v>500</v>
      </c>
      <c r="M195" s="1" t="n">
        <v>-7</v>
      </c>
      <c r="O195" s="1" t="n">
        <v>7.16098333333333</v>
      </c>
    </row>
    <row r="196" customFormat="false" ht="15.75" hidden="false" customHeight="false" outlineLevel="0" collapsed="false">
      <c r="A196" s="2" t="n">
        <v>45535</v>
      </c>
      <c r="B196" s="1" t="s">
        <v>31</v>
      </c>
      <c r="C196" s="1" t="s">
        <v>16</v>
      </c>
      <c r="D196" s="1" t="n">
        <v>394</v>
      </c>
      <c r="E196" s="1" t="n">
        <v>0</v>
      </c>
      <c r="F196" s="1" t="s">
        <v>501</v>
      </c>
      <c r="G196" s="1" t="s">
        <v>18</v>
      </c>
      <c r="H196" s="1" t="s">
        <v>19</v>
      </c>
      <c r="I196" s="1" t="s">
        <v>502</v>
      </c>
      <c r="J196" s="1" t="s">
        <v>503</v>
      </c>
      <c r="K196" s="1" t="s">
        <v>503</v>
      </c>
      <c r="M196" s="1" t="n">
        <v>-5</v>
      </c>
      <c r="O196" s="1" t="n">
        <v>9.48541666666667</v>
      </c>
    </row>
    <row r="197" customFormat="false" ht="15.75" hidden="false" customHeight="false" outlineLevel="0" collapsed="false">
      <c r="A197" s="2" t="n">
        <v>45535</v>
      </c>
      <c r="B197" s="1" t="s">
        <v>22</v>
      </c>
      <c r="C197" s="1" t="s">
        <v>16</v>
      </c>
      <c r="D197" s="1" t="n">
        <v>374</v>
      </c>
      <c r="E197" s="1" t="n">
        <v>0</v>
      </c>
      <c r="F197" s="1" t="s">
        <v>17</v>
      </c>
      <c r="G197" s="1" t="s">
        <v>24</v>
      </c>
      <c r="H197" s="1" t="s">
        <v>19</v>
      </c>
      <c r="I197" s="1" t="s">
        <v>504</v>
      </c>
      <c r="J197" s="1" t="s">
        <v>505</v>
      </c>
      <c r="K197" s="1" t="s">
        <v>506</v>
      </c>
      <c r="L197" s="1" t="s">
        <v>507</v>
      </c>
      <c r="M197" s="1" t="n">
        <v>-8</v>
      </c>
      <c r="N197" s="1" t="n">
        <v>1.1022</v>
      </c>
      <c r="O197" s="1" t="n">
        <v>11.9458333333333</v>
      </c>
    </row>
    <row r="198" customFormat="false" ht="15.75" hidden="false" customHeight="false" outlineLevel="0" collapsed="false">
      <c r="A198" s="2" t="n">
        <v>45535</v>
      </c>
      <c r="B198" s="1" t="s">
        <v>31</v>
      </c>
      <c r="C198" s="1" t="s">
        <v>16</v>
      </c>
      <c r="D198" s="1" t="n">
        <v>329</v>
      </c>
      <c r="E198" s="1" t="n">
        <v>0</v>
      </c>
      <c r="F198" s="1" t="s">
        <v>508</v>
      </c>
      <c r="G198" s="1" t="s">
        <v>18</v>
      </c>
      <c r="H198" s="1" t="s">
        <v>19</v>
      </c>
      <c r="I198" s="1" t="s">
        <v>509</v>
      </c>
      <c r="J198" s="1" t="s">
        <v>510</v>
      </c>
      <c r="K198" s="1" t="s">
        <v>510</v>
      </c>
      <c r="M198" s="1" t="n">
        <v>-7</v>
      </c>
      <c r="O198" s="1" t="n">
        <v>7.4202</v>
      </c>
    </row>
    <row r="199" customFormat="false" ht="15.75" hidden="false" customHeight="false" outlineLevel="0" collapsed="false">
      <c r="A199" s="2" t="n">
        <v>45535</v>
      </c>
      <c r="B199" s="1" t="s">
        <v>22</v>
      </c>
      <c r="C199" s="1" t="s">
        <v>16</v>
      </c>
      <c r="D199" s="1" t="n">
        <v>618</v>
      </c>
      <c r="E199" s="1" t="n">
        <v>0</v>
      </c>
      <c r="F199" s="1" t="s">
        <v>17</v>
      </c>
      <c r="G199" s="1" t="s">
        <v>24</v>
      </c>
      <c r="H199" s="1" t="s">
        <v>19</v>
      </c>
      <c r="I199" s="1" t="s">
        <v>511</v>
      </c>
      <c r="J199" s="1" t="s">
        <v>512</v>
      </c>
      <c r="K199" s="1" t="s">
        <v>513</v>
      </c>
      <c r="L199" s="1" t="s">
        <v>514</v>
      </c>
      <c r="M199" s="1" t="n">
        <v>-14</v>
      </c>
      <c r="N199" s="1" t="n">
        <v>0.158566666666667</v>
      </c>
      <c r="O199" s="1" t="n">
        <v>8.13948333333333</v>
      </c>
    </row>
    <row r="200" customFormat="false" ht="15.75" hidden="false" customHeight="false" outlineLevel="0" collapsed="false">
      <c r="A200" s="2" t="n">
        <v>45535</v>
      </c>
      <c r="B200" s="1" t="s">
        <v>15</v>
      </c>
      <c r="C200" s="1" t="s">
        <v>16</v>
      </c>
      <c r="D200" s="1" t="n">
        <v>264</v>
      </c>
      <c r="E200" s="1" t="n">
        <v>0</v>
      </c>
      <c r="F200" s="1" t="s">
        <v>17</v>
      </c>
      <c r="G200" s="1" t="s">
        <v>18</v>
      </c>
      <c r="H200" s="1" t="s">
        <v>19</v>
      </c>
      <c r="I200" s="1" t="s">
        <v>515</v>
      </c>
      <c r="J200" s="1" t="s">
        <v>516</v>
      </c>
      <c r="K200" s="1" t="s">
        <v>516</v>
      </c>
      <c r="M200" s="1" t="n">
        <v>-10</v>
      </c>
      <c r="O200" s="1" t="n">
        <v>6.02681666666667</v>
      </c>
    </row>
    <row r="201" customFormat="false" ht="15.75" hidden="false" customHeight="false" outlineLevel="0" collapsed="false">
      <c r="A201" s="2" t="n">
        <v>45535</v>
      </c>
      <c r="B201" s="1" t="s">
        <v>31</v>
      </c>
      <c r="C201" s="1" t="s">
        <v>16</v>
      </c>
      <c r="D201" s="1" t="n">
        <v>369</v>
      </c>
      <c r="E201" s="1" t="n">
        <v>0</v>
      </c>
      <c r="F201" s="1" t="s">
        <v>517</v>
      </c>
      <c r="G201" s="1" t="s">
        <v>18</v>
      </c>
      <c r="H201" s="1" t="s">
        <v>19</v>
      </c>
      <c r="I201" s="1" t="s">
        <v>518</v>
      </c>
      <c r="J201" s="1" t="s">
        <v>519</v>
      </c>
      <c r="K201" s="1" t="s">
        <v>519</v>
      </c>
      <c r="M201" s="1" t="n">
        <v>-7</v>
      </c>
      <c r="O201" s="1" t="n">
        <v>7.73728333333333</v>
      </c>
    </row>
    <row r="202" customFormat="false" ht="15.75" hidden="false" customHeight="false" outlineLevel="0" collapsed="false">
      <c r="A202" s="2" t="n">
        <v>45535</v>
      </c>
      <c r="B202" s="1" t="s">
        <v>31</v>
      </c>
      <c r="C202" s="1" t="s">
        <v>16</v>
      </c>
      <c r="D202" s="1" t="n">
        <v>484</v>
      </c>
      <c r="E202" s="1" t="n">
        <v>0</v>
      </c>
      <c r="F202" s="1" t="s">
        <v>520</v>
      </c>
      <c r="G202" s="1" t="s">
        <v>18</v>
      </c>
      <c r="H202" s="1" t="s">
        <v>19</v>
      </c>
      <c r="I202" s="1" t="s">
        <v>521</v>
      </c>
      <c r="J202" s="1" t="s">
        <v>522</v>
      </c>
      <c r="K202" s="1" t="s">
        <v>522</v>
      </c>
      <c r="M202" s="1" t="n">
        <v>-6</v>
      </c>
      <c r="O202" s="1" t="n">
        <v>8.57316666666667</v>
      </c>
    </row>
    <row r="203" customFormat="false" ht="15.75" hidden="false" customHeight="false" outlineLevel="0" collapsed="false">
      <c r="A203" s="2" t="n">
        <v>45535</v>
      </c>
      <c r="B203" s="1" t="s">
        <v>31</v>
      </c>
      <c r="C203" s="1" t="s">
        <v>16</v>
      </c>
      <c r="D203" s="1" t="n">
        <v>329</v>
      </c>
      <c r="E203" s="1" t="n">
        <v>0</v>
      </c>
      <c r="F203" s="1" t="s">
        <v>523</v>
      </c>
      <c r="G203" s="1" t="s">
        <v>18</v>
      </c>
      <c r="H203" s="1" t="s">
        <v>19</v>
      </c>
      <c r="I203" s="1" t="s">
        <v>524</v>
      </c>
      <c r="J203" s="1" t="s">
        <v>525</v>
      </c>
      <c r="K203" s="1" t="s">
        <v>525</v>
      </c>
      <c r="M203" s="1" t="n">
        <v>-6</v>
      </c>
      <c r="O203" s="1" t="n">
        <v>8.4066</v>
      </c>
    </row>
    <row r="204" customFormat="false" ht="15.75" hidden="false" customHeight="false" outlineLevel="0" collapsed="false">
      <c r="A204" s="2" t="n">
        <v>45535</v>
      </c>
      <c r="B204" s="1" t="s">
        <v>54</v>
      </c>
      <c r="C204" s="1" t="s">
        <v>16</v>
      </c>
      <c r="D204" s="1" t="n">
        <v>553</v>
      </c>
      <c r="E204" s="1" t="n">
        <v>0</v>
      </c>
      <c r="G204" s="1" t="s">
        <v>18</v>
      </c>
      <c r="H204" s="1" t="s">
        <v>19</v>
      </c>
      <c r="I204" s="1" t="s">
        <v>526</v>
      </c>
      <c r="J204" s="1" t="s">
        <v>527</v>
      </c>
      <c r="K204" s="1" t="s">
        <v>527</v>
      </c>
      <c r="M204" s="1" t="n">
        <v>-5</v>
      </c>
      <c r="O204" s="1" t="n">
        <v>7.00411666666667</v>
      </c>
    </row>
    <row r="205" customFormat="false" ht="15.75" hidden="false" customHeight="false" outlineLevel="0" collapsed="false">
      <c r="A205" s="2" t="n">
        <v>45535</v>
      </c>
      <c r="B205" s="1" t="s">
        <v>15</v>
      </c>
      <c r="C205" s="1" t="s">
        <v>16</v>
      </c>
      <c r="D205" s="1" t="n">
        <v>329</v>
      </c>
      <c r="E205" s="1" t="n">
        <v>0</v>
      </c>
      <c r="F205" s="1" t="s">
        <v>17</v>
      </c>
      <c r="G205" s="1" t="s">
        <v>18</v>
      </c>
      <c r="H205" s="1" t="s">
        <v>19</v>
      </c>
      <c r="I205" s="1" t="s">
        <v>528</v>
      </c>
      <c r="J205" s="1" t="s">
        <v>529</v>
      </c>
      <c r="K205" s="1" t="s">
        <v>529</v>
      </c>
      <c r="M205" s="1" t="n">
        <v>-6</v>
      </c>
      <c r="O205" s="1" t="n">
        <v>8.19768333333333</v>
      </c>
    </row>
    <row r="206" customFormat="false" ht="15.75" hidden="false" customHeight="false" outlineLevel="0" collapsed="false">
      <c r="A206" s="2" t="n">
        <v>45535</v>
      </c>
      <c r="B206" s="1" t="s">
        <v>15</v>
      </c>
      <c r="C206" s="1" t="s">
        <v>16</v>
      </c>
      <c r="D206" s="1" t="n">
        <v>792</v>
      </c>
      <c r="E206" s="1" t="n">
        <v>0</v>
      </c>
      <c r="F206" s="1" t="s">
        <v>17</v>
      </c>
      <c r="G206" s="1" t="s">
        <v>18</v>
      </c>
      <c r="H206" s="1" t="s">
        <v>19</v>
      </c>
      <c r="I206" s="1" t="s">
        <v>530</v>
      </c>
      <c r="J206" s="1" t="s">
        <v>531</v>
      </c>
      <c r="K206" s="1" t="s">
        <v>531</v>
      </c>
      <c r="M206" s="1" t="n">
        <v>-8</v>
      </c>
      <c r="O206" s="1" t="n">
        <v>11.04575</v>
      </c>
    </row>
    <row r="207" customFormat="false" ht="15.75" hidden="false" customHeight="false" outlineLevel="0" collapsed="false">
      <c r="A207" s="2" t="n">
        <v>45535</v>
      </c>
      <c r="B207" s="1" t="s">
        <v>15</v>
      </c>
      <c r="C207" s="1" t="s">
        <v>16</v>
      </c>
      <c r="D207" s="1" t="n">
        <v>321</v>
      </c>
      <c r="E207" s="1" t="n">
        <v>0</v>
      </c>
      <c r="F207" s="1" t="s">
        <v>17</v>
      </c>
      <c r="G207" s="1" t="s">
        <v>18</v>
      </c>
      <c r="H207" s="1" t="s">
        <v>19</v>
      </c>
      <c r="I207" s="1" t="s">
        <v>532</v>
      </c>
      <c r="J207" s="1" t="s">
        <v>533</v>
      </c>
      <c r="K207" s="1" t="s">
        <v>533</v>
      </c>
      <c r="M207" s="1" t="n">
        <v>-7</v>
      </c>
      <c r="O207" s="1" t="n">
        <v>7.30901666666667</v>
      </c>
    </row>
    <row r="208" customFormat="false" ht="15.75" hidden="false" customHeight="false" outlineLevel="0" collapsed="false">
      <c r="A208" s="2" t="n">
        <v>45535</v>
      </c>
      <c r="B208" s="1" t="s">
        <v>31</v>
      </c>
      <c r="C208" s="1" t="s">
        <v>16</v>
      </c>
      <c r="D208" s="1" t="n">
        <v>394</v>
      </c>
      <c r="E208" s="1" t="n">
        <v>0</v>
      </c>
      <c r="F208" s="1" t="s">
        <v>534</v>
      </c>
      <c r="G208" s="1" t="s">
        <v>18</v>
      </c>
      <c r="H208" s="1" t="s">
        <v>19</v>
      </c>
      <c r="I208" s="1" t="s">
        <v>535</v>
      </c>
      <c r="J208" s="1" t="s">
        <v>536</v>
      </c>
      <c r="K208" s="1" t="s">
        <v>536</v>
      </c>
      <c r="M208" s="1" t="n">
        <v>-9</v>
      </c>
      <c r="O208" s="1" t="n">
        <v>5.5944</v>
      </c>
    </row>
    <row r="209" customFormat="false" ht="15.75" hidden="false" customHeight="false" outlineLevel="0" collapsed="false">
      <c r="A209" s="2" t="n">
        <v>45535</v>
      </c>
      <c r="B209" s="1" t="s">
        <v>31</v>
      </c>
      <c r="C209" s="1" t="s">
        <v>16</v>
      </c>
      <c r="D209" s="1" t="n">
        <v>573</v>
      </c>
      <c r="E209" s="1" t="n">
        <v>0</v>
      </c>
      <c r="F209" s="1" t="s">
        <v>33</v>
      </c>
      <c r="G209" s="1" t="s">
        <v>18</v>
      </c>
      <c r="H209" s="1" t="s">
        <v>19</v>
      </c>
      <c r="I209" s="1" t="s">
        <v>537</v>
      </c>
      <c r="J209" s="1" t="s">
        <v>538</v>
      </c>
      <c r="K209" s="1" t="s">
        <v>538</v>
      </c>
      <c r="M209" s="1" t="n">
        <v>-7</v>
      </c>
      <c r="O209" s="1" t="n">
        <v>12.41255</v>
      </c>
    </row>
    <row r="210" customFormat="false" ht="15.75" hidden="false" customHeight="false" outlineLevel="0" collapsed="false">
      <c r="A210" s="2" t="n">
        <v>45535</v>
      </c>
      <c r="B210" s="1" t="s">
        <v>15</v>
      </c>
      <c r="C210" s="1" t="s">
        <v>16</v>
      </c>
      <c r="D210" s="1" t="n">
        <v>264</v>
      </c>
      <c r="E210" s="1" t="n">
        <v>0</v>
      </c>
      <c r="F210" s="1" t="s">
        <v>17</v>
      </c>
      <c r="G210" s="1" t="s">
        <v>18</v>
      </c>
      <c r="H210" s="1" t="s">
        <v>19</v>
      </c>
      <c r="I210" s="1" t="s">
        <v>539</v>
      </c>
      <c r="J210" s="1" t="s">
        <v>540</v>
      </c>
      <c r="K210" s="1" t="s">
        <v>540</v>
      </c>
      <c r="M210" s="1" t="n">
        <v>-7</v>
      </c>
      <c r="O210" s="1" t="n">
        <v>7.0526</v>
      </c>
    </row>
    <row r="211" customFormat="false" ht="15.75" hidden="false" customHeight="false" outlineLevel="0" collapsed="false">
      <c r="A211" s="2" t="n">
        <v>45535</v>
      </c>
      <c r="B211" s="1" t="s">
        <v>22</v>
      </c>
      <c r="C211" s="1" t="s">
        <v>16</v>
      </c>
      <c r="D211" s="1" t="n">
        <v>366</v>
      </c>
      <c r="E211" s="1" t="n">
        <v>92</v>
      </c>
      <c r="G211" s="1" t="s">
        <v>76</v>
      </c>
      <c r="H211" s="1" t="s">
        <v>19</v>
      </c>
      <c r="I211" s="1" t="s">
        <v>541</v>
      </c>
      <c r="J211" s="1" t="s">
        <v>542</v>
      </c>
      <c r="K211" s="1" t="s">
        <v>542</v>
      </c>
      <c r="M211" s="1" t="n">
        <v>-41</v>
      </c>
      <c r="O211" s="1" t="n">
        <v>3.05785</v>
      </c>
    </row>
    <row r="212" customFormat="false" ht="15.75" hidden="false" customHeight="false" outlineLevel="0" collapsed="false">
      <c r="A212" s="2" t="n">
        <v>45535</v>
      </c>
      <c r="B212" s="1" t="s">
        <v>54</v>
      </c>
      <c r="C212" s="1" t="s">
        <v>16</v>
      </c>
      <c r="D212" s="1" t="n">
        <v>294</v>
      </c>
      <c r="E212" s="1" t="n">
        <v>100</v>
      </c>
      <c r="G212" s="1" t="s">
        <v>18</v>
      </c>
      <c r="H212" s="1" t="s">
        <v>19</v>
      </c>
      <c r="I212" s="1" t="s">
        <v>543</v>
      </c>
      <c r="J212" s="1" t="s">
        <v>544</v>
      </c>
      <c r="K212" s="1" t="s">
        <v>544</v>
      </c>
      <c r="M212" s="1" t="n">
        <v>-3</v>
      </c>
      <c r="O212" s="1" t="n">
        <v>8.85316666666667</v>
      </c>
    </row>
    <row r="213" customFormat="false" ht="15.75" hidden="false" customHeight="false" outlineLevel="0" collapsed="false">
      <c r="A213" s="2" t="n">
        <v>45535</v>
      </c>
      <c r="B213" s="1" t="s">
        <v>15</v>
      </c>
      <c r="C213" s="1" t="s">
        <v>16</v>
      </c>
      <c r="D213" s="1" t="n">
        <v>528</v>
      </c>
      <c r="E213" s="1" t="n">
        <v>0</v>
      </c>
      <c r="F213" s="1" t="s">
        <v>17</v>
      </c>
      <c r="G213" s="1" t="s">
        <v>18</v>
      </c>
      <c r="H213" s="1" t="s">
        <v>19</v>
      </c>
      <c r="I213" s="1" t="s">
        <v>545</v>
      </c>
      <c r="J213" s="1" t="s">
        <v>546</v>
      </c>
      <c r="K213" s="1" t="s">
        <v>546</v>
      </c>
      <c r="M213" s="1" t="n">
        <v>-11</v>
      </c>
      <c r="O213" s="1" t="n">
        <v>8.50121666666667</v>
      </c>
    </row>
    <row r="214" customFormat="false" ht="15.75" hidden="false" customHeight="false" outlineLevel="0" collapsed="false">
      <c r="A214" s="2" t="n">
        <v>45535</v>
      </c>
      <c r="B214" s="1" t="s">
        <v>54</v>
      </c>
      <c r="C214" s="1" t="s">
        <v>16</v>
      </c>
      <c r="D214" s="1" t="n">
        <v>837</v>
      </c>
      <c r="E214" s="1" t="n">
        <v>150</v>
      </c>
      <c r="G214" s="1" t="s">
        <v>18</v>
      </c>
      <c r="H214" s="1" t="s">
        <v>19</v>
      </c>
      <c r="I214" s="1" t="s">
        <v>547</v>
      </c>
      <c r="J214" s="1" t="s">
        <v>548</v>
      </c>
      <c r="K214" s="1" t="s">
        <v>548</v>
      </c>
      <c r="M214" s="1" t="n">
        <v>-2</v>
      </c>
      <c r="O214" s="1" t="n">
        <v>12.1726666666667</v>
      </c>
    </row>
    <row r="215" customFormat="false" ht="15.75" hidden="false" customHeight="false" outlineLevel="0" collapsed="false">
      <c r="A215" s="2" t="n">
        <v>45535</v>
      </c>
      <c r="B215" s="1" t="s">
        <v>15</v>
      </c>
      <c r="C215" s="1" t="s">
        <v>16</v>
      </c>
      <c r="D215" s="1" t="n">
        <v>871</v>
      </c>
      <c r="E215" s="1" t="n">
        <v>0</v>
      </c>
      <c r="F215" s="1" t="s">
        <v>17</v>
      </c>
      <c r="G215" s="1" t="s">
        <v>18</v>
      </c>
      <c r="H215" s="1" t="s">
        <v>19</v>
      </c>
      <c r="I215" s="1" t="s">
        <v>549</v>
      </c>
      <c r="J215" s="1" t="s">
        <v>550</v>
      </c>
      <c r="K215" s="1" t="s">
        <v>550</v>
      </c>
      <c r="M215" s="1" t="n">
        <v>-10</v>
      </c>
      <c r="O215" s="1" t="n">
        <v>9.79791666666667</v>
      </c>
    </row>
    <row r="216" customFormat="false" ht="15.75" hidden="false" customHeight="false" outlineLevel="0" collapsed="false">
      <c r="A216" s="2" t="n">
        <v>45535</v>
      </c>
      <c r="B216" s="1" t="s">
        <v>22</v>
      </c>
      <c r="C216" s="1" t="s">
        <v>16</v>
      </c>
      <c r="D216" s="1" t="n">
        <v>494</v>
      </c>
      <c r="E216" s="1" t="n">
        <v>124</v>
      </c>
      <c r="G216" s="1" t="s">
        <v>76</v>
      </c>
      <c r="H216" s="1" t="s">
        <v>43</v>
      </c>
      <c r="I216" s="1" t="s">
        <v>551</v>
      </c>
      <c r="J216" s="1" t="s">
        <v>552</v>
      </c>
      <c r="K216" s="1" t="s">
        <v>552</v>
      </c>
      <c r="M216" s="1" t="n">
        <v>-18</v>
      </c>
      <c r="O216" s="1" t="n">
        <v>1.10643333333333</v>
      </c>
    </row>
    <row r="217" customFormat="false" ht="15.75" hidden="false" customHeight="false" outlineLevel="0" collapsed="false">
      <c r="A217" s="2" t="n">
        <v>45535</v>
      </c>
      <c r="B217" s="1" t="s">
        <v>31</v>
      </c>
      <c r="C217" s="1" t="s">
        <v>16</v>
      </c>
      <c r="D217" s="1" t="n">
        <v>329</v>
      </c>
      <c r="E217" s="1" t="n">
        <v>0</v>
      </c>
      <c r="F217" s="1" t="s">
        <v>553</v>
      </c>
      <c r="G217" s="1" t="s">
        <v>18</v>
      </c>
      <c r="H217" s="1" t="s">
        <v>19</v>
      </c>
      <c r="I217" s="1" t="s">
        <v>554</v>
      </c>
      <c r="J217" s="1" t="s">
        <v>555</v>
      </c>
      <c r="K217" s="1" t="s">
        <v>555</v>
      </c>
      <c r="M217" s="1" t="n">
        <v>-10</v>
      </c>
      <c r="O217" s="1" t="n">
        <v>4.27151666666667</v>
      </c>
    </row>
    <row r="218" customFormat="false" ht="15.75" hidden="false" customHeight="false" outlineLevel="0" collapsed="false">
      <c r="A218" s="2" t="n">
        <v>45535</v>
      </c>
      <c r="B218" s="1" t="s">
        <v>31</v>
      </c>
      <c r="C218" s="1" t="s">
        <v>16</v>
      </c>
      <c r="D218" s="1" t="n">
        <v>264</v>
      </c>
      <c r="E218" s="1" t="n">
        <v>0</v>
      </c>
      <c r="F218" s="1" t="s">
        <v>553</v>
      </c>
      <c r="G218" s="1" t="s">
        <v>18</v>
      </c>
      <c r="H218" s="1" t="s">
        <v>19</v>
      </c>
      <c r="I218" s="1" t="s">
        <v>556</v>
      </c>
      <c r="J218" s="1" t="s">
        <v>557</v>
      </c>
      <c r="K218" s="1" t="s">
        <v>557</v>
      </c>
      <c r="M218" s="1" t="n">
        <v>-8</v>
      </c>
      <c r="O218" s="1" t="n">
        <v>6.5397</v>
      </c>
    </row>
    <row r="219" customFormat="false" ht="15.75" hidden="false" customHeight="false" outlineLevel="0" collapsed="false">
      <c r="A219" s="2" t="n">
        <v>45535</v>
      </c>
      <c r="B219" s="1" t="s">
        <v>15</v>
      </c>
      <c r="C219" s="1" t="s">
        <v>16</v>
      </c>
      <c r="D219" s="1" t="n">
        <v>823</v>
      </c>
      <c r="E219" s="1" t="n">
        <v>0</v>
      </c>
      <c r="F219" s="1" t="s">
        <v>17</v>
      </c>
      <c r="G219" s="1" t="s">
        <v>18</v>
      </c>
      <c r="H219" s="1" t="s">
        <v>19</v>
      </c>
      <c r="I219" s="1" t="s">
        <v>558</v>
      </c>
      <c r="J219" s="1" t="s">
        <v>559</v>
      </c>
      <c r="K219" s="1" t="s">
        <v>559</v>
      </c>
      <c r="M219" s="1" t="n">
        <v>-12</v>
      </c>
      <c r="O219" s="1" t="n">
        <v>7.26938333333333</v>
      </c>
    </row>
    <row r="220" customFormat="false" ht="15.75" hidden="false" customHeight="false" outlineLevel="0" collapsed="false">
      <c r="A220" s="2" t="n">
        <v>45535</v>
      </c>
      <c r="B220" s="1" t="s">
        <v>54</v>
      </c>
      <c r="C220" s="1" t="s">
        <v>16</v>
      </c>
      <c r="D220" s="1" t="n">
        <v>279</v>
      </c>
      <c r="E220" s="1" t="n">
        <v>50</v>
      </c>
      <c r="G220" s="1" t="s">
        <v>18</v>
      </c>
      <c r="H220" s="1" t="s">
        <v>19</v>
      </c>
      <c r="I220" s="1" t="s">
        <v>560</v>
      </c>
      <c r="J220" s="1" t="s">
        <v>561</v>
      </c>
      <c r="K220" s="1" t="s">
        <v>561</v>
      </c>
      <c r="M220" s="1" t="n">
        <v>-5</v>
      </c>
      <c r="O220" s="1" t="n">
        <v>5.42663333333333</v>
      </c>
    </row>
    <row r="221" customFormat="false" ht="15.75" hidden="false" customHeight="false" outlineLevel="0" collapsed="false">
      <c r="A221" s="2" t="n">
        <v>45535</v>
      </c>
      <c r="B221" s="1" t="s">
        <v>96</v>
      </c>
      <c r="C221" s="1" t="s">
        <v>16</v>
      </c>
      <c r="D221" s="1" t="n">
        <v>238</v>
      </c>
      <c r="E221" s="1" t="n">
        <v>0</v>
      </c>
      <c r="G221" s="1" t="s">
        <v>76</v>
      </c>
      <c r="H221" s="1" t="s">
        <v>43</v>
      </c>
      <c r="I221" s="1" t="s">
        <v>562</v>
      </c>
      <c r="J221" s="1" t="s">
        <v>563</v>
      </c>
      <c r="K221" s="1" t="s">
        <v>563</v>
      </c>
      <c r="M221" s="1" t="n">
        <v>-4</v>
      </c>
      <c r="O221" s="1" t="n">
        <v>0.10775</v>
      </c>
    </row>
    <row r="222" customFormat="false" ht="15.75" hidden="false" customHeight="false" outlineLevel="0" collapsed="false">
      <c r="A222" s="2" t="n">
        <v>45535</v>
      </c>
      <c r="B222" s="1" t="s">
        <v>22</v>
      </c>
      <c r="C222" s="1" t="s">
        <v>16</v>
      </c>
      <c r="D222" s="1" t="n">
        <v>267</v>
      </c>
      <c r="E222" s="1" t="n">
        <v>62</v>
      </c>
      <c r="G222" s="1" t="s">
        <v>76</v>
      </c>
      <c r="H222" s="1" t="s">
        <v>80</v>
      </c>
      <c r="I222" s="1" t="s">
        <v>564</v>
      </c>
      <c r="J222" s="1" t="s">
        <v>565</v>
      </c>
      <c r="K222" s="1" t="s">
        <v>565</v>
      </c>
      <c r="M222" s="1" t="n">
        <v>-19</v>
      </c>
      <c r="O222" s="1" t="n">
        <v>0.800416666666667</v>
      </c>
    </row>
    <row r="223" customFormat="false" ht="15.75" hidden="false" customHeight="false" outlineLevel="0" collapsed="false">
      <c r="A223" s="2" t="n">
        <v>45535</v>
      </c>
      <c r="B223" s="1" t="s">
        <v>54</v>
      </c>
      <c r="C223" s="1" t="s">
        <v>16</v>
      </c>
      <c r="D223" s="1" t="n">
        <v>294</v>
      </c>
      <c r="E223" s="1" t="n">
        <v>0</v>
      </c>
      <c r="G223" s="1" t="s">
        <v>18</v>
      </c>
      <c r="H223" s="1" t="s">
        <v>19</v>
      </c>
      <c r="I223" s="1" t="s">
        <v>566</v>
      </c>
      <c r="J223" s="1" t="s">
        <v>567</v>
      </c>
      <c r="K223" s="1" t="s">
        <v>567</v>
      </c>
      <c r="M223" s="1" t="n">
        <v>-6</v>
      </c>
      <c r="O223" s="1" t="n">
        <v>4.6577</v>
      </c>
    </row>
    <row r="224" customFormat="false" ht="15.75" hidden="false" customHeight="false" outlineLevel="0" collapsed="false">
      <c r="A224" s="2" t="n">
        <v>45535</v>
      </c>
      <c r="B224" s="1" t="s">
        <v>54</v>
      </c>
      <c r="C224" s="1" t="s">
        <v>79</v>
      </c>
      <c r="D224" s="1" t="n">
        <v>369</v>
      </c>
      <c r="E224" s="1" t="n">
        <v>0</v>
      </c>
      <c r="G224" s="1" t="s">
        <v>18</v>
      </c>
      <c r="H224" s="1" t="s">
        <v>19</v>
      </c>
      <c r="I224" s="1" t="s">
        <v>568</v>
      </c>
      <c r="M224" s="1" t="n">
        <v>0</v>
      </c>
    </row>
    <row r="225" customFormat="false" ht="15.75" hidden="false" customHeight="false" outlineLevel="0" collapsed="false">
      <c r="A225" s="2" t="n">
        <v>45535</v>
      </c>
      <c r="B225" s="1" t="s">
        <v>22</v>
      </c>
      <c r="C225" s="1" t="s">
        <v>16</v>
      </c>
      <c r="D225" s="1" t="n">
        <v>417</v>
      </c>
      <c r="E225" s="1" t="n">
        <v>0</v>
      </c>
      <c r="F225" s="1" t="s">
        <v>17</v>
      </c>
      <c r="G225" s="1" t="s">
        <v>24</v>
      </c>
      <c r="H225" s="1" t="s">
        <v>19</v>
      </c>
      <c r="I225" s="1" t="s">
        <v>569</v>
      </c>
      <c r="J225" s="1" t="s">
        <v>570</v>
      </c>
      <c r="K225" s="1" t="s">
        <v>571</v>
      </c>
      <c r="L225" s="1" t="s">
        <v>572</v>
      </c>
      <c r="M225" s="1" t="n">
        <v>-16</v>
      </c>
      <c r="N225" s="1" t="n">
        <v>0.875666666666667</v>
      </c>
      <c r="O225" s="1" t="n">
        <v>4.172</v>
      </c>
    </row>
    <row r="226" customFormat="false" ht="15.75" hidden="false" customHeight="false" outlineLevel="0" collapsed="false">
      <c r="A226" s="2" t="n">
        <v>45535</v>
      </c>
      <c r="B226" s="1" t="s">
        <v>22</v>
      </c>
      <c r="C226" s="1" t="s">
        <v>16</v>
      </c>
      <c r="D226" s="1" t="n">
        <v>475</v>
      </c>
      <c r="E226" s="1" t="n">
        <v>23</v>
      </c>
      <c r="F226" s="1" t="s">
        <v>17</v>
      </c>
      <c r="G226" s="1" t="s">
        <v>24</v>
      </c>
      <c r="H226" s="1" t="s">
        <v>19</v>
      </c>
      <c r="I226" s="1" t="s">
        <v>573</v>
      </c>
      <c r="J226" s="1" t="s">
        <v>574</v>
      </c>
      <c r="K226" s="1" t="s">
        <v>575</v>
      </c>
      <c r="L226" s="1" t="s">
        <v>576</v>
      </c>
      <c r="M226" s="1" t="n">
        <v>-2</v>
      </c>
      <c r="N226" s="1" t="n">
        <v>0.590083333333333</v>
      </c>
      <c r="O226" s="1" t="n">
        <v>5.744</v>
      </c>
    </row>
    <row r="227" customFormat="false" ht="15.75" hidden="false" customHeight="false" outlineLevel="0" collapsed="false">
      <c r="A227" s="2" t="n">
        <v>45535</v>
      </c>
      <c r="B227" s="1" t="s">
        <v>22</v>
      </c>
      <c r="C227" s="1" t="s">
        <v>16</v>
      </c>
      <c r="D227" s="1" t="n">
        <v>199</v>
      </c>
      <c r="E227" s="1" t="n">
        <v>50</v>
      </c>
      <c r="G227" s="1" t="s">
        <v>76</v>
      </c>
      <c r="H227" s="1" t="s">
        <v>80</v>
      </c>
      <c r="I227" s="1" t="s">
        <v>577</v>
      </c>
      <c r="J227" s="1" t="s">
        <v>578</v>
      </c>
      <c r="K227" s="1" t="s">
        <v>578</v>
      </c>
      <c r="M227" s="1" t="n">
        <v>-16</v>
      </c>
      <c r="O227" s="1" t="n">
        <v>2.56771666666667</v>
      </c>
    </row>
    <row r="228" customFormat="false" ht="15.75" hidden="false" customHeight="false" outlineLevel="0" collapsed="false">
      <c r="A228" s="2" t="n">
        <v>45535</v>
      </c>
      <c r="B228" s="1" t="s">
        <v>15</v>
      </c>
      <c r="C228" s="1" t="s">
        <v>16</v>
      </c>
      <c r="D228" s="1" t="n">
        <v>351</v>
      </c>
      <c r="E228" s="1" t="n">
        <v>0</v>
      </c>
      <c r="F228" s="1" t="s">
        <v>17</v>
      </c>
      <c r="G228" s="1" t="s">
        <v>18</v>
      </c>
      <c r="H228" s="1" t="s">
        <v>19</v>
      </c>
      <c r="I228" s="1" t="s">
        <v>579</v>
      </c>
      <c r="J228" s="1" t="s">
        <v>580</v>
      </c>
      <c r="K228" s="1" t="s">
        <v>580</v>
      </c>
      <c r="M228" s="1" t="n">
        <v>-7</v>
      </c>
      <c r="O228" s="1" t="n">
        <v>7.45891666666667</v>
      </c>
    </row>
    <row r="229" customFormat="false" ht="15.75" hidden="false" customHeight="false" outlineLevel="0" collapsed="false">
      <c r="A229" s="2" t="n">
        <v>45535</v>
      </c>
      <c r="B229" s="1" t="s">
        <v>22</v>
      </c>
      <c r="C229" s="1" t="s">
        <v>16</v>
      </c>
      <c r="D229" s="1" t="n">
        <v>199</v>
      </c>
      <c r="E229" s="1" t="n">
        <v>50</v>
      </c>
      <c r="G229" s="1" t="s">
        <v>76</v>
      </c>
      <c r="H229" s="1" t="s">
        <v>80</v>
      </c>
      <c r="I229" s="1" t="s">
        <v>581</v>
      </c>
      <c r="J229" s="1" t="s">
        <v>582</v>
      </c>
      <c r="K229" s="1" t="s">
        <v>582</v>
      </c>
      <c r="M229" s="1" t="n">
        <v>-14</v>
      </c>
      <c r="O229" s="1" t="n">
        <v>5.47968333333333</v>
      </c>
    </row>
    <row r="230" customFormat="false" ht="15.75" hidden="false" customHeight="false" outlineLevel="0" collapsed="false">
      <c r="A230" s="2" t="n">
        <v>45535</v>
      </c>
      <c r="B230" s="1" t="s">
        <v>96</v>
      </c>
      <c r="C230" s="1" t="s">
        <v>16</v>
      </c>
      <c r="D230" s="1" t="n">
        <v>249</v>
      </c>
      <c r="E230" s="1" t="n">
        <v>0</v>
      </c>
      <c r="G230" s="1" t="s">
        <v>76</v>
      </c>
      <c r="H230" s="1" t="s">
        <v>43</v>
      </c>
      <c r="I230" s="1" t="s">
        <v>583</v>
      </c>
      <c r="J230" s="1" t="s">
        <v>584</v>
      </c>
      <c r="K230" s="1" t="s">
        <v>584</v>
      </c>
      <c r="M230" s="1" t="n">
        <v>-4</v>
      </c>
      <c r="O230" s="1" t="n">
        <v>0.0237833333333333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0.25"/>
    <col collapsed="false" customWidth="true" hidden="false" outlineLevel="0" max="2" min="2" style="0" width="16.75"/>
    <col collapsed="false" customWidth="true" hidden="false" outlineLevel="0" max="3" min="3" style="0" width="15.13"/>
    <col collapsed="false" customWidth="true" hidden="false" outlineLevel="0" max="11" min="11" style="0" width="11.63"/>
    <col collapsed="false" customWidth="true" hidden="false" outlineLevel="0" max="12" min="12" style="0" width="16"/>
  </cols>
  <sheetData>
    <row r="1" customFormat="false" ht="31.5" hidden="false" customHeight="false" outlineLevel="0" collapsed="false">
      <c r="A1" s="3"/>
      <c r="B1" s="4" t="s">
        <v>585</v>
      </c>
      <c r="C1" s="5" t="s">
        <v>0</v>
      </c>
      <c r="D1" s="6" t="n">
        <v>46140</v>
      </c>
      <c r="E1" s="6"/>
      <c r="F1" s="7" t="s">
        <v>586</v>
      </c>
      <c r="G1" s="7"/>
      <c r="H1" s="7"/>
      <c r="I1" s="7" t="s">
        <v>587</v>
      </c>
      <c r="J1" s="7"/>
      <c r="K1" s="7"/>
      <c r="L1" s="8" t="s">
        <v>588</v>
      </c>
      <c r="M1" s="8"/>
    </row>
    <row r="2" customFormat="false" ht="19.5" hidden="false" customHeight="true" outlineLevel="0" collapsed="false">
      <c r="A2" s="3"/>
      <c r="B2" s="4"/>
      <c r="C2" s="4"/>
      <c r="D2" s="6"/>
      <c r="E2" s="6"/>
      <c r="F2" s="9" t="str">
        <f aca="false">IFERROR(__xludf.dummyfunction("IF(I2&gt;0, 
    100 / (I2 / 112 * 100 / ((SUM(A12:A21, A25:A31) + (M17 + I32) + IFERROR(SUM(FILTER(HR!W5:W48, LEN(HR!A5:A48) &gt; 0)), 0)) / 100)), 
    ""Zadej tržbu"")
"),"Zadej tržbu")</f>
        <v>Zadej tržbu</v>
      </c>
      <c r="G2" s="9"/>
      <c r="H2" s="9"/>
      <c r="I2" s="10" t="n">
        <f aca="false">SUM(RestiaCSV!C:C) - SUMIFS(RestiaCSV!C:C, RestiaCSV!B:B, "canceled")</f>
        <v>0</v>
      </c>
      <c r="J2" s="10"/>
      <c r="K2" s="10"/>
      <c r="L2" s="11" t="s">
        <v>589</v>
      </c>
      <c r="M2" s="12" t="n">
        <f aca="false">SUMIFS(RestiaCSV!C:C, RestiaCSV!A:A, Report!L2, RestiaCSV!B:B, "&lt;&gt;canceled")</f>
        <v>0</v>
      </c>
    </row>
    <row r="3" customFormat="false" ht="15.75" hidden="false" customHeight="false" outlineLevel="0" collapsed="false">
      <c r="A3" s="3"/>
      <c r="B3" s="13" t="str">
        <f aca="false">CHOOSE(WEEKDAY(D1), "Neděle", "Pondělí", "Úterý", "Středa", "Čtvrtek", "Pátek", "Sobota")</f>
        <v>Úterý</v>
      </c>
      <c r="C3" s="13"/>
      <c r="D3" s="13"/>
      <c r="E3" s="13"/>
      <c r="F3" s="9"/>
      <c r="G3" s="9"/>
      <c r="H3" s="9"/>
      <c r="I3" s="10"/>
      <c r="J3" s="10"/>
      <c r="K3" s="10"/>
      <c r="L3" s="11" t="s">
        <v>590</v>
      </c>
      <c r="M3" s="12" t="n">
        <f aca="false">SUMIFS(RestiaCSV!C:C, RestiaCSV!A:A, Report!L3, RestiaCSV!B:B, "&lt;&gt;canceled")</f>
        <v>0</v>
      </c>
    </row>
    <row r="4" customFormat="false" ht="15.75" hidden="false" customHeight="false" outlineLevel="0" collapsed="false">
      <c r="A4" s="3"/>
      <c r="B4" s="13"/>
      <c r="C4" s="13"/>
      <c r="D4" s="13"/>
      <c r="E4" s="13"/>
      <c r="F4" s="9"/>
      <c r="G4" s="9"/>
      <c r="H4" s="9"/>
      <c r="I4" s="10"/>
      <c r="J4" s="10"/>
      <c r="K4" s="10"/>
      <c r="L4" s="11" t="s">
        <v>591</v>
      </c>
      <c r="M4" s="12" t="n">
        <f aca="false">SUMIFS(RestiaCSV!C:C, RestiaCSV!A:A, "damejidlo", RestiaCSV!G:G, "online", RestiaCSV!B:B, "&lt;&gt;canceled")</f>
        <v>0</v>
      </c>
    </row>
    <row r="5" customFormat="false" ht="15.75" hidden="false" customHeight="false" outlineLevel="0" collapsed="false">
      <c r="A5" s="3"/>
      <c r="B5" s="14" t="s">
        <v>592</v>
      </c>
      <c r="C5" s="14"/>
      <c r="D5" s="14"/>
      <c r="E5" s="14"/>
      <c r="F5" s="14"/>
      <c r="G5" s="14"/>
      <c r="H5" s="14"/>
      <c r="I5" s="14"/>
      <c r="J5" s="14"/>
      <c r="K5" s="14"/>
      <c r="L5" s="15" t="s">
        <v>593</v>
      </c>
      <c r="M5" s="12" t="n">
        <f aca="false">SUMIFS(RestiaCSV!C:C, RestiaCSV!A:A, "generic", RestiaCSV!G:G, "online", RestiaCSV!B:B, "&lt;&gt;canceled")</f>
        <v>0</v>
      </c>
    </row>
    <row r="6" customFormat="false" ht="15.75" hidden="false" customHeight="false" outlineLevel="0" collapsed="false">
      <c r="A6" s="3"/>
      <c r="B6" s="14"/>
      <c r="C6" s="14"/>
      <c r="D6" s="14"/>
      <c r="E6" s="14"/>
      <c r="F6" s="14"/>
      <c r="G6" s="14"/>
      <c r="H6" s="14"/>
      <c r="I6" s="14"/>
      <c r="J6" s="14"/>
      <c r="K6" s="14"/>
      <c r="L6" s="15" t="s">
        <v>594</v>
      </c>
      <c r="M6" s="12" t="n">
        <f aca="false">SUMIFS(RestiaCSV!C:C, RestiaCSV!E:E, "wolt kurýr", RestiaCSV!A:A, "&lt;&gt;wolt", RestiaCSV!G:G, "cash", RestiaCSV!B:B, "&lt;&gt;canceled")</f>
        <v>0</v>
      </c>
    </row>
    <row r="7" customFormat="false" ht="15.75" hidden="false" customHeight="false" outlineLevel="0" collapsed="false">
      <c r="A7" s="3"/>
      <c r="B7" s="16"/>
      <c r="C7" s="16"/>
      <c r="D7" s="16"/>
      <c r="E7" s="16"/>
      <c r="F7" s="17"/>
      <c r="G7" s="17"/>
      <c r="H7" s="17"/>
      <c r="I7" s="17"/>
      <c r="J7" s="18"/>
      <c r="K7" s="18"/>
      <c r="L7" s="19" t="s">
        <v>595</v>
      </c>
      <c r="M7" s="20" t="n">
        <f aca="false">SUMIFS(RestiaCSV!C:C, RestiaCSV!A:A, "damejidlo", RestiaCSV!G:G, "cash", RestiaCSV!B:B, "&lt;&gt;canceled")</f>
        <v>0</v>
      </c>
    </row>
    <row r="8" customFormat="false" ht="17.35" hidden="false" customHeight="false" outlineLevel="0" collapsed="false">
      <c r="A8" s="3"/>
      <c r="B8" s="16"/>
      <c r="C8" s="16"/>
      <c r="D8" s="16"/>
      <c r="E8" s="16"/>
      <c r="F8" s="17"/>
      <c r="G8" s="17"/>
      <c r="H8" s="17"/>
      <c r="I8" s="17"/>
      <c r="J8" s="18"/>
      <c r="K8" s="18"/>
      <c r="L8" s="21" t="s">
        <v>596</v>
      </c>
      <c r="M8" s="21"/>
    </row>
    <row r="9" customFormat="false" ht="15.75" hidden="false" customHeight="false" outlineLevel="0" collapsed="false">
      <c r="A9" s="3"/>
      <c r="B9" s="16"/>
      <c r="C9" s="16"/>
      <c r="D9" s="16"/>
      <c r="E9" s="16"/>
      <c r="F9" s="17"/>
      <c r="G9" s="17"/>
      <c r="H9" s="17"/>
      <c r="I9" s="17"/>
      <c r="J9" s="18"/>
      <c r="K9" s="18"/>
      <c r="L9" s="11" t="s">
        <v>597</v>
      </c>
      <c r="M9" s="22"/>
    </row>
    <row r="10" customFormat="false" ht="18.55" hidden="false" customHeight="false" outlineLevel="0" collapsed="false">
      <c r="A10" s="3"/>
      <c r="B10" s="23" t="s">
        <v>598</v>
      </c>
      <c r="C10" s="23"/>
      <c r="D10" s="23"/>
      <c r="E10" s="23"/>
      <c r="F10" s="23"/>
      <c r="G10" s="24" t="s">
        <v>599</v>
      </c>
      <c r="H10" s="24"/>
      <c r="I10" s="24"/>
      <c r="J10" s="25" t="s">
        <v>600</v>
      </c>
      <c r="K10" s="25"/>
      <c r="L10" s="11" t="s">
        <v>601</v>
      </c>
      <c r="M10" s="22"/>
    </row>
    <row r="11" customFormat="false" ht="15.75" hidden="false" customHeight="false" outlineLevel="0" collapsed="false">
      <c r="A11" s="26"/>
      <c r="B11" s="27" t="s">
        <v>602</v>
      </c>
      <c r="C11" s="28" t="s">
        <v>603</v>
      </c>
      <c r="D11" s="28" t="s">
        <v>604</v>
      </c>
      <c r="E11" s="28" t="s">
        <v>605</v>
      </c>
      <c r="F11" s="29" t="s">
        <v>606</v>
      </c>
      <c r="G11" s="30"/>
      <c r="H11" s="30"/>
      <c r="I11" s="30"/>
      <c r="J11" s="31" t="n">
        <f aca="false">M2+M3+M4+M5+M6+M13+M14+M15+M16+M17+M9+M10+M11-I2</f>
        <v>0</v>
      </c>
      <c r="K11" s="31"/>
      <c r="L11" s="32" t="s">
        <v>596</v>
      </c>
      <c r="M11" s="33"/>
    </row>
    <row r="12" customFormat="false" ht="17.35" hidden="false" customHeight="false" outlineLevel="0" collapsed="false">
      <c r="A12" s="34" t="n">
        <f aca="false" t="array" ref="A12:A12">IF(ISBLANK(B12), 0, IF(ISNUMBER(MATCH(B12, HR!A:A, 0)), 0, IF(ISNUMBER(MATCH(B12, HR!B:B, 0)), INDEX(HR!V:V, MATCH(B12, HR!B:B, 0)) * (F12 * 24), 0)))</f>
        <v>0</v>
      </c>
      <c r="B12" s="35"/>
      <c r="C12" s="36"/>
      <c r="D12" s="36"/>
      <c r="E12" s="37"/>
      <c r="F12" s="38" t="str">
        <f aca="false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</f>
        <v>0:00</v>
      </c>
      <c r="G12" s="30"/>
      <c r="H12" s="30"/>
      <c r="I12" s="30"/>
      <c r="J12" s="31"/>
      <c r="K12" s="31"/>
      <c r="L12" s="24" t="s">
        <v>607</v>
      </c>
      <c r="M12" s="24"/>
    </row>
    <row r="13" customFormat="false" ht="15.75" hidden="false" customHeight="false" outlineLevel="0" collapsed="false">
      <c r="A13" s="34" t="n">
        <f aca="false" t="array" ref="A13:A13">IF(ISBLANK(B13), 0, IF(ISNUMBER(MATCH(B13, HR!A:A, 0)), 0, IF(ISNUMBER(MATCH(B13, HR!B:B, 0)), INDEX(HR!V:V, MATCH(B13, HR!B:B, 0)) * (F13 * 24), 0)))</f>
        <v>0</v>
      </c>
      <c r="B13" s="35"/>
      <c r="C13" s="36"/>
      <c r="D13" s="36"/>
      <c r="E13" s="37"/>
      <c r="F13" s="38" t="str">
        <f aca="false">IF(OR(ISBLANK(B13), ISBLANK(D13), D13=0), "0:00", TEXT((IF(AND(TIMEVALUE(IF(ISBLANK(D13), "00:00", D13))&gt;=TIMEVALUE("00:00"), TIMEVALUE(IF(ISBLANK(D13), "00:00", D13))&lt;=TIMEVALUE("06:00")), TIMEVALUE(IF(ISBLANK(D13), "00:00", D13))+1, TIMEVALUE(IF(ISBLANK(D13), "00:00", D13))) - TIMEVALUE(IF(ISBLANK(C13), "00:00", C13)) - TIMEVALUE(IF(ISBLANK(E13), "00:00", E13))), "hh:mm"))</f>
        <v>0:00</v>
      </c>
      <c r="G13" s="30"/>
      <c r="H13" s="30"/>
      <c r="I13" s="30"/>
      <c r="J13" s="31"/>
      <c r="K13" s="31"/>
      <c r="L13" s="11" t="s">
        <v>608</v>
      </c>
      <c r="M13" s="22"/>
    </row>
    <row r="14" customFormat="false" ht="15.75" hidden="false" customHeight="false" outlineLevel="0" collapsed="false">
      <c r="A14" s="34" t="n">
        <f aca="false" t="array" ref="A14:A14">IF(ISBLANK(B14), 0, IF(ISNUMBER(MATCH(B14, HR!A:A, 0)), 0, IF(ISNUMBER(MATCH(B14, HR!B:B, 0)), INDEX(HR!V:V, MATCH(B14, HR!B:B, 0)) * (F14 * 24), 0)))</f>
        <v>0</v>
      </c>
      <c r="B14" s="35"/>
      <c r="C14" s="36"/>
      <c r="D14" s="36"/>
      <c r="E14" s="39"/>
      <c r="F14" s="38" t="str">
        <f aca="false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</f>
        <v>0:00</v>
      </c>
      <c r="G14" s="40"/>
      <c r="H14" s="40"/>
      <c r="I14" s="40"/>
      <c r="J14" s="31"/>
      <c r="K14" s="31"/>
      <c r="L14" s="41" t="s">
        <v>609</v>
      </c>
      <c r="M14" s="22"/>
    </row>
    <row r="15" customFormat="false" ht="15.75" hidden="false" customHeight="false" outlineLevel="0" collapsed="false">
      <c r="A15" s="34" t="n">
        <f aca="false" t="array" ref="A15:A15">IF(ISBLANK(B15), 0, IF(ISNUMBER(MATCH(B15, HR!A:A, 0)), 0, IF(ISNUMBER(MATCH(B15, HR!B:B, 0)), INDEX(HR!V:V, MATCH(B15, HR!B:B, 0)) * (F15 * 24), 0)))</f>
        <v>0</v>
      </c>
      <c r="B15" s="35"/>
      <c r="C15" s="36"/>
      <c r="D15" s="36"/>
      <c r="E15" s="42"/>
      <c r="F15" s="38" t="str">
        <f aca="false"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TIMEVALUE(IF(ISBLANK(C15), "00:00", C15)) - TIMEVALUE(IF(ISBLANK(E15), "00:00", E15))), "hh:mm"))</f>
        <v>0:00</v>
      </c>
      <c r="G15" s="40"/>
      <c r="H15" s="40"/>
      <c r="I15" s="40"/>
      <c r="J15" s="31"/>
      <c r="K15" s="31"/>
      <c r="L15" s="41" t="s">
        <v>610</v>
      </c>
      <c r="M15" s="22"/>
    </row>
    <row r="16" customFormat="false" ht="15.75" hidden="false" customHeight="false" outlineLevel="0" collapsed="false">
      <c r="A16" s="34" t="n">
        <f aca="false" t="array" ref="A16:A16">IF(ISBLANK(B16), 0, IF(ISNUMBER(MATCH(B16, HR!A:A, 0)), 0, IF(ISNUMBER(MATCH(B16, HR!B:B, 0)), INDEX(HR!V:V, MATCH(B16, HR!B:B, 0)) * (F16 * 24), 0)))</f>
        <v>0</v>
      </c>
      <c r="B16" s="35"/>
      <c r="C16" s="36"/>
      <c r="D16" s="36"/>
      <c r="E16" s="42"/>
      <c r="F16" s="38" t="str">
        <f aca="false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</f>
        <v>0:00</v>
      </c>
      <c r="G16" s="40"/>
      <c r="H16" s="40"/>
      <c r="I16" s="40"/>
      <c r="J16" s="31"/>
      <c r="K16" s="31"/>
      <c r="L16" s="41" t="s">
        <v>611</v>
      </c>
      <c r="M16" s="22"/>
    </row>
    <row r="17" customFormat="false" ht="15.75" hidden="false" customHeight="false" outlineLevel="0" collapsed="false">
      <c r="A17" s="34" t="n">
        <f aca="false" t="array" ref="A17:A17">IF(ISBLANK(B17), 0, IF(ISNUMBER(MATCH(B17, HR!A:A, 0)), 0, IF(ISNUMBER(MATCH(B17, HR!B:B, 0)), INDEX(HR!V:V, MATCH(B17, HR!B:B, 0)) * (F17 * 24), 0)))</f>
        <v>0</v>
      </c>
      <c r="B17" s="35"/>
      <c r="C17" s="36"/>
      <c r="D17" s="36"/>
      <c r="E17" s="37"/>
      <c r="F17" s="38" t="str">
        <f aca="false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</f>
        <v>0:00</v>
      </c>
      <c r="G17" s="40"/>
      <c r="H17" s="40"/>
      <c r="I17" s="40"/>
      <c r="J17" s="31"/>
      <c r="K17" s="31"/>
      <c r="L17" s="43" t="s">
        <v>612</v>
      </c>
      <c r="M17" s="44" t="n">
        <f aca="false">SUM(I25:I31)</f>
        <v>0</v>
      </c>
    </row>
    <row r="18" customFormat="false" ht="21.75" hidden="false" customHeight="true" outlineLevel="0" collapsed="false">
      <c r="A18" s="34" t="n">
        <f aca="false" t="array" ref="A18:A18">IF(ISBLANK(B18), 0, IF(ISNUMBER(MATCH(B18, HR!A:A, 0)), 0, IF(ISNUMBER(MATCH(B18, HR!B:B, 0)), INDEX(HR!V:V, MATCH(B18, HR!B:B, 0)) * (F18 * 24), 0)))</f>
        <v>0</v>
      </c>
      <c r="B18" s="35"/>
      <c r="C18" s="36"/>
      <c r="D18" s="36"/>
      <c r="E18" s="42"/>
      <c r="F18" s="38" t="str">
        <f aca="false">IF(OR(ISBLANK(B18), ISBLANK(D18), D18=0), "0:00", TEXT((IF(AND(TIMEVALUE(IF(ISBLANK(D18), "00:00", D18))&gt;=TIMEVALUE("00:00"), TIMEVALUE(IF(ISBLANK(D18), "00:00", D18))&lt;=TIMEVALUE("06:00")), TIMEVALUE(IF(ISBLANK(D18), "00:00", D18))+1, TIMEVALUE(IF(ISBLANK(D18), "00:00", D18))) - TIMEVALUE(IF(ISBLANK(C18), "00:00", C18)) - TIMEVALUE(IF(ISBLANK(E18), "00:00", E18))), "hh:mm"))</f>
        <v>0:00</v>
      </c>
      <c r="G18" s="24" t="s">
        <v>613</v>
      </c>
      <c r="H18" s="24"/>
      <c r="I18" s="24"/>
      <c r="J18" s="45"/>
      <c r="K18" s="45"/>
      <c r="L18" s="45"/>
      <c r="M18" s="45"/>
    </row>
    <row r="19" customFormat="false" ht="15.75" hidden="false" customHeight="false" outlineLevel="0" collapsed="false">
      <c r="A19" s="34" t="n">
        <f aca="false" t="array" ref="A19:A19">IF(ISBLANK(B19), 0, IF(ISNUMBER(MATCH(B19, HR!A:A, 0)), 0, IF(ISNUMBER(MATCH(B19, HR!B:B, 0)), INDEX(HR!V:V, MATCH(B19, HR!B:B, 0)) * (F19 * 24), 0)))</f>
        <v>0</v>
      </c>
      <c r="B19" s="35"/>
      <c r="C19" s="36"/>
      <c r="D19" s="36"/>
      <c r="E19" s="42"/>
      <c r="F19" s="38" t="str">
        <f aca="false">IF(OR(ISBLANK(B19), ISBLANK(D19), D19=0), "0:00", TEXT((IF(AND(TIMEVALUE(IF(ISBLANK(D19), "00:00", D19))&gt;=TIMEVALUE("00:00"), TIMEVALUE(IF(ISBLANK(D19), "00:00", D19))&lt;=TIMEVALUE("06:00")), TIMEVALUE(IF(ISBLANK(D19), "00:00", D19))+1, TIMEVALUE(IF(ISBLANK(D19), "00:00", D19))) - TIMEVALUE(IF(ISBLANK(C19), "00:00", C19)) - TIMEVALUE(IF(ISBLANK(E19), "00:00", E19))), "hh:mm"))</f>
        <v>0:00</v>
      </c>
      <c r="G19" s="30"/>
      <c r="H19" s="30"/>
      <c r="I19" s="30"/>
      <c r="J19" s="45"/>
      <c r="K19" s="45"/>
      <c r="L19" s="45"/>
      <c r="M19" s="45"/>
    </row>
    <row r="20" customFormat="false" ht="15.75" hidden="false" customHeight="false" outlineLevel="0" collapsed="false">
      <c r="A20" s="34" t="n">
        <f aca="false" t="array" ref="A20:A20">IF(ISBLANK(B20), 0, IF(ISNUMBER(MATCH(B20, HR!A:A, 0)), 0, IF(ISNUMBER(MATCH(B20, HR!B:B, 0)), INDEX(HR!V:V, MATCH(B20, HR!B:B, 0)) * (F20 * 24), 0)))</f>
        <v>0</v>
      </c>
      <c r="B20" s="35"/>
      <c r="C20" s="46"/>
      <c r="D20" s="46"/>
      <c r="E20" s="42"/>
      <c r="F20" s="38" t="str">
        <f aca="false">IF(OR(ISBLANK(B20), ISBLANK(D20), D20=0), "0:00", TEXT((IF(AND(TIMEVALUE(IF(ISBLANK(D20), "00:00", D20))&gt;=TIMEVALUE("00:00"), TIMEVALUE(IF(ISBLANK(D20), "00:00", D20))&lt;=TIMEVALUE("06:00")), TIMEVALUE(IF(ISBLANK(D20), "00:00", D20))+1, TIMEVALUE(IF(ISBLANK(D20), "00:00", D20))) - TIMEVALUE(IF(ISBLANK(C20), "00:00", C20)) - TIMEVALUE(IF(ISBLANK(E20), "00:00", E20))), "hh:mm"))</f>
        <v>0:00</v>
      </c>
      <c r="G20" s="30"/>
      <c r="H20" s="30"/>
      <c r="I20" s="30"/>
      <c r="J20" s="45"/>
      <c r="K20" s="45"/>
      <c r="L20" s="45"/>
      <c r="M20" s="45"/>
    </row>
    <row r="21" customFormat="false" ht="23.25" hidden="false" customHeight="true" outlineLevel="0" collapsed="false">
      <c r="A21" s="34" t="n">
        <f aca="false" t="array" ref="A21:A21">IF(ISBLANK(B21), 0, IF(ISNUMBER(MATCH(B21, HR!A:A, 0)), 0, IF(ISNUMBER(MATCH(B21, HR!B:B, 0)), INDEX(HR!V:V, MATCH(B21, HR!B:B, 0)) * (F21 * 24), 0)))</f>
        <v>0</v>
      </c>
      <c r="B21" s="47"/>
      <c r="C21" s="48"/>
      <c r="D21" s="48"/>
      <c r="E21" s="49"/>
      <c r="F21" s="50" t="str">
        <f aca="false">IF(OR(ISBLANK(B21), ISBLANK(D21), D21=0), "0:00", TEXT((IF(AND(TIMEVALUE(IF(ISBLANK(D21), "00:00", D21))&gt;=TIMEVALUE("00:00"), TIMEVALUE(IF(ISBLANK(D21), "00:00", D21))&lt;=TIMEVALUE("06:00")), TIMEVALUE(IF(ISBLANK(D21), "00:00", D21))+1, TIMEVALUE(IF(ISBLANK(D21), "00:00", D21))) - TIMEVALUE(IF(ISBLANK(C21), "00:00", C21)) - TIMEVALUE(IF(ISBLANK(E21), "00:00", E21))), "hh:mm"))</f>
        <v>0:00</v>
      </c>
      <c r="G21" s="30"/>
      <c r="H21" s="30"/>
      <c r="I21" s="30"/>
      <c r="J21" s="45"/>
      <c r="K21" s="45"/>
      <c r="L21" s="45"/>
      <c r="M21" s="45"/>
    </row>
    <row r="22" customFormat="false" ht="52.2" hidden="false" customHeight="false" outlineLevel="0" collapsed="false">
      <c r="A22" s="51"/>
      <c r="B22" s="52"/>
      <c r="C22" s="52"/>
      <c r="D22" s="52"/>
      <c r="E22" s="52"/>
      <c r="F22" s="52"/>
      <c r="G22" s="52"/>
      <c r="H22" s="52"/>
      <c r="I22" s="52"/>
      <c r="J22" s="53" t="s">
        <v>614</v>
      </c>
      <c r="K22" s="53" t="s">
        <v>615</v>
      </c>
      <c r="L22" s="54" t="s">
        <v>616</v>
      </c>
      <c r="M22" s="54" t="s">
        <v>617</v>
      </c>
    </row>
    <row r="23" customFormat="false" ht="18.55" hidden="false" customHeight="false" outlineLevel="0" collapsed="false">
      <c r="A23" s="51"/>
      <c r="B23" s="23" t="s">
        <v>5</v>
      </c>
      <c r="C23" s="23"/>
      <c r="D23" s="23"/>
      <c r="E23" s="23"/>
      <c r="F23" s="23"/>
      <c r="G23" s="23"/>
      <c r="H23" s="23"/>
      <c r="I23" s="23"/>
      <c r="J23" s="55" t="n">
        <f aca="false">COUNTIF(RestiaCSV!B:B, "canceled")</f>
        <v>0</v>
      </c>
      <c r="K23" s="56" t="n">
        <f aca="false">SUMIF(RestiaCSV!B:B, "canceled", RestiaCSV!C:C)</f>
        <v>0</v>
      </c>
      <c r="L23" s="57" t="n">
        <f aca="false">COUNTIFS(RestiaCSV!L:L, "&gt;5", RestiaCSV!F:F, "delivery")</f>
        <v>0</v>
      </c>
      <c r="M23" s="55" t="e">
        <f aca="false"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customFormat="false" ht="21.75" hidden="false" customHeight="true" outlineLevel="0" collapsed="false">
      <c r="A24" s="51"/>
      <c r="B24" s="27" t="s">
        <v>602</v>
      </c>
      <c r="C24" s="28" t="s">
        <v>603</v>
      </c>
      <c r="D24" s="28" t="s">
        <v>604</v>
      </c>
      <c r="E24" s="28" t="s">
        <v>605</v>
      </c>
      <c r="F24" s="58" t="s">
        <v>606</v>
      </c>
      <c r="G24" s="58" t="s">
        <v>618</v>
      </c>
      <c r="H24" s="58" t="s">
        <v>619</v>
      </c>
      <c r="I24" s="59" t="s">
        <v>620</v>
      </c>
      <c r="J24" s="54" t="s">
        <v>621</v>
      </c>
      <c r="K24" s="53" t="s">
        <v>622</v>
      </c>
      <c r="L24" s="54" t="s">
        <v>623</v>
      </c>
      <c r="M24" s="53" t="s">
        <v>624</v>
      </c>
    </row>
    <row r="25" customFormat="false" ht="15.75" hidden="false" customHeight="false" outlineLevel="0" collapsed="false">
      <c r="A25" s="34" t="n">
        <f aca="false" t="array" ref="A25:A25">IF(ISBLANK(B25), 0, IF(ISNUMBER(MATCH(B25, HR!A:A, 0)), 0, IF(ISNUMBER(MATCH(B25, HR!B:B, 0)), INDEX(HR!V:V, MATCH(B25, HR!B:B, 0)) * (F25 * 24), 0)))</f>
        <v>0</v>
      </c>
      <c r="B25" s="35"/>
      <c r="C25" s="60"/>
      <c r="D25" s="60"/>
      <c r="E25" s="60"/>
      <c r="F25" s="61" t="str">
        <f aca="false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</f>
        <v>0:00</v>
      </c>
      <c r="G25" s="62" t="n">
        <f aca="false">COUNTIF(RestiaCSV!E:E, B25)</f>
        <v>0</v>
      </c>
      <c r="H25" s="63" t="b">
        <f aca="false">TRUE()</f>
        <v>1</v>
      </c>
      <c r="I25" s="64" t="n">
        <f aca="false">IF(H25,G25*45, 0)</f>
        <v>0</v>
      </c>
      <c r="J25" s="54"/>
      <c r="K25" s="54"/>
      <c r="L25" s="54"/>
      <c r="M25" s="54"/>
    </row>
    <row r="26" customFormat="false" ht="15.75" hidden="false" customHeight="false" outlineLevel="0" collapsed="false">
      <c r="A26" s="34" t="n">
        <f aca="false" t="array" ref="A26:A26">IF(ISBLANK(B26), 0, IF(ISNUMBER(MATCH(B26, HR!A:A, 0)), 0, IF(ISNUMBER(MATCH(B26, HR!B:B, 0)), INDEX(HR!V:V, MATCH(B26, HR!B:B, 0)) * (F26 * 24), 0)))</f>
        <v>0</v>
      </c>
      <c r="B26" s="35"/>
      <c r="C26" s="60"/>
      <c r="D26" s="60"/>
      <c r="E26" s="65"/>
      <c r="F26" s="61" t="str">
        <f aca="false">IF(OR(ISBLANK(B26), ISBLANK(D26), D26=0), "0:00", TEXT((IF(AND(TIMEVALUE(IF(ISBLANK(D26), "00:00", D26))&gt;=TIMEVALUE("00:00"), TIMEVALUE(IF(ISBLANK(D26), "00:00", D26))&lt;=TIMEVALUE("06:00")), TIMEVALUE(IF(ISBLANK(D26), "00:00", D26))+1, TIMEVALUE(IF(ISBLANK(D26), "00:00", D26))) - TIMEVALUE(IF(ISBLANK(C26), "00:00", C26)) - TIMEVALUE(IF(ISBLANK(E26), "00:00", E26))), "hh:mm"))</f>
        <v>0:00</v>
      </c>
      <c r="G26" s="62" t="n">
        <f aca="false">COUNTIF(RestiaCSV!E:E, B26)</f>
        <v>0</v>
      </c>
      <c r="H26" s="63" t="b">
        <f aca="false">TRUE()</f>
        <v>1</v>
      </c>
      <c r="I26" s="64" t="n">
        <f aca="false">IF(H26,G26*45, 0)</f>
        <v>0</v>
      </c>
      <c r="J26" s="66" t="n">
        <f aca="false">COUNTIF(I25:I31, "&gt;0")</f>
        <v>0</v>
      </c>
      <c r="K26" s="57" t="n">
        <f aca="false">IFERROR(__xludf.dummyfunction("COUNTA(FILTER(RestiaCSV!B2:B32, RestiaCSV!B2:B32 &lt;&gt; ""canceled""))"),0)</f>
        <v>0</v>
      </c>
      <c r="L26" s="57" t="n">
        <f aca="false">COUNTIF(RestiaCSV!F1:F32, "delivery")</f>
        <v>0</v>
      </c>
      <c r="M26" s="67" t="n">
        <f aca="false">COUNTIFS(RestiaCSV!M:M, "&gt;5",RestiaCSV!A:A, "&lt;&gt;wolt")</f>
        <v>0</v>
      </c>
    </row>
    <row r="27" customFormat="false" ht="20.25" hidden="false" customHeight="true" outlineLevel="0" collapsed="false">
      <c r="A27" s="34" t="n">
        <f aca="false" t="array" ref="A27:A27">IF(ISBLANK(B27), 0, IF(ISNUMBER(MATCH(B27, HR!A:A, 0)), 0, IF(ISNUMBER(MATCH(B27, HR!B:B, 0)), INDEX(HR!V:V, MATCH(B27, HR!B:B, 0)) * (F27 * 24), 0)))</f>
        <v>0</v>
      </c>
      <c r="B27" s="35"/>
      <c r="C27" s="60"/>
      <c r="D27" s="60"/>
      <c r="E27" s="65"/>
      <c r="F27" s="61" t="str">
        <f aca="false">IF(OR(ISBLANK(B27), ISBLANK(D27), D27=0), "0:00", TEXT((IF(AND(TIMEVALUE(IF(ISBLANK(D27), "00:00", D27))&gt;=TIMEVALUE("00:00"), TIMEVALUE(IF(ISBLANK(D27), "00:00", D27))&lt;=TIMEVALUE("06:00")), TIMEVALUE(IF(ISBLANK(D27), "00:00", D27))+1, TIMEVALUE(IF(ISBLANK(D27), "00:00", D27))) - TIMEVALUE(IF(ISBLANK(C27), "00:00", C27)) - TIMEVALUE(IF(ISBLANK(E27), "00:00", E27))), "hh:mm"))</f>
        <v>0:00</v>
      </c>
      <c r="G27" s="62" t="n">
        <f aca="false">COUNTIF(RestiaCSV!E:E, B27)</f>
        <v>0</v>
      </c>
      <c r="H27" s="63" t="b">
        <f aca="false">TRUE()</f>
        <v>1</v>
      </c>
      <c r="I27" s="64" t="n">
        <f aca="false">IF(H27,G27*45, 0)</f>
        <v>0</v>
      </c>
      <c r="J27" s="54" t="s">
        <v>625</v>
      </c>
      <c r="K27" s="54"/>
      <c r="L27" s="54" t="s">
        <v>626</v>
      </c>
      <c r="M27" s="53" t="s">
        <v>627</v>
      </c>
    </row>
    <row r="28" customFormat="false" ht="22.5" hidden="false" customHeight="true" outlineLevel="0" collapsed="false">
      <c r="A28" s="34" t="n">
        <f aca="false" t="array" ref="A28:A28">IF(ISBLANK(B28), 0, IF(ISNUMBER(MATCH(B28, HR!A:A, 0)), 0, IF(ISNUMBER(MATCH(B28, HR!B:B, 0)), INDEX(HR!V:V, MATCH(B28, HR!B:B, 0)) * (F28 * 24), 0)))</f>
        <v>0</v>
      </c>
      <c r="B28" s="35"/>
      <c r="C28" s="60"/>
      <c r="D28" s="60"/>
      <c r="E28" s="65"/>
      <c r="F28" s="61" t="str">
        <f aca="false">IF(OR(ISBLANK(B28), ISBLANK(D28), D28=0), "0:00", TEXT((IF(AND(TIMEVALUE(IF(ISBLANK(D28), "00:00", D28))&gt;=TIMEVALUE("00:00"), TIMEVALUE(IF(ISBLANK(D28), "00:00", D28))&lt;=TIMEVALUE("06:00")), TIMEVALUE(IF(ISBLANK(D28), "00:00", D28))+1, TIMEVALUE(IF(ISBLANK(D28), "00:00", D28))) - TIMEVALUE(IF(ISBLANK(C28), "00:00", C28)) - TIMEVALUE(IF(ISBLANK(E28), "00:00", E28))), "hh:mm"))</f>
        <v>0:00</v>
      </c>
      <c r="G28" s="62" t="n">
        <f aca="false">COUNTIF(RestiaCSV!E:E, B28)</f>
        <v>0</v>
      </c>
      <c r="H28" s="63" t="b">
        <f aca="false">FALSE()</f>
        <v>0</v>
      </c>
      <c r="I28" s="64" t="n">
        <f aca="false">IF(H28,G28*45, 0)</f>
        <v>0</v>
      </c>
      <c r="J28" s="54"/>
      <c r="K28" s="54"/>
      <c r="L28" s="54"/>
      <c r="M28" s="54"/>
    </row>
    <row r="29" customFormat="false" ht="15.75" hidden="false" customHeight="false" outlineLevel="0" collapsed="false">
      <c r="A29" s="34" t="n">
        <f aca="false" t="array" ref="A29:A29">IF(ISBLANK(B29), 0, IF(ISNUMBER(MATCH(B29, HR!A:A, 0)), 0, IF(ISNUMBER(MATCH(B29, HR!B:B, 0)), INDEX(HR!V:V, MATCH(B29, HR!B:B, 0)) * (F29 * 24), 0)))</f>
        <v>0</v>
      </c>
      <c r="B29" s="35"/>
      <c r="C29" s="60"/>
      <c r="D29" s="60"/>
      <c r="E29" s="65"/>
      <c r="F29" s="61" t="str">
        <f aca="false">IF(OR(ISBLANK(B29), ISBLANK(D29), D29=0), "0:00", TEXT((IF(AND(TIMEVALUE(IF(ISBLANK(D29), "00:00", D29))&gt;=TIMEVALUE("00:00"), TIMEVALUE(IF(ISBLANK(D29), "00:00", D29))&lt;=TIMEVALUE("06:00")), TIMEVALUE(IF(ISBLANK(D29), "00:00", D29))+1, TIMEVALUE(IF(ISBLANK(D29), "00:00", D29))) - TIMEVALUE(IF(ISBLANK(C29), "00:00", C29)) - TIMEVALUE(IF(ISBLANK(E29), "00:00", E29))), "hh:mm"))</f>
        <v>0:00</v>
      </c>
      <c r="G29" s="62" t="n">
        <f aca="false">COUNTIF(RestiaCSV!E:E, B29)</f>
        <v>0</v>
      </c>
      <c r="H29" s="63" t="b">
        <f aca="false">FALSE()</f>
        <v>0</v>
      </c>
      <c r="I29" s="64" t="n">
        <f aca="false">IF(H29,G29*45, 0)</f>
        <v>0</v>
      </c>
      <c r="J29" s="68" t="n">
        <f aca="false">COUNTIFS(RestiaCSV!M:M, "&gt;5", RestiaCSV!L:L, "&gt;5")</f>
        <v>0</v>
      </c>
      <c r="K29" s="68"/>
      <c r="L29" s="69" t="e">
        <f aca="false">L23/L26</f>
        <v>#DIV/0!</v>
      </c>
      <c r="M29" s="57" t="n">
        <f aca="false">COUNTIFS(RestiaCSV!L:L, "&gt;5", RestiaCSV!F:F, "delivery", RestiaCSV!E:E, "Wolt Kurýr")</f>
        <v>0</v>
      </c>
    </row>
    <row r="30" customFormat="false" ht="15.75" hidden="false" customHeight="true" outlineLevel="0" collapsed="false">
      <c r="A30" s="34" t="n">
        <f aca="false" t="array" ref="A30:A30">IF(ISBLANK(B30), 0, IF(ISNUMBER(MATCH(B30, HR!A:A, 0)), 0, IF(ISNUMBER(MATCH(B30, HR!B:B, 0)), INDEX(HR!V:V, MATCH(B30, HR!B:B, 0)) * (F30 * 24), 0)))</f>
        <v>0</v>
      </c>
      <c r="B30" s="35"/>
      <c r="C30" s="60"/>
      <c r="D30" s="60"/>
      <c r="E30" s="65"/>
      <c r="F30" s="61" t="str">
        <f aca="false">IF(OR(ISBLANK(B30), ISBLANK(D30), D30=0), "0:00", TEXT((IF(AND(TIMEVALUE(IF(ISBLANK(D30), "00:00", D30))&gt;=TIMEVALUE("00:00"), TIMEVALUE(IF(ISBLANK(D30), "00:00", D30))&lt;=TIMEVALUE("06:00")), TIMEVALUE(IF(ISBLANK(D30), "00:00", D30))+1, TIMEVALUE(IF(ISBLANK(D30), "00:00", D30))) - TIMEVALUE(IF(ISBLANK(C30), "00:00", C30)) - TIMEVALUE(IF(ISBLANK(E30), "00:00", E30))), "hh:mm"))</f>
        <v>0:00</v>
      </c>
      <c r="G30" s="62" t="n">
        <f aca="false">COUNTIF(RestiaCSV!E:E, B30)</f>
        <v>0</v>
      </c>
      <c r="H30" s="63" t="b">
        <f aca="false">FALSE()</f>
        <v>0</v>
      </c>
      <c r="I30" s="64" t="n">
        <f aca="false">IF(H30,G30*45, 0)</f>
        <v>0</v>
      </c>
      <c r="J30" s="70"/>
      <c r="K30" s="70"/>
      <c r="L30" s="53" t="s">
        <v>628</v>
      </c>
      <c r="M30" s="53" t="s">
        <v>629</v>
      </c>
    </row>
    <row r="31" customFormat="false" ht="15.75" hidden="false" customHeight="false" outlineLevel="0" collapsed="false">
      <c r="A31" s="34" t="n">
        <f aca="false" t="array" ref="A31:A31">IF(ISBLANK(B31), 0, IF(ISNUMBER(MATCH(B31, HR!A:A, 0)), 0, IF(ISNUMBER(MATCH(B31, HR!B:B, 0)), INDEX(HR!V:V, MATCH(B31, HR!B:B, 0)) * (F31 * 24), 0)))</f>
        <v>0</v>
      </c>
      <c r="B31" s="35"/>
      <c r="C31" s="60"/>
      <c r="D31" s="60"/>
      <c r="E31" s="65"/>
      <c r="F31" s="61" t="str">
        <f aca="false">IF(OR(ISBLANK(B31), ISBLANK(D31), D31=0), "0:00", TEXT((IF(AND(TIMEVALUE(IF(ISBLANK(D31), "00:00", D31))&gt;=TIMEVALUE("00:00"), TIMEVALUE(IF(ISBLANK(D31), "00:00", D31))&lt;=TIMEVALUE("06:00")), TIMEVALUE(IF(ISBLANK(D31), "00:00", D31))+1, TIMEVALUE(IF(ISBLANK(D31), "00:00", D31))) - TIMEVALUE(IF(ISBLANK(C31), "00:00", C31)) - TIMEVALUE(IF(ISBLANK(E31), "00:00", E31))), "hh:mm"))</f>
        <v>0:00</v>
      </c>
      <c r="G31" s="62" t="n">
        <f aca="false">COUNTIF(RestiaCSV!E:E, B31)</f>
        <v>0</v>
      </c>
      <c r="H31" s="63" t="b">
        <f aca="false">FALSE()</f>
        <v>0</v>
      </c>
      <c r="I31" s="64" t="n">
        <f aca="false">IF(H31,G31*45, 0)</f>
        <v>0</v>
      </c>
      <c r="J31" s="70"/>
      <c r="K31" s="70"/>
      <c r="L31" s="53"/>
      <c r="M31" s="53"/>
    </row>
    <row r="32" customFormat="false" ht="15.75" hidden="false" customHeight="false" outlineLevel="0" collapsed="false">
      <c r="A32" s="71"/>
      <c r="B32" s="72" t="s">
        <v>17</v>
      </c>
      <c r="C32" s="72" t="s">
        <v>630</v>
      </c>
      <c r="D32" s="72"/>
      <c r="E32" s="72"/>
      <c r="F32" s="72"/>
      <c r="G32" s="73" t="n">
        <f aca="false">COUNTIFS(RestiaCSV!E:E, "wolt kurýr", RestiaCSV!A:A, "&lt;&gt;wolt")</f>
        <v>0</v>
      </c>
      <c r="H32" s="74" t="b">
        <f aca="false">TRUE()</f>
        <v>1</v>
      </c>
      <c r="I32" s="75" t="n">
        <f aca="false">G32*127</f>
        <v>0</v>
      </c>
      <c r="J32" s="76"/>
      <c r="K32" s="76"/>
      <c r="L32" s="69" t="e">
        <f aca="false">100%-L29</f>
        <v>#DIV/0!</v>
      </c>
      <c r="M32" s="69" t="e">
        <f aca="false"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F2:H4"/>
    <mergeCell ref="I2:K4"/>
    <mergeCell ref="B3:E4"/>
    <mergeCell ref="B5:K6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G18:I18"/>
    <mergeCell ref="J18:M21"/>
    <mergeCell ref="G19:I21"/>
    <mergeCell ref="B22:I22"/>
    <mergeCell ref="B23:I23"/>
    <mergeCell ref="J24:J25"/>
    <mergeCell ref="K24:K25"/>
    <mergeCell ref="L24:L25"/>
    <mergeCell ref="M24:M25"/>
    <mergeCell ref="J27:K28"/>
    <mergeCell ref="L27:L28"/>
    <mergeCell ref="M27:M28"/>
    <mergeCell ref="J29:K29"/>
    <mergeCell ref="L30:L31"/>
    <mergeCell ref="M30:M31"/>
    <mergeCell ref="C32:F32"/>
  </mergeCells>
  <conditionalFormatting sqref="F2">
    <cfRule type="cellIs" priority="2" operator="greaterThan" aboveAverage="0" equalAverage="0" bottom="0" percent="0" rank="0" text="" dxfId="0">
      <formula>"30%"</formula>
    </cfRule>
  </conditionalFormatting>
  <conditionalFormatting sqref="F2:H4">
    <cfRule type="containsText" priority="3" operator="containsText" aboveAverage="0" equalAverage="0" bottom="0" percent="0" rank="0" text="Zadej" dxfId="1">
      <formula>NOT(ISERROR(SEARCH("Zadej",F2)))</formula>
    </cfRule>
  </conditionalFormatting>
  <conditionalFormatting sqref="J10:K17">
    <cfRule type="cellIs" priority="4" operator="lessThan" aboveAverage="0" equalAverage="0" bottom="0" percent="0" rank="0" text="" dxfId="0">
      <formula>0</formula>
    </cfRule>
  </conditionalFormatting>
  <dataValidations count="2">
    <dataValidation allowBlank="true" errorStyle="stop" operator="between" showDropDown="false" showErrorMessage="false" showInputMessage="false" sqref="B25:B31" type="list">
      <formula1>"Hanibal Filip,Mikuš Pavel,Šmídová Sabina,Kormash Liubov,Vychivskyi Volodymyr,Dvořák Radim,Hřebík Martin,Reischl Jan,Kináč Jozef,Bednařík Peter,Kulinič Michail,Čonka Ludovít,Kačena Stanislav,Novák Dalibor"</formula1>
      <formula2>0</formula2>
    </dataValidation>
    <dataValidation allowBlank="true" errorStyle="stop" operator="between" showDropDown="false" showErrorMessage="false" showInputMessage="false" sqref="B12:B21" type="list">
      <formula1>"Nedbal Michal,Ahurieva Viktoriia,Pešová Hana,Šebesta Tomáš,Nováková Adéla,Makula Radek,Bušek Pavel,Putna Jaroslav,Kopic Jakub,Fáberová Kateřina"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N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5.51"/>
    <col collapsed="false" customWidth="true" hidden="false" outlineLevel="0" max="2" min="2" style="0" width="15.51"/>
    <col collapsed="false" customWidth="true" hidden="false" outlineLevel="0" max="3" min="3" style="0" width="13.88"/>
    <col collapsed="false" customWidth="true" hidden="false" outlineLevel="0" max="5" min="5" style="0" width="14.25"/>
    <col collapsed="false" customWidth="true" hidden="false" outlineLevel="0" max="6" min="6" style="0" width="15.88"/>
    <col collapsed="false" customWidth="true" hidden="false" outlineLevel="0" max="9" min="9" style="0" width="13.25"/>
    <col collapsed="false" customWidth="true" hidden="false" outlineLevel="0" max="11" min="11" style="0" width="11.63"/>
    <col collapsed="false" customWidth="true" hidden="false" outlineLevel="0" max="12" min="12" style="0" width="24.25"/>
  </cols>
  <sheetData>
    <row r="1" customFormat="false" ht="31.5" hidden="false" customHeight="true" outlineLevel="0" collapsed="false">
      <c r="A1" s="77"/>
      <c r="B1" s="78" t="str">
        <f aca="false">Report!B1</f>
        <v>Prosek</v>
      </c>
      <c r="C1" s="79" t="n">
        <v>46123</v>
      </c>
      <c r="D1" s="80" t="s">
        <v>631</v>
      </c>
      <c r="E1" s="81" t="n">
        <v>46123</v>
      </c>
      <c r="F1" s="82" t="s">
        <v>586</v>
      </c>
      <c r="G1" s="82"/>
      <c r="H1" s="82"/>
      <c r="I1" s="82" t="s">
        <v>587</v>
      </c>
      <c r="J1" s="82"/>
      <c r="K1" s="82"/>
      <c r="L1" s="83" t="s">
        <v>588</v>
      </c>
      <c r="M1" s="83"/>
      <c r="N1" s="84"/>
    </row>
    <row r="2" customFormat="false" ht="19.5" hidden="false" customHeight="true" outlineLevel="0" collapsed="false">
      <c r="A2" s="77"/>
      <c r="B2" s="78"/>
      <c r="C2" s="79"/>
      <c r="D2" s="80"/>
      <c r="E2" s="81"/>
      <c r="F2" s="85" t="n">
        <v>0.340836981123415</v>
      </c>
      <c r="G2" s="85"/>
      <c r="H2" s="85"/>
      <c r="I2" s="86" t="n">
        <v>43572.5</v>
      </c>
      <c r="J2" s="86"/>
      <c r="K2" s="86"/>
      <c r="L2" s="87" t="s">
        <v>589</v>
      </c>
      <c r="M2" s="88" t="n">
        <v>17084</v>
      </c>
      <c r="N2" s="89"/>
    </row>
    <row r="3" customFormat="false" ht="25.6" hidden="false" customHeight="false" outlineLevel="0" collapsed="false">
      <c r="A3" s="90"/>
      <c r="B3" s="91" t="str">
        <f aca="false">CHOOSE(WEEKDAY(C1), "Neděle", "Pondělí", "Úterý", "Středa", "Čtvrtek", "Pátek", "Sobota")</f>
        <v>Sobota</v>
      </c>
      <c r="C3" s="91"/>
      <c r="D3" s="92" t="str">
        <f aca="false">CHOOSE(WEEKDAY(E1), "Neděle", "Pondělí", "Úterý", "Středa", "Čtvrtek", "Pátek", "Sobota")</f>
        <v>Sobota</v>
      </c>
      <c r="E3" s="92"/>
      <c r="F3" s="85"/>
      <c r="G3" s="85"/>
      <c r="H3" s="85"/>
      <c r="I3" s="86"/>
      <c r="J3" s="86"/>
      <c r="K3" s="86"/>
      <c r="L3" s="93" t="s">
        <v>590</v>
      </c>
      <c r="M3" s="94" t="n">
        <v>7401</v>
      </c>
      <c r="N3" s="89"/>
    </row>
    <row r="4" customFormat="false" ht="25.6" hidden="false" customHeight="false" outlineLevel="0" collapsed="false">
      <c r="A4" s="90"/>
      <c r="B4" s="91"/>
      <c r="C4" s="91"/>
      <c r="D4" s="92"/>
      <c r="E4" s="92"/>
      <c r="F4" s="85"/>
      <c r="G4" s="85"/>
      <c r="H4" s="85"/>
      <c r="I4" s="86"/>
      <c r="J4" s="86"/>
      <c r="K4" s="86"/>
      <c r="L4" s="93" t="s">
        <v>591</v>
      </c>
      <c r="M4" s="94" t="n">
        <v>8208</v>
      </c>
      <c r="N4" s="89"/>
    </row>
    <row r="5" customFormat="false" ht="31.5" hidden="false" customHeight="false" outlineLevel="0" collapsed="false">
      <c r="A5" s="95"/>
      <c r="B5" s="96" t="s">
        <v>632</v>
      </c>
      <c r="C5" s="96"/>
      <c r="D5" s="96"/>
      <c r="E5" s="96"/>
      <c r="F5" s="82" t="s">
        <v>633</v>
      </c>
      <c r="G5" s="82"/>
      <c r="H5" s="82"/>
      <c r="I5" s="82"/>
      <c r="J5" s="82"/>
      <c r="K5" s="82"/>
      <c r="L5" s="93" t="s">
        <v>593</v>
      </c>
      <c r="M5" s="94" t="n">
        <v>5273</v>
      </c>
      <c r="N5" s="89"/>
    </row>
    <row r="6" customFormat="false" ht="31.5" hidden="false" customHeight="false" outlineLevel="0" collapsed="false">
      <c r="A6" s="95"/>
      <c r="B6" s="96"/>
      <c r="C6" s="96"/>
      <c r="D6" s="96"/>
      <c r="E6" s="96"/>
      <c r="F6" s="82"/>
      <c r="G6" s="82"/>
      <c r="H6" s="82"/>
      <c r="I6" s="82"/>
      <c r="J6" s="82"/>
      <c r="K6" s="82"/>
      <c r="L6" s="93" t="s">
        <v>594</v>
      </c>
      <c r="M6" s="94" t="n">
        <v>0</v>
      </c>
      <c r="N6" s="89"/>
    </row>
    <row r="7" customFormat="false" ht="17.35" hidden="false" customHeight="false" outlineLevel="0" collapsed="false">
      <c r="A7" s="84"/>
      <c r="B7" s="97" t="n">
        <f aca="false">TEXT(SUMPRODUCT((IFERROR(LEFT(D10:D30, FIND(":", D10:D30) - 1) * 60, 0) + IFERROR(MID(D10:D30, FIND(":", D10:D30) + 1, LEN(D10:D30) - FIND(":", D10:D30)), 0))), "[h]:mm")/60</f>
        <v>24</v>
      </c>
      <c r="C7" s="97"/>
      <c r="D7" s="97"/>
      <c r="E7" s="97"/>
      <c r="F7" s="98" t="n">
        <f aca="false">TEXT(SUMPRODUCT((IFERROR(LEFT(H10:H30, FIND(":", H10:H30) - 1) * 60, 0) + IFERROR(MID(H10:H30, FIND(":", H10:H30) + 1, LEN(H10:H30) - FIND(":", H10:H30)), 0))), "[h]:mm")/60</f>
        <v>0</v>
      </c>
      <c r="G7" s="98"/>
      <c r="H7" s="98"/>
      <c r="I7" s="98"/>
      <c r="J7" s="99"/>
      <c r="K7" s="99"/>
      <c r="L7" s="100" t="s">
        <v>595</v>
      </c>
      <c r="M7" s="101" t="n">
        <v>0</v>
      </c>
      <c r="N7" s="89"/>
    </row>
    <row r="8" customFormat="false" ht="18.55" hidden="false" customHeight="false" outlineLevel="0" collapsed="false">
      <c r="A8" s="102"/>
      <c r="B8" s="103" t="s">
        <v>598</v>
      </c>
      <c r="C8" s="103"/>
      <c r="D8" s="103"/>
      <c r="E8" s="103"/>
      <c r="F8" s="104" t="s">
        <v>5</v>
      </c>
      <c r="G8" s="104"/>
      <c r="H8" s="104"/>
      <c r="I8" s="104"/>
      <c r="J8" s="105" t="s">
        <v>600</v>
      </c>
      <c r="K8" s="105"/>
      <c r="L8" s="106" t="s">
        <v>596</v>
      </c>
      <c r="M8" s="106"/>
      <c r="N8" s="84"/>
    </row>
    <row r="9" customFormat="false" ht="15.75" hidden="false" customHeight="false" outlineLevel="0" collapsed="false">
      <c r="A9" s="107"/>
      <c r="B9" s="108" t="s">
        <v>602</v>
      </c>
      <c r="C9" s="109" t="s">
        <v>634</v>
      </c>
      <c r="D9" s="109" t="s">
        <v>606</v>
      </c>
      <c r="E9" s="110"/>
      <c r="F9" s="108" t="s">
        <v>602</v>
      </c>
      <c r="G9" s="109" t="s">
        <v>634</v>
      </c>
      <c r="H9" s="109" t="s">
        <v>606</v>
      </c>
      <c r="I9" s="111" t="s">
        <v>618</v>
      </c>
      <c r="J9" s="112" t="n">
        <v>0.5</v>
      </c>
      <c r="K9" s="112"/>
      <c r="L9" s="113" t="s">
        <v>597</v>
      </c>
      <c r="M9" s="94" t="n">
        <v>3726</v>
      </c>
      <c r="N9" s="89"/>
    </row>
    <row r="10" customFormat="false" ht="18.75" hidden="false" customHeight="true" outlineLevel="0" collapsed="false">
      <c r="A10" s="114"/>
      <c r="B10" s="115" t="s">
        <v>635</v>
      </c>
      <c r="C10" s="116" t="n">
        <v>1</v>
      </c>
      <c r="D10" s="116" t="s">
        <v>636</v>
      </c>
      <c r="E10" s="117" t="s">
        <v>637</v>
      </c>
      <c r="F10" s="115"/>
      <c r="G10" s="116"/>
      <c r="H10" s="116"/>
      <c r="I10" s="118"/>
      <c r="J10" s="112"/>
      <c r="K10" s="112"/>
      <c r="L10" s="113" t="s">
        <v>601</v>
      </c>
      <c r="M10" s="94" t="n">
        <v>0</v>
      </c>
      <c r="N10" s="89"/>
    </row>
    <row r="11" customFormat="false" ht="18.75" hidden="false" customHeight="true" outlineLevel="0" collapsed="false">
      <c r="A11" s="114"/>
      <c r="B11" s="115" t="s">
        <v>638</v>
      </c>
      <c r="C11" s="116" t="n">
        <v>1</v>
      </c>
      <c r="D11" s="116" t="s">
        <v>639</v>
      </c>
      <c r="E11" s="117" t="s">
        <v>640</v>
      </c>
      <c r="F11" s="115"/>
      <c r="G11" s="116"/>
      <c r="H11" s="116"/>
      <c r="I11" s="118"/>
      <c r="J11" s="112"/>
      <c r="K11" s="112"/>
      <c r="L11" s="119" t="s">
        <v>596</v>
      </c>
      <c r="M11" s="120" t="n">
        <v>1881</v>
      </c>
      <c r="N11" s="89"/>
    </row>
    <row r="12" customFormat="false" ht="18.75" hidden="false" customHeight="true" outlineLevel="0" collapsed="false">
      <c r="A12" s="114"/>
      <c r="B12" s="115" t="s">
        <v>641</v>
      </c>
      <c r="C12" s="116" t="n">
        <v>1</v>
      </c>
      <c r="D12" s="116" t="s">
        <v>642</v>
      </c>
      <c r="E12" s="117" t="s">
        <v>643</v>
      </c>
      <c r="F12" s="115"/>
      <c r="G12" s="116"/>
      <c r="H12" s="116"/>
      <c r="I12" s="118"/>
      <c r="J12" s="112"/>
      <c r="K12" s="112"/>
      <c r="L12" s="121" t="s">
        <v>607</v>
      </c>
      <c r="M12" s="121"/>
      <c r="N12" s="84"/>
    </row>
    <row r="13" customFormat="false" ht="18.75" hidden="false" customHeight="true" outlineLevel="0" collapsed="false">
      <c r="A13" s="114"/>
      <c r="B13" s="115"/>
      <c r="C13" s="116"/>
      <c r="D13" s="116"/>
      <c r="E13" s="117" t="s">
        <v>643</v>
      </c>
      <c r="F13" s="115"/>
      <c r="G13" s="116"/>
      <c r="H13" s="116"/>
      <c r="I13" s="118"/>
      <c r="J13" s="112"/>
      <c r="K13" s="112"/>
      <c r="L13" s="113" t="s">
        <v>608</v>
      </c>
      <c r="M13" s="94" t="n">
        <v>0</v>
      </c>
      <c r="N13" s="89"/>
    </row>
    <row r="14" customFormat="false" ht="18.75" hidden="false" customHeight="true" outlineLevel="0" collapsed="false">
      <c r="A14" s="114"/>
      <c r="B14" s="115"/>
      <c r="C14" s="116"/>
      <c r="D14" s="116"/>
      <c r="E14" s="117" t="s">
        <v>644</v>
      </c>
      <c r="F14" s="115"/>
      <c r="G14" s="116"/>
      <c r="H14" s="116"/>
      <c r="I14" s="118"/>
      <c r="J14" s="112"/>
      <c r="K14" s="112"/>
      <c r="L14" s="109" t="s">
        <v>609</v>
      </c>
      <c r="M14" s="94" t="n">
        <v>0</v>
      </c>
      <c r="N14" s="89"/>
    </row>
    <row r="15" customFormat="false" ht="18.75" hidden="false" customHeight="true" outlineLevel="0" collapsed="false">
      <c r="A15" s="114"/>
      <c r="B15" s="115"/>
      <c r="C15" s="116"/>
      <c r="D15" s="116"/>
      <c r="E15" s="117" t="s">
        <v>644</v>
      </c>
      <c r="F15" s="115"/>
      <c r="G15" s="116"/>
      <c r="H15" s="116"/>
      <c r="I15" s="118"/>
      <c r="J15" s="112"/>
      <c r="K15" s="112"/>
      <c r="L15" s="109" t="s">
        <v>610</v>
      </c>
      <c r="M15" s="94" t="n">
        <v>0</v>
      </c>
      <c r="N15" s="89"/>
    </row>
    <row r="16" customFormat="false" ht="18.75" hidden="false" customHeight="true" outlineLevel="0" collapsed="false">
      <c r="A16" s="114"/>
      <c r="B16" s="115"/>
      <c r="C16" s="116"/>
      <c r="D16" s="116"/>
      <c r="E16" s="117"/>
      <c r="F16" s="115"/>
      <c r="G16" s="116"/>
      <c r="H16" s="116"/>
      <c r="I16" s="118"/>
      <c r="J16" s="112"/>
      <c r="K16" s="112"/>
      <c r="L16" s="109" t="s">
        <v>611</v>
      </c>
      <c r="M16" s="94" t="n">
        <v>0</v>
      </c>
      <c r="N16" s="89"/>
    </row>
    <row r="17" customFormat="false" ht="18.75" hidden="false" customHeight="true" outlineLevel="0" collapsed="false">
      <c r="A17" s="114"/>
      <c r="B17" s="115"/>
      <c r="C17" s="116"/>
      <c r="D17" s="116"/>
      <c r="E17" s="117"/>
      <c r="F17" s="115"/>
      <c r="G17" s="116"/>
      <c r="H17" s="116"/>
      <c r="I17" s="118"/>
      <c r="J17" s="112"/>
      <c r="K17" s="112"/>
      <c r="L17" s="122" t="s">
        <v>612</v>
      </c>
      <c r="M17" s="123" t="n">
        <v>0</v>
      </c>
      <c r="N17" s="89"/>
    </row>
    <row r="18" customFormat="false" ht="18.75" hidden="false" customHeight="true" outlineLevel="0" collapsed="false">
      <c r="A18" s="114"/>
      <c r="B18" s="115"/>
      <c r="C18" s="116"/>
      <c r="D18" s="116"/>
      <c r="E18" s="117"/>
      <c r="F18" s="115"/>
      <c r="G18" s="116"/>
      <c r="H18" s="116"/>
      <c r="I18" s="118"/>
      <c r="J18" s="124"/>
      <c r="K18" s="124"/>
      <c r="L18" s="124"/>
      <c r="M18" s="124"/>
      <c r="N18" s="125"/>
    </row>
    <row r="19" customFormat="false" ht="18.75" hidden="false" customHeight="true" outlineLevel="0" collapsed="false">
      <c r="A19" s="114"/>
      <c r="B19" s="115"/>
      <c r="C19" s="116"/>
      <c r="D19" s="116"/>
      <c r="E19" s="117"/>
      <c r="F19" s="115"/>
      <c r="G19" s="116"/>
      <c r="H19" s="116"/>
      <c r="I19" s="118"/>
      <c r="J19" s="126" t="s">
        <v>614</v>
      </c>
      <c r="K19" s="127" t="s">
        <v>615</v>
      </c>
      <c r="L19" s="128" t="s">
        <v>616</v>
      </c>
      <c r="M19" s="129" t="s">
        <v>617</v>
      </c>
      <c r="N19" s="130"/>
    </row>
    <row r="20" customFormat="false" ht="18.75" hidden="false" customHeight="true" outlineLevel="0" collapsed="false">
      <c r="A20" s="114"/>
      <c r="B20" s="115"/>
      <c r="C20" s="116"/>
      <c r="D20" s="116"/>
      <c r="E20" s="117"/>
      <c r="F20" s="115"/>
      <c r="G20" s="116"/>
      <c r="H20" s="116"/>
      <c r="I20" s="118"/>
      <c r="J20" s="126"/>
      <c r="K20" s="127"/>
      <c r="L20" s="127"/>
      <c r="M20" s="129"/>
      <c r="N20" s="130"/>
    </row>
    <row r="21" customFormat="false" ht="18.75" hidden="false" customHeight="true" outlineLevel="0" collapsed="false">
      <c r="A21" s="114"/>
      <c r="B21" s="115"/>
      <c r="C21" s="116"/>
      <c r="D21" s="116"/>
      <c r="E21" s="117"/>
      <c r="F21" s="115"/>
      <c r="G21" s="116"/>
      <c r="H21" s="116"/>
      <c r="I21" s="118"/>
      <c r="J21" s="131" t="n">
        <v>0</v>
      </c>
      <c r="K21" s="132" t="n">
        <v>0</v>
      </c>
      <c r="L21" s="133" t="n">
        <v>2</v>
      </c>
      <c r="M21" s="134" t="s">
        <v>645</v>
      </c>
      <c r="N21" s="125"/>
    </row>
    <row r="22" customFormat="false" ht="18.75" hidden="false" customHeight="true" outlineLevel="0" collapsed="false">
      <c r="A22" s="114"/>
      <c r="B22" s="115"/>
      <c r="C22" s="116"/>
      <c r="D22" s="116"/>
      <c r="E22" s="117"/>
      <c r="F22" s="115"/>
      <c r="G22" s="116"/>
      <c r="H22" s="116"/>
      <c r="I22" s="118"/>
      <c r="J22" s="135" t="s">
        <v>621</v>
      </c>
      <c r="K22" s="136" t="s">
        <v>622</v>
      </c>
      <c r="L22" s="137" t="s">
        <v>623</v>
      </c>
      <c r="M22" s="138" t="s">
        <v>624</v>
      </c>
      <c r="N22" s="125"/>
    </row>
    <row r="23" customFormat="false" ht="18.75" hidden="false" customHeight="true" outlineLevel="0" collapsed="false">
      <c r="A23" s="114"/>
      <c r="B23" s="115"/>
      <c r="C23" s="116"/>
      <c r="D23" s="116"/>
      <c r="E23" s="117"/>
      <c r="F23" s="115"/>
      <c r="G23" s="116"/>
      <c r="H23" s="116"/>
      <c r="I23" s="118"/>
      <c r="J23" s="135"/>
      <c r="K23" s="136"/>
      <c r="L23" s="136"/>
      <c r="M23" s="138"/>
      <c r="N23" s="125"/>
    </row>
    <row r="24" customFormat="false" ht="18.75" hidden="false" customHeight="true" outlineLevel="0" collapsed="false">
      <c r="A24" s="114"/>
      <c r="B24" s="115"/>
      <c r="C24" s="116"/>
      <c r="D24" s="116"/>
      <c r="E24" s="117"/>
      <c r="F24" s="115"/>
      <c r="G24" s="116"/>
      <c r="H24" s="116"/>
      <c r="I24" s="118"/>
      <c r="J24" s="139" t="n">
        <v>0</v>
      </c>
      <c r="K24" s="133" t="n">
        <v>97</v>
      </c>
      <c r="L24" s="133" t="n">
        <v>10</v>
      </c>
      <c r="M24" s="140" t="n">
        <v>1</v>
      </c>
      <c r="N24" s="125"/>
    </row>
    <row r="25" customFormat="false" ht="18.75" hidden="false" customHeight="true" outlineLevel="0" collapsed="false">
      <c r="A25" s="114"/>
      <c r="B25" s="115"/>
      <c r="C25" s="116"/>
      <c r="D25" s="116"/>
      <c r="E25" s="117"/>
      <c r="F25" s="115"/>
      <c r="G25" s="116"/>
      <c r="H25" s="116"/>
      <c r="I25" s="118"/>
      <c r="J25" s="135" t="s">
        <v>625</v>
      </c>
      <c r="K25" s="135"/>
      <c r="L25" s="141" t="s">
        <v>626</v>
      </c>
      <c r="M25" s="142" t="s">
        <v>627</v>
      </c>
      <c r="N25" s="125"/>
    </row>
    <row r="26" customFormat="false" ht="21.75" hidden="false" customHeight="true" outlineLevel="0" collapsed="false">
      <c r="A26" s="114"/>
      <c r="B26" s="115"/>
      <c r="C26" s="116"/>
      <c r="D26" s="116"/>
      <c r="E26" s="117"/>
      <c r="F26" s="115"/>
      <c r="G26" s="116"/>
      <c r="H26" s="116"/>
      <c r="I26" s="118"/>
      <c r="J26" s="135"/>
      <c r="K26" s="135"/>
      <c r="L26" s="141"/>
      <c r="M26" s="142"/>
      <c r="N26" s="125"/>
    </row>
    <row r="27" customFormat="false" ht="18.75" hidden="false" customHeight="true" outlineLevel="0" collapsed="false">
      <c r="A27" s="114"/>
      <c r="B27" s="115"/>
      <c r="C27" s="116"/>
      <c r="D27" s="116"/>
      <c r="E27" s="117"/>
      <c r="F27" s="115"/>
      <c r="G27" s="116"/>
      <c r="H27" s="116"/>
      <c r="I27" s="118"/>
      <c r="J27" s="143" t="n">
        <v>1</v>
      </c>
      <c r="K27" s="143"/>
      <c r="L27" s="144" t="n">
        <v>0.2</v>
      </c>
      <c r="M27" s="145" t="n">
        <v>2</v>
      </c>
      <c r="N27" s="125"/>
    </row>
    <row r="28" customFormat="false" ht="18.75" hidden="false" customHeight="true" outlineLevel="0" collapsed="false">
      <c r="A28" s="114"/>
      <c r="B28" s="115"/>
      <c r="C28" s="116"/>
      <c r="D28" s="116"/>
      <c r="E28" s="117"/>
      <c r="F28" s="115"/>
      <c r="G28" s="116"/>
      <c r="H28" s="116"/>
      <c r="I28" s="118"/>
      <c r="J28" s="146"/>
      <c r="K28" s="146"/>
      <c r="L28" s="147" t="s">
        <v>628</v>
      </c>
      <c r="M28" s="142" t="s">
        <v>629</v>
      </c>
      <c r="N28" s="125"/>
    </row>
    <row r="29" customFormat="false" ht="18.75" hidden="false" customHeight="true" outlineLevel="0" collapsed="false">
      <c r="A29" s="114"/>
      <c r="B29" s="115"/>
      <c r="C29" s="116"/>
      <c r="D29" s="116"/>
      <c r="E29" s="117"/>
      <c r="F29" s="115"/>
      <c r="G29" s="116"/>
      <c r="H29" s="116"/>
      <c r="I29" s="118"/>
      <c r="J29" s="146"/>
      <c r="K29" s="146"/>
      <c r="L29" s="147"/>
      <c r="M29" s="142"/>
      <c r="N29" s="125"/>
    </row>
    <row r="30" customFormat="false" ht="18.75" hidden="false" customHeight="true" outlineLevel="0" collapsed="false">
      <c r="A30" s="114"/>
      <c r="B30" s="115"/>
      <c r="C30" s="116"/>
      <c r="D30" s="116"/>
      <c r="E30" s="117"/>
      <c r="F30" s="115"/>
      <c r="G30" s="116"/>
      <c r="H30" s="116"/>
      <c r="I30" s="118"/>
      <c r="J30" s="146"/>
      <c r="K30" s="146"/>
      <c r="L30" s="148" t="n">
        <v>0.8</v>
      </c>
      <c r="M30" s="149" t="n">
        <v>0.2</v>
      </c>
      <c r="N30" s="125"/>
    </row>
  </sheetData>
  <mergeCells count="37">
    <mergeCell ref="B1:B2"/>
    <mergeCell ref="C1:C2"/>
    <mergeCell ref="D1:D2"/>
    <mergeCell ref="E1:E2"/>
    <mergeCell ref="F1:H1"/>
    <mergeCell ref="I1:K1"/>
    <mergeCell ref="L1:M1"/>
    <mergeCell ref="F2:H4"/>
    <mergeCell ref="I2:K4"/>
    <mergeCell ref="B3:C4"/>
    <mergeCell ref="D3:E4"/>
    <mergeCell ref="B5:E6"/>
    <mergeCell ref="F5:K6"/>
    <mergeCell ref="B7:E7"/>
    <mergeCell ref="F7:I7"/>
    <mergeCell ref="B8:E8"/>
    <mergeCell ref="F8:I8"/>
    <mergeCell ref="J8:K8"/>
    <mergeCell ref="L8:M8"/>
    <mergeCell ref="J9:K17"/>
    <mergeCell ref="L12:M12"/>
    <mergeCell ref="J18:M18"/>
    <mergeCell ref="J19:J20"/>
    <mergeCell ref="K19:K20"/>
    <mergeCell ref="L19:L20"/>
    <mergeCell ref="M19:M20"/>
    <mergeCell ref="J22:J23"/>
    <mergeCell ref="K22:K23"/>
    <mergeCell ref="L22:L23"/>
    <mergeCell ref="M22:M23"/>
    <mergeCell ref="J25:K26"/>
    <mergeCell ref="L25:L26"/>
    <mergeCell ref="M25:M26"/>
    <mergeCell ref="J27:K27"/>
    <mergeCell ref="J28:K30"/>
    <mergeCell ref="L28:L29"/>
    <mergeCell ref="M28:M29"/>
  </mergeCells>
  <conditionalFormatting sqref="F2">
    <cfRule type="cellIs" priority="2" operator="greaterThan" aboveAverage="0" equalAverage="0" bottom="0" percent="0" rank="0" text="" dxfId="0">
      <formula>"30%"</formula>
    </cfRule>
  </conditionalFormatting>
  <conditionalFormatting sqref="F2:H4">
    <cfRule type="containsText" priority="3" operator="containsText" aboveAverage="0" equalAverage="0" bottom="0" percent="0" rank="0" text="Zadej" dxfId="2">
      <formula>NOT(ISERROR(SEARCH("Zadej",F2)))</formula>
    </cfRule>
  </conditionalFormatting>
  <conditionalFormatting sqref="J8:K18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F4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9" min="8" style="0" width="25.38"/>
  </cols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</row>
    <row r="2" customFormat="false" ht="15.75" hidden="false" customHeight="false" outlineLevel="0" collapsed="false">
      <c r="A2" s="1"/>
      <c r="B2" s="1"/>
      <c r="C2" s="151"/>
      <c r="D2" s="1"/>
      <c r="E2" s="1"/>
      <c r="F2" s="1"/>
      <c r="G2" s="1"/>
      <c r="H2" s="1"/>
      <c r="I2" s="1"/>
      <c r="J2" s="1"/>
      <c r="K2" s="150"/>
      <c r="L2" s="1"/>
      <c r="M2" s="1"/>
      <c r="N2" s="1"/>
      <c r="O2" s="1"/>
      <c r="P2" s="1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  <c r="AD2" s="150"/>
      <c r="AE2" s="150"/>
      <c r="AF2" s="150"/>
    </row>
    <row r="3" customFormat="false" ht="15.75" hidden="false" customHeight="false" outlineLevel="0" collapsed="false">
      <c r="A3" s="1"/>
      <c r="B3" s="1"/>
      <c r="C3" s="151"/>
      <c r="D3" s="1"/>
      <c r="E3" s="1"/>
      <c r="F3" s="1"/>
      <c r="G3" s="1"/>
      <c r="H3" s="1"/>
      <c r="I3" s="1"/>
      <c r="J3" s="1"/>
      <c r="K3" s="150"/>
      <c r="L3" s="1"/>
      <c r="M3" s="1"/>
      <c r="N3" s="1"/>
      <c r="O3" s="1"/>
      <c r="P3" s="1"/>
      <c r="Q3" s="150"/>
      <c r="R3" s="150"/>
      <c r="S3" s="150"/>
      <c r="T3" s="150"/>
      <c r="U3" s="150"/>
      <c r="V3" s="150"/>
      <c r="W3" s="150"/>
      <c r="X3" s="150"/>
      <c r="Y3" s="150"/>
      <c r="Z3" s="150"/>
      <c r="AA3" s="150"/>
      <c r="AB3" s="150"/>
      <c r="AC3" s="150"/>
      <c r="AD3" s="150"/>
      <c r="AE3" s="150"/>
      <c r="AF3" s="150"/>
    </row>
    <row r="4" customFormat="false" ht="15.75" hidden="false" customHeight="false" outlineLevel="0" collapsed="false">
      <c r="A4" s="1"/>
      <c r="B4" s="1"/>
      <c r="C4" s="151"/>
      <c r="D4" s="1"/>
      <c r="E4" s="150"/>
      <c r="F4" s="1"/>
      <c r="G4" s="1"/>
      <c r="H4" s="1"/>
      <c r="I4" s="1"/>
      <c r="J4" s="1"/>
      <c r="K4" s="150"/>
      <c r="L4" s="1"/>
      <c r="M4" s="1"/>
      <c r="N4" s="1"/>
      <c r="O4" s="1"/>
      <c r="P4" s="1"/>
      <c r="Q4" s="150"/>
      <c r="R4" s="150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  <c r="AD4" s="150"/>
      <c r="AE4" s="150"/>
      <c r="AF4" s="150"/>
    </row>
    <row r="5" customFormat="false" ht="15.75" hidden="false" customHeight="false" outlineLevel="0" collapsed="false">
      <c r="A5" s="1"/>
      <c r="B5" s="151"/>
      <c r="C5" s="151"/>
      <c r="D5" s="1"/>
      <c r="E5" s="1"/>
      <c r="F5" s="1"/>
      <c r="G5" s="1"/>
      <c r="H5" s="1"/>
      <c r="I5" s="1"/>
      <c r="J5" s="1"/>
      <c r="K5" s="150"/>
      <c r="L5" s="1"/>
      <c r="M5" s="1"/>
      <c r="N5" s="1"/>
      <c r="O5" s="1"/>
      <c r="P5" s="1"/>
      <c r="Q5" s="150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0"/>
    </row>
    <row r="6" customFormat="false" ht="15.75" hidden="false" customHeight="false" outlineLevel="0" collapsed="false">
      <c r="A6" s="1"/>
      <c r="B6" s="1"/>
      <c r="C6" s="151"/>
      <c r="D6" s="1"/>
      <c r="E6" s="1"/>
      <c r="F6" s="1"/>
      <c r="G6" s="1"/>
      <c r="H6" s="1"/>
      <c r="I6" s="1"/>
      <c r="J6" s="1"/>
      <c r="K6" s="150"/>
      <c r="L6" s="1"/>
      <c r="M6" s="1"/>
      <c r="N6" s="1"/>
      <c r="O6" s="1"/>
      <c r="P6" s="1"/>
      <c r="Q6" s="150"/>
      <c r="R6" s="150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  <c r="AE6" s="150"/>
      <c r="AF6" s="150"/>
    </row>
    <row r="7" customFormat="false" ht="15.75" hidden="false" customHeight="false" outlineLevel="0" collapsed="false">
      <c r="A7" s="1"/>
      <c r="B7" s="1"/>
      <c r="C7" s="151"/>
      <c r="D7" s="1"/>
      <c r="E7" s="150"/>
      <c r="F7" s="1"/>
      <c r="G7" s="1"/>
      <c r="H7" s="1"/>
      <c r="I7" s="1"/>
      <c r="J7" s="1"/>
      <c r="K7" s="150"/>
      <c r="L7" s="1"/>
      <c r="M7" s="1"/>
      <c r="N7" s="1"/>
      <c r="O7" s="1"/>
      <c r="P7" s="1"/>
      <c r="Q7" s="150"/>
      <c r="R7" s="150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  <c r="AE7" s="150"/>
      <c r="AF7" s="150"/>
    </row>
    <row r="8" customFormat="false" ht="15.75" hidden="false" customHeight="false" outlineLevel="0" collapsed="false">
      <c r="A8" s="1"/>
      <c r="B8" s="1"/>
      <c r="C8" s="151"/>
      <c r="D8" s="1"/>
      <c r="E8" s="1"/>
      <c r="F8" s="1"/>
      <c r="G8" s="1"/>
      <c r="H8" s="1"/>
      <c r="I8" s="1"/>
      <c r="J8" s="1"/>
      <c r="K8" s="150"/>
      <c r="L8" s="1"/>
      <c r="M8" s="1"/>
      <c r="N8" s="1"/>
      <c r="O8" s="1"/>
      <c r="P8" s="1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</row>
    <row r="9" customFormat="false" ht="15.75" hidden="false" customHeight="false" outlineLevel="0" collapsed="false">
      <c r="A9" s="1"/>
      <c r="B9" s="1"/>
      <c r="C9" s="151"/>
      <c r="D9" s="1"/>
      <c r="E9" s="1"/>
      <c r="F9" s="1"/>
      <c r="G9" s="1"/>
      <c r="H9" s="1"/>
      <c r="I9" s="1"/>
      <c r="J9" s="1"/>
      <c r="K9" s="150"/>
      <c r="L9" s="1"/>
      <c r="M9" s="1"/>
      <c r="N9" s="1"/>
      <c r="O9" s="1"/>
      <c r="P9" s="1"/>
      <c r="Q9" s="150"/>
      <c r="R9" s="150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  <c r="AD9" s="150"/>
      <c r="AE9" s="150"/>
      <c r="AF9" s="150"/>
    </row>
    <row r="10" customFormat="false" ht="15.75" hidden="false" customHeight="false" outlineLevel="0" collapsed="false">
      <c r="A10" s="1"/>
      <c r="B10" s="1"/>
      <c r="C10" s="151"/>
      <c r="D10" s="1"/>
      <c r="E10" s="1"/>
      <c r="F10" s="1"/>
      <c r="G10" s="1"/>
      <c r="H10" s="1"/>
      <c r="I10" s="1"/>
      <c r="J10" s="1"/>
      <c r="K10" s="150"/>
      <c r="L10" s="1"/>
      <c r="M10" s="1"/>
      <c r="N10" s="1"/>
      <c r="O10" s="1"/>
      <c r="P10" s="1"/>
      <c r="Q10" s="150"/>
      <c r="R10" s="150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  <c r="AD10" s="150"/>
      <c r="AE10" s="150"/>
      <c r="AF10" s="150"/>
    </row>
    <row r="11" customFormat="false" ht="15.75" hidden="false" customHeight="false" outlineLevel="0" collapsed="false">
      <c r="A11" s="1"/>
      <c r="B11" s="1"/>
      <c r="C11" s="151"/>
      <c r="D11" s="1"/>
      <c r="E11" s="150"/>
      <c r="F11" s="1"/>
      <c r="G11" s="1"/>
      <c r="H11" s="1"/>
      <c r="I11" s="1"/>
      <c r="J11" s="1"/>
      <c r="K11" s="150"/>
      <c r="L11" s="1"/>
      <c r="M11" s="1"/>
      <c r="N11" s="1"/>
      <c r="O11" s="1"/>
      <c r="P11" s="1"/>
      <c r="Q11" s="150"/>
      <c r="R11" s="150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  <c r="AE11" s="150"/>
      <c r="AF11" s="150"/>
    </row>
    <row r="12" customFormat="false" ht="15.7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50"/>
      <c r="L12" s="1"/>
      <c r="M12" s="1"/>
      <c r="N12" s="1"/>
      <c r="O12" s="1"/>
      <c r="P12" s="1"/>
      <c r="Q12" s="150"/>
      <c r="R12" s="150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  <c r="AD12" s="150"/>
      <c r="AE12" s="150"/>
      <c r="AF12" s="150"/>
    </row>
    <row r="13" customFormat="false" ht="15.75" hidden="false" customHeight="false" outlineLevel="0" collapsed="false">
      <c r="A13" s="1"/>
      <c r="B13" s="1"/>
      <c r="C13" s="151"/>
      <c r="D13" s="1"/>
      <c r="E13" s="1"/>
      <c r="F13" s="1"/>
      <c r="G13" s="1"/>
      <c r="H13" s="1"/>
      <c r="I13" s="1"/>
      <c r="J13" s="1"/>
      <c r="K13" s="150"/>
      <c r="L13" s="1"/>
      <c r="M13" s="1"/>
      <c r="N13" s="1"/>
      <c r="O13" s="1"/>
      <c r="P13" s="1"/>
      <c r="Q13" s="150"/>
      <c r="R13" s="150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  <c r="AD13" s="150"/>
      <c r="AE13" s="150"/>
      <c r="AF13" s="150"/>
    </row>
    <row r="14" customFormat="false" ht="15.75" hidden="false" customHeight="false" outlineLevel="0" collapsed="false">
      <c r="A14" s="1"/>
      <c r="B14" s="1"/>
      <c r="C14" s="151"/>
      <c r="D14" s="1"/>
      <c r="E14" s="150"/>
      <c r="F14" s="1"/>
      <c r="G14" s="1"/>
      <c r="H14" s="1"/>
      <c r="I14" s="1"/>
      <c r="J14" s="1"/>
      <c r="K14" s="150"/>
      <c r="L14" s="1"/>
      <c r="M14" s="1"/>
      <c r="N14" s="1"/>
      <c r="O14" s="1"/>
      <c r="P14" s="1"/>
      <c r="Q14" s="150"/>
      <c r="R14" s="150"/>
      <c r="S14" s="150"/>
      <c r="T14" s="150"/>
      <c r="U14" s="150"/>
      <c r="V14" s="150"/>
      <c r="W14" s="150"/>
      <c r="X14" s="150"/>
      <c r="Y14" s="150"/>
      <c r="Z14" s="150"/>
      <c r="AA14" s="150"/>
      <c r="AB14" s="150"/>
      <c r="AC14" s="150"/>
      <c r="AD14" s="150"/>
      <c r="AE14" s="150"/>
      <c r="AF14" s="150"/>
    </row>
    <row r="15" customFormat="false" ht="15.75" hidden="false" customHeight="false" outlineLevel="0" collapsed="false">
      <c r="A15" s="1"/>
      <c r="B15" s="1"/>
      <c r="C15" s="151"/>
      <c r="D15" s="1"/>
      <c r="E15" s="150"/>
      <c r="F15" s="1"/>
      <c r="G15" s="1"/>
      <c r="H15" s="1"/>
      <c r="I15" s="150"/>
      <c r="J15" s="150"/>
      <c r="K15" s="150"/>
      <c r="L15" s="1"/>
      <c r="M15" s="1"/>
      <c r="N15" s="150"/>
      <c r="O15" s="1"/>
      <c r="P15" s="1"/>
      <c r="Q15" s="150"/>
      <c r="R15" s="150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  <c r="AD15" s="150"/>
      <c r="AE15" s="150"/>
      <c r="AF15" s="150"/>
    </row>
    <row r="16" customFormat="false" ht="15.75" hidden="false" customHeight="false" outlineLevel="0" collapsed="false">
      <c r="A16" s="1"/>
      <c r="B16" s="1"/>
      <c r="C16" s="151"/>
      <c r="D16" s="1"/>
      <c r="E16" s="150"/>
      <c r="F16" s="1"/>
      <c r="G16" s="1"/>
      <c r="H16" s="1"/>
      <c r="I16" s="1"/>
      <c r="J16" s="1"/>
      <c r="K16" s="150"/>
      <c r="L16" s="1"/>
      <c r="M16" s="1"/>
      <c r="N16" s="1"/>
      <c r="O16" s="1"/>
      <c r="P16" s="1"/>
      <c r="Q16" s="150"/>
      <c r="R16" s="150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  <c r="AD16" s="150"/>
      <c r="AE16" s="150"/>
      <c r="AF16" s="150"/>
    </row>
    <row r="17" customFormat="false" ht="15.75" hidden="false" customHeight="false" outlineLevel="0" collapsed="false">
      <c r="A17" s="1"/>
      <c r="B17" s="151"/>
      <c r="C17" s="151"/>
      <c r="D17" s="1"/>
      <c r="E17" s="150"/>
      <c r="F17" s="1"/>
      <c r="G17" s="1"/>
      <c r="H17" s="1"/>
      <c r="I17" s="1"/>
      <c r="J17" s="1"/>
      <c r="K17" s="150"/>
      <c r="L17" s="1"/>
      <c r="M17" s="1"/>
      <c r="N17" s="1"/>
      <c r="O17" s="1"/>
      <c r="P17" s="1"/>
      <c r="Q17" s="150"/>
      <c r="R17" s="150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  <c r="AD17" s="150"/>
      <c r="AE17" s="150"/>
      <c r="AF17" s="150"/>
    </row>
    <row r="18" customFormat="false" ht="15.75" hidden="false" customHeight="false" outlineLevel="0" collapsed="false">
      <c r="A18" s="1"/>
      <c r="B18" s="151"/>
      <c r="C18" s="151"/>
      <c r="D18" s="1"/>
      <c r="E18" s="150"/>
      <c r="F18" s="1"/>
      <c r="G18" s="1"/>
      <c r="H18" s="1"/>
      <c r="I18" s="1"/>
      <c r="J18" s="1"/>
      <c r="K18" s="150"/>
      <c r="L18" s="1"/>
      <c r="M18" s="1"/>
      <c r="N18" s="1"/>
      <c r="O18" s="1"/>
      <c r="P18" s="1"/>
      <c r="Q18" s="150"/>
      <c r="R18" s="150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  <c r="AD18" s="150"/>
      <c r="AE18" s="150"/>
      <c r="AF18" s="150"/>
    </row>
    <row r="19" customFormat="false" ht="15.75" hidden="false" customHeight="false" outlineLevel="0" collapsed="false">
      <c r="A19" s="1"/>
      <c r="B19" s="1"/>
      <c r="C19" s="151"/>
      <c r="D19" s="1"/>
      <c r="E19" s="1"/>
      <c r="F19" s="1"/>
      <c r="G19" s="1"/>
      <c r="H19" s="1"/>
      <c r="I19" s="1"/>
      <c r="J19" s="1"/>
      <c r="K19" s="150"/>
      <c r="L19" s="1"/>
      <c r="M19" s="1"/>
      <c r="N19" s="1"/>
      <c r="O19" s="1"/>
      <c r="P19" s="1"/>
      <c r="Q19" s="150"/>
      <c r="R19" s="150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  <c r="AD19" s="150"/>
      <c r="AE19" s="150"/>
      <c r="AF19" s="150"/>
    </row>
    <row r="20" customFormat="false" ht="15.75" hidden="false" customHeight="false" outlineLevel="0" collapsed="false">
      <c r="A20" s="1"/>
      <c r="B20" s="1"/>
      <c r="C20" s="151"/>
      <c r="D20" s="1"/>
      <c r="E20" s="1"/>
      <c r="F20" s="1"/>
      <c r="G20" s="1"/>
      <c r="H20" s="1"/>
      <c r="I20" s="1"/>
      <c r="J20" s="1"/>
      <c r="K20" s="150"/>
      <c r="L20" s="1"/>
      <c r="M20" s="1"/>
      <c r="N20" s="1"/>
      <c r="O20" s="1"/>
      <c r="P20" s="1"/>
      <c r="Q20" s="150"/>
      <c r="R20" s="150"/>
      <c r="S20" s="150"/>
      <c r="T20" s="150"/>
      <c r="U20" s="150"/>
      <c r="V20" s="150"/>
      <c r="W20" s="150"/>
      <c r="X20" s="150"/>
      <c r="Y20" s="150"/>
      <c r="Z20" s="150"/>
      <c r="AA20" s="150"/>
      <c r="AB20" s="150"/>
      <c r="AC20" s="150"/>
      <c r="AD20" s="150"/>
      <c r="AE20" s="150"/>
      <c r="AF20" s="150"/>
    </row>
    <row r="21" customFormat="false" ht="15.75" hidden="false" customHeight="false" outlineLevel="0" collapsed="false">
      <c r="A21" s="1"/>
      <c r="B21" s="1"/>
      <c r="C21" s="151"/>
      <c r="D21" s="1"/>
      <c r="E21" s="1"/>
      <c r="F21" s="1"/>
      <c r="G21" s="1"/>
      <c r="H21" s="1"/>
      <c r="I21" s="1"/>
      <c r="J21" s="1"/>
      <c r="K21" s="150"/>
      <c r="L21" s="1"/>
      <c r="M21" s="1"/>
      <c r="N21" s="1"/>
      <c r="O21" s="1"/>
      <c r="P21" s="1"/>
      <c r="Q21" s="150"/>
      <c r="R21" s="150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  <c r="AD21" s="150"/>
      <c r="AE21" s="150"/>
      <c r="AF21" s="150"/>
    </row>
    <row r="22" customFormat="false" ht="15.7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50"/>
      <c r="R22" s="150"/>
      <c r="S22" s="150"/>
      <c r="T22" s="150"/>
      <c r="U22" s="150"/>
      <c r="V22" s="150"/>
      <c r="W22" s="150"/>
      <c r="X22" s="150"/>
      <c r="Y22" s="150"/>
      <c r="Z22" s="150"/>
      <c r="AA22" s="150"/>
      <c r="AB22" s="150"/>
      <c r="AC22" s="150"/>
      <c r="AD22" s="150"/>
      <c r="AE22" s="150"/>
      <c r="AF22" s="150"/>
    </row>
    <row r="23" customFormat="false" ht="15.75" hidden="false" customHeight="false" outlineLevel="0" collapsed="false">
      <c r="A23" s="1"/>
      <c r="B23" s="151"/>
      <c r="C23" s="151"/>
      <c r="D23" s="1"/>
      <c r="E23" s="1"/>
      <c r="F23" s="1"/>
      <c r="G23" s="1"/>
      <c r="H23" s="1"/>
      <c r="I23" s="1"/>
      <c r="J23" s="1"/>
      <c r="K23" s="150"/>
      <c r="L23" s="1"/>
      <c r="M23" s="1"/>
      <c r="N23" s="1"/>
      <c r="O23" s="1"/>
      <c r="P23" s="1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150"/>
    </row>
    <row r="24" customFormat="false" ht="15.75" hidden="false" customHeight="false" outlineLevel="0" collapsed="false">
      <c r="A24" s="1"/>
      <c r="B24" s="151"/>
      <c r="C24" s="151"/>
      <c r="D24" s="1"/>
      <c r="E24" s="1"/>
      <c r="F24" s="1"/>
      <c r="G24" s="1"/>
      <c r="H24" s="1"/>
      <c r="I24" s="1"/>
      <c r="J24" s="1"/>
      <c r="K24" s="150"/>
      <c r="L24" s="1"/>
      <c r="M24" s="1"/>
      <c r="N24" s="1"/>
      <c r="O24" s="1"/>
      <c r="P24" s="1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150"/>
      <c r="AC24" s="150"/>
      <c r="AD24" s="150"/>
      <c r="AE24" s="150"/>
      <c r="AF24" s="150"/>
    </row>
    <row r="25" customFormat="false" ht="15.75" hidden="false" customHeight="false" outlineLevel="0" collapsed="false">
      <c r="A25" s="1"/>
      <c r="B25" s="151"/>
      <c r="C25" s="15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50"/>
      <c r="R25" s="150"/>
      <c r="S25" s="150"/>
      <c r="T25" s="150"/>
      <c r="U25" s="150"/>
      <c r="V25" s="150"/>
      <c r="W25" s="150"/>
      <c r="X25" s="150"/>
      <c r="Y25" s="150"/>
      <c r="Z25" s="150"/>
      <c r="AA25" s="150"/>
      <c r="AB25" s="150"/>
      <c r="AC25" s="150"/>
      <c r="AD25" s="150"/>
      <c r="AE25" s="150"/>
      <c r="AF25" s="150"/>
    </row>
    <row r="26" customFormat="false" ht="15.75" hidden="false" customHeight="false" outlineLevel="0" collapsed="false">
      <c r="A26" s="1"/>
      <c r="B26" s="1"/>
      <c r="C26" s="151"/>
      <c r="D26" s="1"/>
      <c r="E26" s="1"/>
      <c r="F26" s="1"/>
      <c r="G26" s="1"/>
      <c r="H26" s="1"/>
      <c r="I26" s="1"/>
      <c r="J26" s="1"/>
      <c r="K26" s="150"/>
      <c r="L26" s="1"/>
      <c r="M26" s="1"/>
      <c r="N26" s="1"/>
      <c r="O26" s="1"/>
      <c r="P26" s="1"/>
      <c r="Q26" s="150"/>
      <c r="R26" s="150"/>
      <c r="S26" s="150"/>
      <c r="T26" s="150"/>
      <c r="U26" s="150"/>
      <c r="V26" s="150"/>
      <c r="W26" s="150"/>
      <c r="X26" s="150"/>
      <c r="Y26" s="150"/>
      <c r="Z26" s="150"/>
      <c r="AA26" s="150"/>
      <c r="AB26" s="150"/>
      <c r="AC26" s="150"/>
      <c r="AE26" s="150"/>
      <c r="AF26" s="150"/>
    </row>
    <row r="27" customFormat="false" ht="15.75" hidden="false" customHeight="false" outlineLevel="0" collapsed="false">
      <c r="A27" s="1"/>
      <c r="B27" s="151"/>
      <c r="C27" s="151"/>
      <c r="D27" s="1"/>
      <c r="E27" s="150"/>
      <c r="F27" s="1"/>
      <c r="G27" s="1"/>
      <c r="H27" s="1"/>
      <c r="I27" s="1"/>
      <c r="J27" s="1"/>
      <c r="K27" s="150"/>
      <c r="L27" s="1"/>
      <c r="M27" s="1"/>
      <c r="N27" s="1"/>
      <c r="O27" s="1"/>
      <c r="P27" s="1"/>
      <c r="Q27" s="150"/>
      <c r="R27" s="150"/>
      <c r="S27" s="150"/>
      <c r="T27" s="150"/>
      <c r="U27" s="150"/>
      <c r="V27" s="150"/>
      <c r="W27" s="150"/>
      <c r="X27" s="150"/>
      <c r="Y27" s="150"/>
      <c r="Z27" s="150"/>
      <c r="AA27" s="150"/>
      <c r="AB27" s="150"/>
      <c r="AC27" s="150"/>
      <c r="AD27" s="150"/>
      <c r="AE27" s="150"/>
      <c r="AF27" s="150"/>
    </row>
    <row r="28" customFormat="false" ht="15.75" hidden="false" customHeight="false" outlineLevel="0" collapsed="false">
      <c r="A28" s="1"/>
      <c r="B28" s="151"/>
      <c r="C28" s="151"/>
      <c r="D28" s="1"/>
      <c r="E28" s="1"/>
      <c r="F28" s="1"/>
      <c r="G28" s="1"/>
      <c r="H28" s="1"/>
      <c r="I28" s="1"/>
      <c r="J28" s="1"/>
      <c r="K28" s="150"/>
      <c r="L28" s="1"/>
      <c r="M28" s="1"/>
      <c r="N28" s="1"/>
      <c r="O28" s="1"/>
      <c r="P28" s="1"/>
      <c r="Q28" s="150"/>
      <c r="R28" s="150"/>
      <c r="S28" s="150"/>
      <c r="T28" s="150"/>
      <c r="U28" s="150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150"/>
    </row>
    <row r="29" customFormat="false" ht="15.75" hidden="false" customHeight="false" outlineLevel="0" collapsed="false">
      <c r="A29" s="1"/>
      <c r="B29" s="151"/>
      <c r="C29" s="151"/>
      <c r="D29" s="1"/>
      <c r="E29" s="150"/>
      <c r="F29" s="1"/>
      <c r="G29" s="1"/>
      <c r="H29" s="1"/>
      <c r="I29" s="1"/>
      <c r="J29" s="1"/>
      <c r="K29" s="150"/>
      <c r="L29" s="1"/>
      <c r="M29" s="1"/>
      <c r="N29" s="1"/>
      <c r="O29" s="1"/>
      <c r="P29" s="1"/>
      <c r="Q29" s="150"/>
      <c r="R29" s="150"/>
      <c r="S29" s="150"/>
      <c r="T29" s="150"/>
      <c r="U29" s="150"/>
      <c r="V29" s="150"/>
      <c r="W29" s="150"/>
      <c r="X29" s="150"/>
      <c r="Y29" s="150"/>
      <c r="Z29" s="150"/>
      <c r="AA29" s="150"/>
      <c r="AB29" s="150"/>
      <c r="AC29" s="150"/>
      <c r="AD29" s="150"/>
      <c r="AE29" s="150"/>
      <c r="AF29" s="150"/>
    </row>
    <row r="30" customFormat="false" ht="15.75" hidden="false" customHeight="false" outlineLevel="0" collapsed="false">
      <c r="A30" s="1"/>
      <c r="B30" s="151"/>
      <c r="C30" s="15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50"/>
      <c r="R30" s="150"/>
      <c r="S30" s="150"/>
      <c r="T30" s="150"/>
      <c r="U30" s="150"/>
      <c r="V30" s="150"/>
      <c r="W30" s="150"/>
      <c r="X30" s="150"/>
      <c r="Y30" s="150"/>
      <c r="Z30" s="150"/>
      <c r="AA30" s="150"/>
      <c r="AB30" s="150"/>
      <c r="AC30" s="150"/>
      <c r="AD30" s="150"/>
      <c r="AE30" s="150"/>
      <c r="AF30" s="150"/>
    </row>
    <row r="31" customFormat="false" ht="15.75" hidden="false" customHeight="false" outlineLevel="0" collapsed="false">
      <c r="A31" s="1"/>
      <c r="B31" s="1"/>
      <c r="C31" s="151"/>
      <c r="D31" s="1"/>
      <c r="E31" s="150"/>
      <c r="F31" s="1"/>
      <c r="G31" s="1"/>
      <c r="H31" s="1"/>
      <c r="I31" s="1"/>
      <c r="J31" s="1"/>
      <c r="K31" s="150"/>
      <c r="L31" s="1"/>
      <c r="M31" s="1"/>
      <c r="N31" s="1"/>
      <c r="O31" s="1"/>
      <c r="P31" s="1"/>
      <c r="Q31" s="150"/>
      <c r="R31" s="150"/>
      <c r="S31" s="150"/>
      <c r="T31" s="150"/>
      <c r="U31" s="150"/>
      <c r="V31" s="150"/>
      <c r="W31" s="150"/>
      <c r="X31" s="150"/>
      <c r="Y31" s="150"/>
      <c r="Z31" s="150"/>
      <c r="AA31" s="150"/>
      <c r="AB31" s="150"/>
      <c r="AC31" s="150"/>
      <c r="AD31" s="150"/>
      <c r="AE31" s="150"/>
      <c r="AF31" s="150"/>
    </row>
    <row r="32" customFormat="false" ht="15.75" hidden="false" customHeight="false" outlineLevel="0" collapsed="false">
      <c r="A32" s="1"/>
      <c r="B32" s="1"/>
      <c r="C32" s="151"/>
      <c r="D32" s="1"/>
      <c r="E32" s="150"/>
      <c r="F32" s="1"/>
      <c r="G32" s="1"/>
      <c r="H32" s="1"/>
      <c r="I32" s="1"/>
      <c r="J32" s="1"/>
      <c r="K32" s="150"/>
      <c r="L32" s="1"/>
      <c r="M32" s="1"/>
      <c r="N32" s="1"/>
      <c r="O32" s="1"/>
      <c r="P32" s="1"/>
      <c r="Q32" s="150"/>
      <c r="R32" s="150"/>
      <c r="S32" s="150"/>
      <c r="T32" s="150"/>
      <c r="U32" s="150"/>
      <c r="V32" s="150"/>
      <c r="W32" s="150"/>
      <c r="X32" s="150"/>
      <c r="Y32" s="150"/>
      <c r="Z32" s="150"/>
      <c r="AA32" s="150"/>
      <c r="AB32" s="150"/>
      <c r="AC32" s="150"/>
      <c r="AD32" s="150"/>
      <c r="AE32" s="150"/>
      <c r="AF32" s="150"/>
    </row>
    <row r="33" customFormat="false" ht="15.75" hidden="false" customHeight="false" outlineLevel="0" collapsed="false">
      <c r="A33" s="1"/>
      <c r="B33" s="1"/>
      <c r="C33" s="151"/>
      <c r="D33" s="1"/>
      <c r="E33" s="150"/>
      <c r="F33" s="1"/>
      <c r="G33" s="1"/>
      <c r="H33" s="1"/>
      <c r="I33" s="1"/>
      <c r="J33" s="1"/>
      <c r="K33" s="150"/>
      <c r="L33" s="1"/>
      <c r="M33" s="1"/>
      <c r="N33" s="1"/>
      <c r="O33" s="1"/>
      <c r="P33" s="1"/>
      <c r="Q33" s="150"/>
      <c r="R33" s="150"/>
      <c r="S33" s="150"/>
      <c r="T33" s="150"/>
      <c r="U33" s="150"/>
      <c r="V33" s="150"/>
      <c r="W33" s="150"/>
      <c r="X33" s="150"/>
      <c r="Y33" s="150"/>
      <c r="Z33" s="150"/>
      <c r="AA33" s="150"/>
      <c r="AB33" s="150"/>
      <c r="AC33" s="150"/>
      <c r="AD33" s="150"/>
      <c r="AE33" s="150"/>
      <c r="AF33" s="150"/>
    </row>
    <row r="34" customFormat="false" ht="15.75" hidden="false" customHeight="false" outlineLevel="0" collapsed="false">
      <c r="A34" s="1"/>
      <c r="B34" s="1"/>
      <c r="C34" s="151"/>
      <c r="D34" s="1"/>
      <c r="E34" s="1"/>
      <c r="F34" s="1"/>
      <c r="G34" s="1"/>
      <c r="H34" s="1"/>
      <c r="I34" s="1"/>
      <c r="J34" s="1"/>
      <c r="K34" s="150"/>
      <c r="L34" s="1"/>
      <c r="M34" s="1"/>
      <c r="N34" s="1"/>
      <c r="O34" s="1"/>
      <c r="P34" s="1"/>
      <c r="Q34" s="150"/>
      <c r="R34" s="150"/>
      <c r="S34" s="150"/>
      <c r="T34" s="150"/>
      <c r="U34" s="150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150"/>
    </row>
    <row r="35" customFormat="false" ht="15.75" hidden="false" customHeight="false" outlineLevel="0" collapsed="false">
      <c r="A35" s="1"/>
      <c r="B35" s="151"/>
      <c r="C35" s="151"/>
      <c r="D35" s="1"/>
      <c r="E35" s="1"/>
      <c r="F35" s="1"/>
      <c r="G35" s="1"/>
      <c r="H35" s="1"/>
      <c r="I35" s="1"/>
      <c r="J35" s="1"/>
      <c r="K35" s="150"/>
      <c r="L35" s="1"/>
      <c r="M35" s="1"/>
      <c r="N35" s="1"/>
      <c r="O35" s="1"/>
      <c r="P35" s="1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150"/>
      <c r="AE35" s="150"/>
      <c r="AF35" s="150"/>
    </row>
    <row r="36" customFormat="false" ht="15.75" hidden="false" customHeight="false" outlineLevel="0" collapsed="false">
      <c r="A36" s="1"/>
      <c r="B36" s="1"/>
      <c r="C36" s="151"/>
      <c r="D36" s="1"/>
      <c r="E36" s="1"/>
      <c r="F36" s="1"/>
      <c r="G36" s="1"/>
      <c r="H36" s="1"/>
      <c r="I36" s="1"/>
      <c r="J36" s="1"/>
      <c r="K36" s="150"/>
      <c r="L36" s="1"/>
      <c r="M36" s="1"/>
      <c r="N36" s="1"/>
      <c r="O36" s="1"/>
      <c r="P36" s="1"/>
      <c r="Q36" s="150"/>
      <c r="R36" s="150"/>
      <c r="S36" s="150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50"/>
    </row>
    <row r="37" customFormat="false" ht="15.75" hidden="false" customHeight="false" outlineLevel="0" collapsed="false">
      <c r="A37" s="1"/>
      <c r="B37" s="1"/>
      <c r="C37" s="151"/>
      <c r="D37" s="1"/>
      <c r="E37" s="150"/>
      <c r="F37" s="1"/>
      <c r="G37" s="1"/>
      <c r="H37" s="1"/>
      <c r="I37" s="1"/>
      <c r="J37" s="1"/>
      <c r="K37" s="150"/>
      <c r="L37" s="1"/>
      <c r="M37" s="1"/>
      <c r="N37" s="1"/>
      <c r="O37" s="1"/>
      <c r="P37" s="1"/>
      <c r="Q37" s="150"/>
      <c r="R37" s="150"/>
      <c r="S37" s="150"/>
      <c r="T37" s="150"/>
      <c r="U37" s="150"/>
      <c r="V37" s="150"/>
      <c r="W37" s="150"/>
      <c r="X37" s="150"/>
      <c r="Y37" s="150"/>
      <c r="Z37" s="150"/>
      <c r="AA37" s="150"/>
      <c r="AB37" s="150"/>
      <c r="AC37" s="150"/>
      <c r="AD37" s="150"/>
      <c r="AE37" s="150"/>
      <c r="AF37" s="150"/>
    </row>
    <row r="38" customFormat="false" ht="15.75" hidden="false" customHeight="false" outlineLevel="0" collapsed="false">
      <c r="A38" s="1"/>
      <c r="B38" s="151"/>
      <c r="C38" s="151"/>
      <c r="D38" s="1"/>
      <c r="E38" s="150"/>
      <c r="F38" s="1"/>
      <c r="G38" s="1"/>
      <c r="H38" s="1"/>
      <c r="I38" s="1"/>
      <c r="J38" s="1"/>
      <c r="K38" s="150"/>
      <c r="L38" s="1"/>
      <c r="M38" s="1"/>
      <c r="N38" s="1"/>
      <c r="O38" s="1"/>
      <c r="P38" s="1"/>
      <c r="Q38" s="150"/>
      <c r="R38" s="150"/>
      <c r="S38" s="150"/>
      <c r="T38" s="150"/>
      <c r="U38" s="150"/>
      <c r="V38" s="150"/>
      <c r="W38" s="150"/>
      <c r="X38" s="150"/>
      <c r="Y38" s="150"/>
      <c r="Z38" s="150"/>
      <c r="AA38" s="150"/>
      <c r="AB38" s="150"/>
      <c r="AC38" s="150"/>
      <c r="AE38" s="150"/>
      <c r="AF38" s="150"/>
    </row>
    <row r="39" customFormat="false" ht="15.75" hidden="false" customHeight="false" outlineLevel="0" collapsed="false">
      <c r="A39" s="1"/>
      <c r="B39" s="1"/>
      <c r="C39" s="151"/>
      <c r="D39" s="1"/>
      <c r="E39" s="1"/>
      <c r="F39" s="1"/>
      <c r="G39" s="1"/>
      <c r="H39" s="1"/>
      <c r="I39" s="1"/>
      <c r="J39" s="1"/>
      <c r="K39" s="150"/>
      <c r="L39" s="1"/>
      <c r="M39" s="1"/>
      <c r="N39" s="1"/>
      <c r="O39" s="1"/>
      <c r="P39" s="1"/>
      <c r="Q39" s="150"/>
      <c r="R39" s="150"/>
      <c r="S39" s="150"/>
      <c r="T39" s="150"/>
      <c r="U39" s="150"/>
      <c r="V39" s="150"/>
      <c r="W39" s="150"/>
      <c r="X39" s="150"/>
      <c r="Y39" s="150"/>
      <c r="Z39" s="150"/>
      <c r="AA39" s="150"/>
      <c r="AB39" s="150"/>
      <c r="AC39" s="150"/>
      <c r="AD39" s="150"/>
      <c r="AE39" s="150"/>
      <c r="AF39" s="150"/>
    </row>
    <row r="40" customFormat="false" ht="15.75" hidden="false" customHeight="false" outlineLevel="0" collapsed="false">
      <c r="A40" s="1"/>
      <c r="B40" s="1"/>
      <c r="C40" s="151"/>
      <c r="D40" s="1"/>
      <c r="E40" s="1"/>
      <c r="F40" s="1"/>
      <c r="G40" s="1"/>
      <c r="H40" s="1"/>
      <c r="I40" s="1"/>
      <c r="J40" s="1"/>
      <c r="K40" s="150"/>
      <c r="L40" s="1"/>
      <c r="M40" s="1"/>
      <c r="N40" s="1"/>
      <c r="O40" s="1"/>
      <c r="P40" s="1"/>
      <c r="Q40" s="150"/>
      <c r="R40" s="150"/>
      <c r="S40" s="150"/>
      <c r="T40" s="150"/>
      <c r="U40" s="150"/>
      <c r="V40" s="150"/>
      <c r="W40" s="150"/>
      <c r="X40" s="150"/>
      <c r="Y40" s="150"/>
      <c r="Z40" s="150"/>
      <c r="AA40" s="150"/>
      <c r="AB40" s="150"/>
      <c r="AC40" s="150"/>
      <c r="AE40" s="150"/>
      <c r="AF40" s="150"/>
    </row>
    <row r="41" customFormat="false" ht="15.75" hidden="false" customHeight="false" outlineLevel="0" collapsed="false">
      <c r="A41" s="1"/>
      <c r="B41" s="1"/>
      <c r="C41" s="151"/>
      <c r="D41" s="1"/>
      <c r="E41" s="150"/>
      <c r="F41" s="1"/>
      <c r="G41" s="1"/>
      <c r="H41" s="1"/>
      <c r="I41" s="1"/>
      <c r="J41" s="1"/>
      <c r="K41" s="150"/>
      <c r="L41" s="1"/>
      <c r="M41" s="1"/>
      <c r="N41" s="1"/>
      <c r="O41" s="1"/>
      <c r="P41" s="1"/>
      <c r="Q41" s="150"/>
      <c r="R41" s="150"/>
      <c r="S41" s="150"/>
      <c r="T41" s="150"/>
      <c r="U41" s="150"/>
      <c r="V41" s="150"/>
      <c r="W41" s="150"/>
      <c r="X41" s="150"/>
      <c r="Y41" s="150"/>
      <c r="Z41" s="150"/>
      <c r="AA41" s="150"/>
      <c r="AB41" s="150"/>
      <c r="AC41" s="150"/>
      <c r="AD41" s="150"/>
      <c r="AE41" s="150"/>
      <c r="AF41" s="150"/>
    </row>
    <row r="42" customFormat="false" ht="15.75" hidden="false" customHeight="false" outlineLevel="0" collapsed="false">
      <c r="A42" s="1"/>
      <c r="B42" s="1"/>
      <c r="C42" s="151"/>
      <c r="D42" s="1"/>
      <c r="E42" s="1"/>
      <c r="F42" s="1"/>
      <c r="G42" s="1"/>
      <c r="H42" s="1"/>
      <c r="I42" s="1"/>
      <c r="J42" s="1"/>
      <c r="K42" s="150"/>
      <c r="L42" s="1"/>
      <c r="M42" s="1"/>
      <c r="N42" s="1"/>
      <c r="O42" s="1"/>
      <c r="P42" s="1"/>
      <c r="Q42" s="150"/>
      <c r="R42" s="150"/>
      <c r="S42" s="150"/>
      <c r="T42" s="150"/>
      <c r="U42" s="150"/>
      <c r="V42" s="150"/>
      <c r="W42" s="150"/>
      <c r="X42" s="150"/>
      <c r="Y42" s="150"/>
      <c r="Z42" s="150"/>
      <c r="AA42" s="150"/>
      <c r="AB42" s="150"/>
      <c r="AC42" s="150"/>
      <c r="AD42" s="150"/>
      <c r="AE42" s="150"/>
      <c r="AF42" s="150"/>
    </row>
    <row r="43" customFormat="false" ht="15.75" hidden="false" customHeight="false" outlineLevel="0" collapsed="false">
      <c r="A43" s="1"/>
      <c r="B43" s="1"/>
      <c r="C43" s="151"/>
      <c r="D43" s="1"/>
      <c r="E43" s="150"/>
      <c r="F43" s="1"/>
      <c r="G43" s="1"/>
      <c r="H43" s="1"/>
      <c r="I43" s="1"/>
      <c r="J43" s="1"/>
      <c r="K43" s="150"/>
      <c r="L43" s="1"/>
      <c r="M43" s="1"/>
      <c r="N43" s="1"/>
      <c r="O43" s="1"/>
      <c r="P43" s="1"/>
      <c r="Q43" s="150"/>
      <c r="R43" s="150"/>
      <c r="S43" s="150"/>
      <c r="T43" s="150"/>
      <c r="U43" s="150"/>
      <c r="V43" s="150"/>
      <c r="W43" s="150"/>
      <c r="X43" s="150"/>
      <c r="Y43" s="150"/>
      <c r="Z43" s="150"/>
      <c r="AA43" s="150"/>
      <c r="AB43" s="150"/>
      <c r="AC43" s="150"/>
      <c r="AD43" s="150"/>
      <c r="AE43" s="150"/>
      <c r="AF43" s="150"/>
    </row>
    <row r="44" customFormat="false" ht="15.75" hidden="false" customHeight="false" outlineLevel="0" collapsed="false">
      <c r="A44" s="1"/>
      <c r="B44" s="1"/>
      <c r="C44" s="15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50"/>
      <c r="R44" s="150"/>
      <c r="S44" s="150"/>
      <c r="T44" s="150"/>
      <c r="U44" s="150"/>
      <c r="V44" s="150"/>
      <c r="W44" s="150"/>
      <c r="X44" s="150"/>
      <c r="Y44" s="150"/>
      <c r="Z44" s="150"/>
      <c r="AA44" s="150"/>
      <c r="AB44" s="150"/>
      <c r="AC44" s="150"/>
      <c r="AD44" s="150"/>
      <c r="AE44" s="150"/>
      <c r="AF44" s="150"/>
    </row>
    <row r="45" customFormat="false" ht="15.75" hidden="false" customHeight="false" outlineLevel="0" collapsed="false">
      <c r="A45" s="1"/>
      <c r="B45" s="1"/>
      <c r="C45" s="151"/>
      <c r="D45" s="1"/>
      <c r="E45" s="1"/>
      <c r="F45" s="1"/>
      <c r="G45" s="1"/>
      <c r="H45" s="1"/>
      <c r="I45" s="1"/>
      <c r="J45" s="1"/>
      <c r="K45" s="150"/>
      <c r="L45" s="1"/>
      <c r="M45" s="1"/>
      <c r="N45" s="1"/>
      <c r="O45" s="1"/>
      <c r="P45" s="1"/>
      <c r="Q45" s="150"/>
      <c r="R45" s="150"/>
      <c r="S45" s="150"/>
      <c r="T45" s="150"/>
      <c r="U45" s="150"/>
      <c r="V45" s="150"/>
      <c r="W45" s="150"/>
      <c r="X45" s="150"/>
      <c r="Y45" s="150"/>
      <c r="Z45" s="150"/>
      <c r="AA45" s="150"/>
      <c r="AB45" s="150"/>
      <c r="AC45" s="150"/>
      <c r="AD45" s="150"/>
      <c r="AE45" s="150"/>
      <c r="AF45" s="150"/>
    </row>
    <row r="46" customFormat="false" ht="15.75" hidden="false" customHeight="false" outlineLevel="0" collapsed="false">
      <c r="A46" s="1"/>
      <c r="B46" s="1"/>
      <c r="C46" s="151"/>
      <c r="D46" s="1"/>
      <c r="E46" s="1"/>
      <c r="F46" s="1"/>
      <c r="G46" s="1"/>
      <c r="H46" s="1"/>
      <c r="I46" s="1"/>
      <c r="J46" s="1"/>
      <c r="K46" s="150"/>
      <c r="L46" s="1"/>
      <c r="M46" s="1"/>
      <c r="N46" s="1"/>
      <c r="O46" s="1"/>
      <c r="P46" s="1"/>
      <c r="Q46" s="150"/>
      <c r="R46" s="150"/>
      <c r="S46" s="150"/>
      <c r="T46" s="150"/>
      <c r="U46" s="150"/>
      <c r="V46" s="150"/>
      <c r="W46" s="150"/>
      <c r="X46" s="150"/>
      <c r="Y46" s="150"/>
      <c r="Z46" s="150"/>
      <c r="AA46" s="150"/>
      <c r="AB46" s="150"/>
      <c r="AC46" s="150"/>
      <c r="AD46" s="150"/>
      <c r="AE46" s="150"/>
      <c r="AF46" s="150"/>
    </row>
    <row r="47" customFormat="false" ht="15.75" hidden="false" customHeight="false" outlineLevel="0" collapsed="false">
      <c r="A47" s="1"/>
      <c r="B47" s="1"/>
      <c r="C47" s="151"/>
      <c r="D47" s="1"/>
      <c r="E47" s="150"/>
      <c r="F47" s="1"/>
      <c r="G47" s="1"/>
      <c r="H47" s="1"/>
      <c r="I47" s="1"/>
      <c r="J47" s="1"/>
      <c r="K47" s="150"/>
      <c r="L47" s="1"/>
      <c r="M47" s="1"/>
      <c r="N47" s="1"/>
      <c r="O47" s="1"/>
      <c r="P47" s="1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150"/>
      <c r="AE47" s="150"/>
      <c r="AF47" s="150"/>
    </row>
    <row r="48" customFormat="false" ht="15.75" hidden="false" customHeight="false" outlineLevel="0" collapsed="false">
      <c r="A48" s="1"/>
      <c r="B48" s="1"/>
      <c r="C48" s="151"/>
      <c r="D48" s="1"/>
      <c r="E48" s="1"/>
      <c r="F48" s="1"/>
      <c r="G48" s="1"/>
      <c r="H48" s="1"/>
      <c r="I48" s="1"/>
      <c r="J48" s="1"/>
      <c r="K48" s="150"/>
      <c r="L48" s="1"/>
      <c r="M48" s="1"/>
      <c r="N48" s="1"/>
      <c r="O48" s="1"/>
      <c r="P48" s="1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</row>
    <row r="49" customFormat="false" ht="15.75" hidden="false" customHeight="false" outlineLevel="0" collapsed="false">
      <c r="A49" s="1"/>
      <c r="B49" s="1"/>
      <c r="C49" s="151"/>
      <c r="D49" s="1"/>
      <c r="E49" s="1"/>
      <c r="F49" s="1"/>
      <c r="G49" s="1"/>
      <c r="H49" s="1"/>
      <c r="I49" s="1"/>
      <c r="J49" s="1"/>
      <c r="K49" s="150"/>
      <c r="L49" s="1"/>
      <c r="M49" s="1"/>
      <c r="N49" s="1"/>
      <c r="O49" s="1"/>
      <c r="P49" s="1"/>
      <c r="Q49" s="150"/>
      <c r="R49" s="150"/>
      <c r="S49" s="150"/>
      <c r="T49" s="150"/>
      <c r="U49" s="150"/>
      <c r="V49" s="150"/>
      <c r="W49" s="150"/>
      <c r="X49" s="150"/>
      <c r="Y49" s="150"/>
      <c r="Z49" s="150"/>
      <c r="AA49" s="150"/>
      <c r="AB49" s="150"/>
      <c r="AC49" s="150"/>
      <c r="AD49" s="150"/>
      <c r="AE49" s="150"/>
      <c r="AF49" s="150"/>
    </row>
    <row r="50" customFormat="false" ht="15.75" hidden="false" customHeight="false" outlineLevel="0" collapsed="false">
      <c r="A50" s="1"/>
      <c r="B50" s="1"/>
      <c r="C50" s="151"/>
      <c r="D50" s="1"/>
      <c r="E50" s="150"/>
      <c r="F50" s="1"/>
      <c r="G50" s="1"/>
      <c r="H50" s="1"/>
      <c r="I50" s="1"/>
      <c r="J50" s="1"/>
      <c r="K50" s="150"/>
      <c r="L50" s="1"/>
      <c r="M50" s="1"/>
      <c r="N50" s="1"/>
      <c r="O50" s="1"/>
      <c r="P50" s="1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</row>
    <row r="51" customFormat="false" ht="15.75" hidden="false" customHeight="false" outlineLevel="0" collapsed="false">
      <c r="A51" s="1"/>
      <c r="B51" s="1"/>
      <c r="C51" s="151"/>
      <c r="D51" s="1"/>
      <c r="E51" s="1"/>
      <c r="F51" s="1"/>
      <c r="G51" s="1"/>
      <c r="H51" s="1"/>
      <c r="I51" s="1"/>
      <c r="J51" s="1"/>
      <c r="K51" s="150"/>
      <c r="L51" s="1"/>
      <c r="M51" s="1"/>
      <c r="N51" s="1"/>
      <c r="O51" s="1"/>
      <c r="P51" s="1"/>
      <c r="Q51" s="150"/>
      <c r="R51" s="150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  <c r="AD51" s="150"/>
      <c r="AE51" s="150"/>
      <c r="AF51" s="150"/>
    </row>
    <row r="52" customFormat="false" ht="15.75" hidden="false" customHeight="false" outlineLevel="0" collapsed="false">
      <c r="A52" s="1"/>
      <c r="B52" s="151"/>
      <c r="C52" s="15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50"/>
      <c r="R52" s="150"/>
      <c r="S52" s="150"/>
      <c r="T52" s="150"/>
      <c r="U52" s="150"/>
      <c r="V52" s="150"/>
      <c r="W52" s="150"/>
      <c r="X52" s="150"/>
      <c r="Y52" s="150"/>
      <c r="Z52" s="150"/>
      <c r="AA52" s="150"/>
      <c r="AB52" s="150"/>
      <c r="AC52" s="150"/>
      <c r="AD52" s="150"/>
      <c r="AE52" s="150"/>
      <c r="AF52" s="150"/>
    </row>
    <row r="53" customFormat="false" ht="15.75" hidden="false" customHeight="false" outlineLevel="0" collapsed="false">
      <c r="A53" s="1"/>
      <c r="B53" s="1"/>
      <c r="C53" s="151"/>
      <c r="D53" s="1"/>
      <c r="E53" s="1"/>
      <c r="F53" s="1"/>
      <c r="G53" s="1"/>
      <c r="H53" s="1"/>
      <c r="I53" s="1"/>
      <c r="J53" s="1"/>
      <c r="K53" s="150"/>
      <c r="L53" s="1"/>
      <c r="M53" s="1"/>
      <c r="N53" s="1"/>
      <c r="O53" s="1"/>
      <c r="P53" s="1"/>
      <c r="Q53" s="150"/>
      <c r="R53" s="150"/>
      <c r="S53" s="150"/>
      <c r="T53" s="150"/>
      <c r="U53" s="150"/>
      <c r="V53" s="150"/>
      <c r="W53" s="150"/>
      <c r="X53" s="150"/>
      <c r="Y53" s="150"/>
      <c r="Z53" s="150"/>
      <c r="AA53" s="150"/>
      <c r="AB53" s="150"/>
      <c r="AC53" s="150"/>
      <c r="AD53" s="150"/>
      <c r="AE53" s="150"/>
      <c r="AF53" s="150"/>
    </row>
    <row r="54" customFormat="false" ht="15.75" hidden="false" customHeight="false" outlineLevel="0" collapsed="false">
      <c r="A54" s="1"/>
      <c r="B54" s="1"/>
      <c r="C54" s="15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50"/>
      <c r="R54" s="150"/>
      <c r="S54" s="150"/>
      <c r="T54" s="150"/>
      <c r="U54" s="150"/>
      <c r="V54" s="150"/>
      <c r="W54" s="150"/>
      <c r="X54" s="150"/>
      <c r="Y54" s="150"/>
      <c r="Z54" s="150"/>
      <c r="AA54" s="150"/>
      <c r="AB54" s="150"/>
      <c r="AC54" s="150"/>
      <c r="AD54" s="150"/>
      <c r="AE54" s="150"/>
      <c r="AF54" s="150"/>
    </row>
    <row r="55" customFormat="false" ht="15.75" hidden="false" customHeight="false" outlineLevel="0" collapsed="false">
      <c r="A55" s="1"/>
      <c r="B55" s="1"/>
      <c r="C55" s="151"/>
      <c r="D55" s="1"/>
      <c r="E55" s="1"/>
      <c r="F55" s="1"/>
      <c r="G55" s="1"/>
      <c r="H55" s="1"/>
      <c r="I55" s="1"/>
      <c r="J55" s="1"/>
      <c r="K55" s="150"/>
      <c r="L55" s="1"/>
      <c r="M55" s="1"/>
      <c r="N55" s="1"/>
      <c r="O55" s="1"/>
      <c r="P55" s="1"/>
      <c r="Q55" s="150"/>
      <c r="R55" s="150"/>
      <c r="S55" s="150"/>
      <c r="T55" s="150"/>
      <c r="U55" s="150"/>
      <c r="V55" s="150"/>
      <c r="W55" s="150"/>
      <c r="X55" s="150"/>
      <c r="Y55" s="150"/>
      <c r="Z55" s="150"/>
      <c r="AA55" s="150"/>
      <c r="AB55" s="150"/>
      <c r="AC55" s="150"/>
      <c r="AD55" s="150"/>
      <c r="AE55" s="150"/>
      <c r="AF55" s="150"/>
    </row>
    <row r="56" customFormat="false" ht="15.75" hidden="false" customHeight="false" outlineLevel="0" collapsed="false">
      <c r="A56" s="1"/>
      <c r="B56" s="1"/>
      <c r="C56" s="151"/>
      <c r="D56" s="1"/>
      <c r="E56" s="1"/>
      <c r="F56" s="1"/>
      <c r="G56" s="1"/>
      <c r="H56" s="1"/>
      <c r="I56" s="1"/>
      <c r="J56" s="1"/>
      <c r="K56" s="150"/>
      <c r="L56" s="1"/>
      <c r="M56" s="1"/>
      <c r="N56" s="1"/>
      <c r="O56" s="1"/>
      <c r="P56" s="1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50"/>
      <c r="AD56" s="150"/>
      <c r="AE56" s="150"/>
      <c r="AF56" s="150"/>
    </row>
    <row r="57" customFormat="false" ht="15.75" hidden="false" customHeight="false" outlineLevel="0" collapsed="false">
      <c r="A57" s="1"/>
      <c r="B57" s="1"/>
      <c r="C57" s="151"/>
      <c r="D57" s="1"/>
      <c r="E57" s="1"/>
      <c r="F57" s="1"/>
      <c r="G57" s="1"/>
      <c r="H57" s="1"/>
      <c r="I57" s="1"/>
      <c r="J57" s="1"/>
      <c r="K57" s="150"/>
      <c r="L57" s="1"/>
      <c r="M57" s="1"/>
      <c r="N57" s="1"/>
      <c r="O57" s="1"/>
      <c r="P57" s="1"/>
      <c r="Q57" s="150"/>
      <c r="R57" s="150"/>
      <c r="S57" s="150"/>
      <c r="T57" s="150"/>
      <c r="U57" s="150"/>
      <c r="V57" s="150"/>
      <c r="W57" s="150"/>
      <c r="X57" s="150"/>
      <c r="Y57" s="150"/>
      <c r="Z57" s="150"/>
      <c r="AA57" s="150"/>
      <c r="AB57" s="150"/>
      <c r="AC57" s="150"/>
      <c r="AD57" s="150"/>
      <c r="AE57" s="150"/>
      <c r="AF57" s="150"/>
    </row>
    <row r="58" customFormat="false" ht="15.75" hidden="false" customHeight="false" outlineLevel="0" collapsed="false">
      <c r="A58" s="1"/>
      <c r="B58" s="1"/>
      <c r="C58" s="15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50"/>
      <c r="R58" s="150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  <c r="AC58" s="150"/>
      <c r="AD58" s="150"/>
      <c r="AE58" s="150"/>
      <c r="AF58" s="150"/>
    </row>
    <row r="59" customFormat="false" ht="15.75" hidden="false" customHeight="false" outlineLevel="0" collapsed="false">
      <c r="A59" s="1"/>
      <c r="B59" s="1"/>
      <c r="C59" s="151"/>
      <c r="D59" s="1"/>
      <c r="E59" s="1"/>
      <c r="F59" s="1"/>
      <c r="G59" s="1"/>
      <c r="H59" s="1"/>
      <c r="I59" s="1"/>
      <c r="J59" s="1"/>
      <c r="K59" s="150"/>
      <c r="L59" s="1"/>
      <c r="M59" s="1"/>
      <c r="N59" s="1"/>
      <c r="O59" s="1"/>
      <c r="P59" s="1"/>
      <c r="Q59" s="150"/>
      <c r="R59" s="150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  <c r="AC59" s="150"/>
      <c r="AD59" s="150"/>
      <c r="AE59" s="150"/>
      <c r="AF59" s="150"/>
    </row>
    <row r="60" customFormat="false" ht="15.75" hidden="false" customHeight="false" outlineLevel="0" collapsed="false">
      <c r="A60" s="1"/>
      <c r="B60" s="1"/>
      <c r="C60" s="15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50"/>
      <c r="R60" s="150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  <c r="AC60" s="150"/>
      <c r="AD60" s="150"/>
      <c r="AE60" s="150"/>
      <c r="AF60" s="150"/>
    </row>
    <row r="61" customFormat="false" ht="15.75" hidden="false" customHeight="false" outlineLevel="0" collapsed="false">
      <c r="A61" s="1"/>
      <c r="B61" s="1"/>
      <c r="C61" s="151"/>
      <c r="D61" s="1"/>
      <c r="E61" s="1"/>
      <c r="F61" s="1"/>
      <c r="G61" s="1"/>
      <c r="H61" s="1"/>
      <c r="I61" s="1"/>
      <c r="J61" s="1"/>
      <c r="K61" s="150"/>
      <c r="L61" s="1"/>
      <c r="M61" s="1"/>
      <c r="N61" s="1"/>
      <c r="O61" s="1"/>
      <c r="P61" s="1"/>
      <c r="Q61" s="150"/>
      <c r="R61" s="150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  <c r="AC61" s="150"/>
      <c r="AD61" s="150"/>
      <c r="AE61" s="150"/>
      <c r="AF61" s="150"/>
    </row>
    <row r="62" customFormat="false" ht="15.75" hidden="false" customHeight="false" outlineLevel="0" collapsed="false">
      <c r="A62" s="1"/>
      <c r="B62" s="1"/>
      <c r="C62" s="151"/>
      <c r="D62" s="1"/>
      <c r="E62" s="1"/>
      <c r="F62" s="1"/>
      <c r="G62" s="1"/>
      <c r="H62" s="1"/>
      <c r="I62" s="1"/>
      <c r="J62" s="1"/>
      <c r="K62" s="150"/>
      <c r="L62" s="1"/>
      <c r="M62" s="1"/>
      <c r="N62" s="1"/>
      <c r="O62" s="1"/>
      <c r="P62" s="1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50"/>
      <c r="AD62" s="150"/>
      <c r="AE62" s="150"/>
      <c r="AF62" s="150"/>
    </row>
    <row r="63" customFormat="false" ht="15.75" hidden="false" customHeight="false" outlineLevel="0" collapsed="false">
      <c r="A63" s="1"/>
      <c r="B63" s="1"/>
      <c r="C63" s="151"/>
      <c r="D63" s="1"/>
      <c r="E63" s="150"/>
      <c r="F63" s="1"/>
      <c r="G63" s="1"/>
      <c r="H63" s="1"/>
      <c r="I63" s="1"/>
      <c r="J63" s="1"/>
      <c r="K63" s="150"/>
      <c r="L63" s="1"/>
      <c r="M63" s="1"/>
      <c r="N63" s="1"/>
      <c r="O63" s="1"/>
      <c r="P63" s="1"/>
      <c r="Q63" s="150"/>
      <c r="R63" s="150"/>
      <c r="S63" s="150"/>
      <c r="T63" s="150"/>
      <c r="U63" s="150"/>
      <c r="V63" s="150"/>
      <c r="W63" s="150"/>
      <c r="X63" s="150"/>
      <c r="Y63" s="150"/>
      <c r="Z63" s="150"/>
      <c r="AA63" s="150"/>
      <c r="AB63" s="150"/>
      <c r="AC63" s="150"/>
      <c r="AD63" s="150"/>
      <c r="AE63" s="150"/>
      <c r="AF63" s="150"/>
    </row>
    <row r="64" customFormat="false" ht="15.75" hidden="false" customHeight="false" outlineLevel="0" collapsed="false">
      <c r="A64" s="1"/>
      <c r="B64" s="1"/>
      <c r="C64" s="151"/>
      <c r="D64" s="1"/>
      <c r="E64" s="1"/>
      <c r="F64" s="1"/>
      <c r="G64" s="1"/>
      <c r="H64" s="1"/>
      <c r="I64" s="1"/>
      <c r="J64" s="1"/>
      <c r="K64" s="150"/>
      <c r="L64" s="1"/>
      <c r="M64" s="1"/>
      <c r="N64" s="1"/>
      <c r="O64" s="1"/>
      <c r="P64" s="1"/>
      <c r="Q64" s="150"/>
      <c r="R64" s="150"/>
      <c r="S64" s="150"/>
      <c r="T64" s="150"/>
      <c r="U64" s="150"/>
      <c r="V64" s="150"/>
      <c r="W64" s="150"/>
      <c r="X64" s="150"/>
      <c r="Y64" s="150"/>
      <c r="Z64" s="150"/>
      <c r="AA64" s="150"/>
      <c r="AB64" s="150"/>
      <c r="AC64" s="150"/>
      <c r="AD64" s="150"/>
      <c r="AE64" s="150"/>
      <c r="AF64" s="150"/>
    </row>
    <row r="65" customFormat="false" ht="15.75" hidden="false" customHeight="false" outlineLevel="0" collapsed="false">
      <c r="A65" s="1"/>
      <c r="B65" s="1"/>
      <c r="C65" s="151"/>
      <c r="D65" s="1"/>
      <c r="E65" s="1"/>
      <c r="F65" s="1"/>
      <c r="G65" s="1"/>
      <c r="H65" s="1"/>
      <c r="I65" s="1"/>
      <c r="J65" s="1"/>
      <c r="K65" s="150"/>
      <c r="L65" s="1"/>
      <c r="M65" s="1"/>
      <c r="N65" s="1"/>
      <c r="O65" s="1"/>
      <c r="P65" s="1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  <c r="AC65" s="150"/>
      <c r="AE65" s="150"/>
      <c r="AF65" s="150"/>
    </row>
    <row r="66" customFormat="false" ht="15.75" hidden="false" customHeight="false" outlineLevel="0" collapsed="false">
      <c r="A66" s="1"/>
      <c r="B66" s="1"/>
      <c r="C66" s="151"/>
      <c r="D66" s="1"/>
      <c r="E66" s="1"/>
      <c r="F66" s="1"/>
      <c r="G66" s="1"/>
      <c r="H66" s="1"/>
      <c r="I66" s="1"/>
      <c r="J66" s="1"/>
      <c r="K66" s="150"/>
      <c r="L66" s="1"/>
      <c r="M66" s="1"/>
      <c r="N66" s="1"/>
      <c r="O66" s="1"/>
      <c r="P66" s="1"/>
      <c r="Q66" s="150"/>
      <c r="R66" s="150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  <c r="AC66" s="150"/>
      <c r="AD66" s="150"/>
      <c r="AE66" s="150"/>
      <c r="AF66" s="150"/>
    </row>
    <row r="67" customFormat="false" ht="15.75" hidden="false" customHeight="false" outlineLevel="0" collapsed="false">
      <c r="A67" s="1"/>
      <c r="B67" s="1"/>
      <c r="C67" s="151"/>
      <c r="D67" s="1"/>
      <c r="E67" s="1"/>
      <c r="F67" s="1"/>
      <c r="G67" s="1"/>
      <c r="H67" s="1"/>
      <c r="I67" s="1"/>
      <c r="J67" s="1"/>
      <c r="K67" s="150"/>
      <c r="L67" s="1"/>
      <c r="M67" s="1"/>
      <c r="N67" s="1"/>
      <c r="O67" s="1"/>
      <c r="P67" s="1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50"/>
      <c r="AC67" s="150"/>
      <c r="AE67" s="150"/>
      <c r="AF67" s="150"/>
    </row>
    <row r="68" customFormat="false" ht="15.7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50"/>
      <c r="L68" s="1"/>
      <c r="M68" s="1"/>
      <c r="N68" s="1"/>
      <c r="O68" s="1"/>
      <c r="P68" s="1"/>
      <c r="Q68" s="150"/>
      <c r="R68" s="150"/>
      <c r="S68" s="150"/>
      <c r="T68" s="150"/>
      <c r="U68" s="150"/>
      <c r="V68" s="150"/>
      <c r="W68" s="150"/>
      <c r="X68" s="150"/>
      <c r="Y68" s="150"/>
      <c r="Z68" s="150"/>
      <c r="AA68" s="150"/>
      <c r="AB68" s="150"/>
      <c r="AC68" s="150"/>
      <c r="AD68" s="150"/>
      <c r="AE68" s="150"/>
      <c r="AF68" s="150"/>
    </row>
    <row r="69" customFormat="false" ht="15.7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50"/>
      <c r="L69" s="1"/>
      <c r="M69" s="1"/>
      <c r="N69" s="1"/>
      <c r="O69" s="1"/>
      <c r="P69" s="1"/>
      <c r="Q69" s="150"/>
      <c r="R69" s="150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  <c r="AE69" s="150"/>
      <c r="AF69" s="150"/>
    </row>
    <row r="70" customFormat="false" ht="15.75" hidden="false" customHeight="false" outlineLevel="0" collapsed="false">
      <c r="A70" s="1"/>
      <c r="B70" s="1"/>
      <c r="C70" s="151"/>
      <c r="D70" s="1"/>
      <c r="E70" s="1"/>
      <c r="F70" s="1"/>
      <c r="G70" s="1"/>
      <c r="H70" s="1"/>
      <c r="I70" s="1"/>
      <c r="J70" s="1"/>
      <c r="K70" s="150"/>
      <c r="L70" s="1"/>
      <c r="M70" s="1"/>
      <c r="N70" s="1"/>
      <c r="O70" s="1"/>
      <c r="P70" s="1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  <c r="AD70" s="150"/>
      <c r="AE70" s="150"/>
      <c r="AF70" s="150"/>
    </row>
    <row r="71" customFormat="false" ht="15.75" hidden="false" customHeight="false" outlineLevel="0" collapsed="false">
      <c r="A71" s="1"/>
      <c r="B71" s="1"/>
      <c r="C71" s="151"/>
      <c r="D71" s="1"/>
      <c r="E71" s="150"/>
      <c r="F71" s="1"/>
      <c r="G71" s="1"/>
      <c r="H71" s="1"/>
      <c r="I71" s="1"/>
      <c r="J71" s="1"/>
      <c r="K71" s="150"/>
      <c r="L71" s="1"/>
      <c r="M71" s="1"/>
      <c r="N71" s="1"/>
      <c r="O71" s="1"/>
      <c r="P71" s="1"/>
      <c r="Q71" s="150"/>
      <c r="R71" s="150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  <c r="AE71" s="150"/>
      <c r="AF71" s="150"/>
    </row>
    <row r="72" customFormat="false" ht="15.7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50"/>
      <c r="L72" s="1"/>
      <c r="M72" s="1"/>
      <c r="N72" s="1"/>
      <c r="O72" s="1"/>
      <c r="P72" s="1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  <c r="AE72" s="150"/>
      <c r="AF72" s="150"/>
    </row>
    <row r="73" customFormat="false" ht="15.75" hidden="false" customHeight="false" outlineLevel="0" collapsed="false">
      <c r="A73" s="1"/>
      <c r="B73" s="1"/>
      <c r="C73" s="15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50"/>
      <c r="R73" s="150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  <c r="AD73" s="150"/>
      <c r="AE73" s="150"/>
      <c r="AF73" s="150"/>
    </row>
    <row r="74" customFormat="false" ht="15.75" hidden="false" customHeight="false" outlineLevel="0" collapsed="false">
      <c r="A74" s="1"/>
      <c r="B74" s="151"/>
      <c r="C74" s="151"/>
      <c r="D74" s="1"/>
      <c r="E74" s="150"/>
      <c r="F74" s="1"/>
      <c r="G74" s="1"/>
      <c r="H74" s="1"/>
      <c r="I74" s="1"/>
      <c r="J74" s="1"/>
      <c r="K74" s="150"/>
      <c r="L74" s="1"/>
      <c r="M74" s="1"/>
      <c r="N74" s="1"/>
      <c r="O74" s="1"/>
      <c r="P74" s="1"/>
      <c r="Q74" s="150"/>
      <c r="R74" s="150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  <c r="AD74" s="150"/>
      <c r="AE74" s="150"/>
      <c r="AF74" s="150"/>
    </row>
    <row r="75" customFormat="false" ht="15.7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50"/>
      <c r="L75" s="1"/>
      <c r="M75" s="1"/>
      <c r="N75" s="1"/>
      <c r="O75" s="1"/>
      <c r="P75" s="1"/>
      <c r="Q75" s="150"/>
      <c r="R75" s="150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  <c r="AD75" s="150"/>
      <c r="AE75" s="150"/>
      <c r="AF75" s="150"/>
    </row>
    <row r="76" customFormat="false" ht="15.7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50"/>
      <c r="L76" s="1"/>
      <c r="M76" s="1"/>
      <c r="N76" s="1"/>
      <c r="O76" s="1"/>
      <c r="P76" s="1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</row>
    <row r="77" customFormat="false" ht="15.75" hidden="false" customHeight="false" outlineLevel="0" collapsed="false">
      <c r="A77" s="1"/>
      <c r="B77" s="1"/>
      <c r="C77" s="1"/>
      <c r="D77" s="1"/>
      <c r="E77" s="150"/>
      <c r="F77" s="1"/>
      <c r="G77" s="1"/>
      <c r="H77" s="1"/>
      <c r="I77" s="1"/>
      <c r="J77" s="1"/>
      <c r="K77" s="150"/>
      <c r="L77" s="1"/>
      <c r="M77" s="1"/>
      <c r="N77" s="1"/>
      <c r="O77" s="1"/>
      <c r="P77" s="1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E77" s="150"/>
      <c r="AF77" s="150"/>
    </row>
    <row r="78" customFormat="false" ht="15.75" hidden="false" customHeight="false" outlineLevel="0" collapsed="false">
      <c r="A78" s="1"/>
      <c r="B78" s="1"/>
      <c r="C78" s="151"/>
      <c r="D78" s="1"/>
      <c r="E78" s="150"/>
      <c r="F78" s="1"/>
      <c r="G78" s="1"/>
      <c r="H78" s="1"/>
      <c r="I78" s="1"/>
      <c r="J78" s="1"/>
      <c r="K78" s="150"/>
      <c r="L78" s="1"/>
      <c r="M78" s="1"/>
      <c r="N78" s="1"/>
      <c r="O78" s="1"/>
      <c r="P78" s="1"/>
      <c r="Q78" s="150"/>
      <c r="R78" s="150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  <c r="AE78" s="150"/>
      <c r="AF78" s="150"/>
    </row>
    <row r="79" customFormat="false" ht="15.75" hidden="false" customHeight="false" outlineLevel="0" collapsed="false">
      <c r="A79" s="150"/>
      <c r="B79" s="150"/>
      <c r="C79" s="152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  <c r="AD79" s="150"/>
      <c r="AE79" s="150"/>
      <c r="AF79" s="150"/>
    </row>
    <row r="80" customFormat="false" ht="15.75" hidden="false" customHeight="false" outlineLevel="0" collapsed="false">
      <c r="A80" s="150"/>
      <c r="B80" s="150"/>
      <c r="C80" s="152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  <c r="AE80" s="150"/>
      <c r="AF80" s="150"/>
    </row>
    <row r="81" customFormat="false" ht="15.75" hidden="false" customHeight="false" outlineLevel="0" collapsed="false">
      <c r="A81" s="150"/>
      <c r="B81" s="150"/>
      <c r="C81" s="152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  <c r="AE81" s="150"/>
      <c r="AF81" s="150"/>
    </row>
    <row r="82" customFormat="false" ht="15.75" hidden="false" customHeight="false" outlineLevel="0" collapsed="false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  <c r="AD82" s="150"/>
      <c r="AE82" s="150"/>
      <c r="AF82" s="150"/>
    </row>
    <row r="83" customFormat="false" ht="15.75" hidden="false" customHeight="false" outlineLevel="0" collapsed="false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  <c r="AD83" s="150"/>
      <c r="AE83" s="150"/>
      <c r="AF83" s="150"/>
    </row>
    <row r="84" customFormat="false" ht="15.75" hidden="false" customHeight="false" outlineLevel="0" collapsed="false">
      <c r="A84" s="150"/>
      <c r="B84" s="150"/>
      <c r="C84" s="152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  <c r="AD84" s="150"/>
      <c r="AE84" s="150"/>
      <c r="AF84" s="150"/>
    </row>
    <row r="85" customFormat="false" ht="15.75" hidden="false" customHeight="false" outlineLevel="0" collapsed="false">
      <c r="A85" s="150"/>
      <c r="B85" s="150"/>
      <c r="C85" s="152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  <c r="AE85" s="150"/>
      <c r="AF85" s="150"/>
    </row>
    <row r="86" customFormat="false" ht="15.75" hidden="false" customHeight="false" outlineLevel="0" collapsed="false">
      <c r="A86" s="150"/>
      <c r="B86" s="150"/>
      <c r="C86" s="152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  <c r="AE86" s="150"/>
      <c r="AF86" s="150"/>
    </row>
    <row r="87" customFormat="false" ht="15.75" hidden="false" customHeight="false" outlineLevel="0" collapsed="false">
      <c r="A87" s="150"/>
      <c r="B87" s="150"/>
      <c r="C87" s="152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  <c r="AE87" s="150"/>
      <c r="AF87" s="150"/>
    </row>
    <row r="88" customFormat="false" ht="15.75" hidden="false" customHeight="false" outlineLevel="0" collapsed="false">
      <c r="A88" s="150"/>
      <c r="B88" s="150"/>
      <c r="C88" s="152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  <c r="AE88" s="150"/>
      <c r="AF88" s="150"/>
    </row>
    <row r="89" customFormat="false" ht="15.75" hidden="false" customHeight="false" outlineLevel="0" collapsed="false">
      <c r="A89" s="150"/>
      <c r="B89" s="150"/>
      <c r="C89" s="152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  <c r="AE89" s="150"/>
      <c r="AF89" s="150"/>
    </row>
    <row r="90" customFormat="false" ht="15.75" hidden="false" customHeight="false" outlineLevel="0" collapsed="false">
      <c r="A90" s="150"/>
      <c r="B90" s="150"/>
      <c r="C90" s="152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  <c r="AE90" s="150"/>
      <c r="AF90" s="150"/>
    </row>
    <row r="91" customFormat="false" ht="15.75" hidden="false" customHeight="false" outlineLevel="0" collapsed="false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  <c r="AE91" s="150"/>
      <c r="AF91" s="150"/>
    </row>
    <row r="92" customFormat="false" ht="15.75" hidden="false" customHeight="false" outlineLevel="0" collapsed="false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  <c r="AA92" s="150"/>
      <c r="AB92" s="150"/>
      <c r="AC92" s="150"/>
      <c r="AE92" s="150"/>
      <c r="AF92" s="150"/>
    </row>
    <row r="93" customFormat="false" ht="15.75" hidden="false" customHeight="false" outlineLevel="0" collapsed="false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  <c r="AA93" s="150"/>
      <c r="AB93" s="150"/>
      <c r="AC93" s="150"/>
      <c r="AD93" s="150"/>
      <c r="AE93" s="150"/>
      <c r="AF93" s="150"/>
    </row>
    <row r="94" customFormat="false" ht="15.75" hidden="false" customHeight="false" outlineLevel="0" collapsed="false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  <c r="AA94" s="150"/>
      <c r="AB94" s="150"/>
      <c r="AC94" s="150"/>
      <c r="AE94" s="150"/>
      <c r="AF94" s="150"/>
    </row>
    <row r="95" customFormat="false" ht="15.75" hidden="false" customHeight="false" outlineLevel="0" collapsed="false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  <c r="AA95" s="150"/>
      <c r="AB95" s="150"/>
      <c r="AC95" s="150"/>
      <c r="AE95" s="150"/>
      <c r="AF95" s="150"/>
    </row>
    <row r="96" customFormat="false" ht="15.75" hidden="false" customHeight="false" outlineLevel="0" collapsed="false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  <c r="AA96" s="150"/>
      <c r="AB96" s="150"/>
      <c r="AC96" s="150"/>
      <c r="AE96" s="150"/>
      <c r="AF96" s="150"/>
    </row>
    <row r="97" customFormat="false" ht="15.75" hidden="false" customHeight="false" outlineLevel="0" collapsed="false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  <c r="AA97" s="150"/>
      <c r="AB97" s="150"/>
      <c r="AC97" s="150"/>
      <c r="AE97" s="150"/>
      <c r="AF97" s="150"/>
    </row>
    <row r="98" customFormat="false" ht="15.75" hidden="false" customHeight="false" outlineLevel="0" collapsed="false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  <c r="AE98" s="150"/>
      <c r="AF98" s="150"/>
    </row>
    <row r="99" customFormat="false" ht="15.75" hidden="false" customHeight="false" outlineLevel="0" collapsed="false">
      <c r="A99" s="150"/>
      <c r="B99" s="150"/>
      <c r="C99" s="152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  <c r="AA99" s="150"/>
      <c r="AB99" s="150"/>
      <c r="AC99" s="150"/>
      <c r="AE99" s="150"/>
      <c r="AF99" s="150"/>
    </row>
    <row r="100" customFormat="false" ht="15.75" hidden="false" customHeight="false" outlineLevel="0" collapsed="false">
      <c r="A100" s="150"/>
      <c r="B100" s="150"/>
      <c r="C100" s="152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  <c r="AE100" s="150"/>
      <c r="AF100" s="150"/>
    </row>
    <row r="101" customFormat="false" ht="15.75" hidden="false" customHeight="false" outlineLevel="0" collapsed="false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O101" s="150"/>
      <c r="P101" s="150"/>
      <c r="Q101" s="150"/>
      <c r="S101" s="150"/>
      <c r="T101" s="150"/>
      <c r="U101" s="150"/>
      <c r="V101" s="150"/>
      <c r="W101" s="150"/>
      <c r="X101" s="150"/>
      <c r="Y101" s="150"/>
      <c r="Z101" s="150"/>
      <c r="AB101" s="150"/>
      <c r="AC101" s="150"/>
      <c r="AE101" s="150"/>
      <c r="AF101" s="150"/>
    </row>
    <row r="102" customFormat="false" ht="15.75" hidden="false" customHeight="false" outlineLevel="0" collapsed="false">
      <c r="A102" s="150"/>
      <c r="B102" s="150"/>
      <c r="C102" s="152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S102" s="150"/>
      <c r="T102" s="150"/>
      <c r="U102" s="150"/>
      <c r="V102" s="150"/>
      <c r="W102" s="150"/>
      <c r="X102" s="150"/>
      <c r="Y102" s="150"/>
      <c r="Z102" s="150"/>
      <c r="AB102" s="150"/>
      <c r="AC102" s="150"/>
      <c r="AE102" s="150"/>
      <c r="AF102" s="150"/>
    </row>
    <row r="103" customFormat="false" ht="15.75" hidden="false" customHeight="false" outlineLevel="0" collapsed="false">
      <c r="A103" s="150"/>
      <c r="B103" s="150"/>
      <c r="C103" s="152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  <c r="AE103" s="150"/>
      <c r="AF103" s="150"/>
    </row>
    <row r="104" customFormat="false" ht="15.75" hidden="false" customHeight="false" outlineLevel="0" collapsed="false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S104" s="150"/>
      <c r="T104" s="150"/>
      <c r="U104" s="150"/>
      <c r="V104" s="150"/>
      <c r="W104" s="150"/>
      <c r="X104" s="150"/>
      <c r="Y104" s="150"/>
      <c r="Z104" s="150"/>
      <c r="AB104" s="150"/>
      <c r="AC104" s="150"/>
      <c r="AE104" s="150"/>
      <c r="AF104" s="150"/>
    </row>
    <row r="105" customFormat="false" ht="15.75" hidden="false" customHeight="false" outlineLevel="0" collapsed="false">
      <c r="A105" s="150"/>
      <c r="B105" s="150"/>
      <c r="C105" s="152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  <c r="AD105" s="150"/>
      <c r="AE105" s="150"/>
      <c r="AF105" s="150"/>
    </row>
    <row r="106" customFormat="false" ht="15.75" hidden="false" customHeight="false" outlineLevel="0" collapsed="false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  <c r="AD106" s="150"/>
      <c r="AE106" s="150"/>
      <c r="AF106" s="150"/>
    </row>
    <row r="107" customFormat="false" ht="15.75" hidden="false" customHeight="false" outlineLevel="0" collapsed="false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  <c r="AE107" s="150"/>
      <c r="AF107" s="150"/>
    </row>
    <row r="108" customFormat="false" ht="15.75" hidden="false" customHeight="false" outlineLevel="0" collapsed="false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  <c r="AE108" s="150"/>
      <c r="AF108" s="150"/>
    </row>
    <row r="109" customFormat="false" ht="15.75" hidden="false" customHeight="false" outlineLevel="0" collapsed="false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  <c r="AE109" s="150"/>
      <c r="AF109" s="150"/>
    </row>
    <row r="110" customFormat="false" ht="15.75" hidden="false" customHeight="false" outlineLevel="0" collapsed="false">
      <c r="A110" s="150"/>
      <c r="B110" s="150"/>
      <c r="C110" s="152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O110" s="150"/>
      <c r="P110" s="150"/>
      <c r="Q110" s="150"/>
      <c r="S110" s="150"/>
      <c r="T110" s="150"/>
      <c r="U110" s="150"/>
      <c r="V110" s="150"/>
      <c r="W110" s="150"/>
      <c r="X110" s="150"/>
      <c r="Y110" s="150"/>
      <c r="Z110" s="150"/>
      <c r="AB110" s="150"/>
      <c r="AC110" s="150"/>
      <c r="AE110" s="150"/>
      <c r="AF110" s="150"/>
    </row>
    <row r="111" customFormat="false" ht="15.75" hidden="false" customHeight="false" outlineLevel="0" collapsed="false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S111" s="150"/>
      <c r="T111" s="150"/>
      <c r="U111" s="150"/>
      <c r="V111" s="150"/>
      <c r="W111" s="150"/>
      <c r="X111" s="150"/>
      <c r="Y111" s="150"/>
      <c r="Z111" s="150"/>
      <c r="AB111" s="150"/>
      <c r="AC111" s="150"/>
      <c r="AE111" s="150"/>
      <c r="AF111" s="150"/>
    </row>
    <row r="112" customFormat="false" ht="15.75" hidden="false" customHeight="false" outlineLevel="0" collapsed="false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S112" s="150"/>
      <c r="T112" s="150"/>
      <c r="U112" s="150"/>
      <c r="V112" s="150"/>
      <c r="W112" s="150"/>
      <c r="X112" s="150"/>
      <c r="Y112" s="150"/>
      <c r="Z112" s="150"/>
      <c r="AB112" s="150"/>
      <c r="AC112" s="150"/>
      <c r="AE112" s="150"/>
      <c r="AF112" s="150"/>
    </row>
    <row r="113" customFormat="false" ht="15.75" hidden="false" customHeight="false" outlineLevel="0" collapsed="false">
      <c r="A113" s="150"/>
      <c r="B113" s="150"/>
      <c r="C113" s="152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S113" s="150"/>
      <c r="T113" s="150"/>
      <c r="U113" s="150"/>
      <c r="V113" s="150"/>
      <c r="W113" s="150"/>
      <c r="X113" s="150"/>
      <c r="Y113" s="150"/>
      <c r="Z113" s="150"/>
      <c r="AB113" s="150"/>
      <c r="AC113" s="150"/>
      <c r="AE113" s="150"/>
      <c r="AF113" s="150"/>
    </row>
    <row r="114" customFormat="false" ht="15.75" hidden="false" customHeight="false" outlineLevel="0" collapsed="false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O114" s="150"/>
      <c r="P114" s="150"/>
      <c r="Q114" s="150"/>
      <c r="S114" s="150"/>
      <c r="T114" s="150"/>
      <c r="U114" s="150"/>
      <c r="V114" s="150"/>
      <c r="W114" s="150"/>
      <c r="X114" s="150"/>
      <c r="Y114" s="150"/>
      <c r="Z114" s="150"/>
      <c r="AB114" s="150"/>
      <c r="AC114" s="150"/>
      <c r="AE114" s="150"/>
      <c r="AF114" s="150"/>
    </row>
    <row r="121" customFormat="false" ht="15.75" hidden="false" customHeight="false" outlineLevel="0" collapsed="false">
      <c r="C121" s="152"/>
    </row>
    <row r="128" customFormat="false" ht="15.75" hidden="false" customHeight="false" outlineLevel="0" collapsed="false">
      <c r="C128" s="152"/>
    </row>
    <row r="132" customFormat="false" ht="15.75" hidden="false" customHeight="false" outlineLevel="0" collapsed="false">
      <c r="C132" s="152"/>
    </row>
    <row r="150" customFormat="false" ht="15.75" hidden="false" customHeight="false" outlineLevel="0" collapsed="false">
      <c r="C150" s="152"/>
    </row>
    <row r="157" customFormat="false" ht="15.75" hidden="false" customHeight="false" outlineLevel="0" collapsed="false">
      <c r="C157" s="152"/>
    </row>
    <row r="161" customFormat="false" ht="15.75" hidden="false" customHeight="false" outlineLevel="0" collapsed="false">
      <c r="C161" s="152"/>
    </row>
    <row r="164" customFormat="false" ht="15.75" hidden="false" customHeight="false" outlineLevel="0" collapsed="false">
      <c r="C164" s="152"/>
    </row>
    <row r="179" customFormat="false" ht="15.75" hidden="false" customHeight="false" outlineLevel="0" collapsed="false">
      <c r="C179" s="152"/>
    </row>
    <row r="187" customFormat="false" ht="15.75" hidden="false" customHeight="false" outlineLevel="0" collapsed="false">
      <c r="C187" s="152"/>
    </row>
    <row r="202" customFormat="false" ht="15.75" hidden="false" customHeight="false" outlineLevel="0" collapsed="false">
      <c r="C202" s="152"/>
    </row>
    <row r="224" customFormat="false" ht="15.75" hidden="false" customHeight="false" outlineLevel="0" collapsed="false">
      <c r="C224" s="152"/>
    </row>
    <row r="414" customFormat="false" ht="15.75" hidden="false" customHeight="false" outlineLevel="0" collapsed="false">
      <c r="C414" s="152"/>
    </row>
  </sheetData>
  <autoFilter ref="A1:M418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53" t="str">
        <f aca="false">IFERROR(__xludf.dummyfunction("IMPORTRANGE(""1TpIiNTfR1pnpn85VWQTTdvQ2Xcr0GStmWJ2UvfKxG_A"", ""Mzdy!A1:F200"")")," ")</f>
        <v> 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54" t="n">
        <f aca="false">IFERROR(__xludf.dummyfunction("IMPORTRANGE(""1TpIiNTfR1pnpn85VWQTTdvQ2Xcr0GStmWJ2UvfKxG_A"", ""Mzdy!ac1:ad200"")"),30)</f>
        <v>30</v>
      </c>
      <c r="W1" s="155" t="str">
        <f aca="false">IFERROR(__xludf.dummyfunction("""COMPUTED_VALUE"""),"dní")</f>
        <v>dní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customFormat="false" ht="15.7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55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customFormat="false" ht="15.7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55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customFormat="false" ht="15.75" hidden="false" customHeight="false" outlineLevel="0" collapsed="false">
      <c r="A4" s="156" t="s">
        <v>646</v>
      </c>
      <c r="B4" s="156" t="s">
        <v>647</v>
      </c>
      <c r="C4" s="1" t="str">
        <f aca="false">IFERROR(__xludf.dummyfunction("""COMPUTED_VALUE"""),"Manažer")</f>
        <v>Manažer</v>
      </c>
      <c r="D4" s="1" t="str">
        <f aca="false">IFERROR(__xludf.dummyfunction("""COMPUTED_VALUE"""),"Instore")</f>
        <v>Instore</v>
      </c>
      <c r="E4" s="1" t="str">
        <f aca="false">IFERROR(__xludf.dummyfunction("""COMPUTED_VALUE"""),"První domácí,          Pobočky max 4")</f>
        <v>První domácí,          Pobočky max 4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 t="str">
        <f aca="false">IFERROR(__xludf.dummyfunction("""COMPUTED_VALUE"""),"Sp.hr. / h")</f>
        <v>Sp.hr. / h</v>
      </c>
      <c r="W4" s="155" t="str">
        <f aca="false">IFERROR(__xludf.dummyfunction("""COMPUTED_VALUE"""),"Sp.hr. / den")</f>
        <v>Sp.hr. / den</v>
      </c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customFormat="false" ht="15.75" hidden="false" customHeight="false" outlineLevel="0" collapsed="false">
      <c r="A5" s="1" t="str">
        <f aca="false">IF(AND(B5&lt;&gt;"", C5=TRUE(), E5=Report!$B$1), B5, "")</f>
        <v/>
      </c>
      <c r="B5" s="157" t="str">
        <f aca="false">IF(OR(E5=Report!$B$1, F5=Report!$B$1, G5=Report!$B$1, H5=Report!$B$1), D5, "")</f>
        <v>Nedbal Michal</v>
      </c>
      <c r="C5" s="158" t="b">
        <f aca="false">IFERROR(__xludf.dummyfunction("""COMPUTED_VALUE"""),TRUE())</f>
        <v>1</v>
      </c>
      <c r="D5" s="1" t="str">
        <f aca="false">IFERROR(__xludf.dummyfunction("""COMPUTED_VALUE"""),"Nedbal Michal")</f>
        <v>Nedbal Michal</v>
      </c>
      <c r="E5" s="1" t="str">
        <f aca="false">IFERROR(__xludf.dummyfunction("""COMPUTED_VALUE"""),"Zličín")</f>
        <v>Zličín</v>
      </c>
      <c r="F5" s="1" t="str">
        <f aca="false">IFERROR(__xludf.dummyfunction("""COMPUTED_VALUE"""),"Malešice")</f>
        <v>Malešice</v>
      </c>
      <c r="G5" s="1" t="str">
        <f aca="false">IFERROR(__xludf.dummyfunction("""COMPUTED_VALUE"""),"Prosek")</f>
        <v>Prosek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55" t="n">
        <f aca="false">IFERROR(__xludf.dummyfunction("""COMPUTED_VALUE"""),432.3078)</f>
        <v>432.3078</v>
      </c>
      <c r="W5" s="155" t="n">
        <f aca="false">IFERROR(__xludf.dummyfunction("""COMPUTED_VALUE"""),2882.052)</f>
        <v>2882.052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customFormat="false" ht="15.75" hidden="false" customHeight="false" outlineLevel="0" collapsed="false">
      <c r="A6" s="1" t="str">
        <f aca="false">IF(AND(B6&lt;&gt;"", C6=TRUE(), E6=Report!$B$1), B6, "")</f>
        <v/>
      </c>
      <c r="B6" s="157" t="str">
        <f aca="false">IF(OR(E6=Report!$B$1, F6=Report!$B$1, G6=Report!$B$1, H6=Report!$B$1), D6, "")</f>
        <v/>
      </c>
      <c r="C6" s="158" t="b">
        <f aca="false">IFERROR(__xludf.dummyfunction("""COMPUTED_VALUE"""),TRUE())</f>
        <v>1</v>
      </c>
      <c r="D6" s="1" t="str">
        <f aca="false">IFERROR(__xludf.dummyfunction("""COMPUTED_VALUE"""),"Sova Martin")</f>
        <v>Sova Martin</v>
      </c>
      <c r="E6" s="1" t="str">
        <f aca="false">IFERROR(__xludf.dummyfunction("""COMPUTED_VALUE"""),"Chodov")</f>
        <v>Chodov</v>
      </c>
      <c r="F6" s="1" t="str">
        <f aca="false">IFERROR(__xludf.dummyfunction("""COMPUTED_VALUE"""),"Libuš")</f>
        <v>Libuš</v>
      </c>
      <c r="G6" s="1" t="str">
        <f aca="false">IFERROR(__xludf.dummyfunction("""COMPUTED_VALUE"""),"Výroba")</f>
        <v>Výroba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55" t="n">
        <f aca="false">IFERROR(__xludf.dummyfunction("""COMPUTED_VALUE"""),432.3078)</f>
        <v>432.3078</v>
      </c>
      <c r="W6" s="155" t="n">
        <f aca="false">IFERROR(__xludf.dummyfunction("""COMPUTED_VALUE"""),2882.052)</f>
        <v>2882.052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customFormat="false" ht="15.75" hidden="false" customHeight="false" outlineLevel="0" collapsed="false">
      <c r="A7" s="1" t="str">
        <f aca="false">IF(AND(B7&lt;&gt;"", C7=TRUE(), E7=Report!$B$1), B7, "")</f>
        <v/>
      </c>
      <c r="B7" s="157" t="str">
        <f aca="false">IF(OR(E7=Report!$B$1, F7=Report!$B$1, G7=Report!$B$1, H7=Report!$B$1), D7, "")</f>
        <v/>
      </c>
      <c r="C7" s="158" t="b">
        <f aca="false">IFERROR(__xludf.dummyfunction("""COMPUTED_VALUE"""),TRUE())</f>
        <v>1</v>
      </c>
      <c r="D7" s="1" t="str">
        <f aca="false">IFERROR(__xludf.dummyfunction("""COMPUTED_VALUE"""),"Paziak Viktoriia")</f>
        <v>Paziak Viktoriia</v>
      </c>
      <c r="E7" s="1" t="str">
        <f aca="false">IFERROR(__xludf.dummyfunction("""COMPUTED_VALUE"""),"Výroba")</f>
        <v>Výroba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55" t="n">
        <f aca="false">IFERROR(__xludf.dummyfunction("""COMPUTED_VALUE"""),341.19)</f>
        <v>341.19</v>
      </c>
      <c r="W7" s="155" t="n">
        <f aca="false">IFERROR(__xludf.dummyfunction("""COMPUTED_VALUE"""),2274.6)</f>
        <v>2274.6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customFormat="false" ht="15.75" hidden="false" customHeight="false" outlineLevel="0" collapsed="false">
      <c r="A8" s="1" t="str">
        <f aca="false">IF(AND(B8&lt;&gt;"", C8=TRUE(), E8=Report!$B$1), B8, "")</f>
        <v/>
      </c>
      <c r="B8" s="157" t="str">
        <f aca="false">IF(OR(E8=Report!$B$1, F8=Report!$B$1, G8=Report!$B$1, H8=Report!$B$1), D8, "")</f>
        <v>Ahurieva Viktoriia</v>
      </c>
      <c r="C8" s="158" t="b">
        <f aca="false">IFERROR(__xludf.dummyfunction("""COMPUTED_VALUE"""),FALSE())</f>
        <v>0</v>
      </c>
      <c r="D8" s="1" t="str">
        <f aca="false">IFERROR(__xludf.dummyfunction("""COMPUTED_VALUE"""),"Ahurieva Viktoriia")</f>
        <v>Ahurieva Viktoriia</v>
      </c>
      <c r="E8" s="1" t="str">
        <f aca="false">IFERROR(__xludf.dummyfunction("""COMPUTED_VALUE"""),"Libuš")</f>
        <v>Libuš</v>
      </c>
      <c r="F8" s="1" t="str">
        <f aca="false">IFERROR(__xludf.dummyfunction("""COMPUTED_VALUE"""),"Malešice")</f>
        <v>Malešice</v>
      </c>
      <c r="G8" s="1" t="str">
        <f aca="false">IFERROR(__xludf.dummyfunction("""COMPUTED_VALUE"""),"Chodov")</f>
        <v>Chodov</v>
      </c>
      <c r="H8" s="1" t="str">
        <f aca="false">IFERROR(__xludf.dummyfunction("""COMPUTED_VALUE"""),"Prosek")</f>
        <v>Prosek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55" t="n">
        <f aca="false">IFERROR(__xludf.dummyfunction("""COMPUTED_VALUE"""),432.3078)</f>
        <v>432.3078</v>
      </c>
      <c r="W8" s="155" t="n">
        <f aca="false">IFERROR(__xludf.dummyfunction("""COMPUTED_VALUE"""),2882.052)</f>
        <v>2882.052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customFormat="false" ht="15.75" hidden="false" customHeight="false" outlineLevel="0" collapsed="false">
      <c r="A9" s="1" t="str">
        <f aca="false">IF(AND(B9&lt;&gt;"", C9=TRUE(), E9=Report!$B$1), B9, "")</f>
        <v/>
      </c>
      <c r="B9" s="157" t="str">
        <f aca="false">IF(OR(E9=Report!$B$1, F9=Report!$B$1, G9=Report!$B$1, H9=Report!$B$1), D9, "")</f>
        <v>Pešová Hana</v>
      </c>
      <c r="C9" s="158" t="b">
        <f aca="false">IFERROR(__xludf.dummyfunction("""COMPUTED_VALUE"""),TRUE())</f>
        <v>1</v>
      </c>
      <c r="D9" s="1" t="str">
        <f aca="false">IFERROR(__xludf.dummyfunction("""COMPUTED_VALUE"""),"Pešová Hana")</f>
        <v>Pešová Hana</v>
      </c>
      <c r="E9" s="1" t="str">
        <f aca="false">IFERROR(__xludf.dummyfunction("""COMPUTED_VALUE"""),"Chodov")</f>
        <v>Chodov</v>
      </c>
      <c r="F9" s="1" t="str">
        <f aca="false">IFERROR(__xludf.dummyfunction("""COMPUTED_VALUE"""),"Prosek")</f>
        <v>Prosek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55" t="n">
        <f aca="false">IFERROR(__xludf.dummyfunction("""COMPUTED_VALUE"""),341.19)</f>
        <v>341.19</v>
      </c>
      <c r="W9" s="155" t="n">
        <f aca="false">IFERROR(__xludf.dummyfunction("""COMPUTED_VALUE"""),2274.6)</f>
        <v>2274.6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customFormat="false" ht="15.75" hidden="false" customHeight="false" outlineLevel="0" collapsed="false">
      <c r="A10" s="1" t="str">
        <f aca="false">IF(AND(B10&lt;&gt;"", C10=TRUE(), E10=Report!$B$1), B10, "")</f>
        <v>Šebesta Tomáš</v>
      </c>
      <c r="B10" s="157" t="str">
        <f aca="false">IF(OR(E10=Report!$B$1, F10=Report!$B$1, G10=Report!$B$1, H10=Report!$B$1), D10, "")</f>
        <v>Šebesta Tomáš</v>
      </c>
      <c r="C10" s="158" t="b">
        <f aca="false">IFERROR(__xludf.dummyfunction("""COMPUTED_VALUE"""),TRUE())</f>
        <v>1</v>
      </c>
      <c r="D10" s="1" t="str">
        <f aca="false">IFERROR(__xludf.dummyfunction("""COMPUTED_VALUE"""),"Šebesta Tomáš")</f>
        <v>Šebesta Tomáš</v>
      </c>
      <c r="E10" s="1" t="str">
        <f aca="false">IFERROR(__xludf.dummyfunction("""COMPUTED_VALUE"""),"Prosek")</f>
        <v>Prosek</v>
      </c>
      <c r="F10" s="1" t="str">
        <f aca="false">IFERROR(__xludf.dummyfunction("""COMPUTED_VALUE"""),"Libuš")</f>
        <v>Libuš</v>
      </c>
      <c r="G10" s="1" t="str">
        <f aca="false">IFERROR(__xludf.dummyfunction("""COMPUTED_VALUE"""),"Malešice")</f>
        <v>Malešice</v>
      </c>
      <c r="H10" s="1" t="str">
        <f aca="false">IFERROR(__xludf.dummyfunction("""COMPUTED_VALUE"""),"Chodov")</f>
        <v>Chodov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55" t="n">
        <f aca="false">IFERROR(__xludf.dummyfunction("""COMPUTED_VALUE"""),432.3078)</f>
        <v>432.3078</v>
      </c>
      <c r="W10" s="155" t="n">
        <f aca="false">IFERROR(__xludf.dummyfunction("""COMPUTED_VALUE"""),2882.052)</f>
        <v>2882.052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customFormat="false" ht="15.75" hidden="false" customHeight="false" outlineLevel="0" collapsed="false">
      <c r="A11" s="1" t="str">
        <f aca="false">IF(AND(B11&lt;&gt;"", C11=TRUE(), E11=Report!$B$1), B11, "")</f>
        <v/>
      </c>
      <c r="B11" s="157" t="str">
        <f aca="false">IF(OR(E11=Report!$B$1, F11=Report!$B$1, G11=Report!$B$1, H11=Report!$B$1), D11, "")</f>
        <v/>
      </c>
      <c r="C11" s="158" t="b">
        <f aca="false">IFERROR(__xludf.dummyfunction("""COMPUTED_VALUE"""),FALSE())</f>
        <v>0</v>
      </c>
      <c r="D11" s="1" t="str">
        <f aca="false">IFERROR(__xludf.dummyfunction("""COMPUTED_VALUE"""),"Hanakova Ayuna")</f>
        <v>Hanakova Ayuna</v>
      </c>
      <c r="E11" s="1" t="str">
        <f aca="false">IFERROR(__xludf.dummyfunction("""COMPUTED_VALUE"""),"Zličín")</f>
        <v>Zličín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55" t="n">
        <f aca="false">IFERROR(__xludf.dummyfunction("""COMPUTED_VALUE"""),295.698)</f>
        <v>295.698</v>
      </c>
      <c r="W11" s="155" t="n">
        <f aca="false">IFERROR(__xludf.dummyfunction("""COMPUTED_VALUE"""),0)</f>
        <v>0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customFormat="false" ht="15.75" hidden="false" customHeight="false" outlineLevel="0" collapsed="false">
      <c r="A12" s="1" t="str">
        <f aca="false">IF(AND(B12&lt;&gt;"", C12=TRUE(), E12=Report!$B$1), B12, "")</f>
        <v/>
      </c>
      <c r="B12" s="157" t="str">
        <f aca="false">IF(OR(E12=Report!$B$1, F12=Report!$B$1, G12=Report!$B$1, H12=Report!$B$1), D12, "")</f>
        <v/>
      </c>
      <c r="C12" s="158" t="b">
        <f aca="false">IFERROR(__xludf.dummyfunction("""COMPUTED_VALUE"""),FALSE())</f>
        <v>0</v>
      </c>
      <c r="D12" s="1" t="str">
        <f aca="false">IFERROR(__xludf.dummyfunction("""COMPUTED_VALUE"""),"Vondráček Lukáš")</f>
        <v>Vondráček Lukáš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55" t="n">
        <f aca="false">IFERROR(__xludf.dummyfunction("""COMPUTED_VALUE"""),0)</f>
        <v>0</v>
      </c>
      <c r="W12" s="155" t="n">
        <f aca="false">IFERROR(__xludf.dummyfunction("""COMPUTED_VALUE"""),0)</f>
        <v>0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customFormat="false" ht="15.75" hidden="false" customHeight="false" outlineLevel="0" collapsed="false">
      <c r="A13" s="1" t="str">
        <f aca="false">IF(AND(B13&lt;&gt;"", C13=TRUE(), E13=Report!$B$1), B13, "")</f>
        <v/>
      </c>
      <c r="B13" s="157" t="str">
        <f aca="false">IF(OR(E13=Report!$B$1, F13=Report!$B$1, G13=Report!$B$1, H13=Report!$B$1), D13, "")</f>
        <v/>
      </c>
      <c r="C13" s="158" t="b">
        <f aca="false">IFERROR(__xludf.dummyfunction("""COMPUTED_VALUE"""),TRUE())</f>
        <v>1</v>
      </c>
      <c r="D13" s="1" t="str">
        <f aca="false">IFERROR(__xludf.dummyfunction("""COMPUTED_VALUE"""),"Veselý Ondřej")</f>
        <v>Veselý Ondřej</v>
      </c>
      <c r="E13" s="1" t="str">
        <f aca="false">IFERROR(__xludf.dummyfunction("""COMPUTED_VALUE"""),"Zličín")</f>
        <v>Zličín</v>
      </c>
      <c r="F13" s="1" t="str">
        <f aca="false">IFERROR(__xludf.dummyfunction("""COMPUTED_VALUE"""),"Malešice")</f>
        <v>Malešice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55" t="n">
        <f aca="false">IFERROR(__xludf.dummyfunction("""COMPUTED_VALUE"""),341.19)</f>
        <v>341.19</v>
      </c>
      <c r="W13" s="155" t="n">
        <f aca="false">IFERROR(__xludf.dummyfunction("""COMPUTED_VALUE"""),2274.6)</f>
        <v>2274.6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customFormat="false" ht="15.75" hidden="false" customHeight="false" outlineLevel="0" collapsed="false">
      <c r="A14" s="1" t="str">
        <f aca="false">IF(AND(B14&lt;&gt;"", C14=TRUE(), E14=Report!$B$1), B14, "")</f>
        <v/>
      </c>
      <c r="B14" s="157" t="str">
        <f aca="false">IF(OR(E14=Report!$B$1, F14=Report!$B$1, G14=Report!$B$1, H14=Report!$B$1), D14, "")</f>
        <v/>
      </c>
      <c r="C14" s="158" t="b">
        <f aca="false">IFERROR(__xludf.dummyfunction("""COMPUTED_VALUE"""),FALSE())</f>
        <v>0</v>
      </c>
      <c r="D14" s="1" t="str">
        <f aca="false">IFERROR(__xludf.dummyfunction("""COMPUTED_VALUE"""),"Coufal Jakub")</f>
        <v>Coufal Jakub</v>
      </c>
      <c r="E14" s="1" t="str">
        <f aca="false">IFERROR(__xludf.dummyfunction("""COMPUTED_VALUE"""),"Libuš")</f>
        <v>Libuš</v>
      </c>
      <c r="F14" s="1" t="str">
        <f aca="false">IFERROR(__xludf.dummyfunction("""COMPUTED_VALUE"""),"Malešice")</f>
        <v>Malešice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55" t="n">
        <f aca="false">IFERROR(__xludf.dummyfunction("""COMPUTED_VALUE"""),250.206)</f>
        <v>250.206</v>
      </c>
      <c r="W14" s="155" t="n">
        <f aca="false">IFERROR(__xludf.dummyfunction("""COMPUTED_VALUE"""),0)</f>
        <v>0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customFormat="false" ht="15.75" hidden="false" customHeight="false" outlineLevel="0" collapsed="false">
      <c r="A15" s="1" t="str">
        <f aca="false">IF(AND(B15&lt;&gt;"", C15=TRUE(), E15=Report!$B$1), B15, "")</f>
        <v/>
      </c>
      <c r="B15" s="157" t="str">
        <f aca="false">IF(OR(E15=Report!$B$1, F15=Report!$B$1, G15=Report!$B$1, H15=Report!$B$1), D15, "")</f>
        <v/>
      </c>
      <c r="C15" s="158" t="b">
        <f aca="false">IFERROR(__xludf.dummyfunction("""COMPUTED_VALUE"""),TRUE())</f>
        <v>1</v>
      </c>
      <c r="D15" s="1" t="str">
        <f aca="false">IFERROR(__xludf.dummyfunction("""COMPUTED_VALUE"""),"Kinkorová Petra")</f>
        <v>Kinkorová Petra</v>
      </c>
      <c r="E15" s="1" t="str">
        <f aca="false">IFERROR(__xludf.dummyfunction("""COMPUTED_VALUE"""),"Malešice")</f>
        <v>Malešice</v>
      </c>
      <c r="F15" s="1" t="str">
        <f aca="false">IFERROR(__xludf.dummyfunction("""COMPUTED_VALUE"""),"Zličín")</f>
        <v>Zličín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55" t="n">
        <f aca="false">IFERROR(__xludf.dummyfunction("""COMPUTED_VALUE"""),341.19)</f>
        <v>341.19</v>
      </c>
      <c r="W15" s="155" t="n">
        <f aca="false">IFERROR(__xludf.dummyfunction("""COMPUTED_VALUE"""),2274.6)</f>
        <v>2274.6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customFormat="false" ht="15.75" hidden="false" customHeight="false" outlineLevel="0" collapsed="false">
      <c r="A16" s="1" t="str">
        <f aca="false">IF(AND(B16&lt;&gt;"", C16=TRUE(), E16=Report!$B$1), B16, "")</f>
        <v>Nováková Adéla</v>
      </c>
      <c r="B16" s="157" t="str">
        <f aca="false">IF(OR(E16=Report!$B$1, F16=Report!$B$1, G16=Report!$B$1, H16=Report!$B$1), D16, "")</f>
        <v>Nováková Adéla</v>
      </c>
      <c r="C16" s="158" t="b">
        <f aca="false">IFERROR(__xludf.dummyfunction("""COMPUTED_VALUE"""),TRUE())</f>
        <v>1</v>
      </c>
      <c r="D16" s="1" t="str">
        <f aca="false">IFERROR(__xludf.dummyfunction("""COMPUTED_VALUE"""),"Nováková Adéla")</f>
        <v>Nováková Adéla</v>
      </c>
      <c r="E16" s="1" t="str">
        <f aca="false">IFERROR(__xludf.dummyfunction("""COMPUTED_VALUE"""),"Prosek")</f>
        <v>Prosek</v>
      </c>
      <c r="F16" s="1" t="str">
        <f aca="false">IFERROR(__xludf.dummyfunction("""COMPUTED_VALUE"""),"Malešice")</f>
        <v>Malešice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55" t="n">
        <f aca="false">IFERROR(__xludf.dummyfunction("""COMPUTED_VALUE"""),341.19)</f>
        <v>341.19</v>
      </c>
      <c r="W16" s="155" t="n">
        <f aca="false">IFERROR(__xludf.dummyfunction("""COMPUTED_VALUE"""),2274.6)</f>
        <v>2274.6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customFormat="false" ht="15.75" hidden="false" customHeight="false" outlineLevel="0" collapsed="false">
      <c r="A17" s="1" t="str">
        <f aca="false">IF(AND(B17&lt;&gt;"", C17=TRUE(), E17=Report!$B$1), B17, "")</f>
        <v/>
      </c>
      <c r="B17" s="157" t="str">
        <f aca="false">IF(OR(E17=Report!$B$1, F17=Report!$B$1, G17=Report!$B$1, H17=Report!$B$1), D17, "")</f>
        <v/>
      </c>
      <c r="C17" s="158" t="b">
        <f aca="false">IFERROR(__xludf.dummyfunction("""COMPUTED_VALUE"""),FALSE())</f>
        <v>0</v>
      </c>
      <c r="D17" s="1" t="str">
        <f aca="false">IFERROR(__xludf.dummyfunction("""COMPUTED_VALUE"""),"Pechová Barbora")</f>
        <v>Pechová Barbora</v>
      </c>
      <c r="E17" s="1" t="str">
        <f aca="false">IFERROR(__xludf.dummyfunction("""COMPUTED_VALUE"""),"Zličín")</f>
        <v>Zličín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55" t="n">
        <f aca="false">IFERROR(__xludf.dummyfunction("""COMPUTED_VALUE"""),267.6)</f>
        <v>267.6</v>
      </c>
      <c r="W17" s="155" t="n">
        <f aca="false">IFERROR(__xludf.dummyfunction("""COMPUTED_VALUE"""),0)</f>
        <v>0</v>
      </c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customFormat="false" ht="15.75" hidden="false" customHeight="false" outlineLevel="0" collapsed="false">
      <c r="A18" s="1" t="str">
        <f aca="false">IF(AND(B18&lt;&gt;"", C18=TRUE(), E18=Report!$B$1), B18, "")</f>
        <v/>
      </c>
      <c r="B18" s="157" t="str">
        <f aca="false">IF(OR(E18=Report!$B$1, F18=Report!$B$1, G18=Report!$B$1, H18=Report!$B$1), D18, "")</f>
        <v/>
      </c>
      <c r="C18" s="158" t="b">
        <f aca="false">IFERROR(__xludf.dummyfunction("""COMPUTED_VALUE"""),FALSE())</f>
        <v>0</v>
      </c>
      <c r="D18" s="1" t="str">
        <f aca="false">IFERROR(__xludf.dummyfunction("""COMPUTED_VALUE"""),"Stepanenko Solomiia")</f>
        <v>Stepanenko Solomiia</v>
      </c>
      <c r="E18" s="1" t="str">
        <f aca="false">IFERROR(__xludf.dummyfunction("""COMPUTED_VALUE"""),"Výroba")</f>
        <v>Výroba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55" t="n">
        <f aca="false">IFERROR(__xludf.dummyfunction("""COMPUTED_VALUE"""),286.332)</f>
        <v>286.332</v>
      </c>
      <c r="W18" s="155" t="n">
        <f aca="false">IFERROR(__xludf.dummyfunction("""COMPUTED_VALUE"""),0)</f>
        <v>0</v>
      </c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customFormat="false" ht="15.75" hidden="false" customHeight="false" outlineLevel="0" collapsed="false">
      <c r="A19" s="1" t="str">
        <f aca="false">IF(AND(B19&lt;&gt;"", C19=TRUE(), E19=Report!$B$1), B19, "")</f>
        <v/>
      </c>
      <c r="B19" s="157" t="str">
        <f aca="false">IF(OR(E19=Report!$B$1, F19=Report!$B$1, G19=Report!$B$1, H19=Report!$B$1), D19, "")</f>
        <v/>
      </c>
      <c r="C19" s="158" t="b">
        <f aca="false">IFERROR(__xludf.dummyfunction("""COMPUTED_VALUE"""),FALSE())</f>
        <v>0</v>
      </c>
      <c r="D19" s="1" t="str">
        <f aca="false">IFERROR(__xludf.dummyfunction("""COMPUTED_VALUE"""),"Rothová Anastasia")</f>
        <v>Rothová Anastasia</v>
      </c>
      <c r="E19" s="1" t="str">
        <f aca="false">IFERROR(__xludf.dummyfunction("""COMPUTED_VALUE"""),"Bolevec")</f>
        <v>Bolevec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55" t="n">
        <f aca="false">IFERROR(__xludf.dummyfunction("""COMPUTED_VALUE"""),341.19)</f>
        <v>341.19</v>
      </c>
      <c r="W19" s="155" t="n">
        <f aca="false">IFERROR(__xludf.dummyfunction("""COMPUTED_VALUE"""),0)</f>
        <v>0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customFormat="false" ht="15.75" hidden="false" customHeight="false" outlineLevel="0" collapsed="false">
      <c r="A20" s="1" t="str">
        <f aca="false">IF(AND(B20&lt;&gt;"", C20=TRUE(), E20=Report!$B$1), B20, "")</f>
        <v/>
      </c>
      <c r="B20" s="157" t="str">
        <f aca="false">IF(OR(E20=Report!$B$1, F20=Report!$B$1, G20=Report!$B$1, H20=Report!$B$1), D20, "")</f>
        <v/>
      </c>
      <c r="C20" s="158" t="b">
        <f aca="false">IFERROR(__xludf.dummyfunction("""COMPUTED_VALUE"""),FALSE())</f>
        <v>0</v>
      </c>
      <c r="D20" s="1" t="str">
        <f aca="false">IFERROR(__xludf.dummyfunction("""COMPUTED_VALUE"""),"Pánková Vendula")</f>
        <v>Pánková Vendula</v>
      </c>
      <c r="E20" s="1" t="str">
        <f aca="false">IFERROR(__xludf.dummyfunction("""COMPUTED_VALUE"""),"Zličín")</f>
        <v>Zličín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55" t="n">
        <f aca="false">IFERROR(__xludf.dummyfunction("""COMPUTED_VALUE"""),267.6)</f>
        <v>267.6</v>
      </c>
      <c r="W20" s="155" t="n">
        <f aca="false">IFERROR(__xludf.dummyfunction("""COMPUTED_VALUE"""),0)</f>
        <v>0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customFormat="false" ht="15.75" hidden="false" customHeight="false" outlineLevel="0" collapsed="false">
      <c r="A21" s="1" t="str">
        <f aca="false">IF(AND(B21&lt;&gt;"", C21=TRUE(), E21=Report!$B$1), B21, "")</f>
        <v/>
      </c>
      <c r="B21" s="157" t="str">
        <f aca="false">IF(OR(E21=Report!$B$1, F21=Report!$B$1, G21=Report!$B$1, H21=Report!$B$1), D21, "")</f>
        <v/>
      </c>
      <c r="C21" s="158" t="b">
        <f aca="false">IFERROR(__xludf.dummyfunction("""COMPUTED_VALUE"""),TRUE())</f>
        <v>1</v>
      </c>
      <c r="D21" s="1" t="str">
        <f aca="false">IFERROR(__xludf.dummyfunction("""COMPUTED_VALUE"""),"Hegedüs Erik")</f>
        <v>Hegedüs Erik</v>
      </c>
      <c r="E21" s="1" t="str">
        <f aca="false">IFERROR(__xludf.dummyfunction("""COMPUTED_VALUE"""),"Libuš")</f>
        <v>Libuš</v>
      </c>
      <c r="F21" s="1" t="str">
        <f aca="false">IFERROR(__xludf.dummyfunction("""COMPUTED_VALUE"""),"Chodov")</f>
        <v>Chodov</v>
      </c>
      <c r="G21" s="1" t="str">
        <f aca="false">IFERROR(__xludf.dummyfunction("""COMPUTED_VALUE"""),"Malešice")</f>
        <v>Malešice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55" t="n">
        <f aca="false">IFERROR(__xludf.dummyfunction("""COMPUTED_VALUE"""),432.3078)</f>
        <v>432.3078</v>
      </c>
      <c r="W21" s="155" t="n">
        <f aca="false">IFERROR(__xludf.dummyfunction("""COMPUTED_VALUE"""),2882.052)</f>
        <v>2882.052</v>
      </c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customFormat="false" ht="15.75" hidden="false" customHeight="false" outlineLevel="0" collapsed="false">
      <c r="A22" s="1" t="str">
        <f aca="false">IF(AND(B22&lt;&gt;"", C22=TRUE(), E22=Report!$B$1), B22, "")</f>
        <v/>
      </c>
      <c r="B22" s="157" t="str">
        <f aca="false">IF(OR(E22=Report!$B$1, F22=Report!$B$1, G22=Report!$B$1, H22=Report!$B$1), D22, "")</f>
        <v/>
      </c>
      <c r="C22" s="158" t="b">
        <f aca="false">IFERROR(__xludf.dummyfunction("""COMPUTED_VALUE"""),TRUE())</f>
        <v>1</v>
      </c>
      <c r="D22" s="1" t="str">
        <f aca="false">IFERROR(__xludf.dummyfunction("""COMPUTED_VALUE"""),"Roth Stanislav ml.")</f>
        <v>Roth Stanislav ml.</v>
      </c>
      <c r="E22" s="1" t="str">
        <f aca="false">IFERROR(__xludf.dummyfunction("""COMPUTED_VALUE"""),"Bolevec")</f>
        <v>Bolevec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55" t="n">
        <f aca="false">IFERROR(__xludf.dummyfunction("""COMPUTED_VALUE"""),432.3078)</f>
        <v>432.3078</v>
      </c>
      <c r="W22" s="155" t="n">
        <f aca="false">IFERROR(__xludf.dummyfunction("""COMPUTED_VALUE"""),2882.052)</f>
        <v>2882.052</v>
      </c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customFormat="false" ht="15.75" hidden="false" customHeight="false" outlineLevel="0" collapsed="false">
      <c r="A23" s="1" t="str">
        <f aca="false">IF(AND(B23&lt;&gt;"", C23=TRUE(), E23=Report!$B$1), B23, "")</f>
        <v/>
      </c>
      <c r="B23" s="157" t="str">
        <f aca="false">IF(OR(E23=Report!$B$1, F23=Report!$B$1, G23=Report!$B$1, H23=Report!$B$1), D23, "")</f>
        <v>Makula Radek</v>
      </c>
      <c r="C23" s="158" t="b">
        <f aca="false">IFERROR(__xludf.dummyfunction("""COMPUTED_VALUE"""),FALSE())</f>
        <v>0</v>
      </c>
      <c r="D23" s="1" t="str">
        <f aca="false">IFERROR(__xludf.dummyfunction("""COMPUTED_VALUE"""),"Makula Radek")</f>
        <v>Makula Radek</v>
      </c>
      <c r="E23" s="1" t="str">
        <f aca="false">IFERROR(__xludf.dummyfunction("""COMPUTED_VALUE"""),"Prosek")</f>
        <v>Prosek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55" t="n">
        <f aca="false">IFERROR(__xludf.dummyfunction("""COMPUTED_VALUE"""),250.206)</f>
        <v>250.206</v>
      </c>
      <c r="W23" s="155" t="n">
        <f aca="false">IFERROR(__xludf.dummyfunction("""COMPUTED_VALUE"""),0)</f>
        <v>0</v>
      </c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customFormat="false" ht="15.75" hidden="false" customHeight="false" outlineLevel="0" collapsed="false">
      <c r="A24" s="1" t="str">
        <f aca="false">IF(AND(B24&lt;&gt;"", C24=TRUE(), E24=Report!$B$1), B24, "")</f>
        <v/>
      </c>
      <c r="B24" s="157" t="str">
        <f aca="false">IF(OR(E24=Report!$B$1, F24=Report!$B$1, G24=Report!$B$1, H24=Report!$B$1), D24, "")</f>
        <v/>
      </c>
      <c r="C24" s="158" t="b">
        <f aca="false">IFERROR(__xludf.dummyfunction("""COMPUTED_VALUE"""),FALSE())</f>
        <v>0</v>
      </c>
      <c r="D24" s="1" t="str">
        <f aca="false">IFERROR(__xludf.dummyfunction("""COMPUTED_VALUE"""),"Bubník Martin")</f>
        <v>Bubník Martin</v>
      </c>
      <c r="E24" s="1" t="str">
        <f aca="false">IFERROR(__xludf.dummyfunction("""COMPUTED_VALUE"""),"Libuš")</f>
        <v>Libuš</v>
      </c>
      <c r="F24" s="1" t="str">
        <f aca="false">IFERROR(__xludf.dummyfunction("""COMPUTED_VALUE"""),"Malešice")</f>
        <v>Malešice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55" t="n">
        <f aca="false">IFERROR(__xludf.dummyfunction("""COMPUTED_VALUE"""),267.6)</f>
        <v>267.6</v>
      </c>
      <c r="W24" s="155" t="n">
        <f aca="false">IFERROR(__xludf.dummyfunction("""COMPUTED_VALUE"""),0)</f>
        <v>0</v>
      </c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customFormat="false" ht="15.75" hidden="false" customHeight="false" outlineLevel="0" collapsed="false">
      <c r="A25" s="1" t="str">
        <f aca="false">IF(AND(B25&lt;&gt;"", C25=TRUE(), E25=Report!$B$1), B25, "")</f>
        <v/>
      </c>
      <c r="B25" s="157" t="str">
        <f aca="false">IF(OR(E25=Report!$B$1, F25=Report!$B$1, G25=Report!$B$1, H25=Report!$B$1), D25, "")</f>
        <v/>
      </c>
      <c r="C25" s="158" t="b">
        <f aca="false">IFERROR(__xludf.dummyfunction("""COMPUTED_VALUE"""),FALSE())</f>
        <v>0</v>
      </c>
      <c r="D25" s="1" t="str">
        <f aca="false">IFERROR(__xludf.dummyfunction("""COMPUTED_VALUE"""),"Mirga Simon")</f>
        <v>Mirga Simon</v>
      </c>
      <c r="E25" s="1" t="str">
        <f aca="false">IFERROR(__xludf.dummyfunction("""COMPUTED_VALUE"""),"Malešice")</f>
        <v>Malešice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55" t="n">
        <f aca="false">IFERROR(__xludf.dummyfunction("""COMPUTED_VALUE"""),231.474)</f>
        <v>231.474</v>
      </c>
      <c r="W25" s="155" t="n">
        <f aca="false">IFERROR(__xludf.dummyfunction("""COMPUTED_VALUE"""),0)</f>
        <v>0</v>
      </c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customFormat="false" ht="15.75" hidden="false" customHeight="false" outlineLevel="0" collapsed="false">
      <c r="A26" s="1" t="str">
        <f aca="false">IF(AND(B26&lt;&gt;"", C26=TRUE(), E26=Report!$B$1), B26, "")</f>
        <v/>
      </c>
      <c r="B26" s="157" t="str">
        <f aca="false">IF(OR(E26=Report!$B$1, F26=Report!$B$1, G26=Report!$B$1, H26=Report!$B$1), D26, "")</f>
        <v>Bušek Pavel</v>
      </c>
      <c r="C26" s="158" t="b">
        <f aca="false">IFERROR(__xludf.dummyfunction("""COMPUTED_VALUE"""),FALSE())</f>
        <v>0</v>
      </c>
      <c r="D26" s="1" t="str">
        <f aca="false">IFERROR(__xludf.dummyfunction("""COMPUTED_VALUE"""),"Bušek Pavel")</f>
        <v>Bušek Pavel</v>
      </c>
      <c r="E26" s="1" t="str">
        <f aca="false">IFERROR(__xludf.dummyfunction("""COMPUTED_VALUE"""),"Prosek")</f>
        <v>Prosek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55" t="n">
        <f aca="false">IFERROR(__xludf.dummyfunction("""COMPUTED_VALUE"""),250.206)</f>
        <v>250.206</v>
      </c>
      <c r="W26" s="155" t="n">
        <f aca="false">IFERROR(__xludf.dummyfunction("""COMPUTED_VALUE"""),0)</f>
        <v>0</v>
      </c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customFormat="false" ht="15.75" hidden="false" customHeight="false" outlineLevel="0" collapsed="false">
      <c r="A27" s="1" t="str">
        <f aca="false">IF(AND(B27&lt;&gt;"", C27=TRUE(), E27=Report!$B$1), B27, "")</f>
        <v/>
      </c>
      <c r="B27" s="157" t="str">
        <f aca="false">IF(OR(E27=Report!$B$1, F27=Report!$B$1, G27=Report!$B$1, H27=Report!$B$1), D27, "")</f>
        <v/>
      </c>
      <c r="C27" s="158" t="b">
        <f aca="false">IFERROR(__xludf.dummyfunction("""COMPUTED_VALUE"""),FALSE())</f>
        <v>0</v>
      </c>
      <c r="D27" s="1" t="str">
        <f aca="false">IFERROR(__xludf.dummyfunction("""COMPUTED_VALUE"""),"Berdar Vasyl")</f>
        <v>Berdar Vasyl</v>
      </c>
      <c r="E27" s="1" t="str">
        <f aca="false">IFERROR(__xludf.dummyfunction("""COMPUTED_VALUE"""),"Libuš")</f>
        <v>Libuš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55" t="n">
        <f aca="false">IFERROR(__xludf.dummyfunction("""COMPUTED_VALUE"""),286.332)</f>
        <v>286.332</v>
      </c>
      <c r="W27" s="155" t="n">
        <f aca="false">IFERROR(__xludf.dummyfunction("""COMPUTED_VALUE"""),0)</f>
        <v>0</v>
      </c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customFormat="false" ht="15.75" hidden="false" customHeight="false" outlineLevel="0" collapsed="false">
      <c r="A28" s="1" t="str">
        <f aca="false">IF(AND(B28&lt;&gt;"", C28=TRUE(), E28=Report!$B$1), B28, "")</f>
        <v/>
      </c>
      <c r="B28" s="157" t="str">
        <f aca="false">IF(OR(E28=Report!$B$1, F28=Report!$B$1, G28=Report!$B$1, H28=Report!$B$1), D28, "")</f>
        <v/>
      </c>
      <c r="C28" s="158" t="b">
        <f aca="false">IFERROR(__xludf.dummyfunction("""COMPUTED_VALUE"""),FALSE())</f>
        <v>0</v>
      </c>
      <c r="D28" s="1" t="str">
        <f aca="false">IFERROR(__xludf.dummyfunction("""COMPUTED_VALUE"""),"Yarushynskyi Vladyslav")</f>
        <v>Yarushynskyi Vladyslav</v>
      </c>
      <c r="E28" s="1" t="str">
        <f aca="false">IFERROR(__xludf.dummyfunction("""COMPUTED_VALUE"""),"Chodov")</f>
        <v>Chodov</v>
      </c>
      <c r="F28" s="1" t="str">
        <f aca="false">IFERROR(__xludf.dummyfunction("""COMPUTED_VALUE"""),"Malešice")</f>
        <v>Malešice</v>
      </c>
      <c r="G28" s="1" t="str">
        <f aca="false">IFERROR(__xludf.dummyfunction("""COMPUTED_VALUE"""),"Zličín")</f>
        <v>Zličín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55" t="n">
        <f aca="false">IFERROR(__xludf.dummyfunction("""COMPUTED_VALUE"""),267.6)</f>
        <v>267.6</v>
      </c>
      <c r="W28" s="155" t="n">
        <f aca="false">IFERROR(__xludf.dummyfunction("""COMPUTED_VALUE"""),0)</f>
        <v>0</v>
      </c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  <row r="29" customFormat="false" ht="15.75" hidden="false" customHeight="false" outlineLevel="0" collapsed="false">
      <c r="A29" s="1" t="str">
        <f aca="false">IF(AND(B29&lt;&gt;"", C29=TRUE(), E29=Report!$B$1), B29, "")</f>
        <v/>
      </c>
      <c r="B29" s="157" t="str">
        <f aca="false">IF(OR(E29=Report!$B$1, F29=Report!$B$1, G29=Report!$B$1, H29=Report!$B$1), D29, "")</f>
        <v/>
      </c>
      <c r="C29" s="158" t="b">
        <f aca="false">IFERROR(__xludf.dummyfunction("""COMPUTED_VALUE"""),FALSE())</f>
        <v>0</v>
      </c>
      <c r="D29" s="1" t="str">
        <f aca="false">IFERROR(__xludf.dummyfunction("""COMPUTED_VALUE"""),"Raboch Tomáš")</f>
        <v>Raboch Tomáš</v>
      </c>
      <c r="E29" s="1" t="str">
        <f aca="false">IFERROR(__xludf.dummyfunction("""COMPUTED_VALUE"""),"Bolevec")</f>
        <v>Bolevec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55" t="n">
        <f aca="false">IFERROR(__xludf.dummyfunction("""COMPUTED_VALUE"""),250.206)</f>
        <v>250.206</v>
      </c>
      <c r="W29" s="155" t="n">
        <f aca="false">IFERROR(__xludf.dummyfunction("""COMPUTED_VALUE"""),0)</f>
        <v>0</v>
      </c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</row>
    <row r="30" customFormat="false" ht="15.75" hidden="false" customHeight="false" outlineLevel="0" collapsed="false">
      <c r="A30" s="1" t="str">
        <f aca="false">IF(AND(B30&lt;&gt;"", C30=TRUE(), E30=Report!$B$1), B30, "")</f>
        <v/>
      </c>
      <c r="B30" s="157" t="str">
        <f aca="false">IF(OR(E30=Report!$B$1, F30=Report!$B$1, G30=Report!$B$1, H30=Report!$B$1), D30, "")</f>
        <v/>
      </c>
      <c r="C30" s="158" t="b">
        <f aca="false">IFERROR(__xludf.dummyfunction("""COMPUTED_VALUE"""),FALSE())</f>
        <v>0</v>
      </c>
      <c r="D30" s="1" t="str">
        <f aca="false">IFERROR(__xludf.dummyfunction("""COMPUTED_VALUE"""),"Židek Petr")</f>
        <v>Židek Petr</v>
      </c>
      <c r="E30" s="1" t="str">
        <f aca="false">IFERROR(__xludf.dummyfunction("""COMPUTED_VALUE"""),"Chodov")</f>
        <v>Chodov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55" t="n">
        <f aca="false">IFERROR(__xludf.dummyfunction("""COMPUTED_VALUE"""),250.206)</f>
        <v>250.206</v>
      </c>
      <c r="W30" s="155" t="n">
        <f aca="false">IFERROR(__xludf.dummyfunction("""COMPUTED_VALUE"""),0)</f>
        <v>0</v>
      </c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</row>
    <row r="31" customFormat="false" ht="15.75" hidden="false" customHeight="false" outlineLevel="0" collapsed="false">
      <c r="A31" s="1" t="str">
        <f aca="false">IF(AND(B31&lt;&gt;"", C31=TRUE(), E31=Report!$B$1), B31, "")</f>
        <v/>
      </c>
      <c r="B31" s="157" t="str">
        <f aca="false">IF(OR(E31=Report!$B$1, F31=Report!$B$1, G31=Report!$B$1, H31=Report!$B$1), D31, "")</f>
        <v/>
      </c>
      <c r="C31" s="158" t="b">
        <f aca="false">IFERROR(__xludf.dummyfunction("""COMPUTED_VALUE"""),FALSE())</f>
        <v>0</v>
      </c>
      <c r="D31" s="1" t="str">
        <f aca="false">IFERROR(__xludf.dummyfunction("""COMPUTED_VALUE"""),"Gorol Patrik")</f>
        <v>Gorol Patrik</v>
      </c>
      <c r="E31" s="1" t="str">
        <f aca="false">IFERROR(__xludf.dummyfunction("""COMPUTED_VALUE"""),"Malešice")</f>
        <v>Malešice</v>
      </c>
      <c r="F31" s="1" t="str">
        <f aca="false">IFERROR(__xludf.dummyfunction("""COMPUTED_VALUE"""),"Libuš")</f>
        <v>Libuš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55" t="n">
        <f aca="false">IFERROR(__xludf.dummyfunction("""COMPUTED_VALUE"""),231.474)</f>
        <v>231.474</v>
      </c>
      <c r="W31" s="155" t="n">
        <f aca="false">IFERROR(__xludf.dummyfunction("""COMPUTED_VALUE"""),0)</f>
        <v>0</v>
      </c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</row>
    <row r="32" customFormat="false" ht="15.75" hidden="false" customHeight="false" outlineLevel="0" collapsed="false">
      <c r="A32" s="1" t="str">
        <f aca="false">IF(AND(B32&lt;&gt;"", C32=TRUE(), E32=Report!$B$1), B32, "")</f>
        <v/>
      </c>
      <c r="B32" s="157" t="str">
        <f aca="false">IF(OR(E32=Report!$B$1, F32=Report!$B$1, G32=Report!$B$1, H32=Report!$B$1), D32, "")</f>
        <v/>
      </c>
      <c r="C32" s="158" t="b">
        <f aca="false">IFERROR(__xludf.dummyfunction("""COMPUTED_VALUE"""),FALSE())</f>
        <v>0</v>
      </c>
      <c r="D32" s="1" t="str">
        <f aca="false">IFERROR(__xludf.dummyfunction("""COMPUTED_VALUE"""),"Kratochvíl Kryštof")</f>
        <v>Kratochvíl Kryštof</v>
      </c>
      <c r="E32" s="1" t="str">
        <f aca="false">IFERROR(__xludf.dummyfunction("""COMPUTED_VALUE"""),"Bolevec")</f>
        <v>Bolevec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55" t="n">
        <f aca="false">IFERROR(__xludf.dummyfunction("""COMPUTED_VALUE"""),267.6)</f>
        <v>267.6</v>
      </c>
      <c r="W32" s="155" t="n">
        <f aca="false">IFERROR(__xludf.dummyfunction("""COMPUTED_VALUE"""),0)</f>
        <v>0</v>
      </c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</row>
    <row r="33" customFormat="false" ht="15.75" hidden="false" customHeight="false" outlineLevel="0" collapsed="false">
      <c r="A33" s="1" t="str">
        <f aca="false">IF(AND(B33&lt;&gt;"", C33=TRUE(), E33=Report!$B$1), B33, "")</f>
        <v/>
      </c>
      <c r="B33" s="157" t="str">
        <f aca="false">IF(OR(E33=Report!$B$1, F33=Report!$B$1, G33=Report!$B$1, H33=Report!$B$1), D33, "")</f>
        <v/>
      </c>
      <c r="C33" s="158" t="b">
        <f aca="false">IFERROR(__xludf.dummyfunction("""COMPUTED_VALUE"""),FALSE())</f>
        <v>0</v>
      </c>
      <c r="D33" s="1" t="str">
        <f aca="false">IFERROR(__xludf.dummyfunction("""COMPUTED_VALUE"""),"Hegedüs Gergö")</f>
        <v>Hegedüs Gergö</v>
      </c>
      <c r="E33" s="1" t="str">
        <f aca="false">IFERROR(__xludf.dummyfunction("""COMPUTED_VALUE"""),"Libuš")</f>
        <v>Libuš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55" t="n">
        <f aca="false">IFERROR(__xludf.dummyfunction("""COMPUTED_VALUE"""),214.08)</f>
        <v>214.08</v>
      </c>
      <c r="W33" s="155" t="n">
        <f aca="false">IFERROR(__xludf.dummyfunction("""COMPUTED_VALUE"""),0)</f>
        <v>0</v>
      </c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</row>
    <row r="34" customFormat="false" ht="15.75" hidden="false" customHeight="false" outlineLevel="0" collapsed="false">
      <c r="A34" s="1" t="str">
        <f aca="false">IF(AND(B34&lt;&gt;"", C34=TRUE(), E34=Report!$B$1), B34, "")</f>
        <v/>
      </c>
      <c r="B34" s="157" t="str">
        <f aca="false">IF(OR(E34=Report!$B$1, F34=Report!$B$1, G34=Report!$B$1, H34=Report!$B$1), D34, "")</f>
        <v/>
      </c>
      <c r="C34" s="158" t="b">
        <f aca="false">IFERROR(__xludf.dummyfunction("""COMPUTED_VALUE"""),FALSE())</f>
        <v>0</v>
      </c>
      <c r="D34" s="1" t="str">
        <f aca="false">IFERROR(__xludf.dummyfunction("""COMPUTED_VALUE"""),"Barvínková Eliška")</f>
        <v>Barvínková Eliška</v>
      </c>
      <c r="E34" s="1" t="str">
        <f aca="false">IFERROR(__xludf.dummyfunction("""COMPUTED_VALUE"""),"Libuš")</f>
        <v>Libuš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55" t="n">
        <f aca="false">IFERROR(__xludf.dummyfunction("""COMPUTED_VALUE"""),231.474)</f>
        <v>231.474</v>
      </c>
      <c r="W34" s="155" t="n">
        <f aca="false">IFERROR(__xludf.dummyfunction("""COMPUTED_VALUE"""),0)</f>
        <v>0</v>
      </c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</row>
    <row r="35" customFormat="false" ht="15.75" hidden="false" customHeight="false" outlineLevel="0" collapsed="false">
      <c r="A35" s="1" t="str">
        <f aca="false">IF(AND(B35&lt;&gt;"", C35=TRUE(), E35=Report!$B$1), B35, "")</f>
        <v/>
      </c>
      <c r="B35" s="157" t="str">
        <f aca="false">IF(OR(E35=Report!$B$1, F35=Report!$B$1, G35=Report!$B$1, H35=Report!$B$1), D35, "")</f>
        <v/>
      </c>
      <c r="C35" s="158" t="b">
        <f aca="false">IFERROR(__xludf.dummyfunction("""COMPUTED_VALUE"""),FALSE())</f>
        <v>0</v>
      </c>
      <c r="D35" s="1" t="str">
        <f aca="false">IFERROR(__xludf.dummyfunction("""COMPUTED_VALUE"""),"Kursheva Diana")</f>
        <v>Kursheva Diana</v>
      </c>
      <c r="E35" s="1" t="str">
        <f aca="false">IFERROR(__xludf.dummyfunction("""COMPUTED_VALUE"""),"Výroba")</f>
        <v>Výroba</v>
      </c>
      <c r="F35" s="1" t="str">
        <f aca="false">IFERROR(__xludf.dummyfunction("""COMPUTED_VALUE"""),"Chodov")</f>
        <v>Chodov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55" t="n">
        <f aca="false">IFERROR(__xludf.dummyfunction("""COMPUTED_VALUE"""),250.206)</f>
        <v>250.206</v>
      </c>
      <c r="W35" s="155" t="n">
        <f aca="false">IFERROR(__xludf.dummyfunction("""COMPUTED_VALUE"""),0)</f>
        <v>0</v>
      </c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</row>
    <row r="36" customFormat="false" ht="15.75" hidden="false" customHeight="false" outlineLevel="0" collapsed="false">
      <c r="A36" s="1" t="str">
        <f aca="false">IF(AND(B36&lt;&gt;"", C36=TRUE(), E36=Report!$B$1), B36, "")</f>
        <v/>
      </c>
      <c r="B36" s="157" t="str">
        <f aca="false">IF(OR(E36=Report!$B$1, F36=Report!$B$1, G36=Report!$B$1, H36=Report!$B$1), D36, "")</f>
        <v/>
      </c>
      <c r="C36" s="158" t="b">
        <f aca="false">IFERROR(__xludf.dummyfunction("""COMPUTED_VALUE"""),FALSE())</f>
        <v>0</v>
      </c>
      <c r="D36" s="1" t="str">
        <f aca="false">IFERROR(__xludf.dummyfunction("""COMPUTED_VALUE"""),"Tůma Vladimír")</f>
        <v>Tůma Vladimír</v>
      </c>
      <c r="E36" s="1" t="str">
        <f aca="false">IFERROR(__xludf.dummyfunction("""COMPUTED_VALUE"""),"Bolevec")</f>
        <v>Bolevec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55" t="n">
        <f aca="false">IFERROR(__xludf.dummyfunction("""COMPUTED_VALUE"""),250.206)</f>
        <v>250.206</v>
      </c>
      <c r="W36" s="155" t="n">
        <f aca="false">IFERROR(__xludf.dummyfunction("""COMPUTED_VALUE"""),0)</f>
        <v>0</v>
      </c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</row>
    <row r="37" customFormat="false" ht="15.75" hidden="false" customHeight="false" outlineLevel="0" collapsed="false">
      <c r="A37" s="1" t="str">
        <f aca="false">IF(AND(B37&lt;&gt;"", C37=TRUE(), E37=Report!$B$1), B37, "")</f>
        <v/>
      </c>
      <c r="B37" s="157" t="str">
        <f aca="false">IF(OR(E37=Report!$B$1, F37=Report!$B$1, G37=Report!$B$1, H37=Report!$B$1), D37, "")</f>
        <v/>
      </c>
      <c r="C37" s="158" t="b">
        <f aca="false">IFERROR(__xludf.dummyfunction("""COMPUTED_VALUE"""),FALSE())</f>
        <v>0</v>
      </c>
      <c r="D37" s="1" t="str">
        <f aca="false">IFERROR(__xludf.dummyfunction("""COMPUTED_VALUE"""),"Kubík Martin")</f>
        <v>Kubík Martin</v>
      </c>
      <c r="E37" s="1" t="str">
        <f aca="false">IFERROR(__xludf.dummyfunction("""COMPUTED_VALUE"""),"Libuš")</f>
        <v>Libuš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55" t="n">
        <f aca="false">IFERROR(__xludf.dummyfunction("""COMPUTED_VALUE"""),250.206)</f>
        <v>250.206</v>
      </c>
      <c r="W37" s="155" t="n">
        <f aca="false">IFERROR(__xludf.dummyfunction("""COMPUTED_VALUE"""),0)</f>
        <v>0</v>
      </c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</row>
    <row r="38" customFormat="false" ht="15.75" hidden="false" customHeight="false" outlineLevel="0" collapsed="false">
      <c r="A38" s="1" t="str">
        <f aca="false">IF(AND(B38&lt;&gt;"", C38=TRUE(), E38=Report!$B$1), B38, "")</f>
        <v/>
      </c>
      <c r="B38" s="157" t="str">
        <f aca="false">IF(OR(E38=Report!$B$1, F38=Report!$B$1, G38=Report!$B$1, H38=Report!$B$1), D38, "")</f>
        <v>Putna Jaroslav</v>
      </c>
      <c r="C38" s="158" t="b">
        <f aca="false">IFERROR(__xludf.dummyfunction("""COMPUTED_VALUE"""),FALSE())</f>
        <v>0</v>
      </c>
      <c r="D38" s="1" t="str">
        <f aca="false">IFERROR(__xludf.dummyfunction("""COMPUTED_VALUE"""),"Putna Jaroslav")</f>
        <v>Putna Jaroslav</v>
      </c>
      <c r="E38" s="1" t="str">
        <f aca="false">IFERROR(__xludf.dummyfunction("""COMPUTED_VALUE"""),"Zličín")</f>
        <v>Zličín</v>
      </c>
      <c r="F38" s="1" t="str">
        <f aca="false">IFERROR(__xludf.dummyfunction("""COMPUTED_VALUE"""),"Prosek")</f>
        <v>Prosek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55" t="n">
        <f aca="false">IFERROR(__xludf.dummyfunction("""COMPUTED_VALUE"""),250.206)</f>
        <v>250.206</v>
      </c>
      <c r="W38" s="155" t="n">
        <f aca="false">IFERROR(__xludf.dummyfunction("""COMPUTED_VALUE"""),0)</f>
        <v>0</v>
      </c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</row>
    <row r="39" customFormat="false" ht="15.75" hidden="false" customHeight="false" outlineLevel="0" collapsed="false">
      <c r="A39" s="1" t="str">
        <f aca="false">IF(AND(B39&lt;&gt;"", C39=TRUE(), E39=Report!$B$1), B39, "")</f>
        <v/>
      </c>
      <c r="B39" s="157" t="str">
        <f aca="false">IF(OR(E39=Report!$B$1, F39=Report!$B$1, G39=Report!$B$1, H39=Report!$B$1), D39, "")</f>
        <v>Kopic Jakub</v>
      </c>
      <c r="C39" s="158" t="b">
        <f aca="false">IFERROR(__xludf.dummyfunction("""COMPUTED_VALUE"""),FALSE())</f>
        <v>0</v>
      </c>
      <c r="D39" s="1" t="str">
        <f aca="false">IFERROR(__xludf.dummyfunction("""COMPUTED_VALUE"""),"Kopic Jakub")</f>
        <v>Kopic Jakub</v>
      </c>
      <c r="E39" s="1" t="str">
        <f aca="false">IFERROR(__xludf.dummyfunction("""COMPUTED_VALUE"""),"Malešice")</f>
        <v>Malešice</v>
      </c>
      <c r="F39" s="1" t="str">
        <f aca="false">IFERROR(__xludf.dummyfunction("""COMPUTED_VALUE"""),"Prosek")</f>
        <v>Prosek</v>
      </c>
      <c r="G39" s="1" t="str">
        <f aca="false">IFERROR(__xludf.dummyfunction("""COMPUTED_VALUE"""),"Libuš")</f>
        <v>Libuš</v>
      </c>
      <c r="H39" s="1" t="str">
        <f aca="false">IFERROR(__xludf.dummyfunction("""COMPUTED_VALUE"""),"Prosek")</f>
        <v>Prosek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55" t="n">
        <f aca="false">IFERROR(__xludf.dummyfunction("""COMPUTED_VALUE"""),250.206)</f>
        <v>250.206</v>
      </c>
      <c r="W39" s="155" t="n">
        <f aca="false">IFERROR(__xludf.dummyfunction("""COMPUTED_VALUE"""),0)</f>
        <v>0</v>
      </c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</row>
    <row r="40" customFormat="false" ht="15.75" hidden="false" customHeight="false" outlineLevel="0" collapsed="false">
      <c r="A40" s="1" t="str">
        <f aca="false">IF(AND(B40&lt;&gt;"", C40=TRUE(), E40=Report!$B$1), B40, "")</f>
        <v/>
      </c>
      <c r="B40" s="157" t="str">
        <f aca="false">IF(OR(E40=Report!$B$1, F40=Report!$B$1, G40=Report!$B$1, H40=Report!$B$1), D40, "")</f>
        <v>Fáberová Kateřina</v>
      </c>
      <c r="C40" s="158" t="b">
        <f aca="false">IFERROR(__xludf.dummyfunction("""COMPUTED_VALUE"""),FALSE())</f>
        <v>0</v>
      </c>
      <c r="D40" s="1" t="str">
        <f aca="false">IFERROR(__xludf.dummyfunction("""COMPUTED_VALUE"""),"Fáberová Kateřina")</f>
        <v>Fáberová Kateřina</v>
      </c>
      <c r="E40" s="1" t="str">
        <f aca="false">IFERROR(__xludf.dummyfunction("""COMPUTED_VALUE"""),"Prosek")</f>
        <v>Prosek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55" t="n">
        <f aca="false">IFERROR(__xludf.dummyfunction("""COMPUTED_VALUE"""),250.206)</f>
        <v>250.206</v>
      </c>
      <c r="W40" s="155" t="n">
        <f aca="false">IFERROR(__xludf.dummyfunction("""COMPUTED_VALUE"""),0)</f>
        <v>0</v>
      </c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</row>
    <row r="41" customFormat="false" ht="15.75" hidden="false" customHeight="false" outlineLevel="0" collapsed="false">
      <c r="A41" s="1" t="str">
        <f aca="false">IF(AND(B41&lt;&gt;"", C41=TRUE(), E41=Report!$B$1), B41, "")</f>
        <v/>
      </c>
      <c r="B41" s="157" t="str">
        <f aca="false">IF(OR(E41=Report!$B$1, F41=Report!$B$1, G41=Report!$B$1, H41=Report!$B$1), D41, "")</f>
        <v/>
      </c>
      <c r="C41" s="158" t="b">
        <f aca="false">IFERROR(__xludf.dummyfunction("""COMPUTED_VALUE"""),FALSE())</f>
        <v>0</v>
      </c>
      <c r="D41" s="1" t="str">
        <f aca="false">IFERROR(__xludf.dummyfunction("""COMPUTED_VALUE"""),"Chlubnová Adéla")</f>
        <v>Chlubnová Adéla</v>
      </c>
      <c r="E41" s="1" t="str">
        <f aca="false">IFERROR(__xludf.dummyfunction("""COMPUTED_VALUE"""),"Chodov")</f>
        <v>Chodov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55" t="n">
        <f aca="false">IFERROR(__xludf.dummyfunction("""COMPUTED_VALUE"""),250.206)</f>
        <v>250.206</v>
      </c>
      <c r="W41" s="155" t="n">
        <f aca="false">IFERROR(__xludf.dummyfunction("""COMPUTED_VALUE"""),0)</f>
        <v>0</v>
      </c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</row>
    <row r="42" customFormat="false" ht="15.75" hidden="false" customHeight="false" outlineLevel="0" collapsed="false">
      <c r="A42" s="1" t="str">
        <f aca="false">IF(AND(B42&lt;&gt;"", C42=TRUE(), E42=Report!$B$1), B42, "")</f>
        <v/>
      </c>
      <c r="B42" s="157" t="str">
        <f aca="false">IF(OR(E42=Report!$B$1, F42=Report!$B$1, G42=Report!$B$1, H42=Report!$B$1), D42, "")</f>
        <v/>
      </c>
      <c r="C42" s="158" t="b">
        <f aca="false">IFERROR(__xludf.dummyfunction("""COMPUTED_VALUE"""),FALSE())</f>
        <v>0</v>
      </c>
      <c r="D42" s="1" t="str">
        <f aca="false">IFERROR(__xludf.dummyfunction("""COMPUTED_VALUE"""),"Kuzníková Nicol")</f>
        <v>Kuzníková Nicol</v>
      </c>
      <c r="E42" s="1" t="str">
        <f aca="false">IFERROR(__xludf.dummyfunction("""COMPUTED_VALUE"""),"Zličín")</f>
        <v>Zličín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55" t="n">
        <f aca="false">IFERROR(__xludf.dummyfunction("""COMPUTED_VALUE"""),250.206)</f>
        <v>250.206</v>
      </c>
      <c r="W42" s="155" t="n">
        <f aca="false">IFERROR(__xludf.dummyfunction("""COMPUTED_VALUE"""),0)</f>
        <v>0</v>
      </c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</row>
    <row r="43" customFormat="false" ht="15.75" hidden="false" customHeight="false" outlineLevel="0" collapsed="false">
      <c r="A43" s="1" t="str">
        <f aca="false">IF(AND(B43&lt;&gt;"", C43=TRUE(), E43=Report!$B$1), B43, "")</f>
        <v/>
      </c>
      <c r="B43" s="157" t="str">
        <f aca="false">IF(OR(E43=Report!$B$1, F43=Report!$B$1, G43=Report!$B$1, H43=Report!$B$1), D43, "")</f>
        <v/>
      </c>
      <c r="C43" s="158" t="b">
        <f aca="false">IFERROR(__xludf.dummyfunction("""COMPUTED_VALUE"""),FALSE())</f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55" t="n">
        <f aca="false">IFERROR(__xludf.dummyfunction("""COMPUTED_VALUE"""),0)</f>
        <v>0</v>
      </c>
      <c r="W43" s="155" t="n">
        <f aca="false">IFERROR(__xludf.dummyfunction("""COMPUTED_VALUE"""),0)</f>
        <v>0</v>
      </c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</row>
    <row r="44" customFormat="false" ht="15.75" hidden="false" customHeight="false" outlineLevel="0" collapsed="false">
      <c r="A44" s="1"/>
      <c r="B44" s="159" t="str">
        <f aca="false">IF(OR(E44=Report!$B$1, F44=Report!$B$1, G44=Report!$B$1, H44=Report!$B$1), D44, "")</f>
        <v/>
      </c>
      <c r="C44" s="158" t="b">
        <f aca="false">IFERROR(__xludf.dummyfunction("""COMPUTED_VALUE"""),FALSE())</f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55" t="n">
        <f aca="false">IFERROR(__xludf.dummyfunction("""COMPUTED_VALUE"""),0)</f>
        <v>0</v>
      </c>
      <c r="W44" s="155" t="n">
        <f aca="false">IFERROR(__xludf.dummyfunction("""COMPUTED_VALUE"""),0)</f>
        <v>0</v>
      </c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</row>
    <row r="45" customFormat="false" ht="15.75" hidden="false" customHeight="false" outlineLevel="0" collapsed="false">
      <c r="A45" s="1"/>
      <c r="B45" s="159" t="str">
        <f aca="false">IF(OR(E45=Report!$B$1, F45=Report!$B$1, G45=Report!$B$1, H45=Report!$B$1), D45, "")</f>
        <v/>
      </c>
      <c r="C45" s="158" t="b">
        <f aca="false">IFERROR(__xludf.dummyfunction("""COMPUTED_VALUE"""),FALSE())</f>
        <v>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55" t="n">
        <f aca="false">IFERROR(__xludf.dummyfunction("""COMPUTED_VALUE"""),0)</f>
        <v>0</v>
      </c>
      <c r="W45" s="155" t="n">
        <f aca="false">IFERROR(__xludf.dummyfunction("""COMPUTED_VALUE"""),0)</f>
        <v>0</v>
      </c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</row>
    <row r="46" customFormat="false" ht="15.75" hidden="false" customHeight="false" outlineLevel="0" collapsed="false">
      <c r="A46" s="1"/>
      <c r="B46" s="159" t="str">
        <f aca="false">IF(OR(E46=Report!$B$1, F46=Report!$B$1, G46=Report!$B$1, H46=Report!$B$1), D46, "")</f>
        <v/>
      </c>
      <c r="C46" s="158" t="b">
        <f aca="false">IFERROR(__xludf.dummyfunction("""COMPUTED_VALUE"""),FALSE())</f>
        <v>0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55" t="n">
        <f aca="false">IFERROR(__xludf.dummyfunction("""COMPUTED_VALUE"""),0)</f>
        <v>0</v>
      </c>
      <c r="W46" s="155" t="n">
        <f aca="false">IFERROR(__xludf.dummyfunction("""COMPUTED_VALUE"""),0)</f>
        <v>0</v>
      </c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</row>
    <row r="47" customFormat="false" ht="15.75" hidden="false" customHeight="false" outlineLevel="0" collapsed="false">
      <c r="A47" s="1"/>
      <c r="B47" s="159" t="str">
        <f aca="false">IF(OR(E47=Report!$B$1, F47=Report!$B$1, G47=Report!$B$1, H47=Report!$B$1), D47, "")</f>
        <v/>
      </c>
      <c r="C47" s="158" t="b">
        <f aca="false">IFERROR(__xludf.dummyfunction("""COMPUTED_VALUE"""),FALSE())</f>
        <v>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55" t="n">
        <f aca="false">IFERROR(__xludf.dummyfunction("""COMPUTED_VALUE"""),0)</f>
        <v>0</v>
      </c>
      <c r="W47" s="155" t="n">
        <f aca="false">IFERROR(__xludf.dummyfunction("""COMPUTED_VALUE"""),0)</f>
        <v>0</v>
      </c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</row>
    <row r="48" customFormat="false" ht="15.75" hidden="false" customHeight="false" outlineLevel="0" collapsed="false">
      <c r="A48" s="1"/>
      <c r="B48" s="159" t="str">
        <f aca="false">IF(OR(E48=Report!$B$1, F48=Report!$B$1, G48=Report!$B$1, H48=Report!$B$1), D48, "")</f>
        <v/>
      </c>
      <c r="C48" s="158" t="b">
        <f aca="false">IFERROR(__xludf.dummyfunction("""COMPUTED_VALUE"""),FALSE())</f>
        <v>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55" t="n">
        <f aca="false">IFERROR(__xludf.dummyfunction("""COMPUTED_VALUE"""),0)</f>
        <v>0</v>
      </c>
      <c r="W48" s="155" t="n">
        <f aca="false">IFERROR(__xludf.dummyfunction("""COMPUTED_VALUE"""),0)</f>
        <v>0</v>
      </c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</row>
    <row r="49" customFormat="false" ht="15.75" hidden="false" customHeight="false" outlineLevel="0" collapsed="false">
      <c r="A49" s="1"/>
      <c r="B49" s="159" t="str">
        <f aca="false">IF(OR(E49=Report!$B$1, F49=Report!$B$1, G49=Report!$B$1, H49=Report!$B$1), D49, "")</f>
        <v/>
      </c>
      <c r="C49" s="158" t="b">
        <f aca="false">IFERROR(__xludf.dummyfunction("""COMPUTED_VALUE"""),FALSE())</f>
        <v>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55" t="n">
        <f aca="false">IFERROR(__xludf.dummyfunction("""COMPUTED_VALUE"""),0)</f>
        <v>0</v>
      </c>
      <c r="W49" s="155" t="n">
        <f aca="false">IFERROR(__xludf.dummyfunction("""COMPUTED_VALUE"""),0)</f>
        <v>0</v>
      </c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</row>
    <row r="50" customFormat="false" ht="15.75" hidden="false" customHeight="false" outlineLevel="0" collapsed="false">
      <c r="A50" s="1"/>
      <c r="B50" s="159" t="str">
        <f aca="false">IF(OR(E50=Report!$B$1, F50=Report!$B$1, G50=Report!$B$1, H50=Report!$B$1), D50, "")</f>
        <v/>
      </c>
      <c r="C50" s="158" t="b">
        <f aca="false">IFERROR(__xludf.dummyfunction("""COMPUTED_VALUE"""),FALSE())</f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55" t="n">
        <f aca="false">IFERROR(__xludf.dummyfunction("""COMPUTED_VALUE"""),0)</f>
        <v>0</v>
      </c>
      <c r="W50" s="155" t="n">
        <f aca="false">IFERROR(__xludf.dummyfunction("""COMPUTED_VALUE"""),0)</f>
        <v>0</v>
      </c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</row>
    <row r="51" customFormat="false" ht="15.75" hidden="false" customHeight="false" outlineLevel="0" collapsed="false">
      <c r="A51" s="1"/>
      <c r="B51" s="159" t="str">
        <f aca="false">IF(OR(E51=Report!$B$1, F51=Report!$B$1, G51=Report!$B$1, H51=Report!$B$1), D51, "")</f>
        <v/>
      </c>
      <c r="C51" s="158" t="b">
        <f aca="false">IFERROR(__xludf.dummyfunction("""COMPUTED_VALUE"""),FALSE())</f>
        <v>0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55" t="n">
        <f aca="false">IFERROR(__xludf.dummyfunction("""COMPUTED_VALUE"""),0)</f>
        <v>0</v>
      </c>
      <c r="W51" s="155" t="n">
        <f aca="false">IFERROR(__xludf.dummyfunction("""COMPUTED_VALUE"""),0)</f>
        <v>0</v>
      </c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</row>
    <row r="52" customFormat="false" ht="15.75" hidden="false" customHeight="false" outlineLevel="0" collapsed="false">
      <c r="A52" s="1"/>
      <c r="B52" s="159" t="str">
        <f aca="false">IF(OR(E52=Report!$B$1, F52=Report!$B$1, G52=Report!$B$1, H52=Report!$B$1), D52, "")</f>
        <v/>
      </c>
      <c r="C52" s="158" t="b">
        <f aca="false">IFERROR(__xludf.dummyfunction("""COMPUTED_VALUE"""),FALSE())</f>
        <v>0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55" t="n">
        <f aca="false">IFERROR(__xludf.dummyfunction("""COMPUTED_VALUE"""),0)</f>
        <v>0</v>
      </c>
      <c r="W52" s="155" t="n">
        <f aca="false">IFERROR(__xludf.dummyfunction("""COMPUTED_VALUE"""),0)</f>
        <v>0</v>
      </c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</row>
    <row r="53" customFormat="false" ht="15.75" hidden="false" customHeight="false" outlineLevel="0" collapsed="false">
      <c r="A53" s="1"/>
      <c r="B53" s="159" t="str">
        <f aca="false">IF(OR(E53=Report!$B$1, F53=Report!$B$1, G53=Report!$B$1, H53=Report!$B$1), D53, "")</f>
        <v/>
      </c>
      <c r="C53" s="158" t="b">
        <f aca="false">IFERROR(__xludf.dummyfunction("""COMPUTED_VALUE"""),FALSE())</f>
        <v>0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55" t="n">
        <f aca="false">IFERROR(__xludf.dummyfunction("""COMPUTED_VALUE"""),0)</f>
        <v>0</v>
      </c>
      <c r="W53" s="155" t="n">
        <f aca="false">IFERROR(__xludf.dummyfunction("""COMPUTED_VALUE"""),0)</f>
        <v>0</v>
      </c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</row>
    <row r="54" customFormat="false" ht="15.75" hidden="false" customHeight="false" outlineLevel="0" collapsed="false">
      <c r="A54" s="1"/>
      <c r="B54" s="159" t="str">
        <f aca="false">IF(OR(E54=Report!$B$1, F54=Report!$B$1, G54=Report!$B$1, H54=Report!$B$1), D54, "")</f>
        <v/>
      </c>
      <c r="C54" s="158" t="b">
        <f aca="false">IFERROR(__xludf.dummyfunction("""COMPUTED_VALUE"""),FALSE())</f>
        <v>0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55" t="n">
        <f aca="false">IFERROR(__xludf.dummyfunction("""COMPUTED_VALUE"""),0)</f>
        <v>0</v>
      </c>
      <c r="W54" s="155" t="n">
        <f aca="false">IFERROR(__xludf.dummyfunction("""COMPUTED_VALUE"""),0)</f>
        <v>0</v>
      </c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</row>
    <row r="55" customFormat="false" ht="15.75" hidden="false" customHeight="false" outlineLevel="0" collapsed="false">
      <c r="A55" s="1"/>
      <c r="B55" s="159" t="str">
        <f aca="false">IF(OR(E55=Report!$B$1, F55=Report!$B$1, G55=Report!$B$1, H55=Report!$B$1), D55, "")</f>
        <v/>
      </c>
      <c r="C55" s="158" t="b">
        <f aca="false">IFERROR(__xludf.dummyfunction("""COMPUTED_VALUE"""),FALSE())</f>
        <v>0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55" t="n">
        <f aca="false">IFERROR(__xludf.dummyfunction("""COMPUTED_VALUE"""),0)</f>
        <v>0</v>
      </c>
      <c r="W55" s="155" t="n">
        <f aca="false">IFERROR(__xludf.dummyfunction("""COMPUTED_VALUE"""),0)</f>
        <v>0</v>
      </c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  <row r="56" customFormat="false" ht="15.75" hidden="false" customHeight="false" outlineLevel="0" collapsed="false">
      <c r="A56" s="1"/>
      <c r="B56" s="159" t="str">
        <f aca="false">IF(OR(E56=Report!$B$1, F56=Report!$B$1, G56=Report!$B$1, H56=Report!$B$1), D56, "")</f>
        <v/>
      </c>
      <c r="C56" s="158" t="b">
        <f aca="false">IFERROR(__xludf.dummyfunction("""COMPUTED_VALUE"""),FALSE())</f>
        <v>0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55" t="n">
        <f aca="false">IFERROR(__xludf.dummyfunction("""COMPUTED_VALUE"""),250.206)</f>
        <v>250.206</v>
      </c>
      <c r="W56" s="155" t="n">
        <f aca="false">IFERROR(__xludf.dummyfunction("""COMPUTED_VALUE"""),0)</f>
        <v>0</v>
      </c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</row>
    <row r="57" customFormat="false" ht="15.75" hidden="false" customHeight="false" outlineLevel="0" collapsed="false">
      <c r="A57" s="1"/>
      <c r="B57" s="159" t="str">
        <f aca="false">IF(OR(E57=Report!$B$1, F57=Report!$B$1, G57=Report!$B$1, H57=Report!$B$1), D57, "")</f>
        <v/>
      </c>
      <c r="C57" s="158" t="b">
        <f aca="false">IFERROR(__xludf.dummyfunction("""COMPUTED_VALUE"""),FALSE())</f>
        <v>0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55" t="n">
        <f aca="false">IFERROR(__xludf.dummyfunction("""COMPUTED_VALUE"""),0)</f>
        <v>0</v>
      </c>
      <c r="W57" s="155" t="n">
        <f aca="false">IFERROR(__xludf.dummyfunction("""COMPUTED_VALUE"""),0)</f>
        <v>0</v>
      </c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</row>
    <row r="58" customFormat="false" ht="15.75" hidden="false" customHeight="false" outlineLevel="0" collapsed="false">
      <c r="A58" s="1"/>
      <c r="B58" s="159" t="str">
        <f aca="false">IF(OR(E58=Report!$B$1, F58=Report!$B$1, G58=Report!$B$1, H58=Report!$B$1), D58, "")</f>
        <v/>
      </c>
      <c r="C58" s="1"/>
      <c r="D58" s="1" t="str">
        <f aca="false">IFERROR(__xludf.dummyfunction("""COMPUTED_VALUE"""),"End")</f>
        <v>End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55" t="n">
        <f aca="false">IFERROR(__xludf.dummyfunction("""COMPUTED_VALUE"""),0)</f>
        <v>0</v>
      </c>
      <c r="W58" s="155" t="n">
        <f aca="false">IFERROR(__xludf.dummyfunction("""COMPUTED_VALUE"""),0)</f>
        <v>0</v>
      </c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</row>
    <row r="59" customFormat="false" ht="15.75" hidden="false" customHeight="false" outlineLevel="0" collapsed="false">
      <c r="A59" s="1"/>
      <c r="B59" s="159" t="str">
        <f aca="false">IF(OR(E59=Report!$B$1, F59=Report!$B$1, G59=Report!$B$1, H59=Report!$B$1), D59, "")</f>
        <v/>
      </c>
      <c r="C59" s="1"/>
      <c r="D59" s="1" t="str">
        <f aca="false">IFERROR(__xludf.dummyfunction("""COMPUTED_VALUE"""),"Suma instor")</f>
        <v>Suma instor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55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</row>
    <row r="60" customFormat="false" ht="15.75" hidden="false" customHeight="false" outlineLevel="0" collapsed="false">
      <c r="A60" s="1"/>
      <c r="B60" s="159" t="str">
        <f aca="false">IF(OR(E60=Report!$B$1, F60=Report!$B$1, G60=Report!$B$1, H60=Report!$B$1), D60, "")</f>
        <v/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55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</row>
    <row r="61" customFormat="false" ht="15.75" hidden="false" customHeight="false" outlineLevel="0" collapsed="false">
      <c r="A61" s="1"/>
      <c r="B61" s="157" t="str">
        <f aca="false">IF(OR(E61=Report!$B$1, F61=Report!$B$1, G61=Report!$B$1, H61=Report!$B$1), D61, "")</f>
        <v/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55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</row>
    <row r="62" customFormat="false" ht="15.75" hidden="false" customHeight="false" outlineLevel="0" collapsed="false">
      <c r="A62" s="1"/>
      <c r="B62" s="157" t="str">
        <f aca="false">IF(OR(E62=Report!$B$1, F62=Report!$B$1, G62=Report!$B$1, H62=Report!$B$1), D62, "")</f>
        <v/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55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</row>
    <row r="63" customFormat="false" ht="15.75" hidden="false" customHeight="false" outlineLevel="0" collapsed="false">
      <c r="A63" s="1"/>
      <c r="B63" s="157" t="str">
        <f aca="false">IF(OR(E63=Report!$B$1, F63=Report!$B$1, G63=Report!$B$1, H63=Report!$B$1), D63, "")</f>
        <v/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55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</row>
    <row r="64" customFormat="false" ht="15.75" hidden="false" customHeight="false" outlineLevel="0" collapsed="false">
      <c r="A64" s="1"/>
      <c r="B64" s="157" t="str">
        <f aca="false">IF(OR(E64=Report!$B$1, F64=Report!$B$1, G64=Report!$B$1, H64=Report!$B$1), D64, "")</f>
        <v/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55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</row>
    <row r="65" customFormat="false" ht="15.75" hidden="false" customHeight="false" outlineLevel="0" collapsed="false">
      <c r="A65" s="1"/>
      <c r="B65" s="157" t="str">
        <f aca="false">IF(OR(E65=Report!$B$1, F65=Report!$B$1, G65=Report!$B$1, H65=Report!$B$1), D65, "")</f>
        <v/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55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</row>
    <row r="66" customFormat="false" ht="15.75" hidden="false" customHeight="false" outlineLevel="0" collapsed="false">
      <c r="A66" s="1"/>
      <c r="B66" s="157" t="str">
        <f aca="false">IF(OR(E66=Report!$B$1, F66=Report!$B$1, G66=Report!$B$1, H66=Report!$B$1), D66, "")</f>
        <v/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55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</row>
    <row r="67" customFormat="false" ht="15.75" hidden="false" customHeight="false" outlineLevel="0" collapsed="false">
      <c r="A67" s="1"/>
      <c r="B67" s="157" t="str">
        <f aca="false">IF(OR(E67=Report!$B$1, F67=Report!$B$1, G67=Report!$B$1, H67=Report!$B$1), D67, "")</f>
        <v/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55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</row>
    <row r="68" customFormat="false" ht="15.75" hidden="false" customHeight="false" outlineLevel="0" collapsed="false">
      <c r="A68" s="1"/>
      <c r="B68" s="157" t="str">
        <f aca="false">IF(OR(E68=Report!$B$1, F68=Report!$B$1, G68=Report!$B$1, H68=Report!$B$1), D68, "")</f>
        <v/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55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</row>
    <row r="69" customFormat="false" ht="15.75" hidden="false" customHeight="false" outlineLevel="0" collapsed="false">
      <c r="A69" s="1"/>
      <c r="B69" s="157" t="str">
        <f aca="false">IF(OR(E69=Report!$B$1, F69=Report!$B$1, G69=Report!$B$1, H69=Report!$B$1), D69, "")</f>
        <v/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55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</row>
    <row r="70" customFormat="false" ht="15.75" hidden="false" customHeight="false" outlineLevel="0" collapsed="false">
      <c r="A70" s="1"/>
      <c r="B70" s="157" t="str">
        <f aca="false">IF(OR(E70=Report!$B$1, F70=Report!$B$1, G70=Report!$B$1, H70=Report!$B$1), D70, "")</f>
        <v/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55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</row>
    <row r="71" customFormat="false" ht="15.75" hidden="false" customHeight="false" outlineLevel="0" collapsed="false">
      <c r="A71" s="1"/>
      <c r="B71" s="157" t="str">
        <f aca="false">IF(OR(E71=Report!$B$1, F71=Report!$B$1, G71=Report!$B$1, H71=Report!$B$1), D71, "")</f>
        <v/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55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</row>
    <row r="72" customFormat="false" ht="15.75" hidden="false" customHeight="false" outlineLevel="0" collapsed="false">
      <c r="A72" s="1"/>
      <c r="B72" s="157" t="str">
        <f aca="false">IF(OR(E72=Report!$B$1, F72=Report!$B$1, G72=Report!$B$1, H72=Report!$B$1), D72, "")</f>
        <v/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55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</row>
    <row r="73" customFormat="false" ht="15.75" hidden="false" customHeight="false" outlineLevel="0" collapsed="false">
      <c r="A73" s="1"/>
      <c r="B73" s="157" t="str">
        <f aca="false">IF(OR(E73=Report!$B$1, F73=Report!$B$1, G73=Report!$B$1, H73=Report!$B$1), D73, "")</f>
        <v/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55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</row>
    <row r="74" customFormat="false" ht="15.75" hidden="false" customHeight="false" outlineLevel="0" collapsed="false">
      <c r="A74" s="1"/>
      <c r="B74" s="157" t="str">
        <f aca="false">IF(OR(E74=Report!$B$1, F74=Report!$B$1, G74=Report!$B$1, H74=Report!$B$1), D74, "")</f>
        <v/>
      </c>
      <c r="C74" s="1" t="str">
        <f aca="false">IFERROR(__xludf.dummyfunction("""COMPUTED_VALUE"""),"Manažer")</f>
        <v>Manažer</v>
      </c>
      <c r="D74" s="1" t="str">
        <f aca="false">IFERROR(__xludf.dummyfunction("""COMPUTED_VALUE"""),"Kurýr")</f>
        <v>Kurýr</v>
      </c>
      <c r="E74" s="1" t="str">
        <f aca="false">IFERROR(__xludf.dummyfunction("""COMPUTED_VALUE"""),"První domácí,          Pobočky max 4    ")</f>
        <v>První domácí,          Pobočky max 4    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 t="str">
        <f aca="false">IFERROR(__xludf.dummyfunction("""COMPUTED_VALUE"""),"Sp.hr. / h")</f>
        <v>Sp.hr. / h</v>
      </c>
      <c r="W74" s="155" t="str">
        <f aca="false">IFERROR(__xludf.dummyfunction("""COMPUTED_VALUE"""),"Sp.hr. / den")</f>
        <v>Sp.hr. / den</v>
      </c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</row>
    <row r="75" customFormat="false" ht="15.75" hidden="false" customHeight="false" outlineLevel="0" collapsed="false">
      <c r="A75" s="1"/>
      <c r="B75" s="157" t="str">
        <f aca="false">IF(OR(E75=Report!$B$1, F75=Report!$B$1, G75=Report!$B$1, H75=Report!$B$1), D75, "")</f>
        <v/>
      </c>
      <c r="C75" s="158" t="b">
        <f aca="false">IFERROR(__xludf.dummyfunction("""COMPUTED_VALUE"""),FALSE())</f>
        <v>0</v>
      </c>
      <c r="D75" s="1" t="str">
        <f aca="false">IFERROR(__xludf.dummyfunction("""COMPUTED_VALUE"""),"Jurkovič Martin")</f>
        <v>Jurkovič Martin</v>
      </c>
      <c r="E75" s="1" t="str">
        <f aca="false">IFERROR(__xludf.dummyfunction("""COMPUTED_VALUE"""),"Libuš")</f>
        <v>Libuš</v>
      </c>
      <c r="F75" s="1" t="str">
        <f aca="false">IFERROR(__xludf.dummyfunction("""COMPUTED_VALUE"""),"Chodov")</f>
        <v>Chodov</v>
      </c>
      <c r="G75" s="1" t="str">
        <f aca="false">IFERROR(__xludf.dummyfunction("""COMPUTED_VALUE"""),"Malešice")</f>
        <v>Malešice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55" t="n">
        <f aca="false">IFERROR(__xludf.dummyfunction("""COMPUTED_VALUE"""),150)</f>
        <v>150</v>
      </c>
      <c r="W75" s="155" t="n">
        <f aca="false">IFERROR(__xludf.dummyfunction("""COMPUTED_VALUE"""),0)</f>
        <v>0</v>
      </c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</row>
    <row r="76" customFormat="false" ht="15.75" hidden="false" customHeight="false" outlineLevel="0" collapsed="false">
      <c r="A76" s="1"/>
      <c r="B76" s="157" t="str">
        <f aca="false">IF(OR(E76=Report!$B$1, F76=Report!$B$1, G76=Report!$B$1, H76=Report!$B$1), D76, "")</f>
        <v/>
      </c>
      <c r="C76" s="158" t="b">
        <f aca="false">IFERROR(__xludf.dummyfunction("""COMPUTED_VALUE"""),FALSE())</f>
        <v>0</v>
      </c>
      <c r="D76" s="1" t="str">
        <f aca="false">IFERROR(__xludf.dummyfunction("""COMPUTED_VALUE"""),"Navrátil Ondřej")</f>
        <v>Navrátil Ondřej</v>
      </c>
      <c r="E76" s="1" t="str">
        <f aca="false">IFERROR(__xludf.dummyfunction("""COMPUTED_VALUE"""),"Chodov")</f>
        <v>Chodov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55" t="n">
        <f aca="false">IFERROR(__xludf.dummyfunction("""COMPUTED_VALUE"""),267.6)</f>
        <v>267.6</v>
      </c>
      <c r="W76" s="155" t="n">
        <f aca="false">IFERROR(__xludf.dummyfunction("""COMPUTED_VALUE"""),0)</f>
        <v>0</v>
      </c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</row>
    <row r="77" customFormat="false" ht="15.75" hidden="false" customHeight="false" outlineLevel="0" collapsed="false">
      <c r="A77" s="1"/>
      <c r="B77" s="157" t="str">
        <f aca="false">IF(OR(E77=Report!$B$1, F77=Report!$B$1, G77=Report!$B$1, H77=Report!$B$1), D77, "")</f>
        <v/>
      </c>
      <c r="C77" s="158" t="b">
        <f aca="false">IFERROR(__xludf.dummyfunction("""COMPUTED_VALUE"""),FALSE())</f>
        <v>0</v>
      </c>
      <c r="D77" s="1" t="str">
        <f aca="false">IFERROR(__xludf.dummyfunction("""COMPUTED_VALUE"""),"Němec Filip")</f>
        <v>Němec Filip</v>
      </c>
      <c r="E77" s="1" t="str">
        <f aca="false">IFERROR(__xludf.dummyfunction("""COMPUTED_VALUE"""),"Zličín")</f>
        <v>Zličín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55" t="n">
        <f aca="false">IFERROR(__xludf.dummyfunction("""COMPUTED_VALUE"""),231.474)</f>
        <v>231.474</v>
      </c>
      <c r="W77" s="155" t="n">
        <f aca="false">IFERROR(__xludf.dummyfunction("""COMPUTED_VALUE"""),0)</f>
        <v>0</v>
      </c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</row>
    <row r="78" customFormat="false" ht="15.75" hidden="false" customHeight="false" outlineLevel="0" collapsed="false">
      <c r="A78" s="1"/>
      <c r="B78" s="157" t="str">
        <f aca="false">IF(OR(E78=Report!$B$1, F78=Report!$B$1, G78=Report!$B$1, H78=Report!$B$1), D78, "")</f>
        <v/>
      </c>
      <c r="C78" s="158" t="b">
        <f aca="false">IFERROR(__xludf.dummyfunction("""COMPUTED_VALUE"""),FALSE())</f>
        <v>0</v>
      </c>
      <c r="D78" s="1" t="str">
        <f aca="false">IFERROR(__xludf.dummyfunction("""COMPUTED_VALUE"""),"Zimmer Jakub")</f>
        <v>Zimmer Jakub</v>
      </c>
      <c r="E78" s="1" t="str">
        <f aca="false">IFERROR(__xludf.dummyfunction("""COMPUTED_VALUE"""),"Zličín")</f>
        <v>Zličín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55" t="n">
        <f aca="false">IFERROR(__xludf.dummyfunction("""COMPUTED_VALUE"""),267.6)</f>
        <v>267.6</v>
      </c>
      <c r="W78" s="155" t="n">
        <f aca="false">IFERROR(__xludf.dummyfunction("""COMPUTED_VALUE"""),0)</f>
        <v>0</v>
      </c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</row>
    <row r="79" customFormat="false" ht="15.75" hidden="false" customHeight="false" outlineLevel="0" collapsed="false">
      <c r="A79" s="1"/>
      <c r="B79" s="157" t="str">
        <f aca="false">IF(OR(E79=Report!$B$1, F79=Report!$B$1, G79=Report!$B$1, H79=Report!$B$1), D79, "")</f>
        <v/>
      </c>
      <c r="C79" s="158" t="b">
        <f aca="false">IFERROR(__xludf.dummyfunction("""COMPUTED_VALUE"""),FALSE())</f>
        <v>0</v>
      </c>
      <c r="D79" s="1" t="str">
        <f aca="false">IFERROR(__xludf.dummyfunction("""COMPUTED_VALUE"""),"Nekolný Vladimír")</f>
        <v>Nekolný Vladimír</v>
      </c>
      <c r="E79" s="1" t="str">
        <f aca="false">IFERROR(__xludf.dummyfunction("""COMPUTED_VALUE"""),"Chodov")</f>
        <v>Chodov</v>
      </c>
      <c r="F79" s="1" t="str">
        <f aca="false">IFERROR(__xludf.dummyfunction("""COMPUTED_VALUE"""),"Libuš")</f>
        <v>Libuš</v>
      </c>
      <c r="G79" s="1" t="str">
        <f aca="false">IFERROR(__xludf.dummyfunction("""COMPUTED_VALUE"""),"Zličín")</f>
        <v>Zličín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55" t="n">
        <f aca="false">IFERROR(__xludf.dummyfunction("""COMPUTED_VALUE"""),231.474)</f>
        <v>231.474</v>
      </c>
      <c r="W79" s="155" t="n">
        <f aca="false">IFERROR(__xludf.dummyfunction("""COMPUTED_VALUE"""),0)</f>
        <v>0</v>
      </c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</row>
    <row r="80" customFormat="false" ht="15.75" hidden="false" customHeight="false" outlineLevel="0" collapsed="false">
      <c r="A80" s="1"/>
      <c r="B80" s="157" t="str">
        <f aca="false">IF(OR(E80=Report!$B$1, F80=Report!$B$1, G80=Report!$B$1, H80=Report!$B$1), D80, "")</f>
        <v>Hanibal Filip</v>
      </c>
      <c r="C80" s="158" t="b">
        <f aca="false">IFERROR(__xludf.dummyfunction("""COMPUTED_VALUE"""),FALSE())</f>
        <v>0</v>
      </c>
      <c r="D80" s="1" t="str">
        <f aca="false">IFERROR(__xludf.dummyfunction("""COMPUTED_VALUE"""),"Hanibal Filip")</f>
        <v>Hanibal Filip</v>
      </c>
      <c r="E80" s="1" t="str">
        <f aca="false">IFERROR(__xludf.dummyfunction("""COMPUTED_VALUE"""),"Malešice")</f>
        <v>Malešice</v>
      </c>
      <c r="F80" s="1" t="str">
        <f aca="false">IFERROR(__xludf.dummyfunction("""COMPUTED_VALUE"""),"Libuš")</f>
        <v>Libuš</v>
      </c>
      <c r="G80" s="1" t="str">
        <f aca="false">IFERROR(__xludf.dummyfunction("""COMPUTED_VALUE"""),"Prosek")</f>
        <v>Prosek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55" t="n">
        <f aca="false">IFERROR(__xludf.dummyfunction("""COMPUTED_VALUE"""),250.206)</f>
        <v>250.206</v>
      </c>
      <c r="W80" s="155" t="n">
        <f aca="false">IFERROR(__xludf.dummyfunction("""COMPUTED_VALUE"""),0)</f>
        <v>0</v>
      </c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</row>
    <row r="81" customFormat="false" ht="15.75" hidden="false" customHeight="false" outlineLevel="0" collapsed="false">
      <c r="A81" s="1"/>
      <c r="B81" s="157" t="str">
        <f aca="false">IF(OR(E81=Report!$B$1, F81=Report!$B$1, G81=Report!$B$1, H81=Report!$B$1), D81, "")</f>
        <v/>
      </c>
      <c r="C81" s="158" t="b">
        <f aca="false">IFERROR(__xludf.dummyfunction("""COMPUTED_VALUE"""),FALSE())</f>
        <v>0</v>
      </c>
      <c r="D81" s="1" t="str">
        <f aca="false">IFERROR(__xludf.dummyfunction("""COMPUTED_VALUE"""),"Novák Jakub")</f>
        <v>Novák Jakub</v>
      </c>
      <c r="E81" s="1" t="str">
        <f aca="false">IFERROR(__xludf.dummyfunction("""COMPUTED_VALUE"""),"Zličín")</f>
        <v>Zličín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55" t="n">
        <f aca="false">IFERROR(__xludf.dummyfunction("""COMPUTED_VALUE"""),214.08)</f>
        <v>214.08</v>
      </c>
      <c r="W81" s="155" t="n">
        <f aca="false">IFERROR(__xludf.dummyfunction("""COMPUTED_VALUE"""),0)</f>
        <v>0</v>
      </c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</row>
    <row r="82" customFormat="false" ht="15.75" hidden="false" customHeight="false" outlineLevel="0" collapsed="false">
      <c r="A82" s="1"/>
      <c r="B82" s="157" t="str">
        <f aca="false">IF(OR(E82=Report!$B$1, F82=Report!$B$1, G82=Report!$B$1, H82=Report!$B$1), D82, "")</f>
        <v/>
      </c>
      <c r="C82" s="158" t="b">
        <f aca="false">IFERROR(__xludf.dummyfunction("""COMPUTED_VALUE"""),FALSE())</f>
        <v>0</v>
      </c>
      <c r="D82" s="1" t="str">
        <f aca="false">IFERROR(__xludf.dummyfunction("""COMPUTED_VALUE"""),"Černohorský Otakar")</f>
        <v>Černohorský Otakar</v>
      </c>
      <c r="E82" s="1" t="str">
        <f aca="false">IFERROR(__xludf.dummyfunction("""COMPUTED_VALUE"""),"Zličín")</f>
        <v>Zličín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55" t="n">
        <f aca="false">IFERROR(__xludf.dummyfunction("""COMPUTED_VALUE"""),231.474)</f>
        <v>231.474</v>
      </c>
      <c r="W82" s="155" t="n">
        <f aca="false">IFERROR(__xludf.dummyfunction("""COMPUTED_VALUE"""),0)</f>
        <v>0</v>
      </c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</row>
    <row r="83" customFormat="false" ht="15.75" hidden="false" customHeight="false" outlineLevel="0" collapsed="false">
      <c r="A83" s="1"/>
      <c r="B83" s="157" t="str">
        <f aca="false">IF(OR(E83=Report!$B$1, F83=Report!$B$1, G83=Report!$B$1, H83=Report!$B$1), D83, "")</f>
        <v/>
      </c>
      <c r="C83" s="158" t="b">
        <f aca="false">IFERROR(__xludf.dummyfunction("""COMPUTED_VALUE"""),FALSE())</f>
        <v>0</v>
      </c>
      <c r="D83" s="1" t="str">
        <f aca="false">IFERROR(__xludf.dummyfunction("""COMPUTED_VALUE"""),"Nedvěd Dominik")</f>
        <v>Nedvěd Dominik</v>
      </c>
      <c r="E83" s="1" t="str">
        <f aca="false">IFERROR(__xludf.dummyfunction("""COMPUTED_VALUE"""),"Libuš")</f>
        <v>Libuš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55" t="n">
        <f aca="false">IFERROR(__xludf.dummyfunction("""COMPUTED_VALUE"""),231.474)</f>
        <v>231.474</v>
      </c>
      <c r="W83" s="155" t="n">
        <f aca="false">IFERROR(__xludf.dummyfunction("""COMPUTED_VALUE"""),0)</f>
        <v>0</v>
      </c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</row>
    <row r="84" customFormat="false" ht="15.75" hidden="false" customHeight="false" outlineLevel="0" collapsed="false">
      <c r="A84" s="1"/>
      <c r="B84" s="157" t="str">
        <f aca="false">IF(OR(E84=Report!$B$1, F84=Report!$B$1, G84=Report!$B$1, H84=Report!$B$1), D84, "")</f>
        <v/>
      </c>
      <c r="C84" s="158" t="b">
        <f aca="false">IFERROR(__xludf.dummyfunction("""COMPUTED_VALUE"""),FALSE())</f>
        <v>0</v>
      </c>
      <c r="D84" s="1" t="str">
        <f aca="false">IFERROR(__xludf.dummyfunction("""COMPUTED_VALUE"""),"Lanský Zoltan")</f>
        <v>Lanský Zoltan</v>
      </c>
      <c r="E84" s="1" t="str">
        <f aca="false">IFERROR(__xludf.dummyfunction("""COMPUTED_VALUE"""),"Chodov")</f>
        <v>Chodov</v>
      </c>
      <c r="F84" s="1" t="str">
        <f aca="false">IFERROR(__xludf.dummyfunction("""COMPUTED_VALUE"""),"Libuš")</f>
        <v>Libuš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55" t="n">
        <f aca="false">IFERROR(__xludf.dummyfunction("""COMPUTED_VALUE"""),250.206)</f>
        <v>250.206</v>
      </c>
      <c r="W84" s="155" t="n">
        <f aca="false">IFERROR(__xludf.dummyfunction("""COMPUTED_VALUE"""),0)</f>
        <v>0</v>
      </c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</row>
    <row r="85" customFormat="false" ht="15.75" hidden="false" customHeight="false" outlineLevel="0" collapsed="false">
      <c r="A85" s="1"/>
      <c r="B85" s="157" t="str">
        <f aca="false">IF(OR(E85=Report!$B$1, F85=Report!$B$1, G85=Report!$B$1, H85=Report!$B$1), D85, "")</f>
        <v/>
      </c>
      <c r="C85" s="158" t="b">
        <f aca="false">IFERROR(__xludf.dummyfunction("""COMPUTED_VALUE"""),FALSE())</f>
        <v>0</v>
      </c>
      <c r="D85" s="1" t="str">
        <f aca="false">IFERROR(__xludf.dummyfunction("""COMPUTED_VALUE"""),"Lowe Jana")</f>
        <v>Lowe Jana</v>
      </c>
      <c r="E85" s="1" t="str">
        <f aca="false">IFERROR(__xludf.dummyfunction("""COMPUTED_VALUE"""),"Zličín")</f>
        <v>Zličín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55" t="n">
        <f aca="false">IFERROR(__xludf.dummyfunction("""COMPUTED_VALUE"""),150)</f>
        <v>150</v>
      </c>
      <c r="W85" s="155" t="n">
        <f aca="false">IFERROR(__xludf.dummyfunction("""COMPUTED_VALUE"""),0)</f>
        <v>0</v>
      </c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</row>
    <row r="86" customFormat="false" ht="15.75" hidden="false" customHeight="false" outlineLevel="0" collapsed="false">
      <c r="A86" s="1"/>
      <c r="B86" s="157" t="str">
        <f aca="false">IF(OR(E86=Report!$B$1, F86=Report!$B$1, G86=Report!$B$1, H86=Report!$B$1), D86, "")</f>
        <v>Mikuš Pavel</v>
      </c>
      <c r="C86" s="158" t="b">
        <f aca="false">IFERROR(__xludf.dummyfunction("""COMPUTED_VALUE"""),FALSE())</f>
        <v>0</v>
      </c>
      <c r="D86" s="1" t="str">
        <f aca="false">IFERROR(__xludf.dummyfunction("""COMPUTED_VALUE"""),"Mikuš Pavel")</f>
        <v>Mikuš Pavel</v>
      </c>
      <c r="E86" s="1" t="str">
        <f aca="false">IFERROR(__xludf.dummyfunction("""COMPUTED_VALUE"""),"Prosek")</f>
        <v>Prosek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55" t="n">
        <f aca="false">IFERROR(__xludf.dummyfunction("""COMPUTED_VALUE"""),250.206)</f>
        <v>250.206</v>
      </c>
      <c r="W86" s="155" t="n">
        <f aca="false">IFERROR(__xludf.dummyfunction("""COMPUTED_VALUE"""),0)</f>
        <v>0</v>
      </c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</row>
    <row r="87" customFormat="false" ht="15.75" hidden="false" customHeight="false" outlineLevel="0" collapsed="false">
      <c r="A87" s="1"/>
      <c r="B87" s="157" t="str">
        <f aca="false">IF(OR(E87=Report!$B$1, F87=Report!$B$1, G87=Report!$B$1, H87=Report!$B$1), D87, "")</f>
        <v/>
      </c>
      <c r="C87" s="158" t="b">
        <f aca="false">IFERROR(__xludf.dummyfunction("""COMPUTED_VALUE"""),FALSE())</f>
        <v>0</v>
      </c>
      <c r="D87" s="1" t="str">
        <f aca="false">IFERROR(__xludf.dummyfunction("""COMPUTED_VALUE"""),"Hyský Aleš")</f>
        <v>Hyský Aleš</v>
      </c>
      <c r="E87" s="1" t="str">
        <f aca="false">IFERROR(__xludf.dummyfunction("""COMPUTED_VALUE"""),"Chodov")</f>
        <v>Chodov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55" t="n">
        <f aca="false">IFERROR(__xludf.dummyfunction("""COMPUTED_VALUE"""),231.474)</f>
        <v>231.474</v>
      </c>
      <c r="W87" s="155" t="n">
        <f aca="false">IFERROR(__xludf.dummyfunction("""COMPUTED_VALUE"""),0)</f>
        <v>0</v>
      </c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</row>
    <row r="88" customFormat="false" ht="15.75" hidden="false" customHeight="false" outlineLevel="0" collapsed="false">
      <c r="A88" s="1"/>
      <c r="B88" s="157" t="str">
        <f aca="false">IF(OR(E88=Report!$B$1, F88=Report!$B$1, G88=Report!$B$1, H88=Report!$B$1), D88, "")</f>
        <v>Šmídová Sabina</v>
      </c>
      <c r="C88" s="158" t="b">
        <f aca="false">IFERROR(__xludf.dummyfunction("""COMPUTED_VALUE"""),FALSE())</f>
        <v>0</v>
      </c>
      <c r="D88" s="1" t="str">
        <f aca="false">IFERROR(__xludf.dummyfunction("""COMPUTED_VALUE"""),"Šmídová Sabina")</f>
        <v>Šmídová Sabina</v>
      </c>
      <c r="E88" s="1" t="str">
        <f aca="false">IFERROR(__xludf.dummyfunction("""COMPUTED_VALUE"""),"Chodov")</f>
        <v>Chodov</v>
      </c>
      <c r="F88" s="1" t="str">
        <f aca="false">IFERROR(__xludf.dummyfunction("""COMPUTED_VALUE"""),"Prosek")</f>
        <v>Prosek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55" t="n">
        <f aca="false">IFERROR(__xludf.dummyfunction("""COMPUTED_VALUE"""),250.206)</f>
        <v>250.206</v>
      </c>
      <c r="W88" s="155" t="n">
        <f aca="false">IFERROR(__xludf.dummyfunction("""COMPUTED_VALUE"""),0)</f>
        <v>0</v>
      </c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</row>
    <row r="89" customFormat="false" ht="15.75" hidden="false" customHeight="false" outlineLevel="0" collapsed="false">
      <c r="A89" s="1"/>
      <c r="B89" s="157" t="str">
        <f aca="false">IF(OR(E89=Report!$B$1, F89=Report!$B$1, G89=Report!$B$1, H89=Report!$B$1), D89, "")</f>
        <v/>
      </c>
      <c r="C89" s="158" t="b">
        <f aca="false">IFERROR(__xludf.dummyfunction("""COMPUTED_VALUE"""),FALSE())</f>
        <v>0</v>
      </c>
      <c r="D89" s="1" t="str">
        <f aca="false">IFERROR(__xludf.dummyfunction("""COMPUTED_VALUE"""),"Lažek Jaroslav")</f>
        <v>Lažek Jaroslav</v>
      </c>
      <c r="E89" s="1" t="str">
        <f aca="false">IFERROR(__xludf.dummyfunction("""COMPUTED_VALUE"""),"Libuš")</f>
        <v>Libuš</v>
      </c>
      <c r="F89" s="1" t="str">
        <f aca="false">IFERROR(__xludf.dummyfunction("""COMPUTED_VALUE"""),"Chodov")</f>
        <v>Chodov</v>
      </c>
      <c r="G89" s="1" t="str">
        <f aca="false">IFERROR(__xludf.dummyfunction("""COMPUTED_VALUE"""),"Malešice")</f>
        <v>Malešice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55" t="n">
        <f aca="false">IFERROR(__xludf.dummyfunction("""COMPUTED_VALUE"""),170)</f>
        <v>170</v>
      </c>
      <c r="W89" s="155" t="n">
        <f aca="false">IFERROR(__xludf.dummyfunction("""COMPUTED_VALUE"""),0)</f>
        <v>0</v>
      </c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</row>
    <row r="90" customFormat="false" ht="15.75" hidden="false" customHeight="false" outlineLevel="0" collapsed="false">
      <c r="A90" s="1"/>
      <c r="B90" s="157" t="str">
        <f aca="false">IF(OR(E90=Report!$B$1, F90=Report!$B$1, G90=Report!$B$1, H90=Report!$B$1), D90, "")</f>
        <v>Kormash Liubov</v>
      </c>
      <c r="C90" s="158" t="b">
        <f aca="false">IFERROR(__xludf.dummyfunction("""COMPUTED_VALUE"""),FALSE())</f>
        <v>0</v>
      </c>
      <c r="D90" s="1" t="str">
        <f aca="false">IFERROR(__xludf.dummyfunction("""COMPUTED_VALUE"""),"Kormash Liubov")</f>
        <v>Kormash Liubov</v>
      </c>
      <c r="E90" s="1" t="str">
        <f aca="false">IFERROR(__xludf.dummyfunction("""COMPUTED_VALUE"""),"Zličín")</f>
        <v>Zličín</v>
      </c>
      <c r="F90" s="1" t="str">
        <f aca="false">IFERROR(__xludf.dummyfunction("""COMPUTED_VALUE"""),"Prosek")</f>
        <v>Prosek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55" t="n">
        <f aca="false">IFERROR(__xludf.dummyfunction("""COMPUTED_VALUE"""),160)</f>
        <v>160</v>
      </c>
      <c r="W90" s="155" t="n">
        <f aca="false">IFERROR(__xludf.dummyfunction("""COMPUTED_VALUE"""),0)</f>
        <v>0</v>
      </c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</row>
    <row r="91" customFormat="false" ht="15.75" hidden="false" customHeight="false" outlineLevel="0" collapsed="false">
      <c r="A91" s="1"/>
      <c r="B91" s="157" t="str">
        <f aca="false">IF(OR(E91=Report!$B$1, F91=Report!$B$1, G91=Report!$B$1, H91=Report!$B$1), D91, "")</f>
        <v/>
      </c>
      <c r="C91" s="158" t="b">
        <f aca="false">IFERROR(__xludf.dummyfunction("""COMPUTED_VALUE"""),FALSE())</f>
        <v>0</v>
      </c>
      <c r="D91" s="1" t="str">
        <f aca="false">IFERROR(__xludf.dummyfunction("""COMPUTED_VALUE"""),"Čermák Jakub")</f>
        <v>Čermák Jakub</v>
      </c>
      <c r="E91" s="1" t="str">
        <f aca="false">IFERROR(__xludf.dummyfunction("""COMPUTED_VALUE"""),"Chodov")</f>
        <v>Chodov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55" t="n">
        <f aca="false">IFERROR(__xludf.dummyfunction("""COMPUTED_VALUE"""),231.474)</f>
        <v>231.474</v>
      </c>
      <c r="W91" s="155" t="n">
        <f aca="false">IFERROR(__xludf.dummyfunction("""COMPUTED_VALUE"""),0)</f>
        <v>0</v>
      </c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</row>
    <row r="92" customFormat="false" ht="15.75" hidden="false" customHeight="false" outlineLevel="0" collapsed="false">
      <c r="A92" s="1"/>
      <c r="B92" s="157" t="str">
        <f aca="false">IF(OR(E92=Report!$B$1, F92=Report!$B$1, G92=Report!$B$1, H92=Report!$B$1), D92, "")</f>
        <v/>
      </c>
      <c r="C92" s="158" t="b">
        <f aca="false">IFERROR(__xludf.dummyfunction("""COMPUTED_VALUE"""),FALSE())</f>
        <v>0</v>
      </c>
      <c r="D92" s="1" t="str">
        <f aca="false">IFERROR(__xludf.dummyfunction("""COMPUTED_VALUE"""),"Killiakov Andrei")</f>
        <v>Killiakov Andrei</v>
      </c>
      <c r="E92" s="1" t="str">
        <f aca="false">IFERROR(__xludf.dummyfunction("""COMPUTED_VALUE"""),"Zličín")</f>
        <v>Zličín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55" t="n">
        <f aca="false">IFERROR(__xludf.dummyfunction("""COMPUTED_VALUE"""),231.474)</f>
        <v>231.474</v>
      </c>
      <c r="W92" s="155" t="n">
        <f aca="false">IFERROR(__xludf.dummyfunction("""COMPUTED_VALUE"""),0)</f>
        <v>0</v>
      </c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</row>
    <row r="93" customFormat="false" ht="15.75" hidden="false" customHeight="false" outlineLevel="0" collapsed="false">
      <c r="A93" s="1"/>
      <c r="B93" s="157" t="str">
        <f aca="false">IF(OR(E93=Report!$B$1, F93=Report!$B$1, G93=Report!$B$1, H93=Report!$B$1), D93, "")</f>
        <v/>
      </c>
      <c r="C93" s="158" t="b">
        <f aca="false">IFERROR(__xludf.dummyfunction("""COMPUTED_VALUE"""),FALSE())</f>
        <v>0</v>
      </c>
      <c r="D93" s="1" t="str">
        <f aca="false">IFERROR(__xludf.dummyfunction("""COMPUTED_VALUE"""),"Chlubna Tomáš")</f>
        <v>Chlubna Tomáš</v>
      </c>
      <c r="E93" s="1" t="str">
        <f aca="false">IFERROR(__xludf.dummyfunction("""COMPUTED_VALUE"""),"Chodov")</f>
        <v>Chodov</v>
      </c>
      <c r="F93" s="1" t="str">
        <f aca="false">IFERROR(__xludf.dummyfunction("""COMPUTED_VALUE"""),"Libuš")</f>
        <v>Libuš</v>
      </c>
      <c r="G93" s="1" t="str">
        <f aca="false">IFERROR(__xludf.dummyfunction("""COMPUTED_VALUE"""),"Výroba")</f>
        <v>Výroba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55" t="n">
        <f aca="false">IFERROR(__xludf.dummyfunction("""COMPUTED_VALUE"""),250.206)</f>
        <v>250.206</v>
      </c>
      <c r="W93" s="155" t="n">
        <f aca="false">IFERROR(__xludf.dummyfunction("""COMPUTED_VALUE"""),0)</f>
        <v>0</v>
      </c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</row>
    <row r="94" customFormat="false" ht="15.75" hidden="false" customHeight="false" outlineLevel="0" collapsed="false">
      <c r="A94" s="1"/>
      <c r="B94" s="157" t="str">
        <f aca="false">IF(OR(E94=Report!$B$1, F94=Report!$B$1, G94=Report!$B$1, H94=Report!$B$1), D94, "")</f>
        <v>Vychivskyi Volodymyr</v>
      </c>
      <c r="C94" s="158" t="b">
        <f aca="false">IFERROR(__xludf.dummyfunction("""COMPUTED_VALUE"""),FALSE())</f>
        <v>0</v>
      </c>
      <c r="D94" s="1" t="str">
        <f aca="false">IFERROR(__xludf.dummyfunction("""COMPUTED_VALUE"""),"Vychivskyi Volodymyr")</f>
        <v>Vychivskyi Volodymyr</v>
      </c>
      <c r="E94" s="1" t="str">
        <f aca="false">IFERROR(__xludf.dummyfunction("""COMPUTED_VALUE"""),"Malešice")</f>
        <v>Malešice</v>
      </c>
      <c r="F94" s="1" t="str">
        <f aca="false">IFERROR(__xludf.dummyfunction("""COMPUTED_VALUE"""),"Prosek")</f>
        <v>Prosek</v>
      </c>
      <c r="G94" s="1" t="str">
        <f aca="false">IFERROR(__xludf.dummyfunction("""COMPUTED_VALUE"""),"Zličín")</f>
        <v>Zličín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55" t="n">
        <f aca="false">IFERROR(__xludf.dummyfunction("""COMPUTED_VALUE"""),250.206)</f>
        <v>250.206</v>
      </c>
      <c r="W94" s="155" t="n">
        <f aca="false">IFERROR(__xludf.dummyfunction("""COMPUTED_VALUE"""),0)</f>
        <v>0</v>
      </c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</row>
    <row r="95" customFormat="false" ht="15.75" hidden="false" customHeight="false" outlineLevel="0" collapsed="false">
      <c r="A95" s="1"/>
      <c r="B95" s="157" t="str">
        <f aca="false">IF(OR(E95=Report!$B$1, F95=Report!$B$1, G95=Report!$B$1, H95=Report!$B$1), D95, "")</f>
        <v>Dvořák Radim</v>
      </c>
      <c r="C95" s="158" t="b">
        <f aca="false">IFERROR(__xludf.dummyfunction("""COMPUTED_VALUE"""),FALSE())</f>
        <v>0</v>
      </c>
      <c r="D95" s="1" t="str">
        <f aca="false">IFERROR(__xludf.dummyfunction("""COMPUTED_VALUE"""),"Dvořák Radim")</f>
        <v>Dvořák Radim</v>
      </c>
      <c r="E95" s="1" t="str">
        <f aca="false">IFERROR(__xludf.dummyfunction("""COMPUTED_VALUE"""),"Prosek")</f>
        <v>Prosek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55" t="n">
        <f aca="false">IFERROR(__xludf.dummyfunction("""COMPUTED_VALUE"""),250.206)</f>
        <v>250.206</v>
      </c>
      <c r="W95" s="155" t="n">
        <f aca="false">IFERROR(__xludf.dummyfunction("""COMPUTED_VALUE"""),0)</f>
        <v>0</v>
      </c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</row>
    <row r="96" customFormat="false" ht="15.75" hidden="false" customHeight="false" outlineLevel="0" collapsed="false">
      <c r="A96" s="1"/>
      <c r="B96" s="157" t="str">
        <f aca="false">IF(OR(E96=Report!$B$1, F96=Report!$B$1, G96=Report!$B$1, H96=Report!$B$1), D96, "")</f>
        <v>Hřebík Martin</v>
      </c>
      <c r="C96" s="158" t="b">
        <f aca="false">IFERROR(__xludf.dummyfunction("""COMPUTED_VALUE"""),FALSE())</f>
        <v>0</v>
      </c>
      <c r="D96" s="1" t="str">
        <f aca="false">IFERROR(__xludf.dummyfunction("""COMPUTED_VALUE"""),"Hřebík Martin")</f>
        <v>Hřebík Martin</v>
      </c>
      <c r="E96" s="1" t="str">
        <f aca="false">IFERROR(__xludf.dummyfunction("""COMPUTED_VALUE"""),"Výroba")</f>
        <v>Výroba</v>
      </c>
      <c r="F96" s="1" t="str">
        <f aca="false">IFERROR(__xludf.dummyfunction("""COMPUTED_VALUE"""),"Chodov")</f>
        <v>Chodov</v>
      </c>
      <c r="G96" s="1" t="str">
        <f aca="false">IFERROR(__xludf.dummyfunction("""COMPUTED_VALUE"""),"Prosek")</f>
        <v>Prosek</v>
      </c>
      <c r="H96" s="1" t="str">
        <f aca="false">IFERROR(__xludf.dummyfunction("""COMPUTED_VALUE"""),"Libuš")</f>
        <v>Libuš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55" t="n">
        <f aca="false">IFERROR(__xludf.dummyfunction("""COMPUTED_VALUE"""),389.6925)</f>
        <v>389.6925</v>
      </c>
      <c r="W96" s="155" t="n">
        <f aca="false">IFERROR(__xludf.dummyfunction("""COMPUTED_VALUE"""),2597.95)</f>
        <v>2597.95</v>
      </c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</row>
    <row r="97" customFormat="false" ht="15.75" hidden="false" customHeight="false" outlineLevel="0" collapsed="false">
      <c r="A97" s="1"/>
      <c r="B97" s="157" t="str">
        <f aca="false">IF(OR(E97=Report!$B$1, F97=Report!$B$1, G97=Report!$B$1, H97=Report!$B$1), D97, "")</f>
        <v/>
      </c>
      <c r="C97" s="158" t="b">
        <f aca="false">IFERROR(__xludf.dummyfunction("""COMPUTED_VALUE"""),FALSE())</f>
        <v>0</v>
      </c>
      <c r="D97" s="1" t="str">
        <f aca="false">IFERROR(__xludf.dummyfunction("""COMPUTED_VALUE"""),"Eszenyiová Patrícia")</f>
        <v>Eszenyiová Patrícia</v>
      </c>
      <c r="E97" s="1" t="str">
        <f aca="false">IFERROR(__xludf.dummyfunction("""COMPUTED_VALUE"""),"Libuš")</f>
        <v>Libuš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55" t="n">
        <f aca="false">IFERROR(__xludf.dummyfunction("""COMPUTED_VALUE"""),250.206)</f>
        <v>250.206</v>
      </c>
      <c r="W97" s="155" t="n">
        <f aca="false">IFERROR(__xludf.dummyfunction("""COMPUTED_VALUE"""),0)</f>
        <v>0</v>
      </c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</row>
    <row r="98" customFormat="false" ht="15.75" hidden="false" customHeight="false" outlineLevel="0" collapsed="false">
      <c r="A98" s="1"/>
      <c r="B98" s="157" t="str">
        <f aca="false">IF(OR(E98=Report!$B$1, F98=Report!$B$1, G98=Report!$B$1, H98=Report!$B$1), D98, "")</f>
        <v>Reischl Jan</v>
      </c>
      <c r="C98" s="158" t="b">
        <f aca="false">IFERROR(__xludf.dummyfunction("""COMPUTED_VALUE"""),FALSE())</f>
        <v>0</v>
      </c>
      <c r="D98" s="1" t="str">
        <f aca="false">IFERROR(__xludf.dummyfunction("""COMPUTED_VALUE"""),"Reischl Jan")</f>
        <v>Reischl Jan</v>
      </c>
      <c r="E98" s="1" t="str">
        <f aca="false">IFERROR(__xludf.dummyfunction("""COMPUTED_VALUE"""),"Malešice")</f>
        <v>Malešice</v>
      </c>
      <c r="F98" s="1" t="str">
        <f aca="false">IFERROR(__xludf.dummyfunction("""COMPUTED_VALUE"""),"Chodov")</f>
        <v>Chodov</v>
      </c>
      <c r="G98" s="1" t="str">
        <f aca="false">IFERROR(__xludf.dummyfunction("""COMPUTED_VALUE"""),"Libuš")</f>
        <v>Libuš</v>
      </c>
      <c r="H98" s="1" t="str">
        <f aca="false">IFERROR(__xludf.dummyfunction("""COMPUTED_VALUE"""),"Prosek")</f>
        <v>Prosek</v>
      </c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55" t="n">
        <f aca="false">IFERROR(__xludf.dummyfunction("""COMPUTED_VALUE"""),214.08)</f>
        <v>214.08</v>
      </c>
      <c r="W98" s="155" t="n">
        <f aca="false">IFERROR(__xludf.dummyfunction("""COMPUTED_VALUE"""),0)</f>
        <v>0</v>
      </c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</row>
    <row r="99" customFormat="false" ht="15.75" hidden="false" customHeight="false" outlineLevel="0" collapsed="false">
      <c r="A99" s="1"/>
      <c r="B99" s="157" t="str">
        <f aca="false">IF(OR(E99=Report!$B$1, F99=Report!$B$1, G99=Report!$B$1, H99=Report!$B$1), D99, "")</f>
        <v/>
      </c>
      <c r="C99" s="158" t="b">
        <f aca="false">IFERROR(__xludf.dummyfunction("""COMPUTED_VALUE"""),FALSE())</f>
        <v>0</v>
      </c>
      <c r="D99" s="1" t="str">
        <f aca="false">IFERROR(__xludf.dummyfunction("""COMPUTED_VALUE"""),"Mikešová Adéla")</f>
        <v>Mikešová Adéla</v>
      </c>
      <c r="E99" s="1" t="str">
        <f aca="false">IFERROR(__xludf.dummyfunction("""COMPUTED_VALUE"""),"Bolevec")</f>
        <v>Bolevec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55" t="n">
        <f aca="false">IFERROR(__xludf.dummyfunction("""COMPUTED_VALUE"""),214.08)</f>
        <v>214.08</v>
      </c>
      <c r="W99" s="155" t="n">
        <f aca="false">IFERROR(__xludf.dummyfunction("""COMPUTED_VALUE"""),0)</f>
        <v>0</v>
      </c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</row>
    <row r="100" customFormat="false" ht="15.75" hidden="false" customHeight="false" outlineLevel="0" collapsed="false">
      <c r="A100" s="1"/>
      <c r="B100" s="157" t="str">
        <f aca="false">IF(OR(E100=Report!$B$1, F100=Report!$B$1, G100=Report!$B$1, H100=Report!$B$1), D100, "")</f>
        <v/>
      </c>
      <c r="C100" s="158" t="b">
        <f aca="false">IFERROR(__xludf.dummyfunction("""COMPUTED_VALUE"""),FALSE())</f>
        <v>0</v>
      </c>
      <c r="D100" s="1" t="str">
        <f aca="false">IFERROR(__xludf.dummyfunction("""COMPUTED_VALUE"""),"Pražák Aleš")</f>
        <v>Pražák Aleš</v>
      </c>
      <c r="E100" s="1" t="str">
        <f aca="false">IFERROR(__xludf.dummyfunction("""COMPUTED_VALUE"""),"Chodov")</f>
        <v>Chodov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55" t="n">
        <f aca="false">IFERROR(__xludf.dummyfunction("""COMPUTED_VALUE"""),231.474)</f>
        <v>231.474</v>
      </c>
      <c r="W100" s="155" t="n">
        <f aca="false">IFERROR(__xludf.dummyfunction("""COMPUTED_VALUE"""),0)</f>
        <v>0</v>
      </c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</row>
    <row r="101" customFormat="false" ht="15.75" hidden="false" customHeight="false" outlineLevel="0" collapsed="false">
      <c r="A101" s="1"/>
      <c r="B101" s="157" t="str">
        <f aca="false">IF(OR(E101=Report!$B$1, F101=Report!$B$1, G101=Report!$B$1, H101=Report!$B$1), D101, "")</f>
        <v/>
      </c>
      <c r="C101" s="158" t="b">
        <f aca="false">IFERROR(__xludf.dummyfunction("""COMPUTED_VALUE"""),FALSE())</f>
        <v>0</v>
      </c>
      <c r="D101" s="1" t="str">
        <f aca="false">IFERROR(__xludf.dummyfunction("""COMPUTED_VALUE"""),"Chyský David")</f>
        <v>Chyský David</v>
      </c>
      <c r="E101" s="1" t="str">
        <f aca="false">IFERROR(__xludf.dummyfunction("""COMPUTED_VALUE"""),"Chodov")</f>
        <v>Chodov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55" t="n">
        <f aca="false">IFERROR(__xludf.dummyfunction("""COMPUTED_VALUE"""),231.474)</f>
        <v>231.474</v>
      </c>
      <c r="W101" s="155" t="n">
        <f aca="false">IFERROR(__xludf.dummyfunction("""COMPUTED_VALUE"""),0)</f>
        <v>0</v>
      </c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</row>
    <row r="102" customFormat="false" ht="15.75" hidden="false" customHeight="false" outlineLevel="0" collapsed="false">
      <c r="A102" s="1"/>
      <c r="B102" s="157" t="str">
        <f aca="false">IF(OR(E102=Report!$B$1, F102=Report!$B$1, G102=Report!$B$1, H102=Report!$B$1), D102, "")</f>
        <v>Kináč Jozef</v>
      </c>
      <c r="C102" s="158" t="b">
        <f aca="false">IFERROR(__xludf.dummyfunction("""COMPUTED_VALUE"""),FALSE())</f>
        <v>0</v>
      </c>
      <c r="D102" s="1" t="str">
        <f aca="false">IFERROR(__xludf.dummyfunction("""COMPUTED_VALUE"""),"Kináč Jozef")</f>
        <v>Kináč Jozef</v>
      </c>
      <c r="E102" s="1" t="str">
        <f aca="false">IFERROR(__xludf.dummyfunction("""COMPUTED_VALUE"""),"Prosek")</f>
        <v>Prosek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55" t="n">
        <f aca="false">IFERROR(__xludf.dummyfunction("""COMPUTED_VALUE"""),231.474)</f>
        <v>231.474</v>
      </c>
      <c r="W102" s="155" t="n">
        <f aca="false">IFERROR(__xludf.dummyfunction("""COMPUTED_VALUE"""),0)</f>
        <v>0</v>
      </c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</row>
    <row r="103" customFormat="false" ht="15.75" hidden="false" customHeight="false" outlineLevel="0" collapsed="false">
      <c r="A103" s="1"/>
      <c r="B103" s="157" t="str">
        <f aca="false">IF(OR(E103=Report!$B$1, F103=Report!$B$1, G103=Report!$B$1, H103=Report!$B$1), D103, "")</f>
        <v>Bednařík Peter</v>
      </c>
      <c r="C103" s="158" t="b">
        <f aca="false">IFERROR(__xludf.dummyfunction("""COMPUTED_VALUE"""),FALSE())</f>
        <v>0</v>
      </c>
      <c r="D103" s="1" t="str">
        <f aca="false">IFERROR(__xludf.dummyfunction("""COMPUTED_VALUE"""),"Bednařík Peter")</f>
        <v>Bednařík Peter</v>
      </c>
      <c r="E103" s="1" t="str">
        <f aca="false">IFERROR(__xludf.dummyfunction("""COMPUTED_VALUE"""),"Prosek")</f>
        <v>Prosek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55" t="n">
        <f aca="false">IFERROR(__xludf.dummyfunction("""COMPUTED_VALUE"""),231.474)</f>
        <v>231.474</v>
      </c>
      <c r="W103" s="155" t="n">
        <f aca="false">IFERROR(__xludf.dummyfunction("""COMPUTED_VALUE"""),0)</f>
        <v>0</v>
      </c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</row>
    <row r="104" customFormat="false" ht="15.75" hidden="false" customHeight="false" outlineLevel="0" collapsed="false">
      <c r="A104" s="1"/>
      <c r="B104" s="157" t="str">
        <f aca="false">IF(OR(E104=Report!$B$1, F104=Report!$B$1, G104=Report!$B$1, H104=Report!$B$1), D104, "")</f>
        <v>Kulinič Michail</v>
      </c>
      <c r="C104" s="158" t="b">
        <f aca="false">IFERROR(__xludf.dummyfunction("""COMPUTED_VALUE"""),FALSE())</f>
        <v>0</v>
      </c>
      <c r="D104" s="1" t="str">
        <f aca="false">IFERROR(__xludf.dummyfunction("""COMPUTED_VALUE"""),"Kulinič Michail")</f>
        <v>Kulinič Michail</v>
      </c>
      <c r="E104" s="1" t="str">
        <f aca="false">IFERROR(__xludf.dummyfunction("""COMPUTED_VALUE"""),"Prosek")</f>
        <v>Prosek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55" t="n">
        <f aca="false">IFERROR(__xludf.dummyfunction("""COMPUTED_VALUE"""),231.474)</f>
        <v>231.474</v>
      </c>
      <c r="W104" s="155" t="n">
        <f aca="false">IFERROR(__xludf.dummyfunction("""COMPUTED_VALUE"""),0)</f>
        <v>0</v>
      </c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</row>
    <row r="105" customFormat="false" ht="15.75" hidden="false" customHeight="false" outlineLevel="0" collapsed="false">
      <c r="A105" s="1"/>
      <c r="B105" s="157" t="str">
        <f aca="false">IF(OR(E105=Report!$B$1, F105=Report!$B$1, G105=Report!$B$1, H105=Report!$B$1), D105, "")</f>
        <v/>
      </c>
      <c r="C105" s="158" t="b">
        <f aca="false">IFERROR(__xludf.dummyfunction("""COMPUTED_VALUE"""),FALSE())</f>
        <v>0</v>
      </c>
      <c r="D105" s="1" t="str">
        <f aca="false">IFERROR(__xludf.dummyfunction("""COMPUTED_VALUE"""),"Kalina Filip")</f>
        <v>Kalina Filip</v>
      </c>
      <c r="E105" s="1" t="str">
        <f aca="false">IFERROR(__xludf.dummyfunction("""COMPUTED_VALUE"""),"Malešice")</f>
        <v>Malešice</v>
      </c>
      <c r="F105" s="1" t="str">
        <f aca="false">IFERROR(__xludf.dummyfunction("""COMPUTED_VALUE"""),"Libuš")</f>
        <v>Libuš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55" t="n">
        <f aca="false">IFERROR(__xludf.dummyfunction("""COMPUTED_VALUE"""),231.474)</f>
        <v>231.474</v>
      </c>
      <c r="W105" s="155" t="n">
        <f aca="false">IFERROR(__xludf.dummyfunction("""COMPUTED_VALUE"""),0)</f>
        <v>0</v>
      </c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</row>
    <row r="106" customFormat="false" ht="15.75" hidden="false" customHeight="false" outlineLevel="0" collapsed="false">
      <c r="A106" s="1"/>
      <c r="B106" s="157" t="str">
        <f aca="false">IF(OR(E106=Report!$B$1, F106=Report!$B$1, G106=Report!$B$1, H106=Report!$B$1), D106, "")</f>
        <v>Čonka Ludovít</v>
      </c>
      <c r="C106" s="158" t="b">
        <f aca="false">IFERROR(__xludf.dummyfunction("""COMPUTED_VALUE"""),FALSE())</f>
        <v>0</v>
      </c>
      <c r="D106" s="1" t="str">
        <f aca="false">IFERROR(__xludf.dummyfunction("""COMPUTED_VALUE"""),"Čonka Ludovít")</f>
        <v>Čonka Ludovít</v>
      </c>
      <c r="E106" s="1" t="str">
        <f aca="false">IFERROR(__xludf.dummyfunction("""COMPUTED_VALUE"""),"Prosek")</f>
        <v>Prosek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55" t="n">
        <f aca="false">IFERROR(__xludf.dummyfunction("""COMPUTED_VALUE"""),231.474)</f>
        <v>231.474</v>
      </c>
      <c r="W106" s="155" t="n">
        <f aca="false">IFERROR(__xludf.dummyfunction("""COMPUTED_VALUE"""),0)</f>
        <v>0</v>
      </c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 customFormat="false" ht="15.75" hidden="false" customHeight="false" outlineLevel="0" collapsed="false">
      <c r="A107" s="1"/>
      <c r="B107" s="157" t="str">
        <f aca="false">IF(OR(E107=Report!$B$1, F107=Report!$B$1, G107=Report!$B$1, H107=Report!$B$1), D107, "")</f>
        <v/>
      </c>
      <c r="C107" s="158" t="b">
        <f aca="false">IFERROR(__xludf.dummyfunction("""COMPUTED_VALUE"""),FALSE())</f>
        <v>0</v>
      </c>
      <c r="D107" s="1" t="str">
        <f aca="false">IFERROR(__xludf.dummyfunction("""COMPUTED_VALUE"""),"Kaločai Rudolf")</f>
        <v>Kaločai Rudolf</v>
      </c>
      <c r="E107" s="1" t="str">
        <f aca="false">IFERROR(__xludf.dummyfunction("""COMPUTED_VALUE"""),"Bolevec")</f>
        <v>Bolevec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55" t="n">
        <f aca="false">IFERROR(__xludf.dummyfunction("""COMPUTED_VALUE"""),140)</f>
        <v>140</v>
      </c>
      <c r="W107" s="155" t="n">
        <f aca="false">IFERROR(__xludf.dummyfunction("""COMPUTED_VALUE"""),0)</f>
        <v>0</v>
      </c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customFormat="false" ht="15.75" hidden="false" customHeight="false" outlineLevel="0" collapsed="false">
      <c r="A108" s="1"/>
      <c r="B108" s="157" t="str">
        <f aca="false">IF(OR(E108=Report!$B$1, F108=Report!$B$1, G108=Report!$B$1, H108=Report!$B$1), D108, "")</f>
        <v/>
      </c>
      <c r="C108" s="158" t="b">
        <f aca="false">IFERROR(__xludf.dummyfunction("""COMPUTED_VALUE"""),FALSE())</f>
        <v>0</v>
      </c>
      <c r="D108" s="1" t="str">
        <f aca="false">IFERROR(__xludf.dummyfunction("""COMPUTED_VALUE"""),"Dušek Sam")</f>
        <v>Dušek Sam</v>
      </c>
      <c r="E108" s="1" t="str">
        <f aca="false">IFERROR(__xludf.dummyfunction("""COMPUTED_VALUE"""),"Libuš")</f>
        <v>Libuš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55" t="n">
        <f aca="false">IFERROR(__xludf.dummyfunction("""COMPUTED_VALUE"""),250.206)</f>
        <v>250.206</v>
      </c>
      <c r="W108" s="155" t="n">
        <f aca="false">IFERROR(__xludf.dummyfunction("""COMPUTED_VALUE"""),0)</f>
        <v>0</v>
      </c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customFormat="false" ht="15.75" hidden="false" customHeight="false" outlineLevel="0" collapsed="false">
      <c r="A109" s="1"/>
      <c r="B109" s="157" t="str">
        <f aca="false">IF(OR(E109=Report!$B$1, F109=Report!$B$1, G109=Report!$B$1, H109=Report!$B$1), D109, "")</f>
        <v>Kačena Stanislav</v>
      </c>
      <c r="C109" s="158" t="b">
        <f aca="false">IFERROR(__xludf.dummyfunction("""COMPUTED_VALUE"""),FALSE())</f>
        <v>0</v>
      </c>
      <c r="D109" s="1" t="str">
        <f aca="false">IFERROR(__xludf.dummyfunction("""COMPUTED_VALUE"""),"Kačena Stanislav")</f>
        <v>Kačena Stanislav</v>
      </c>
      <c r="E109" s="1" t="str">
        <f aca="false">IFERROR(__xludf.dummyfunction("""COMPUTED_VALUE"""),"Prosek")</f>
        <v>Prosek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55" t="n">
        <f aca="false">IFERROR(__xludf.dummyfunction("""COMPUTED_VALUE"""),231.474)</f>
        <v>231.474</v>
      </c>
      <c r="W109" s="155" t="n">
        <f aca="false">IFERROR(__xludf.dummyfunction("""COMPUTED_VALUE"""),0)</f>
        <v>0</v>
      </c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customFormat="false" ht="15.75" hidden="false" customHeight="false" outlineLevel="0" collapsed="false">
      <c r="A110" s="1"/>
      <c r="B110" s="157" t="str">
        <f aca="false">IF(OR(E110=Report!$B$1, F110=Report!$B$1, G110=Report!$B$1, H110=Report!$B$1), D110, "")</f>
        <v/>
      </c>
      <c r="C110" s="158" t="b">
        <f aca="false">IFERROR(__xludf.dummyfunction("""COMPUTED_VALUE"""),FALSE())</f>
        <v>0</v>
      </c>
      <c r="D110" s="1" t="str">
        <f aca="false">IFERROR(__xludf.dummyfunction("""COMPUTED_VALUE"""),"Cieslar Marek")</f>
        <v>Cieslar Marek</v>
      </c>
      <c r="E110" s="1" t="str">
        <f aca="false">IFERROR(__xludf.dummyfunction("""COMPUTED_VALUE"""),"Libuš")</f>
        <v>Libuš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55" t="n">
        <f aca="false">IFERROR(__xludf.dummyfunction("""COMPUTED_VALUE"""),231.474)</f>
        <v>231.474</v>
      </c>
      <c r="W110" s="155" t="n">
        <f aca="false">IFERROR(__xludf.dummyfunction("""COMPUTED_VALUE"""),0)</f>
        <v>0</v>
      </c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customFormat="false" ht="15.75" hidden="false" customHeight="false" outlineLevel="0" collapsed="false">
      <c r="A111" s="1"/>
      <c r="B111" s="157" t="str">
        <f aca="false">IF(OR(E111=Report!$B$1, F111=Report!$B$1, G111=Report!$B$1, H111=Report!$B$1), D111, "")</f>
        <v/>
      </c>
      <c r="C111" s="158" t="b">
        <f aca="false">IFERROR(__xludf.dummyfunction("""COMPUTED_VALUE"""),FALSE())</f>
        <v>0</v>
      </c>
      <c r="D111" s="1" t="str">
        <f aca="false">IFERROR(__xludf.dummyfunction("""COMPUTED_VALUE"""),"Banga Adam")</f>
        <v>Banga Adam</v>
      </c>
      <c r="E111" s="1" t="str">
        <f aca="false">IFERROR(__xludf.dummyfunction("""COMPUTED_VALUE"""),"Zličín")</f>
        <v>Zličín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55" t="n">
        <f aca="false">IFERROR(__xludf.dummyfunction("""COMPUTED_VALUE"""),231.474)</f>
        <v>231.474</v>
      </c>
      <c r="W111" s="155" t="n">
        <f aca="false">IFERROR(__xludf.dummyfunction("""COMPUTED_VALUE"""),0)</f>
        <v>0</v>
      </c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customFormat="false" ht="15.75" hidden="false" customHeight="false" outlineLevel="0" collapsed="false">
      <c r="A112" s="1"/>
      <c r="B112" s="157" t="str">
        <f aca="false">IF(OR(E112=Report!$B$1, F112=Report!$B$1, G112=Report!$B$1, H112=Report!$B$1), D112, "")</f>
        <v/>
      </c>
      <c r="C112" s="158" t="b">
        <f aca="false">IFERROR(__xludf.dummyfunction("""COMPUTED_VALUE"""),FALSE())</f>
        <v>0</v>
      </c>
      <c r="D112" s="1" t="str">
        <f aca="false">IFERROR(__xludf.dummyfunction("""COMPUTED_VALUE"""),"Vopatová Anna")</f>
        <v>Vopatová Anna</v>
      </c>
      <c r="E112" s="1" t="str">
        <f aca="false">IFERROR(__xludf.dummyfunction("""COMPUTED_VALUE"""),"Bolevec")</f>
        <v>Bolevec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55" t="n">
        <f aca="false">IFERROR(__xludf.dummyfunction("""COMPUTED_VALUE"""),214.08)</f>
        <v>214.08</v>
      </c>
      <c r="W112" s="155" t="n">
        <f aca="false">IFERROR(__xludf.dummyfunction("""COMPUTED_VALUE"""),0)</f>
        <v>0</v>
      </c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customFormat="false" ht="15.75" hidden="false" customHeight="false" outlineLevel="0" collapsed="false">
      <c r="A113" s="1"/>
      <c r="B113" s="157" t="str">
        <f aca="false">IF(OR(E113=Report!$B$1, F113=Report!$B$1, G113=Report!$B$1, H113=Report!$B$1), D113, "")</f>
        <v/>
      </c>
      <c r="C113" s="158" t="b">
        <f aca="false">IFERROR(__xludf.dummyfunction("""COMPUTED_VALUE"""),FALSE())</f>
        <v>0</v>
      </c>
      <c r="D113" s="1" t="str">
        <f aca="false">IFERROR(__xludf.dummyfunction("""COMPUTED_VALUE"""),"Vopatová Šárka")</f>
        <v>Vopatová Šárka</v>
      </c>
      <c r="E113" s="1" t="str">
        <f aca="false">IFERROR(__xludf.dummyfunction("""COMPUTED_VALUE"""),"Bolevec")</f>
        <v>Bolevec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55" t="n">
        <f aca="false">IFERROR(__xludf.dummyfunction("""COMPUTED_VALUE"""),214.08)</f>
        <v>214.08</v>
      </c>
      <c r="W113" s="155" t="n">
        <f aca="false">IFERROR(__xludf.dummyfunction("""COMPUTED_VALUE"""),0)</f>
        <v>0</v>
      </c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customFormat="false" ht="15.75" hidden="false" customHeight="false" outlineLevel="0" collapsed="false">
      <c r="A114" s="1"/>
      <c r="B114" s="157" t="str">
        <f aca="false">IF(OR(E114=Report!$B$1, F114=Report!$B$1, G114=Report!$B$1, H114=Report!$B$1), D114, "")</f>
        <v/>
      </c>
      <c r="C114" s="158" t="b">
        <f aca="false">IFERROR(__xludf.dummyfunction("""COMPUTED_VALUE"""),FALSE())</f>
        <v>0</v>
      </c>
      <c r="D114" s="1" t="str">
        <f aca="false">IFERROR(__xludf.dummyfunction("""COMPUTED_VALUE"""),"Richterová Monika")</f>
        <v>Richterová Monika</v>
      </c>
      <c r="E114" s="1" t="str">
        <f aca="false">IFERROR(__xludf.dummyfunction("""COMPUTED_VALUE"""),"Malešice")</f>
        <v>Malešice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55" t="n">
        <f aca="false">IFERROR(__xludf.dummyfunction("""COMPUTED_VALUE"""),214.08)</f>
        <v>214.08</v>
      </c>
      <c r="W114" s="155" t="n">
        <f aca="false">IFERROR(__xludf.dummyfunction("""COMPUTED_VALUE"""),0)</f>
        <v>0</v>
      </c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customFormat="false" ht="15.75" hidden="false" customHeight="false" outlineLevel="0" collapsed="false">
      <c r="A115" s="1"/>
      <c r="B115" s="157" t="str">
        <f aca="false">IF(OR(E115=Report!$B$1, F115=Report!$B$1, G115=Report!$B$1, H115=Report!$B$1), D115, "")</f>
        <v/>
      </c>
      <c r="C115" s="158" t="b">
        <f aca="false">IFERROR(__xludf.dummyfunction("""COMPUTED_VALUE"""),FALSE())</f>
        <v>0</v>
      </c>
      <c r="D115" s="1" t="str">
        <f aca="false">IFERROR(__xludf.dummyfunction("""COMPUTED_VALUE"""),"Serin David")</f>
        <v>Serin David</v>
      </c>
      <c r="E115" s="1" t="str">
        <f aca="false">IFERROR(__xludf.dummyfunction("""COMPUTED_VALUE"""),"Libuš")</f>
        <v>Libuš</v>
      </c>
      <c r="F115" s="1" t="str">
        <f aca="false">IFERROR(__xludf.dummyfunction("""COMPUTED_VALUE"""),"Malešice")</f>
        <v>Malešice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55" t="n">
        <f aca="false">IFERROR(__xludf.dummyfunction("""COMPUTED_VALUE"""),231.474)</f>
        <v>231.474</v>
      </c>
      <c r="W115" s="155" t="n">
        <f aca="false">IFERROR(__xludf.dummyfunction("""COMPUTED_VALUE"""),0)</f>
        <v>0</v>
      </c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customFormat="false" ht="15.75" hidden="false" customHeight="false" outlineLevel="0" collapsed="false">
      <c r="A116" s="1"/>
      <c r="B116" s="157" t="str">
        <f aca="false">IF(OR(E116=Report!$B$1, F116=Report!$B$1, G116=Report!$B$1, H116=Report!$B$1), D116, "")</f>
        <v/>
      </c>
      <c r="C116" s="158" t="b">
        <f aca="false">IFERROR(__xludf.dummyfunction("""COMPUTED_VALUE"""),FALSE())</f>
        <v>0</v>
      </c>
      <c r="D116" s="1" t="str">
        <f aca="false">IFERROR(__xludf.dummyfunction("""COMPUTED_VALUE"""),"Fabera Tomáš")</f>
        <v>Fabera Tomáš</v>
      </c>
      <c r="E116" s="1" t="str">
        <f aca="false">IFERROR(__xludf.dummyfunction("""COMPUTED_VALUE"""),"Chodov")</f>
        <v>Chodov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55" t="n">
        <f aca="false">IFERROR(__xludf.dummyfunction("""COMPUTED_VALUE"""),231.474)</f>
        <v>231.474</v>
      </c>
      <c r="W116" s="155" t="n">
        <f aca="false">IFERROR(__xludf.dummyfunction("""COMPUTED_VALUE"""),0)</f>
        <v>0</v>
      </c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customFormat="false" ht="15.75" hidden="false" customHeight="false" outlineLevel="0" collapsed="false">
      <c r="A117" s="1"/>
      <c r="B117" s="157" t="str">
        <f aca="false">IF(OR(E117=Report!$B$1, F117=Report!$B$1, G117=Report!$B$1, H117=Report!$B$1), D117, "")</f>
        <v/>
      </c>
      <c r="C117" s="158" t="b">
        <f aca="false">IFERROR(__xludf.dummyfunction("""COMPUTED_VALUE"""),FALSE())</f>
        <v>0</v>
      </c>
      <c r="D117" s="1" t="str">
        <f aca="false">IFERROR(__xludf.dummyfunction("""COMPUTED_VALUE"""),"Hendrych Rostislav")</f>
        <v>Hendrych Rostislav</v>
      </c>
      <c r="E117" s="1" t="str">
        <f aca="false">IFERROR(__xludf.dummyfunction("""COMPUTED_VALUE"""),"Malešice")</f>
        <v>Malešice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55" t="n">
        <f aca="false">IFERROR(__xludf.dummyfunction("""COMPUTED_VALUE"""),250.206)</f>
        <v>250.206</v>
      </c>
      <c r="W117" s="155" t="n">
        <f aca="false">IFERROR(__xludf.dummyfunction("""COMPUTED_VALUE"""),0)</f>
        <v>0</v>
      </c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customFormat="false" ht="15.75" hidden="false" customHeight="false" outlineLevel="0" collapsed="false">
      <c r="A118" s="1"/>
      <c r="B118" s="157" t="str">
        <f aca="false">IF(OR(E118=Report!$B$1, F118=Report!$B$1, G118=Report!$B$1, H118=Report!$B$1), D118, "")</f>
        <v>Novák Dalibor</v>
      </c>
      <c r="C118" s="158" t="b">
        <f aca="false">IFERROR(__xludf.dummyfunction("""COMPUTED_VALUE"""),FALSE())</f>
        <v>0</v>
      </c>
      <c r="D118" s="1" t="str">
        <f aca="false">IFERROR(__xludf.dummyfunction("""COMPUTED_VALUE"""),"Novák Dalibor")</f>
        <v>Novák Dalibor</v>
      </c>
      <c r="E118" s="1" t="str">
        <f aca="false">IFERROR(__xludf.dummyfunction("""COMPUTED_VALUE"""),"Libuš")</f>
        <v>Libuš</v>
      </c>
      <c r="F118" s="1" t="str">
        <f aca="false">IFERROR(__xludf.dummyfunction("""COMPUTED_VALUE"""),"Prosek")</f>
        <v>Prosek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55" t="n">
        <f aca="false">IFERROR(__xludf.dummyfunction("""COMPUTED_VALUE"""),250.206)</f>
        <v>250.206</v>
      </c>
      <c r="W118" s="155" t="n">
        <f aca="false">IFERROR(__xludf.dummyfunction("""COMPUTED_VALUE"""),0)</f>
        <v>0</v>
      </c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customFormat="false" ht="15.75" hidden="false" customHeight="false" outlineLevel="0" collapsed="false">
      <c r="A119" s="1"/>
      <c r="B119" s="157" t="str">
        <f aca="false">IF(OR(E119=Report!$B$1, F119=Report!$B$1, G119=Report!$B$1, H119=Report!$B$1), D119, "")</f>
        <v/>
      </c>
      <c r="C119" s="158" t="b">
        <f aca="false">IFERROR(__xludf.dummyfunction("""COMPUTED_VALUE"""),FALSE())</f>
        <v>0</v>
      </c>
      <c r="D119" s="1" t="str">
        <f aca="false">IFERROR(__xludf.dummyfunction("""COMPUTED_VALUE"""),"Světlík František")</f>
        <v>Světlík František</v>
      </c>
      <c r="E119" s="1" t="str">
        <f aca="false">IFERROR(__xludf.dummyfunction("""COMPUTED_VALUE"""),"Bolevec")</f>
        <v>Bolevec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55" t="n">
        <f aca="false">IFERROR(__xludf.dummyfunction("""COMPUTED_VALUE"""),214.08)</f>
        <v>214.08</v>
      </c>
      <c r="W119" s="155" t="n">
        <f aca="false">IFERROR(__xludf.dummyfunction("""COMPUTED_VALUE"""),0)</f>
        <v>0</v>
      </c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customFormat="false" ht="15.75" hidden="false" customHeight="false" outlineLevel="0" collapsed="false">
      <c r="A120" s="1"/>
      <c r="B120" s="157" t="str">
        <f aca="false">IF(OR(E120=Report!$B$1, F120=Report!$B$1, G120=Report!$B$1, H120=Report!$B$1), D120, "")</f>
        <v/>
      </c>
      <c r="C120" s="158" t="b">
        <f aca="false">IFERROR(__xludf.dummyfunction("""COMPUTED_VALUE"""),FALSE())</f>
        <v>0</v>
      </c>
      <c r="D120" s="1" t="str">
        <f aca="false">IFERROR(__xludf.dummyfunction("""COMPUTED_VALUE"""),"Ženíšek Lukáš")</f>
        <v>Ženíšek Lukáš</v>
      </c>
      <c r="E120" s="1" t="str">
        <f aca="false">IFERROR(__xludf.dummyfunction("""COMPUTED_VALUE"""),"Bolevec")</f>
        <v>Bolevec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55" t="n">
        <f aca="false">IFERROR(__xludf.dummyfunction("""COMPUTED_VALUE"""),214.08)</f>
        <v>214.08</v>
      </c>
      <c r="W120" s="155" t="n">
        <f aca="false">IFERROR(__xludf.dummyfunction("""COMPUTED_VALUE"""),0)</f>
        <v>0</v>
      </c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customFormat="false" ht="15.75" hidden="false" customHeight="false" outlineLevel="0" collapsed="false">
      <c r="A121" s="1"/>
      <c r="B121" s="157" t="str">
        <f aca="false">IF(OR(E121=Report!$B$1, F121=Report!$B$1, G121=Report!$B$1, H121=Report!$B$1), D121, "")</f>
        <v/>
      </c>
      <c r="C121" s="158" t="b">
        <f aca="false">IFERROR(__xludf.dummyfunction("""COMPUTED_VALUE"""),FALSE())</f>
        <v>0</v>
      </c>
      <c r="D121" s="1" t="str">
        <f aca="false">IFERROR(__xludf.dummyfunction("""COMPUTED_VALUE"""),"Přibyl Jan")</f>
        <v>Přibyl Jan</v>
      </c>
      <c r="E121" s="1" t="str">
        <f aca="false">IFERROR(__xludf.dummyfunction("""COMPUTED_VALUE"""),"Chodov")</f>
        <v>Chodov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55" t="n">
        <f aca="false">IFERROR(__xludf.dummyfunction("""COMPUTED_VALUE"""),231.474)</f>
        <v>231.474</v>
      </c>
      <c r="W121" s="155" t="n">
        <f aca="false">IFERROR(__xludf.dummyfunction("""COMPUTED_VALUE"""),0)</f>
        <v>0</v>
      </c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customFormat="false" ht="15.75" hidden="false" customHeight="false" outlineLevel="0" collapsed="false">
      <c r="A122" s="1"/>
      <c r="B122" s="157" t="str">
        <f aca="false">IF(OR(E122=Report!$B$1, F122=Report!$B$1, G122=Report!$B$1, H122=Report!$B$1), D122, "")</f>
        <v/>
      </c>
      <c r="C122" s="158" t="b">
        <f aca="false">IFERROR(__xludf.dummyfunction("""COMPUTED_VALUE"""),FALSE())</f>
        <v>0</v>
      </c>
      <c r="D122" s="1" t="str">
        <f aca="false">IFERROR(__xludf.dummyfunction("""COMPUTED_VALUE"""),"Roth Stanislav st.")</f>
        <v>Roth Stanislav st.</v>
      </c>
      <c r="E122" s="1" t="str">
        <f aca="false">IFERROR(__xludf.dummyfunction("""COMPUTED_VALUE"""),"Bolevec")</f>
        <v>Bolevec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55" t="n">
        <f aca="false">IFERROR(__xludf.dummyfunction("""COMPUTED_VALUE"""),49506)</f>
        <v>49506</v>
      </c>
      <c r="W122" s="155" t="n">
        <f aca="false">IFERROR(__xludf.dummyfunction("""COMPUTED_VALUE"""),1650.2)</f>
        <v>1650.2</v>
      </c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customFormat="false" ht="15.75" hidden="false" customHeight="false" outlineLevel="0" collapsed="false">
      <c r="A123" s="1"/>
      <c r="B123" s="157" t="str">
        <f aca="false">IF(OR(E123=Report!$B$1, F123=Report!$B$1, G123=Report!$B$1, H123=Report!$B$1), D123, "")</f>
        <v/>
      </c>
      <c r="C123" s="158" t="b">
        <f aca="false">IFERROR(__xludf.dummyfunction("""COMPUTED_VALUE"""),FALSE())</f>
        <v>0</v>
      </c>
      <c r="D123" s="1" t="str">
        <f aca="false">IFERROR(__xludf.dummyfunction("""COMPUTED_VALUE"""),"Hrach Michal")</f>
        <v>Hrach Michal</v>
      </c>
      <c r="E123" s="1" t="str">
        <f aca="false">IFERROR(__xludf.dummyfunction("""COMPUTED_VALUE"""),"Chodov")</f>
        <v>Chodov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55" t="n">
        <f aca="false">IFERROR(__xludf.dummyfunction("""COMPUTED_VALUE"""),231.474)</f>
        <v>231.474</v>
      </c>
      <c r="W123" s="155" t="n">
        <f aca="false">IFERROR(__xludf.dummyfunction("""COMPUTED_VALUE"""),0)</f>
        <v>0</v>
      </c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customFormat="false" ht="15.75" hidden="false" customHeight="false" outlineLevel="0" collapsed="false">
      <c r="A124" s="1"/>
      <c r="B124" s="157" t="str">
        <f aca="false">IF(OR(E124=Report!$B$1, F124=Report!$B$1, G124=Report!$B$1, H124=Report!$B$1), D124, "")</f>
        <v/>
      </c>
      <c r="C124" s="158" t="b">
        <f aca="false">IFERROR(__xludf.dummyfunction("""COMPUTED_VALUE"""),FALSE())</f>
        <v>0</v>
      </c>
      <c r="D124" s="1" t="str">
        <f aca="false">IFERROR(__xludf.dummyfunction("""COMPUTED_VALUE"""),"Kvapil Filip Leon")</f>
        <v>Kvapil Filip Leon</v>
      </c>
      <c r="E124" s="1" t="str">
        <f aca="false">IFERROR(__xludf.dummyfunction("""COMPUTED_VALUE"""),"Zličín")</f>
        <v>Zličín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55" t="n">
        <f aca="false">IFERROR(__xludf.dummyfunction("""COMPUTED_VALUE"""),231.474)</f>
        <v>231.474</v>
      </c>
      <c r="W124" s="155" t="n">
        <f aca="false">IFERROR(__xludf.dummyfunction("""COMPUTED_VALUE"""),0)</f>
        <v>0</v>
      </c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customFormat="false" ht="15.75" hidden="false" customHeight="false" outlineLevel="0" collapsed="false">
      <c r="A125" s="1"/>
      <c r="B125" s="157" t="str">
        <f aca="false">IF(OR(E125=Report!$B$1, F125=Report!$B$1, G125=Report!$B$1, H125=Report!$B$1), D125, "")</f>
        <v/>
      </c>
      <c r="C125" s="158" t="b">
        <f aca="false">IFERROR(__xludf.dummyfunction("""COMPUTED_VALUE"""),FALSE())</f>
        <v>0</v>
      </c>
      <c r="D125" s="1" t="str">
        <f aca="false">IFERROR(__xludf.dummyfunction("""COMPUTED_VALUE"""),"Vaníková Anna")</f>
        <v>Vaníková Anna</v>
      </c>
      <c r="E125" s="1" t="str">
        <f aca="false">IFERROR(__xludf.dummyfunction("""COMPUTED_VALUE"""),"Zličín")</f>
        <v>Zličín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55" t="n">
        <f aca="false">IFERROR(__xludf.dummyfunction("""COMPUTED_VALUE"""),231.474)</f>
        <v>231.474</v>
      </c>
      <c r="W125" s="155" t="n">
        <f aca="false">IFERROR(__xludf.dummyfunction("""COMPUTED_VALUE"""),0)</f>
        <v>0</v>
      </c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customFormat="false" ht="15.75" hidden="false" customHeight="false" outlineLevel="0" collapsed="false">
      <c r="A126" s="1"/>
      <c r="B126" s="157" t="str">
        <f aca="false">IF(OR(E126=Report!$B$1, F126=Report!$B$1, G126=Report!$B$1, H126=Report!$B$1), D126, "")</f>
        <v/>
      </c>
      <c r="C126" s="158" t="b">
        <f aca="false">IFERROR(__xludf.dummyfunction("""COMPUTED_VALUE"""),FALSE())</f>
        <v>0</v>
      </c>
      <c r="D126" s="1" t="str">
        <f aca="false">IFERROR(__xludf.dummyfunction("""COMPUTED_VALUE"""),"Irena Kovacsova")</f>
        <v>Irena Kovacsova</v>
      </c>
      <c r="E126" s="1" t="str">
        <f aca="false">IFERROR(__xludf.dummyfunction("""COMPUTED_VALUE"""),"Bolevec")</f>
        <v>Bolevec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55" t="n">
        <f aca="false">IFERROR(__xludf.dummyfunction("""COMPUTED_VALUE"""),224.784)</f>
        <v>224.784</v>
      </c>
      <c r="W126" s="155" t="n">
        <f aca="false">IFERROR(__xludf.dummyfunction("""COMPUTED_VALUE"""),0)</f>
        <v>0</v>
      </c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customFormat="false" ht="15.75" hidden="false" customHeight="false" outlineLevel="0" collapsed="false">
      <c r="A127" s="1"/>
      <c r="B127" s="157" t="str">
        <f aca="false">IF(OR(E127=Report!$B$1, F127=Report!$B$1, G127=Report!$B$1, H127=Report!$B$1), D127, "")</f>
        <v/>
      </c>
      <c r="C127" s="158" t="b">
        <f aca="false">IFERROR(__xludf.dummyfunction("""COMPUTED_VALUE"""),FALSE())</f>
        <v>0</v>
      </c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55" t="n">
        <f aca="false">IFERROR(__xludf.dummyfunction("""COMPUTED_VALUE"""),0)</f>
        <v>0</v>
      </c>
      <c r="W127" s="155" t="n">
        <f aca="false">IFERROR(__xludf.dummyfunction("""COMPUTED_VALUE"""),0)</f>
        <v>0</v>
      </c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customFormat="false" ht="15.75" hidden="false" customHeight="false" outlineLevel="0" collapsed="false">
      <c r="A128" s="1"/>
      <c r="B128" s="157" t="str">
        <f aca="false">IF(OR(E128=Report!$B$1, F128=Report!$B$1, G128=Report!$B$1, H128=Report!$B$1), D128, "")</f>
        <v/>
      </c>
      <c r="C128" s="158" t="b">
        <f aca="false">IFERROR(__xludf.dummyfunction("""COMPUTED_VALUE"""),FALSE())</f>
        <v>0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55" t="n">
        <f aca="false">IFERROR(__xludf.dummyfunction("""COMPUTED_VALUE"""),0)</f>
        <v>0</v>
      </c>
      <c r="W128" s="155" t="n">
        <f aca="false">IFERROR(__xludf.dummyfunction("""COMPUTED_VALUE"""),0)</f>
        <v>0</v>
      </c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customFormat="false" ht="15.75" hidden="false" customHeight="false" outlineLevel="0" collapsed="false">
      <c r="A129" s="1"/>
      <c r="B129" s="157" t="str">
        <f aca="false">IF(OR(E129=Report!$B$1, F129=Report!$B$1, G129=Report!$B$1, H129=Report!$B$1), D129, "")</f>
        <v/>
      </c>
      <c r="C129" s="158" t="b">
        <f aca="false">IFERROR(__xludf.dummyfunction("""COMPUTED_VALUE"""),FALSE())</f>
        <v>0</v>
      </c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55" t="n">
        <f aca="false">IFERROR(__xludf.dummyfunction("""COMPUTED_VALUE"""),0)</f>
        <v>0</v>
      </c>
      <c r="W129" s="155" t="n">
        <f aca="false">IFERROR(__xludf.dummyfunction("""COMPUTED_VALUE"""),0)</f>
        <v>0</v>
      </c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customFormat="false" ht="15.75" hidden="false" customHeight="false" outlineLevel="0" collapsed="false">
      <c r="A130" s="1"/>
      <c r="B130" s="157" t="str">
        <f aca="false">IF(OR(E130=Report!$B$1, F130=Report!$B$1, G130=Report!$B$1, H130=Report!$B$1), D130, "")</f>
        <v/>
      </c>
      <c r="C130" s="158" t="b">
        <f aca="false">IFERROR(__xludf.dummyfunction("""COMPUTED_VALUE"""),FALSE())</f>
        <v>0</v>
      </c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55" t="n">
        <f aca="false">IFERROR(__xludf.dummyfunction("""COMPUTED_VALUE"""),0)</f>
        <v>0</v>
      </c>
      <c r="W130" s="155" t="n">
        <f aca="false">IFERROR(__xludf.dummyfunction("""COMPUTED_VALUE"""),0)</f>
        <v>0</v>
      </c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customFormat="false" ht="15.75" hidden="false" customHeight="false" outlineLevel="0" collapsed="false">
      <c r="A131" s="1"/>
      <c r="B131" s="157" t="str">
        <f aca="false">IF(OR(E131=Report!$B$1, F131=Report!$B$1, G131=Report!$B$1, H131=Report!$B$1), D131, "")</f>
        <v/>
      </c>
      <c r="C131" s="158" t="b">
        <f aca="false">IFERROR(__xludf.dummyfunction("""COMPUTED_VALUE"""),FALSE())</f>
        <v>0</v>
      </c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55" t="n">
        <f aca="false">IFERROR(__xludf.dummyfunction("""COMPUTED_VALUE"""),0)</f>
        <v>0</v>
      </c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customFormat="false" ht="15.75" hidden="false" customHeight="false" outlineLevel="0" collapsed="false">
      <c r="A132" s="1"/>
      <c r="B132" s="157" t="str">
        <f aca="false">IF(OR(E132=Report!$B$1, F132=Report!$B$1, G132=Report!$B$1, H132=Report!$B$1), D132, "")</f>
        <v/>
      </c>
      <c r="C132" s="158" t="b">
        <f aca="false">IFERROR(__xludf.dummyfunction("""COMPUTED_VALUE"""),FALSE())</f>
        <v>0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55" t="n">
        <f aca="false">IFERROR(__xludf.dummyfunction("""COMPUTED_VALUE"""),0)</f>
        <v>0</v>
      </c>
      <c r="W132" s="155" t="n">
        <f aca="false">IFERROR(__xludf.dummyfunction("""COMPUTED_VALUE"""),0)</f>
        <v>0</v>
      </c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customFormat="false" ht="15.75" hidden="false" customHeight="false" outlineLevel="0" collapsed="false">
      <c r="A133" s="1"/>
      <c r="B133" s="157" t="str">
        <f aca="false">IF(OR(E133=Report!$B$1, F133=Report!$B$1, G133=Report!$B$1, H133=Report!$B$1), D133, "")</f>
        <v/>
      </c>
      <c r="C133" s="158" t="b">
        <f aca="false">IFERROR(__xludf.dummyfunction("""COMPUTED_VALUE"""),FALSE())</f>
        <v>0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55" t="n">
        <f aca="false">IFERROR(__xludf.dummyfunction("""COMPUTED_VALUE"""),0)</f>
        <v>0</v>
      </c>
      <c r="W133" s="155" t="n">
        <f aca="false">IFERROR(__xludf.dummyfunction("""COMPUTED_VALUE"""),0)</f>
        <v>0</v>
      </c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customFormat="false" ht="15.75" hidden="false" customHeight="false" outlineLevel="0" collapsed="false">
      <c r="A134" s="1"/>
      <c r="B134" s="157" t="str">
        <f aca="false">IF(OR(E134=Report!$B$1, F134=Report!$B$1, G134=Report!$B$1, H134=Report!$B$1), D134, "")</f>
        <v/>
      </c>
      <c r="C134" s="158" t="b">
        <f aca="false">IFERROR(__xludf.dummyfunction("""COMPUTED_VALUE"""),FALSE())</f>
        <v>0</v>
      </c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55" t="n">
        <f aca="false">IFERROR(__xludf.dummyfunction("""COMPUTED_VALUE"""),0)</f>
        <v>0</v>
      </c>
      <c r="W134" s="155" t="n">
        <f aca="false">IFERROR(__xludf.dummyfunction("""COMPUTED_VALUE"""),0)</f>
        <v>0</v>
      </c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customFormat="false" ht="15.75" hidden="false" customHeight="false" outlineLevel="0" collapsed="false">
      <c r="A135" s="1"/>
      <c r="B135" s="157" t="str">
        <f aca="false">IF(OR(E135=Report!$B$1, F135=Report!$B$1, G135=Report!$B$1, H135=Report!$B$1), D135, "")</f>
        <v/>
      </c>
      <c r="C135" s="158" t="b">
        <f aca="false">IFERROR(__xludf.dummyfunction("""COMPUTED_VALUE"""),FALSE())</f>
        <v>0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55" t="n">
        <f aca="false">IFERROR(__xludf.dummyfunction("""COMPUTED_VALUE"""),0)</f>
        <v>0</v>
      </c>
      <c r="W135" s="155" t="n">
        <f aca="false">IFERROR(__xludf.dummyfunction("""COMPUTED_VALUE"""),0)</f>
        <v>0</v>
      </c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customFormat="false" ht="15.75" hidden="false" customHeight="false" outlineLevel="0" collapsed="false">
      <c r="A136" s="1"/>
      <c r="B136" s="157" t="str">
        <f aca="false">IF(OR(E136=Report!$B$1, F136=Report!$B$1, G136=Report!$B$1, H136=Report!$B$1), D136, "")</f>
        <v/>
      </c>
      <c r="C136" s="158" t="b">
        <f aca="false">IFERROR(__xludf.dummyfunction("""COMPUTED_VALUE"""),FALSE())</f>
        <v>0</v>
      </c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55" t="n">
        <f aca="false">IFERROR(__xludf.dummyfunction("""COMPUTED_VALUE"""),0)</f>
        <v>0</v>
      </c>
      <c r="W136" s="155" t="n">
        <f aca="false">IFERROR(__xludf.dummyfunction("""COMPUTED_VALUE"""),0)</f>
        <v>0</v>
      </c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customFormat="false" ht="15.75" hidden="false" customHeight="false" outlineLevel="0" collapsed="false">
      <c r="A137" s="1"/>
      <c r="B137" s="157" t="str">
        <f aca="false">IF(OR(E137=Report!$B$1, F137=Report!$B$1, G137=Report!$B$1, H137=Report!$B$1), D137, "")</f>
        <v/>
      </c>
      <c r="C137" s="158" t="b">
        <f aca="false">IFERROR(__xludf.dummyfunction("""COMPUTED_VALUE"""),FALSE())</f>
        <v>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55" t="n">
        <f aca="false">IFERROR(__xludf.dummyfunction("""COMPUTED_VALUE"""),0)</f>
        <v>0</v>
      </c>
      <c r="W137" s="155" t="n">
        <f aca="false">IFERROR(__xludf.dummyfunction("""COMPUTED_VALUE"""),0)</f>
        <v>0</v>
      </c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customFormat="false" ht="15.75" hidden="false" customHeight="false" outlineLevel="0" collapsed="false">
      <c r="A138" s="1"/>
      <c r="B138" s="157" t="str">
        <f aca="false">IF(OR(E138=Report!$B$1, F138=Report!$B$1, G138=Report!$B$1, H138=Report!$B$1), D138, "")</f>
        <v/>
      </c>
      <c r="C138" s="158" t="b">
        <f aca="false">IFERROR(__xludf.dummyfunction("""COMPUTED_VALUE"""),FALSE())</f>
        <v>0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55" t="n">
        <f aca="false">IFERROR(__xludf.dummyfunction("""COMPUTED_VALUE"""),0)</f>
        <v>0</v>
      </c>
      <c r="W138" s="155" t="n">
        <f aca="false">IFERROR(__xludf.dummyfunction("""COMPUTED_VALUE"""),0)</f>
        <v>0</v>
      </c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customFormat="false" ht="15.75" hidden="false" customHeight="false" outlineLevel="0" collapsed="false">
      <c r="A139" s="1"/>
      <c r="B139" s="157" t="str">
        <f aca="false">IF(OR(E139=Report!$B$1, F139=Report!$B$1, G139=Report!$B$1, H139=Report!$B$1), D139, "")</f>
        <v/>
      </c>
      <c r="C139" s="158" t="b">
        <f aca="false">IFERROR(__xludf.dummyfunction("""COMPUTED_VALUE"""),FALSE())</f>
        <v>0</v>
      </c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55" t="n">
        <f aca="false">IFERROR(__xludf.dummyfunction("""COMPUTED_VALUE"""),0)</f>
        <v>0</v>
      </c>
      <c r="W139" s="155" t="n">
        <f aca="false">IFERROR(__xludf.dummyfunction("""COMPUTED_VALUE"""),0)</f>
        <v>0</v>
      </c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customFormat="false" ht="15.75" hidden="false" customHeight="false" outlineLevel="0" collapsed="false">
      <c r="A140" s="1"/>
      <c r="B140" s="157" t="str">
        <f aca="false">IF(OR(E140=Report!$B$1, F140=Report!$B$1, G140=Report!$B$1, H140=Report!$B$1), D140, "")</f>
        <v/>
      </c>
      <c r="C140" s="158" t="b">
        <f aca="false">IFERROR(__xludf.dummyfunction("""COMPUTED_VALUE"""),FALSE())</f>
        <v>0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55" t="n">
        <f aca="false">IFERROR(__xludf.dummyfunction("""COMPUTED_VALUE"""),0)</f>
        <v>0</v>
      </c>
      <c r="W140" s="155" t="n">
        <f aca="false">IFERROR(__xludf.dummyfunction("""COMPUTED_VALUE"""),0)</f>
        <v>0</v>
      </c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customFormat="false" ht="15.75" hidden="false" customHeight="false" outlineLevel="0" collapsed="false">
      <c r="A141" s="1"/>
      <c r="B141" s="157" t="str">
        <f aca="false">IF(OR(E141=Report!$B$1, F141=Report!$B$1, G141=Report!$B$1, H141=Report!$B$1), D141, "")</f>
        <v/>
      </c>
      <c r="C141" s="158" t="b">
        <f aca="false">IFERROR(__xludf.dummyfunction("""COMPUTED_VALUE"""),FALSE())</f>
        <v>0</v>
      </c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55" t="n">
        <f aca="false">IFERROR(__xludf.dummyfunction("""COMPUTED_VALUE"""),0)</f>
        <v>0</v>
      </c>
      <c r="W141" s="155" t="n">
        <f aca="false">IFERROR(__xludf.dummyfunction("""COMPUTED_VALUE"""),0)</f>
        <v>0</v>
      </c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customFormat="false" ht="15.75" hidden="false" customHeight="false" outlineLevel="0" collapsed="false">
      <c r="A142" s="1"/>
      <c r="B142" s="157" t="str">
        <f aca="false">IF(OR(E142=Report!$B$1, F142=Report!$B$1, G142=Report!$B$1, H142=Report!$B$1), D142, "")</f>
        <v/>
      </c>
      <c r="C142" s="158" t="b">
        <f aca="false">IFERROR(__xludf.dummyfunction("""COMPUTED_VALUE"""),FALSE())</f>
        <v>0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55" t="n">
        <f aca="false">IFERROR(__xludf.dummyfunction("""COMPUTED_VALUE"""),0)</f>
        <v>0</v>
      </c>
      <c r="W142" s="155" t="n">
        <f aca="false">IFERROR(__xludf.dummyfunction("""COMPUTED_VALUE"""),0)</f>
        <v>0</v>
      </c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customFormat="false" ht="15.75" hidden="false" customHeight="false" outlineLevel="0" collapsed="false">
      <c r="A143" s="1"/>
      <c r="B143" s="157" t="str">
        <f aca="false">IF(OR(E143=Report!$B$1, F143=Report!$B$1, G143=Report!$B$1, H143=Report!$B$1), D143, "")</f>
        <v/>
      </c>
      <c r="C143" s="158" t="b">
        <f aca="false">IFERROR(__xludf.dummyfunction("""COMPUTED_VALUE"""),FALSE())</f>
        <v>0</v>
      </c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55" t="n">
        <f aca="false">IFERROR(__xludf.dummyfunction("""COMPUTED_VALUE"""),0)</f>
        <v>0</v>
      </c>
      <c r="W143" s="155" t="n">
        <f aca="false">IFERROR(__xludf.dummyfunction("""COMPUTED_VALUE"""),0)</f>
        <v>0</v>
      </c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customFormat="false" ht="15.75" hidden="false" customHeight="false" outlineLevel="0" collapsed="false">
      <c r="A144" s="1"/>
      <c r="B144" s="157" t="str">
        <f aca="false">IF(OR(E144=Report!$B$1, F144=Report!$B$1, G144=Report!$B$1, H144=Report!$B$1), D144, "")</f>
        <v/>
      </c>
      <c r="C144" s="158" t="b">
        <f aca="false">IFERROR(__xludf.dummyfunction("""COMPUTED_VALUE"""),FALSE())</f>
        <v>0</v>
      </c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55" t="n">
        <f aca="false">IFERROR(__xludf.dummyfunction("""COMPUTED_VALUE"""),0)</f>
        <v>0</v>
      </c>
      <c r="W144" s="155" t="n">
        <f aca="false">IFERROR(__xludf.dummyfunction("""COMPUTED_VALUE"""),0)</f>
        <v>0</v>
      </c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customFormat="false" ht="15.75" hidden="false" customHeight="false" outlineLevel="0" collapsed="false">
      <c r="A145" s="1"/>
      <c r="B145" s="157" t="str">
        <f aca="false">IF(OR(E145=Report!$B$1, F145=Report!$B$1, G145=Report!$B$1, H145=Report!$B$1), D145, "")</f>
        <v/>
      </c>
      <c r="C145" s="158" t="b">
        <f aca="false">IFERROR(__xludf.dummyfunction("""COMPUTED_VALUE"""),FALSE())</f>
        <v>0</v>
      </c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55" t="n">
        <f aca="false">IFERROR(__xludf.dummyfunction("""COMPUTED_VALUE"""),0)</f>
        <v>0</v>
      </c>
      <c r="W145" s="155" t="n">
        <f aca="false">IFERROR(__xludf.dummyfunction("""COMPUTED_VALUE"""),0)</f>
        <v>0</v>
      </c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customFormat="false" ht="15.75" hidden="false" customHeight="false" outlineLevel="0" collapsed="false">
      <c r="A146" s="1"/>
      <c r="B146" s="157" t="str">
        <f aca="false">IF(OR(E146=Report!$B$1, F146=Report!$B$1, G146=Report!$B$1, H146=Report!$B$1), D146, "")</f>
        <v/>
      </c>
      <c r="C146" s="158" t="b">
        <f aca="false">IFERROR(__xludf.dummyfunction("""COMPUTED_VALUE"""),FALSE())</f>
        <v>0</v>
      </c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55" t="n">
        <f aca="false">IFERROR(__xludf.dummyfunction("""COMPUTED_VALUE"""),0)</f>
        <v>0</v>
      </c>
      <c r="W146" s="155" t="n">
        <f aca="false">IFERROR(__xludf.dummyfunction("""COMPUTED_VALUE"""),0)</f>
        <v>0</v>
      </c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customFormat="false" ht="15.75" hidden="false" customHeight="false" outlineLevel="0" collapsed="false">
      <c r="A147" s="1"/>
      <c r="B147" s="157" t="str">
        <f aca="false">IF(OR(E147=Report!$B$1, F147=Report!$B$1, G147=Report!$B$1, H147=Report!$B$1), D147, "")</f>
        <v/>
      </c>
      <c r="C147" s="158" t="b">
        <f aca="false">IFERROR(__xludf.dummyfunction("""COMPUTED_VALUE"""),FALSE())</f>
        <v>0</v>
      </c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55" t="n">
        <f aca="false">IFERROR(__xludf.dummyfunction("""COMPUTED_VALUE"""),0)</f>
        <v>0</v>
      </c>
      <c r="W147" s="155" t="n">
        <f aca="false">IFERROR(__xludf.dummyfunction("""COMPUTED_VALUE"""),0)</f>
        <v>0</v>
      </c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customFormat="false" ht="15.75" hidden="false" customHeight="false" outlineLevel="0" collapsed="false">
      <c r="A148" s="1"/>
      <c r="B148" s="157" t="str">
        <f aca="false">IF(OR(E148=Report!$B$1, F148=Report!$B$1, G148=Report!$B$1, H148=Report!$B$1), D148, "")</f>
        <v/>
      </c>
      <c r="C148" s="158" t="b">
        <f aca="false">IFERROR(__xludf.dummyfunction("""COMPUTED_VALUE"""),FALSE())</f>
        <v>0</v>
      </c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55" t="n">
        <f aca="false">IFERROR(__xludf.dummyfunction("""COMPUTED_VALUE"""),0)</f>
        <v>0</v>
      </c>
      <c r="W148" s="155" t="n">
        <f aca="false">IFERROR(__xludf.dummyfunction("""COMPUTED_VALUE"""),0)</f>
        <v>0</v>
      </c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customFormat="false" ht="15.75" hidden="false" customHeight="false" outlineLevel="0" collapsed="false">
      <c r="A149" s="1"/>
      <c r="B149" s="157" t="str">
        <f aca="false">IF(OR(E149=Report!$B$1, F149=Report!$B$1, G149=Report!$B$1, H149=Report!$B$1), D149, "")</f>
        <v/>
      </c>
      <c r="C149" s="158" t="b">
        <f aca="false">IFERROR(__xludf.dummyfunction("""COMPUTED_VALUE"""),FALSE())</f>
        <v>0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55" t="n">
        <f aca="false">IFERROR(__xludf.dummyfunction("""COMPUTED_VALUE"""),0)</f>
        <v>0</v>
      </c>
      <c r="W149" s="155" t="n">
        <f aca="false">IFERROR(__xludf.dummyfunction("""COMPUTED_VALUE"""),0)</f>
        <v>0</v>
      </c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customFormat="false" ht="15.75" hidden="false" customHeight="false" outlineLevel="0" collapsed="false">
      <c r="A150" s="1"/>
      <c r="B150" s="157" t="str">
        <f aca="false">IF(OR(E150=Report!$B$1, F150=Report!$B$1, G150=Report!$B$1, H150=Report!$B$1), D150, "")</f>
        <v/>
      </c>
      <c r="C150" s="158" t="b">
        <f aca="false">IFERROR(__xludf.dummyfunction("""COMPUTED_VALUE"""),FALSE())</f>
        <v>0</v>
      </c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55" t="n">
        <f aca="false">IFERROR(__xludf.dummyfunction("""COMPUTED_VALUE"""),0)</f>
        <v>0</v>
      </c>
      <c r="W150" s="155" t="n">
        <f aca="false">IFERROR(__xludf.dummyfunction("""COMPUTED_VALUE"""),0)</f>
        <v>0</v>
      </c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customFormat="false" ht="15.75" hidden="false" customHeight="false" outlineLevel="0" collapsed="false">
      <c r="A151" s="1"/>
      <c r="B151" s="157" t="str">
        <f aca="false">IF(OR(E151=Report!$B$1, F151=Report!$B$1, G151=Report!$B$1, H151=Report!$B$1), D151, "")</f>
        <v/>
      </c>
      <c r="C151" s="158" t="b">
        <f aca="false">IFERROR(__xludf.dummyfunction("""COMPUTED_VALUE"""),FALSE())</f>
        <v>0</v>
      </c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55" t="n">
        <f aca="false">IFERROR(__xludf.dummyfunction("""COMPUTED_VALUE"""),100)</f>
        <v>100</v>
      </c>
      <c r="W151" s="155" t="n">
        <f aca="false">IFERROR(__xludf.dummyfunction("""COMPUTED_VALUE"""),0)</f>
        <v>0</v>
      </c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customFormat="false" ht="15.75" hidden="false" customHeight="false" outlineLevel="0" collapsed="false">
      <c r="A152" s="1"/>
      <c r="B152" s="157" t="str">
        <f aca="false">IF(OR(E152=Report!$B$1, F152=Report!$B$1, G152=Report!$B$1, H152=Report!$B$1), D152, "")</f>
        <v/>
      </c>
      <c r="C152" s="158" t="b">
        <f aca="false">IFERROR(__xludf.dummyfunction("""COMPUTED_VALUE"""),FALSE())</f>
        <v>0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55" t="n">
        <f aca="false">IFERROR(__xludf.dummyfunction("""COMPUTED_VALUE"""),100)</f>
        <v>100</v>
      </c>
      <c r="W152" s="155" t="n">
        <f aca="false">IFERROR(__xludf.dummyfunction("""COMPUTED_VALUE"""),0)</f>
        <v>0</v>
      </c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customFormat="false" ht="15.75" hidden="false" customHeight="false" outlineLevel="0" collapsed="false">
      <c r="A153" s="1"/>
      <c r="B153" s="157" t="str">
        <f aca="false">IF(OR(E153=Report!$B$1, F153=Report!$B$1, G153=Report!$B$1, H153=Report!$B$1), D153, "")</f>
        <v/>
      </c>
      <c r="C153" s="158" t="b">
        <f aca="false">IFERROR(__xludf.dummyfunction("""COMPUTED_VALUE"""),FALSE())</f>
        <v>0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55" t="n">
        <f aca="false">IFERROR(__xludf.dummyfunction("""COMPUTED_VALUE"""),100)</f>
        <v>100</v>
      </c>
      <c r="W153" s="155" t="n">
        <f aca="false">IFERROR(__xludf.dummyfunction("""COMPUTED_VALUE"""),0)</f>
        <v>0</v>
      </c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customFormat="false" ht="15.75" hidden="false" customHeight="false" outlineLevel="0" collapsed="false">
      <c r="A154" s="1"/>
      <c r="B154" s="157" t="str">
        <f aca="false">IF(OR(E154=Report!$B$1, F154=Report!$B$1, G154=Report!$B$1, H154=Report!$B$1), D154, "")</f>
        <v/>
      </c>
      <c r="C154" s="158" t="b">
        <f aca="false">IFERROR(__xludf.dummyfunction("""COMPUTED_VALUE"""),FALSE())</f>
        <v>0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55" t="n">
        <f aca="false">IFERROR(__xludf.dummyfunction("""COMPUTED_VALUE"""),100)</f>
        <v>100</v>
      </c>
      <c r="W154" s="155" t="n">
        <f aca="false">IFERROR(__xludf.dummyfunction("""COMPUTED_VALUE"""),0)</f>
        <v>0</v>
      </c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customFormat="false" ht="15.75" hidden="false" customHeight="false" outlineLevel="0" collapsed="false">
      <c r="A155" s="1"/>
      <c r="B155" s="157" t="str">
        <f aca="false">IF(OR(E155=Report!$B$1, F155=Report!$B$1, G155=Report!$B$1, H155=Report!$B$1), D155, "")</f>
        <v/>
      </c>
      <c r="C155" s="158" t="b">
        <f aca="false">IFERROR(__xludf.dummyfunction("""COMPUTED_VALUE"""),FALSE())</f>
        <v>0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55" t="n">
        <f aca="false">IFERROR(__xludf.dummyfunction("""COMPUTED_VALUE"""),100)</f>
        <v>100</v>
      </c>
      <c r="W155" s="155" t="n">
        <f aca="false">IFERROR(__xludf.dummyfunction("""COMPUTED_VALUE"""),0)</f>
        <v>0</v>
      </c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customFormat="false" ht="15.75" hidden="false" customHeight="false" outlineLevel="0" collapsed="false">
      <c r="A156" s="1"/>
      <c r="B156" s="157" t="str">
        <f aca="false">IF(OR(E156=Report!$B$1, F156=Report!$B$1, G156=Report!$B$1, H156=Report!$B$1), D156, "")</f>
        <v/>
      </c>
      <c r="C156" s="158" t="b">
        <f aca="false">IFERROR(__xludf.dummyfunction("""COMPUTED_VALUE"""),FALSE())</f>
        <v>0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55" t="n">
        <f aca="false">IFERROR(__xludf.dummyfunction("""COMPUTED_VALUE"""),100)</f>
        <v>100</v>
      </c>
      <c r="W156" s="155" t="n">
        <f aca="false">IFERROR(__xludf.dummyfunction("""COMPUTED_VALUE"""),0)</f>
        <v>0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customFormat="false" ht="15.75" hidden="false" customHeight="false" outlineLevel="0" collapsed="false">
      <c r="A157" s="1"/>
      <c r="B157" s="157" t="str">
        <f aca="false">IF(OR(E157=Report!$B$1, F157=Report!$B$1, G157=Report!$B$1, H157=Report!$B$1), D157, "")</f>
        <v/>
      </c>
      <c r="C157" s="158" t="b">
        <f aca="false">IFERROR(__xludf.dummyfunction("""COMPUTED_VALUE"""),FALSE())</f>
        <v>0</v>
      </c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55" t="n">
        <f aca="false">IFERROR(__xludf.dummyfunction("""COMPUTED_VALUE"""),100)</f>
        <v>100</v>
      </c>
      <c r="W157" s="155" t="n">
        <f aca="false">IFERROR(__xludf.dummyfunction("""COMPUTED_VALUE"""),0)</f>
        <v>0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customFormat="false" ht="15.75" hidden="false" customHeight="false" outlineLevel="0" collapsed="false">
      <c r="A158" s="1"/>
      <c r="B158" s="157" t="str">
        <f aca="false">IF(OR(E158=Report!$B$1, F158=Report!$B$1, G158=Report!$B$1, H158=Report!$B$1), D158, "")</f>
        <v/>
      </c>
      <c r="C158" s="158" t="b">
        <f aca="false">IFERROR(__xludf.dummyfunction("""COMPUTED_VALUE"""),FALSE())</f>
        <v>0</v>
      </c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55" t="n">
        <f aca="false">IFERROR(__xludf.dummyfunction("""COMPUTED_VALUE"""),100)</f>
        <v>100</v>
      </c>
      <c r="W158" s="155" t="n">
        <f aca="false">IFERROR(__xludf.dummyfunction("""COMPUTED_VALUE"""),0)</f>
        <v>0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customFormat="false" ht="15.75" hidden="false" customHeight="false" outlineLevel="0" collapsed="false">
      <c r="A159" s="1"/>
      <c r="B159" s="157" t="str">
        <f aca="false">IF(OR(E159=Report!$B$1, F159=Report!$B$1, G159=Report!$B$1, H159=Report!$B$1), D159, "")</f>
        <v/>
      </c>
      <c r="C159" s="158" t="b">
        <f aca="false">IFERROR(__xludf.dummyfunction("""COMPUTED_VALUE"""),FALSE())</f>
        <v>0</v>
      </c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55" t="n">
        <f aca="false">IFERROR(__xludf.dummyfunction("""COMPUTED_VALUE"""),100)</f>
        <v>100</v>
      </c>
      <c r="W159" s="155" t="n">
        <f aca="false">IFERROR(__xludf.dummyfunction("""COMPUTED_VALUE"""),0)</f>
        <v>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customFormat="false" ht="15.75" hidden="false" customHeight="false" outlineLevel="0" collapsed="false">
      <c r="A160" s="1"/>
      <c r="B160" s="157" t="str">
        <f aca="false">IF(OR(E160=Report!$B$1, F160=Report!$B$1, G160=Report!$B$1, H160=Report!$B$1), D160, "")</f>
        <v/>
      </c>
      <c r="C160" s="158" t="b">
        <f aca="false">IFERROR(__xludf.dummyfunction("""COMPUTED_VALUE"""),FALSE())</f>
        <v>0</v>
      </c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55" t="n">
        <f aca="false">IFERROR(__xludf.dummyfunction("""COMPUTED_VALUE"""),100)</f>
        <v>100</v>
      </c>
      <c r="W160" s="155" t="n">
        <f aca="false">IFERROR(__xludf.dummyfunction("""COMPUTED_VALUE"""),0)</f>
        <v>0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customFormat="false" ht="15.75" hidden="false" customHeight="false" outlineLevel="0" collapsed="false">
      <c r="A161" s="1"/>
      <c r="B161" s="157" t="str">
        <f aca="false">IF(OR(E161=Report!$B$1, F161=Report!$B$1, G161=Report!$B$1, H161=Report!$B$1), D161, "")</f>
        <v/>
      </c>
      <c r="C161" s="158" t="b">
        <f aca="false">IFERROR(__xludf.dummyfunction("""COMPUTED_VALUE"""),FALSE())</f>
        <v>0</v>
      </c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55" t="n">
        <f aca="false">IFERROR(__xludf.dummyfunction("""COMPUTED_VALUE"""),100)</f>
        <v>100</v>
      </c>
      <c r="W161" s="155" t="n">
        <f aca="false">IFERROR(__xludf.dummyfunction("""COMPUTED_VALUE"""),0)</f>
        <v>0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customFormat="false" ht="15.75" hidden="false" customHeight="false" outlineLevel="0" collapsed="false">
      <c r="A162" s="1"/>
      <c r="B162" s="157" t="str">
        <f aca="false">IF(OR(E162=Report!$B$1, F162=Report!$B$1, G162=Report!$B$1, H162=Report!$B$1), D162, "")</f>
        <v/>
      </c>
      <c r="C162" s="158" t="b">
        <f aca="false">IFERROR(__xludf.dummyfunction("""COMPUTED_VALUE"""),FALSE())</f>
        <v>0</v>
      </c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55" t="n">
        <f aca="false">IFERROR(__xludf.dummyfunction("""COMPUTED_VALUE"""),100)</f>
        <v>100</v>
      </c>
      <c r="W162" s="155" t="n">
        <f aca="false">IFERROR(__xludf.dummyfunction("""COMPUTED_VALUE"""),0)</f>
        <v>0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customFormat="false" ht="15.75" hidden="false" customHeight="false" outlineLevel="0" collapsed="false">
      <c r="A163" s="1"/>
      <c r="B163" s="157" t="str">
        <f aca="false">IF(OR(E163=Report!$B$1, F163=Report!$B$1, G163=Report!$B$1, H163=Report!$B$1), D163, "")</f>
        <v/>
      </c>
      <c r="C163" s="158" t="b">
        <f aca="false">IFERROR(__xludf.dummyfunction("""COMPUTED_VALUE"""),FALSE())</f>
        <v>0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55" t="n">
        <f aca="false">IFERROR(__xludf.dummyfunction("""COMPUTED_VALUE"""),100)</f>
        <v>100</v>
      </c>
      <c r="W163" s="155" t="n">
        <f aca="false">IFERROR(__xludf.dummyfunction("""COMPUTED_VALUE"""),0)</f>
        <v>0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customFormat="false" ht="15.75" hidden="false" customHeight="false" outlineLevel="0" collapsed="false">
      <c r="A164" s="1"/>
      <c r="B164" s="157" t="str">
        <f aca="false">IF(OR(E164=Report!$B$1, F164=Report!$B$1, G164=Report!$B$1, H164=Report!$B$1), D164, "")</f>
        <v/>
      </c>
      <c r="C164" s="158" t="b">
        <f aca="false">IFERROR(__xludf.dummyfunction("""COMPUTED_VALUE"""),FALSE())</f>
        <v>0</v>
      </c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55" t="n">
        <f aca="false">IFERROR(__xludf.dummyfunction("""COMPUTED_VALUE"""),100)</f>
        <v>100</v>
      </c>
      <c r="W164" s="155" t="n">
        <f aca="false">IFERROR(__xludf.dummyfunction("""COMPUTED_VALUE"""),0)</f>
        <v>0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customFormat="false" ht="15.75" hidden="false" customHeight="false" outlineLevel="0" collapsed="false">
      <c r="A165" s="1"/>
      <c r="B165" s="157" t="str">
        <f aca="false">IF(OR(E165=Report!$B$1, F165=Report!$B$1, G165=Report!$B$1, H165=Report!$B$1), D165, "")</f>
        <v/>
      </c>
      <c r="C165" s="158" t="b">
        <f aca="false">IFERROR(__xludf.dummyfunction("""COMPUTED_VALUE"""),FALSE())</f>
        <v>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55" t="n">
        <f aca="false">IFERROR(__xludf.dummyfunction("""COMPUTED_VALUE"""),100)</f>
        <v>100</v>
      </c>
      <c r="W165" s="155" t="n">
        <f aca="false">IFERROR(__xludf.dummyfunction("""COMPUTED_VALUE"""),0)</f>
        <v>0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customFormat="false" ht="15.75" hidden="false" customHeight="false" outlineLevel="0" collapsed="false">
      <c r="A166" s="1"/>
      <c r="B166" s="157" t="str">
        <f aca="false">IF(OR(E166=Report!$B$1, F166=Report!$B$1, G166=Report!$B$1, H166=Report!$B$1), D166, "")</f>
        <v/>
      </c>
      <c r="C166" s="158" t="b">
        <f aca="false">IFERROR(__xludf.dummyfunction("""COMPUTED_VALUE"""),FALSE())</f>
        <v>0</v>
      </c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55" t="n">
        <f aca="false">IFERROR(__xludf.dummyfunction("""COMPUTED_VALUE"""),100)</f>
        <v>100</v>
      </c>
      <c r="W166" s="155" t="n">
        <f aca="false">IFERROR(__xludf.dummyfunction("""COMPUTED_VALUE"""),0)</f>
        <v>0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customFormat="false" ht="15.75" hidden="false" customHeight="false" outlineLevel="0" collapsed="false">
      <c r="A167" s="1"/>
      <c r="B167" s="157" t="str">
        <f aca="false">IF(OR(E167=Report!$B$1, F167=Report!$B$1, G167=Report!$B$1, H167=Report!$B$1), D167, "")</f>
        <v/>
      </c>
      <c r="C167" s="158" t="b">
        <f aca="false">IFERROR(__xludf.dummyfunction("""COMPUTED_VALUE"""),FALSE())</f>
        <v>0</v>
      </c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55" t="n">
        <f aca="false">IFERROR(__xludf.dummyfunction("""COMPUTED_VALUE"""),100)</f>
        <v>100</v>
      </c>
      <c r="W167" s="155" t="n">
        <f aca="false">IFERROR(__xludf.dummyfunction("""COMPUTED_VALUE"""),0)</f>
        <v>0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customFormat="false" ht="15.75" hidden="false" customHeight="false" outlineLevel="0" collapsed="false">
      <c r="A168" s="1"/>
      <c r="B168" s="157" t="str">
        <f aca="false">IF(OR(E168=Report!$B$1, F168=Report!$B$1, G168=Report!$B$1, H168=Report!$B$1), D168, "")</f>
        <v/>
      </c>
      <c r="C168" s="158" t="b">
        <f aca="false">IFERROR(__xludf.dummyfunction("""COMPUTED_VALUE"""),FALSE())</f>
        <v>0</v>
      </c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55" t="n">
        <f aca="false">IFERROR(__xludf.dummyfunction("""COMPUTED_VALUE"""),100)</f>
        <v>100</v>
      </c>
      <c r="W168" s="155" t="n">
        <f aca="false">IFERROR(__xludf.dummyfunction("""COMPUTED_VALUE"""),0)</f>
        <v>0</v>
      </c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customFormat="false" ht="15.75" hidden="false" customHeight="false" outlineLevel="0" collapsed="false">
      <c r="A169" s="1"/>
      <c r="B169" s="157" t="str">
        <f aca="false">IF(OR(E169=Report!$B$1, F169=Report!$B$1, G169=Report!$B$1, H169=Report!$B$1), D169, "")</f>
        <v/>
      </c>
      <c r="C169" s="158" t="b">
        <f aca="false">IFERROR(__xludf.dummyfunction("""COMPUTED_VALUE"""),FALSE())</f>
        <v>0</v>
      </c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55" t="n">
        <f aca="false">IFERROR(__xludf.dummyfunction("""COMPUTED_VALUE"""),100)</f>
        <v>100</v>
      </c>
      <c r="W169" s="155" t="n">
        <f aca="false">IFERROR(__xludf.dummyfunction("""COMPUTED_VALUE"""),0)</f>
        <v>0</v>
      </c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customFormat="false" ht="15.75" hidden="false" customHeight="false" outlineLevel="0" collapsed="false">
      <c r="A170" s="1"/>
      <c r="B170" s="157" t="str">
        <f aca="false">IF(OR(E170=Report!$B$1, F170=Report!$B$1, G170=Report!$B$1, H170=Report!$B$1), D170, "")</f>
        <v/>
      </c>
      <c r="C170" s="158" t="b">
        <f aca="false">IFERROR(__xludf.dummyfunction("""COMPUTED_VALUE"""),FALSE())</f>
        <v>0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55" t="n">
        <f aca="false">IFERROR(__xludf.dummyfunction("""COMPUTED_VALUE"""),100)</f>
        <v>100</v>
      </c>
      <c r="W170" s="155" t="n">
        <f aca="false">IFERROR(__xludf.dummyfunction("""COMPUTED_VALUE"""),0)</f>
        <v>0</v>
      </c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customFormat="false" ht="15.75" hidden="false" customHeight="false" outlineLevel="0" collapsed="false">
      <c r="A171" s="1"/>
      <c r="B171" s="157" t="str">
        <f aca="false">IF(OR(E171=Report!$B$1, F171=Report!$B$1, G171=Report!$B$1, H171=Report!$B$1), D171, "")</f>
        <v/>
      </c>
      <c r="C171" s="158" t="b">
        <f aca="false">IFERROR(__xludf.dummyfunction("""COMPUTED_VALUE"""),FALSE())</f>
        <v>0</v>
      </c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55" t="n">
        <f aca="false">IFERROR(__xludf.dummyfunction("""COMPUTED_VALUE"""),100)</f>
        <v>100</v>
      </c>
      <c r="W171" s="155" t="n">
        <f aca="false">IFERROR(__xludf.dummyfunction("""COMPUTED_VALUE"""),0)</f>
        <v>0</v>
      </c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customFormat="false" ht="15.75" hidden="false" customHeight="false" outlineLevel="0" collapsed="false">
      <c r="A172" s="1"/>
      <c r="B172" s="157" t="str">
        <f aca="false">IF(OR(E172=Report!$B$1, F172=Report!$B$1, G172=Report!$B$1, H172=Report!$B$1), D172, "")</f>
        <v/>
      </c>
      <c r="C172" s="158" t="b">
        <f aca="false">IFERROR(__xludf.dummyfunction("""COMPUTED_VALUE"""),FALSE())</f>
        <v>0</v>
      </c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55" t="n">
        <f aca="false">IFERROR(__xludf.dummyfunction("""COMPUTED_VALUE"""),100)</f>
        <v>100</v>
      </c>
      <c r="W172" s="155" t="n">
        <f aca="false">IFERROR(__xludf.dummyfunction("""COMPUTED_VALUE"""),0)</f>
        <v>0</v>
      </c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customFormat="false" ht="15.75" hidden="false" customHeight="false" outlineLevel="0" collapsed="false">
      <c r="A173" s="1"/>
      <c r="B173" s="157" t="str">
        <f aca="false">IF(OR(E173=Report!$B$1, F173=Report!$B$1, G173=Report!$B$1, H173=Report!$B$1), D173, "")</f>
        <v/>
      </c>
      <c r="C173" s="158" t="b">
        <f aca="false">IFERROR(__xludf.dummyfunction("""COMPUTED_VALUE"""),FALSE())</f>
        <v>0</v>
      </c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55" t="n">
        <f aca="false">IFERROR(__xludf.dummyfunction("""COMPUTED_VALUE"""),100)</f>
        <v>100</v>
      </c>
      <c r="W173" s="155" t="n">
        <f aca="false">IFERROR(__xludf.dummyfunction("""COMPUTED_VALUE"""),0)</f>
        <v>0</v>
      </c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customFormat="false" ht="15.75" hidden="false" customHeight="false" outlineLevel="0" collapsed="false">
      <c r="A174" s="1"/>
      <c r="B174" s="157" t="str">
        <f aca="false">IF(OR(E174=Report!$B$1, F174=Report!$B$1, G174=Report!$B$1, H174=Report!$B$1), D174, "")</f>
        <v/>
      </c>
      <c r="C174" s="158" t="b">
        <f aca="false">IFERROR(__xludf.dummyfunction("""COMPUTED_VALUE"""),FALSE())</f>
        <v>0</v>
      </c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55" t="n">
        <f aca="false">IFERROR(__xludf.dummyfunction("""COMPUTED_VALUE"""),100)</f>
        <v>100</v>
      </c>
      <c r="W174" s="155" t="n">
        <f aca="false">IFERROR(__xludf.dummyfunction("""COMPUTED_VALUE"""),0)</f>
        <v>0</v>
      </c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customFormat="false" ht="15.75" hidden="false" customHeight="false" outlineLevel="0" collapsed="false">
      <c r="A175" s="1"/>
      <c r="B175" s="157" t="str">
        <f aca="false">IF(OR(E175=Report!$B$1, F175=Report!$B$1, G175=Report!$B$1, H175=Report!$B$1), D175, "")</f>
        <v/>
      </c>
      <c r="C175" s="158" t="b">
        <f aca="false">IFERROR(__xludf.dummyfunction("""COMPUTED_VALUE"""),FALSE())</f>
        <v>0</v>
      </c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55" t="n">
        <f aca="false">IFERROR(__xludf.dummyfunction("""COMPUTED_VALUE"""),100)</f>
        <v>100</v>
      </c>
      <c r="W175" s="155" t="n">
        <f aca="false">IFERROR(__xludf.dummyfunction("""COMPUTED_VALUE"""),0)</f>
        <v>0</v>
      </c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customFormat="false" ht="15.75" hidden="false" customHeight="false" outlineLevel="0" collapsed="false">
      <c r="A176" s="1"/>
      <c r="B176" s="157" t="str">
        <f aca="false">IF(OR(E176=Report!$B$1, F176=Report!$B$1, G176=Report!$B$1, H176=Report!$B$1), D176, "")</f>
        <v/>
      </c>
      <c r="C176" s="158" t="b">
        <f aca="false">IFERROR(__xludf.dummyfunction("""COMPUTED_VALUE"""),FALSE())</f>
        <v>0</v>
      </c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55" t="n">
        <f aca="false">IFERROR(__xludf.dummyfunction("""COMPUTED_VALUE"""),100)</f>
        <v>100</v>
      </c>
      <c r="W176" s="155" t="n">
        <f aca="false">IFERROR(__xludf.dummyfunction("""COMPUTED_VALUE"""),0)</f>
        <v>0</v>
      </c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customFormat="false" ht="15.75" hidden="false" customHeight="false" outlineLevel="0" collapsed="false">
      <c r="A177" s="1"/>
      <c r="B177" s="157" t="str">
        <f aca="false">IF(OR(E177=Report!$B$1, F177=Report!$B$1, G177=Report!$B$1, H177=Report!$B$1), D177, "")</f>
        <v/>
      </c>
      <c r="C177" s="158" t="b">
        <f aca="false">IFERROR(__xludf.dummyfunction("""COMPUTED_VALUE"""),FALSE())</f>
        <v>0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55" t="n">
        <f aca="false">IFERROR(__xludf.dummyfunction("""COMPUTED_VALUE"""),100)</f>
        <v>100</v>
      </c>
      <c r="W177" s="155" t="n">
        <f aca="false">IFERROR(__xludf.dummyfunction("""COMPUTED_VALUE"""),0)</f>
        <v>0</v>
      </c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customFormat="false" ht="15.75" hidden="false" customHeight="false" outlineLevel="0" collapsed="false">
      <c r="A178" s="1"/>
      <c r="B178" s="157" t="str">
        <f aca="false">IF(OR(E178=Report!$B$1, F178=Report!$B$1, G178=Report!$B$1, H178=Report!$B$1), D178, "")</f>
        <v/>
      </c>
      <c r="C178" s="158" t="b">
        <f aca="false">IFERROR(__xludf.dummyfunction("""COMPUTED_VALUE"""),FALSE())</f>
        <v>0</v>
      </c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55" t="n">
        <f aca="false">IFERROR(__xludf.dummyfunction("""COMPUTED_VALUE"""),100)</f>
        <v>100</v>
      </c>
      <c r="W178" s="155" t="n">
        <f aca="false">IFERROR(__xludf.dummyfunction("""COMPUTED_VALUE"""),0)</f>
        <v>0</v>
      </c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customFormat="false" ht="15.75" hidden="false" customHeight="false" outlineLevel="0" collapsed="false">
      <c r="A179" s="1"/>
      <c r="B179" s="157" t="str">
        <f aca="false">IF(OR(E179=Report!$B$1, F179=Report!$B$1, G179=Report!$B$1, H179=Report!$B$1), D179, "")</f>
        <v/>
      </c>
      <c r="C179" s="158" t="b">
        <f aca="false">IFERROR(__xludf.dummyfunction("""COMPUTED_VALUE"""),FALSE())</f>
        <v>0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55" t="n">
        <f aca="false">IFERROR(__xludf.dummyfunction("""COMPUTED_VALUE"""),100)</f>
        <v>100</v>
      </c>
      <c r="W179" s="155" t="n">
        <f aca="false">IFERROR(__xludf.dummyfunction("""COMPUTED_VALUE"""),0)</f>
        <v>0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customFormat="false" ht="15.75" hidden="false" customHeight="false" outlineLevel="0" collapsed="false">
      <c r="A180" s="1"/>
      <c r="B180" s="1"/>
      <c r="C180" s="158" t="b">
        <f aca="false">IFERROR(__xludf.dummyfunction("""COMPUTED_VALUE"""),FALSE())</f>
        <v>0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55" t="n">
        <f aca="false">IFERROR(__xludf.dummyfunction("""COMPUTED_VALUE"""),100)</f>
        <v>100</v>
      </c>
      <c r="W180" s="155" t="n">
        <f aca="false">IFERROR(__xludf.dummyfunction("""COMPUTED_VALUE"""),0)</f>
        <v>0</v>
      </c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customFormat="false" ht="15.75" hidden="false" customHeight="false" outlineLevel="0" collapsed="false">
      <c r="A181" s="1"/>
      <c r="B181" s="1"/>
      <c r="C181" s="158" t="b">
        <f aca="false">IFERROR(__xludf.dummyfunction("""COMPUTED_VALUE"""),FALSE())</f>
        <v>0</v>
      </c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55" t="n">
        <f aca="false">IFERROR(__xludf.dummyfunction("""COMPUTED_VALUE"""),100)</f>
        <v>100</v>
      </c>
      <c r="W181" s="155" t="n">
        <f aca="false">IFERROR(__xludf.dummyfunction("""COMPUTED_VALUE"""),0)</f>
        <v>0</v>
      </c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customFormat="false" ht="15.75" hidden="false" customHeight="false" outlineLevel="0" collapsed="false">
      <c r="A182" s="1"/>
      <c r="B182" s="1"/>
      <c r="C182" s="158" t="b">
        <f aca="false">IFERROR(__xludf.dummyfunction("""COMPUTED_VALUE"""),FALSE())</f>
        <v>0</v>
      </c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55" t="n">
        <f aca="false">IFERROR(__xludf.dummyfunction("""COMPUTED_VALUE"""),100)</f>
        <v>100</v>
      </c>
      <c r="W182" s="155" t="n">
        <f aca="false">IFERROR(__xludf.dummyfunction("""COMPUTED_VALUE"""),0)</f>
        <v>0</v>
      </c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customFormat="false" ht="15.75" hidden="false" customHeight="false" outlineLevel="0" collapsed="false">
      <c r="A183" s="1"/>
      <c r="B183" s="1"/>
      <c r="C183" s="158" t="b">
        <f aca="false">IFERROR(__xludf.dummyfunction("""COMPUTED_VALUE"""),FALSE())</f>
        <v>0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55" t="n">
        <f aca="false">IFERROR(__xludf.dummyfunction("""COMPUTED_VALUE"""),100)</f>
        <v>100</v>
      </c>
      <c r="W183" s="155" t="n">
        <f aca="false">IFERROR(__xludf.dummyfunction("""COMPUTED_VALUE"""),0)</f>
        <v>0</v>
      </c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customFormat="false" ht="15.75" hidden="false" customHeight="false" outlineLevel="0" collapsed="false">
      <c r="A184" s="1"/>
      <c r="B184" s="1"/>
      <c r="C184" s="158" t="b">
        <f aca="false">IFERROR(__xludf.dummyfunction("""COMPUTED_VALUE"""),FALSE())</f>
        <v>0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55" t="n">
        <f aca="false">IFERROR(__xludf.dummyfunction("""COMPUTED_VALUE"""),100)</f>
        <v>100</v>
      </c>
      <c r="W184" s="155" t="n">
        <f aca="false">IFERROR(__xludf.dummyfunction("""COMPUTED_VALUE"""),0)</f>
        <v>0</v>
      </c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customFormat="false" ht="15.75" hidden="false" customHeight="false" outlineLevel="0" collapsed="false">
      <c r="A185" s="1"/>
      <c r="B185" s="1"/>
      <c r="C185" s="158" t="b">
        <f aca="false">IFERROR(__xludf.dummyfunction("""COMPUTED_VALUE"""),FALSE())</f>
        <v>0</v>
      </c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55" t="n">
        <f aca="false">IFERROR(__xludf.dummyfunction("""COMPUTED_VALUE"""),100)</f>
        <v>100</v>
      </c>
      <c r="W185" s="155" t="n">
        <f aca="false">IFERROR(__xludf.dummyfunction("""COMPUTED_VALUE"""),0)</f>
        <v>0</v>
      </c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customFormat="false" ht="15.75" hidden="false" customHeight="false" outlineLevel="0" collapsed="false">
      <c r="A186" s="1"/>
      <c r="B186" s="1"/>
      <c r="C186" s="158" t="b">
        <f aca="false">IFERROR(__xludf.dummyfunction("""COMPUTED_VALUE"""),FALSE())</f>
        <v>0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55" t="n">
        <f aca="false">IFERROR(__xludf.dummyfunction("""COMPUTED_VALUE"""),100)</f>
        <v>100</v>
      </c>
      <c r="W186" s="155" t="n">
        <f aca="false">IFERROR(__xludf.dummyfunction("""COMPUTED_VALUE"""),0)</f>
        <v>0</v>
      </c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customFormat="false" ht="15.75" hidden="false" customHeight="false" outlineLevel="0" collapsed="false">
      <c r="A187" s="1"/>
      <c r="B187" s="1"/>
      <c r="C187" s="158" t="b">
        <f aca="false">IFERROR(__xludf.dummyfunction("""COMPUTED_VALUE"""),FALSE())</f>
        <v>0</v>
      </c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55" t="n">
        <f aca="false">IFERROR(__xludf.dummyfunction("""COMPUTED_VALUE"""),100)</f>
        <v>100</v>
      </c>
      <c r="W187" s="155" t="n">
        <f aca="false">IFERROR(__xludf.dummyfunction("""COMPUTED_VALUE"""),0)</f>
        <v>0</v>
      </c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customFormat="false" ht="15.75" hidden="false" customHeight="false" outlineLevel="0" collapsed="false">
      <c r="A188" s="1"/>
      <c r="B188" s="1"/>
      <c r="C188" s="158" t="b">
        <f aca="false">IFERROR(__xludf.dummyfunction("""COMPUTED_VALUE"""),FALSE())</f>
        <v>0</v>
      </c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55" t="n">
        <f aca="false">IFERROR(__xludf.dummyfunction("""COMPUTED_VALUE"""),100)</f>
        <v>100</v>
      </c>
      <c r="W188" s="155" t="n">
        <f aca="false">IFERROR(__xludf.dummyfunction("""COMPUTED_VALUE"""),0)</f>
        <v>0</v>
      </c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customFormat="false" ht="15.75" hidden="false" customHeight="false" outlineLevel="0" collapsed="false">
      <c r="A189" s="1"/>
      <c r="B189" s="1"/>
      <c r="C189" s="158" t="b">
        <f aca="false">IFERROR(__xludf.dummyfunction("""COMPUTED_VALUE"""),FALSE())</f>
        <v>0</v>
      </c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55" t="n">
        <f aca="false">IFERROR(__xludf.dummyfunction("""COMPUTED_VALUE"""),100)</f>
        <v>100</v>
      </c>
      <c r="W189" s="155" t="n">
        <f aca="false">IFERROR(__xludf.dummyfunction("""COMPUTED_VALUE"""),0)</f>
        <v>0</v>
      </c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customFormat="false" ht="15.75" hidden="false" customHeight="false" outlineLevel="0" collapsed="false">
      <c r="A190" s="1"/>
      <c r="B190" s="1"/>
      <c r="C190" s="158" t="b">
        <f aca="false">IFERROR(__xludf.dummyfunction("""COMPUTED_VALUE"""),FALSE())</f>
        <v>0</v>
      </c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55" t="n">
        <f aca="false">IFERROR(__xludf.dummyfunction("""COMPUTED_VALUE"""),100)</f>
        <v>100</v>
      </c>
      <c r="W190" s="155" t="n">
        <f aca="false">IFERROR(__xludf.dummyfunction("""COMPUTED_VALUE"""),0)</f>
        <v>0</v>
      </c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customFormat="false" ht="15.75" hidden="false" customHeight="false" outlineLevel="0" collapsed="false">
      <c r="A191" s="1"/>
      <c r="B191" s="1"/>
      <c r="C191" s="158" t="b">
        <f aca="false">IFERROR(__xludf.dummyfunction("""COMPUTED_VALUE"""),FALSE())</f>
        <v>0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55" t="n">
        <f aca="false">IFERROR(__xludf.dummyfunction("""COMPUTED_VALUE"""),100)</f>
        <v>100</v>
      </c>
      <c r="W191" s="155" t="n">
        <f aca="false">IFERROR(__xludf.dummyfunction("""COMPUTED_VALUE"""),0)</f>
        <v>0</v>
      </c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customFormat="false" ht="15.75" hidden="false" customHeight="false" outlineLevel="0" collapsed="false">
      <c r="A192" s="1"/>
      <c r="B192" s="1"/>
      <c r="C192" s="158" t="b">
        <f aca="false">IFERROR(__xludf.dummyfunction("""COMPUTED_VALUE"""),FALSE())</f>
        <v>0</v>
      </c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55" t="n">
        <f aca="false">IFERROR(__xludf.dummyfunction("""COMPUTED_VALUE"""),0)</f>
        <v>0</v>
      </c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customFormat="false" ht="15.75" hidden="false" customHeight="false" outlineLevel="0" collapsed="false">
      <c r="A193" s="1"/>
      <c r="B193" s="1"/>
      <c r="C193" s="158" t="b">
        <f aca="false">IFERROR(__xludf.dummyfunction("""COMPUTED_VALUE"""),FALSE())</f>
        <v>0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55" t="n">
        <f aca="false">IFERROR(__xludf.dummyfunction("""COMPUTED_VALUE"""),0)</f>
        <v>0</v>
      </c>
      <c r="W193" s="155" t="n">
        <f aca="false">IFERROR(__xludf.dummyfunction("""COMPUTED_VALUE"""),0)</f>
        <v>0</v>
      </c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customFormat="false" ht="15.75" hidden="false" customHeight="false" outlineLevel="0" collapsed="false">
      <c r="A194" s="1"/>
      <c r="B194" s="1"/>
      <c r="C194" s="1"/>
      <c r="D194" s="1" t="str">
        <f aca="false">IFERROR(__xludf.dummyfunction("""COMPUTED_VALUE"""),"End")</f>
        <v>End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55" t="n">
        <f aca="false">IFERROR(__xludf.dummyfunction("""COMPUTED_VALUE"""),0)</f>
        <v>0</v>
      </c>
      <c r="W194" s="155" t="n">
        <f aca="false">IFERROR(__xludf.dummyfunction("""COMPUTED_VALUE"""),0)</f>
        <v>0</v>
      </c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customFormat="false" ht="15.75" hidden="false" customHeight="false" outlineLevel="0" collapsed="false">
      <c r="A195" s="1"/>
      <c r="B195" s="1"/>
      <c r="C195" s="1"/>
      <c r="D195" s="1" t="str">
        <f aca="false">IFERROR(__xludf.dummyfunction("""COMPUTED_VALUE"""),"Celkem kurýr")</f>
        <v>Celkem kurýr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55" t="n">
        <f aca="false">IFERROR(__xludf.dummyfunction("""COMPUTED_VALUE"""),0)</f>
        <v>0</v>
      </c>
      <c r="W195" s="155" t="n">
        <f aca="false">IFERROR(__xludf.dummyfunction("""COMPUTED_VALUE"""),0)</f>
        <v>0</v>
      </c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customFormat="false" ht="15.75" hidden="false" customHeight="false" outlineLevel="0" collapsed="false">
      <c r="A196" s="1"/>
      <c r="B196" s="1"/>
      <c r="C196" s="1"/>
      <c r="D196" s="1" t="str">
        <f aca="false">IFERROR(__xludf.dummyfunction("""COMPUTED_VALUE"""),"Celkem inst + kurýr")</f>
        <v>Celkem inst + kurýr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55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customFormat="false" ht="15.75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55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customFormat="false" ht="15.75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55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customFormat="false" ht="15.75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55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customFormat="false" ht="15.75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55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customFormat="false" ht="15.75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55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customFormat="false" ht="15.75" hidden="false" customHeight="fals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55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customFormat="false" ht="15.75" hidden="false" customHeight="fals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55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customFormat="false" ht="15.75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55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customFormat="false" ht="15.75" hidden="false" customHeight="fals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55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customFormat="false" ht="15.75" hidden="false" customHeight="fals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55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customFormat="false" ht="15.75" hidden="false" customHeight="fals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55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customFormat="false" ht="15.75" hidden="false" customHeight="fals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55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customFormat="false" ht="15.75" hidden="false" customHeight="fals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55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customFormat="false" ht="15.75" hidden="false" customHeight="fals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55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customFormat="false" ht="15.75" hidden="false" customHeight="fals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55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customFormat="false" ht="15.75" hidden="false" customHeight="fals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55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customFormat="false" ht="15.75" hidden="false" customHeight="fals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55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customFormat="false" ht="15.75" hidden="false" customHeight="fals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55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customFormat="false" ht="15.75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55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customFormat="false" ht="15.75" hidden="false" customHeight="fals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55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customFormat="false" ht="15.75" hidden="false" customHeight="fals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55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customFormat="false" ht="15.75" hidden="false" customHeight="fals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55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customFormat="false" ht="15.75" hidden="false" customHeight="fals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55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customFormat="false" ht="15.75" hidden="false" customHeight="fals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55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customFormat="false" ht="15.75" hidden="false" customHeight="fals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55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customFormat="false" ht="15.75" hidden="false" customHeight="fals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55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customFormat="false" ht="15.75" hidden="false" customHeight="fals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55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customFormat="false" ht="15.75" hidden="false" customHeight="fals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55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customFormat="false" ht="15.75" hidden="false" customHeight="fals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55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customFormat="false" ht="15.75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55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customFormat="false" ht="15.75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55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customFormat="false" ht="15.75" hidden="false" customHeight="fals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55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customFormat="false" ht="15.75" hidden="false" customHeight="fals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55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customFormat="false" ht="15.75" hidden="false" customHeight="fals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55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customFormat="false" ht="15.75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55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customFormat="false" ht="15.75" hidden="false" customHeight="fals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55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customFormat="false" ht="15.75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55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customFormat="false" ht="15.75" hidden="false" customHeight="fals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55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customFormat="false" ht="15.75" hidden="false" customHeight="fals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55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customFormat="false" ht="15.75" hidden="false" customHeight="fals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55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customFormat="false" ht="15.75" hidden="false" customHeight="fals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55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customFormat="false" ht="15.75" hidden="false" customHeight="fals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55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customFormat="false" ht="15.75" hidden="false" customHeight="fals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55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customFormat="false" ht="15.75" hidden="false" customHeight="fals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55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customFormat="false" ht="15.75" hidden="false" customHeight="fals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55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customFormat="false" ht="15.75" hidden="false" customHeight="fals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55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customFormat="false" ht="15.75" hidden="false" customHeight="fals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55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customFormat="false" ht="15.75" hidden="false" customHeight="fals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55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customFormat="false" ht="15.75" hidden="false" customHeight="fals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55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customFormat="false" ht="15.75" hidden="false" customHeight="fals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55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customFormat="false" ht="15.75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55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customFormat="false" ht="15.75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55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customFormat="false" ht="15.75" hidden="false" customHeight="fals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55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customFormat="false" ht="15.75" hidden="false" customHeight="fals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55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customFormat="false" ht="15.75" hidden="false" customHeight="fals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55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customFormat="false" ht="15.75" hidden="false" customHeight="fals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55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customFormat="false" ht="15.75" hidden="false" customHeight="fals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55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customFormat="false" ht="15.75" hidden="false" customHeight="fals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55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customFormat="false" ht="15.75" hidden="false" customHeight="fals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55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customFormat="false" ht="15.75" hidden="false" customHeight="fals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55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customFormat="false" ht="15.75" hidden="false" customHeight="fals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55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customFormat="false" ht="15.75" hidden="false" customHeight="fals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55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customFormat="false" ht="15.75" hidden="false" customHeight="fals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55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customFormat="false" ht="15.75" hidden="false" customHeight="fals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55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customFormat="false" ht="15.75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55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customFormat="false" ht="15.75" hidden="false" customHeight="fals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55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customFormat="false" ht="15.75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55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customFormat="false" ht="15.75" hidden="false" customHeight="fals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55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customFormat="false" ht="15.75" hidden="false" customHeight="fals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55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customFormat="false" ht="15.75" hidden="false" customHeight="fals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55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customFormat="false" ht="15.75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55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customFormat="false" ht="15.75" hidden="false" customHeight="fals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55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customFormat="false" ht="15.75" hidden="false" customHeight="fals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55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customFormat="false" ht="15.75" hidden="false" customHeight="fals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55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customFormat="false" ht="15.75" hidden="false" customHeight="fals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55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customFormat="false" ht="15.75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55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customFormat="false" ht="15.75" hidden="false" customHeight="fals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55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customFormat="false" ht="15.75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55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customFormat="false" ht="15.75" hidden="false" customHeight="fals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55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customFormat="false" ht="15.75" hidden="false" customHeight="fals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55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customFormat="false" ht="15.75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55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customFormat="false" ht="15.75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55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customFormat="false" ht="15.75" hidden="false" customHeight="fals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55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customFormat="false" ht="15.75" hidden="false" customHeight="fals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55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customFormat="false" ht="15.75" hidden="false" customHeight="fals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55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customFormat="false" ht="15.75" hidden="false" customHeight="fals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55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customFormat="false" ht="15.75" hidden="false" customHeight="fals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55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customFormat="false" ht="15.75" hidden="false" customHeight="fals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55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customFormat="false" ht="15.75" hidden="false" customHeight="fals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55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customFormat="false" ht="15.75" hidden="false" customHeight="fals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55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customFormat="false" ht="15.75" hidden="false" customHeight="fals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55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customFormat="false" ht="15.75" hidden="false" customHeight="fals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55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customFormat="false" ht="15.75" hidden="false" customHeight="fals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55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customFormat="false" ht="15.75" hidden="false" customHeight="fals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55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customFormat="false" ht="15.75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55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customFormat="false" ht="15.75" hidden="false" customHeight="fals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55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customFormat="false" ht="15.75" hidden="false" customHeight="fals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55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customFormat="false" ht="15.75" hidden="false" customHeight="fals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55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customFormat="false" ht="15.75" hidden="false" customHeight="fals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55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customFormat="false" ht="15.75" hidden="false" customHeight="fals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55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customFormat="false" ht="15.75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55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customFormat="false" ht="15.75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55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customFormat="false" ht="15.75" hidden="false" customHeight="fals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55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customFormat="false" ht="15.75" hidden="false" customHeight="fals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55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customFormat="false" ht="15.75" hidden="false" customHeight="fals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55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customFormat="false" ht="15.75" hidden="false" customHeight="fals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55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customFormat="false" ht="15.75" hidden="false" customHeight="fals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55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customFormat="false" ht="15.75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55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customFormat="false" ht="15.75" hidden="false" customHeight="fals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55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customFormat="false" ht="15.75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55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customFormat="false" ht="15.75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55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customFormat="false" ht="15.75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55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customFormat="false" ht="15.75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55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customFormat="false" ht="15.75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55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customFormat="false" ht="15.75" hidden="false" customHeight="fals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55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customFormat="false" ht="15.75" hidden="false" customHeight="fals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55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customFormat="false" ht="15.75" hidden="false" customHeight="fals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55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customFormat="false" ht="15.75" hidden="false" customHeight="fals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55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customFormat="false" ht="15.75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55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customFormat="false" ht="15.75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55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customFormat="false" ht="15.75" hidden="false" customHeight="fals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55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customFormat="false" ht="15.75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55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customFormat="false" ht="15.75" hidden="false" customHeight="fals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55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customFormat="false" ht="15.75" hidden="false" customHeight="fals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55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customFormat="false" ht="15.75" hidden="false" customHeight="fals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55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customFormat="false" ht="15.75" hidden="false" customHeight="fals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55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customFormat="false" ht="15.75" hidden="false" customHeight="fals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55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customFormat="false" ht="15.75" hidden="false" customHeight="fals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55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customFormat="false" ht="15.75" hidden="false" customHeight="fals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55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customFormat="false" ht="15.75" hidden="false" customHeight="fals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55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customFormat="false" ht="15.75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55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customFormat="false" ht="15.75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55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customFormat="false" ht="15.75" hidden="false" customHeight="fals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55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customFormat="false" ht="15.75" hidden="false" customHeight="fals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55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customFormat="false" ht="15.75" hidden="false" customHeight="fals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55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customFormat="false" ht="15.75" hidden="false" customHeight="fals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55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customFormat="false" ht="15.75" hidden="false" customHeight="fals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55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customFormat="false" ht="15.75" hidden="false" customHeight="fals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55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customFormat="false" ht="15.75" hidden="false" customHeight="fals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55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customFormat="false" ht="15.75" hidden="false" customHeight="fals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55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customFormat="false" ht="15.75" hidden="false" customHeight="fals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55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customFormat="false" ht="15.75" hidden="false" customHeight="fals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55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customFormat="false" ht="15.75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55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customFormat="false" ht="15.75" hidden="false" customHeight="fals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55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customFormat="false" ht="15.75" hidden="false" customHeight="fals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55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customFormat="false" ht="15.75" hidden="false" customHeight="fals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55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customFormat="false" ht="15.75" hidden="false" customHeight="fals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55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customFormat="false" ht="15.75" hidden="false" customHeight="fals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55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customFormat="false" ht="15.75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55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customFormat="false" ht="15.75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55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customFormat="false" ht="15.75" hidden="false" customHeight="fals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55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customFormat="false" ht="15.75" hidden="false" customHeight="fals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55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customFormat="false" ht="15.75" hidden="false" customHeight="fals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55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customFormat="false" ht="15.75" hidden="false" customHeight="fals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55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customFormat="false" ht="15.75" hidden="false" customHeight="fals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55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customFormat="false" ht="15.75" hidden="false" customHeight="fals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55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customFormat="false" ht="15.75" hidden="false" customHeight="fals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55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customFormat="false" ht="15.75" hidden="false" customHeight="fals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55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customFormat="false" ht="15.75" hidden="false" customHeight="fals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55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customFormat="false" ht="15.75" hidden="false" customHeight="fals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55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customFormat="false" ht="15.75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55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customFormat="false" ht="15.75" hidden="false" customHeight="fals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55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customFormat="false" ht="15.75" hidden="false" customHeight="fals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55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customFormat="false" ht="15.75" hidden="false" customHeight="fals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55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customFormat="false" ht="15.75" hidden="false" customHeight="fals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55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customFormat="false" ht="15.75" hidden="false" customHeight="fals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55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customFormat="false" ht="15.75" hidden="false" customHeight="fals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55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customFormat="false" ht="15.75" hidden="false" customHeight="fals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55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customFormat="false" ht="15.75" hidden="false" customHeight="fals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55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customFormat="false" ht="15.75" hidden="false" customHeight="fals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55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customFormat="false" ht="15.75" hidden="false" customHeight="fals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55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customFormat="false" ht="15.75" hidden="false" customHeight="fals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55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customFormat="false" ht="15.75" hidden="false" customHeight="fals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55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customFormat="false" ht="15.75" hidden="false" customHeight="fals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55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customFormat="false" ht="15.75" hidden="false" customHeight="fals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55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customFormat="false" ht="15.75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55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customFormat="false" ht="15.75" hidden="false" customHeight="fals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55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customFormat="false" ht="15.75" hidden="false" customHeight="fals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55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customFormat="false" ht="15.75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55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customFormat="false" ht="15.75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55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customFormat="false" ht="15.75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55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customFormat="false" ht="15.75" hidden="false" customHeight="fals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55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customFormat="false" ht="15.75" hidden="false" customHeight="fals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55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customFormat="false" ht="15.75" hidden="false" customHeight="fals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55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customFormat="false" ht="15.75" hidden="false" customHeight="fals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55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customFormat="false" ht="15.75" hidden="false" customHeight="fals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55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customFormat="false" ht="15.75" hidden="false" customHeight="fals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55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customFormat="false" ht="15.75" hidden="false" customHeight="fals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55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customFormat="false" ht="15.75" hidden="false" customHeight="fals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55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customFormat="false" ht="15.75" hidden="false" customHeight="fals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55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customFormat="false" ht="15.75" hidden="false" customHeight="fals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55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customFormat="false" ht="15.75" hidden="false" customHeight="fals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55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customFormat="false" ht="15.75" hidden="false" customHeight="fals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55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customFormat="false" ht="15.75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55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customFormat="false" ht="15.75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55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customFormat="false" ht="15.75" hidden="false" customHeight="fals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55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customFormat="false" ht="15.75" hidden="false" customHeight="fals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55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customFormat="false" ht="15.75" hidden="false" customHeight="fals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55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customFormat="false" ht="15.75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55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customFormat="false" ht="15.75" hidden="false" customHeight="fals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55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customFormat="false" ht="15.75" hidden="false" customHeight="fals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55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customFormat="false" ht="15.75" hidden="false" customHeight="fals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55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customFormat="false" ht="15.75" hidden="false" customHeight="fals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55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customFormat="false" ht="15.75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55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customFormat="false" ht="15.75" hidden="false" customHeight="fals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55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customFormat="false" ht="15.75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55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customFormat="false" ht="15.75" hidden="false" customHeight="fals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55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customFormat="false" ht="15.75" hidden="false" customHeight="fals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55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customFormat="false" ht="15.75" hidden="false" customHeight="fals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55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customFormat="false" ht="15.75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55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customFormat="false" ht="15.75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55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customFormat="false" ht="15.75" hidden="false" customHeight="fals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55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customFormat="false" ht="15.75" hidden="false" customHeight="fals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55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customFormat="false" ht="15.75" hidden="false" customHeight="fals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55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customFormat="false" ht="15.75" hidden="false" customHeight="fals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55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customFormat="false" ht="15.75" hidden="false" customHeight="fals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55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customFormat="false" ht="15.75" hidden="false" customHeight="fals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55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customFormat="false" ht="15.75" hidden="false" customHeight="fals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55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customFormat="false" ht="15.75" hidden="false" customHeight="fals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55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customFormat="false" ht="15.75" hidden="false" customHeight="fals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55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customFormat="false" ht="15.75" hidden="false" customHeight="fals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55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customFormat="false" ht="15.75" hidden="false" customHeight="fals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55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customFormat="false" ht="15.75" hidden="false" customHeight="fals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55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  <row r="420" customFormat="false" ht="15.75" hidden="false" customHeight="fals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55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</row>
    <row r="421" customFormat="false" ht="15.75" hidden="false" customHeight="fals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55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</row>
    <row r="422" customFormat="false" ht="15.75" hidden="false" customHeight="fals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55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</row>
    <row r="423" customFormat="false" ht="15.75" hidden="false" customHeight="fals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55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</row>
    <row r="424" customFormat="false" ht="15.75" hidden="false" customHeight="fals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55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</row>
    <row r="425" customFormat="false" ht="15.75" hidden="false" customHeight="fals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55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</row>
    <row r="426" customFormat="false" ht="15.75" hidden="false" customHeight="fals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55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</row>
    <row r="427" customFormat="false" ht="15.75" hidden="false" customHeight="fals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55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</row>
    <row r="428" customFormat="false" ht="15.75" hidden="false" customHeight="fals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55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</row>
    <row r="429" customFormat="false" ht="15.75" hidden="false" customHeight="fals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55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</row>
    <row r="430" customFormat="false" ht="15.75" hidden="false" customHeight="fals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55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</row>
    <row r="431" customFormat="false" ht="15.75" hidden="false" customHeight="fals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55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</row>
    <row r="432" customFormat="false" ht="15.75" hidden="false" customHeight="fals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55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</row>
    <row r="433" customFormat="false" ht="15.75" hidden="false" customHeight="fals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55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</row>
    <row r="434" customFormat="false" ht="15.75" hidden="false" customHeight="fals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55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</row>
    <row r="435" customFormat="false" ht="15.75" hidden="false" customHeight="fals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55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</row>
    <row r="436" customFormat="false" ht="15.75" hidden="false" customHeight="fals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55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</row>
    <row r="437" customFormat="false" ht="15.75" hidden="false" customHeight="fals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55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</row>
    <row r="438" customFormat="false" ht="15.75" hidden="false" customHeight="fals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55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</row>
    <row r="439" customFormat="false" ht="15.75" hidden="false" customHeight="fals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55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</row>
    <row r="440" customFormat="false" ht="15.75" hidden="false" customHeight="fals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55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</row>
    <row r="441" customFormat="false" ht="15.75" hidden="false" customHeight="fals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55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</row>
    <row r="442" customFormat="false" ht="15.75" hidden="false" customHeight="fals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55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</row>
    <row r="443" customFormat="false" ht="15.75" hidden="false" customHeight="fals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55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</row>
    <row r="444" customFormat="false" ht="15.75" hidden="false" customHeight="fals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55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</row>
    <row r="445" customFormat="false" ht="15.75" hidden="false" customHeight="fals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55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</row>
    <row r="446" customFormat="false" ht="15.75" hidden="false" customHeight="fals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55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</row>
    <row r="447" customFormat="false" ht="15.75" hidden="false" customHeight="fals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55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</row>
    <row r="448" customFormat="false" ht="15.75" hidden="false" customHeight="fals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55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</row>
    <row r="449" customFormat="false" ht="15.75" hidden="false" customHeight="fals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55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</row>
    <row r="450" customFormat="false" ht="15.75" hidden="false" customHeight="fals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55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</row>
    <row r="451" customFormat="false" ht="15.75" hidden="false" customHeight="fals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55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</row>
    <row r="452" customFormat="false" ht="15.75" hidden="false" customHeight="fals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55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</row>
    <row r="453" customFormat="false" ht="15.75" hidden="false" customHeight="fals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55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</row>
    <row r="454" customFormat="false" ht="15.75" hidden="false" customHeight="fals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55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</row>
    <row r="455" customFormat="false" ht="15.75" hidden="false" customHeight="fals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55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</row>
    <row r="456" customFormat="false" ht="15.75" hidden="false" customHeight="fals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55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</row>
    <row r="457" customFormat="false" ht="15.75" hidden="false" customHeight="fals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55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</row>
    <row r="458" customFormat="false" ht="15.75" hidden="false" customHeight="fals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55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</row>
    <row r="459" customFormat="false" ht="15.75" hidden="false" customHeight="fals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55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</row>
    <row r="460" customFormat="false" ht="15.75" hidden="false" customHeight="fals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55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</row>
    <row r="461" customFormat="false" ht="15.75" hidden="false" customHeight="fals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55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</row>
    <row r="462" customFormat="false" ht="15.75" hidden="false" customHeight="fals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55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</row>
    <row r="463" customFormat="false" ht="15.75" hidden="false" customHeight="fals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55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</row>
    <row r="464" customFormat="false" ht="15.75" hidden="false" customHeight="fals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55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</row>
    <row r="465" customFormat="false" ht="15.75" hidden="false" customHeight="fals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55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</row>
    <row r="466" customFormat="false" ht="15.75" hidden="false" customHeight="fals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55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</row>
    <row r="467" customFormat="false" ht="15.75" hidden="false" customHeight="fals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55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</row>
    <row r="468" customFormat="false" ht="15.75" hidden="false" customHeight="fals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55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</row>
    <row r="469" customFormat="false" ht="15.75" hidden="false" customHeight="fals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55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</row>
    <row r="470" customFormat="false" ht="15.75" hidden="false" customHeight="fals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55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</row>
    <row r="471" customFormat="false" ht="15.75" hidden="false" customHeight="fals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55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</row>
    <row r="472" customFormat="false" ht="15.75" hidden="false" customHeight="fals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55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</row>
    <row r="473" customFormat="false" ht="15.75" hidden="false" customHeight="fals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55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</row>
    <row r="474" customFormat="false" ht="15.75" hidden="false" customHeight="fals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55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</row>
    <row r="475" customFormat="false" ht="15.75" hidden="false" customHeight="fals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55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</row>
    <row r="476" customFormat="false" ht="15.75" hidden="false" customHeight="fals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55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</row>
    <row r="477" customFormat="false" ht="15.75" hidden="false" customHeight="fals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55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</row>
    <row r="478" customFormat="false" ht="15.75" hidden="false" customHeight="fals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55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</row>
    <row r="479" customFormat="false" ht="15.75" hidden="false" customHeight="fals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55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</row>
    <row r="480" customFormat="false" ht="15.75" hidden="false" customHeight="fals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55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</row>
    <row r="481" customFormat="false" ht="15.75" hidden="false" customHeight="fals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55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</row>
    <row r="482" customFormat="false" ht="15.75" hidden="false" customHeight="fals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55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</row>
    <row r="483" customFormat="false" ht="15.75" hidden="false" customHeight="fals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55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</row>
    <row r="484" customFormat="false" ht="15.75" hidden="false" customHeight="fals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55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</row>
    <row r="485" customFormat="false" ht="15.75" hidden="false" customHeight="fals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55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</row>
    <row r="486" customFormat="false" ht="15.75" hidden="false" customHeight="fals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55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</row>
    <row r="487" customFormat="false" ht="15.75" hidden="false" customHeight="fals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55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</row>
    <row r="488" customFormat="false" ht="15.75" hidden="false" customHeight="fals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55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</row>
    <row r="489" customFormat="false" ht="15.75" hidden="false" customHeight="fals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55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</row>
    <row r="490" customFormat="false" ht="15.75" hidden="false" customHeight="fals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55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</row>
    <row r="491" customFormat="false" ht="15.75" hidden="false" customHeight="fals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55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</row>
    <row r="492" customFormat="false" ht="15.75" hidden="false" customHeight="fals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55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</row>
    <row r="493" customFormat="false" ht="15.75" hidden="false" customHeight="fals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55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</row>
    <row r="494" customFormat="false" ht="15.75" hidden="false" customHeight="fals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55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</row>
    <row r="495" customFormat="false" ht="15.75" hidden="false" customHeight="fals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55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</row>
    <row r="496" customFormat="false" ht="15.75" hidden="false" customHeight="fals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55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</row>
    <row r="497" customFormat="false" ht="15.75" hidden="false" customHeight="fals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55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</row>
    <row r="498" customFormat="false" ht="15.75" hidden="false" customHeight="fals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55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</row>
    <row r="499" customFormat="false" ht="15.75" hidden="false" customHeight="fals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55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</row>
    <row r="500" customFormat="false" ht="15.75" hidden="false" customHeight="fals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55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</row>
    <row r="501" customFormat="false" ht="15.75" hidden="false" customHeight="fals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55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</row>
    <row r="502" customFormat="false" ht="15.75" hidden="false" customHeight="fals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55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</row>
    <row r="503" customFormat="false" ht="15.75" hidden="false" customHeight="fals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55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</row>
    <row r="504" customFormat="false" ht="15.75" hidden="false" customHeight="fals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55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</row>
    <row r="505" customFormat="false" ht="15.75" hidden="false" customHeight="fals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55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</row>
    <row r="506" customFormat="false" ht="15.75" hidden="false" customHeight="fals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55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</row>
    <row r="507" customFormat="false" ht="15.75" hidden="false" customHeight="fals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55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</row>
    <row r="508" customFormat="false" ht="15.75" hidden="false" customHeight="fals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55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</row>
    <row r="509" customFormat="false" ht="15.75" hidden="false" customHeight="fals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55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</row>
    <row r="510" customFormat="false" ht="15.75" hidden="false" customHeight="fals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55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</row>
    <row r="511" customFormat="false" ht="15.75" hidden="false" customHeight="fals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55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</row>
    <row r="512" customFormat="false" ht="15.7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55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</row>
    <row r="513" customFormat="false" ht="15.7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55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</row>
    <row r="514" customFormat="false" ht="15.7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55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</row>
    <row r="515" customFormat="false" ht="15.75" hidden="false" customHeight="fals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55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</row>
    <row r="516" customFormat="false" ht="15.75" hidden="false" customHeight="fals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55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</row>
    <row r="517" customFormat="false" ht="15.75" hidden="false" customHeight="fals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55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</row>
    <row r="518" customFormat="false" ht="15.75" hidden="false" customHeight="fals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55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</row>
    <row r="519" customFormat="false" ht="15.75" hidden="false" customHeight="fals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55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</row>
    <row r="520" customFormat="false" ht="15.75" hidden="false" customHeight="fals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55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</row>
    <row r="521" customFormat="false" ht="15.75" hidden="false" customHeight="fals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55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</row>
    <row r="522" customFormat="false" ht="15.75" hidden="false" customHeight="fals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55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</row>
    <row r="523" customFormat="false" ht="15.75" hidden="false" customHeight="fals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55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</row>
    <row r="524" customFormat="false" ht="15.75" hidden="false" customHeight="fals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55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</row>
    <row r="525" customFormat="false" ht="15.75" hidden="false" customHeight="fals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55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</row>
    <row r="526" customFormat="false" ht="15.75" hidden="false" customHeight="fals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55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</row>
    <row r="527" customFormat="false" ht="15.75" hidden="false" customHeight="fals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55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</row>
    <row r="528" customFormat="false" ht="15.75" hidden="false" customHeight="fals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55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</row>
    <row r="529" customFormat="false" ht="15.75" hidden="false" customHeight="fals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55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</row>
    <row r="530" customFormat="false" ht="15.75" hidden="false" customHeight="fals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55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</row>
    <row r="531" customFormat="false" ht="15.75" hidden="false" customHeight="fals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55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</row>
    <row r="532" customFormat="false" ht="15.75" hidden="false" customHeight="fals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55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</row>
    <row r="533" customFormat="false" ht="15.75" hidden="false" customHeight="fals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55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</row>
    <row r="534" customFormat="false" ht="15.75" hidden="false" customHeight="fals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55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</row>
    <row r="535" customFormat="false" ht="15.75" hidden="false" customHeight="fals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55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</row>
    <row r="536" customFormat="false" ht="15.75" hidden="false" customHeight="fals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55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</row>
    <row r="537" customFormat="false" ht="15.75" hidden="false" customHeight="fals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55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</row>
    <row r="538" customFormat="false" ht="15.75" hidden="false" customHeight="fals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55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</row>
    <row r="539" customFormat="false" ht="15.75" hidden="false" customHeight="fals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55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</row>
    <row r="540" customFormat="false" ht="15.75" hidden="false" customHeight="fals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55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</row>
    <row r="541" customFormat="false" ht="15.75" hidden="false" customHeight="fals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55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</row>
    <row r="542" customFormat="false" ht="15.75" hidden="false" customHeight="fals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55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</row>
    <row r="543" customFormat="false" ht="15.75" hidden="false" customHeight="fals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55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</row>
    <row r="544" customFormat="false" ht="15.75" hidden="false" customHeight="fals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55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</row>
    <row r="545" customFormat="false" ht="15.75" hidden="false" customHeight="fals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55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</row>
    <row r="546" customFormat="false" ht="15.75" hidden="false" customHeight="fals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55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</row>
    <row r="547" customFormat="false" ht="15.75" hidden="false" customHeight="fals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55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</row>
    <row r="548" customFormat="false" ht="15.75" hidden="false" customHeight="fals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55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</row>
    <row r="549" customFormat="false" ht="15.75" hidden="false" customHeight="fals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55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</row>
    <row r="550" customFormat="false" ht="15.75" hidden="false" customHeight="fals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55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</row>
    <row r="551" customFormat="false" ht="15.75" hidden="false" customHeight="fals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55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</row>
    <row r="552" customFormat="false" ht="15.75" hidden="false" customHeight="fals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55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</row>
    <row r="553" customFormat="false" ht="15.75" hidden="false" customHeight="fals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55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</row>
    <row r="554" customFormat="false" ht="15.75" hidden="false" customHeight="fals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55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</row>
    <row r="555" customFormat="false" ht="15.75" hidden="false" customHeight="fals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55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</row>
    <row r="556" customFormat="false" ht="15.75" hidden="false" customHeight="fals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55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</row>
    <row r="557" customFormat="false" ht="15.75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55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</row>
    <row r="558" customFormat="false" ht="15.7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55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</row>
    <row r="559" customFormat="false" ht="15.7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55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</row>
    <row r="560" customFormat="false" ht="15.7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55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</row>
    <row r="561" customFormat="false" ht="15.7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55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</row>
    <row r="562" customFormat="false" ht="15.7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55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</row>
    <row r="563" customFormat="false" ht="15.7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55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</row>
    <row r="564" customFormat="false" ht="15.7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55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</row>
    <row r="565" customFormat="false" ht="15.7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55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</row>
    <row r="566" customFormat="false" ht="15.7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55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</row>
    <row r="567" customFormat="false" ht="15.7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55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</row>
    <row r="568" customFormat="false" ht="15.7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55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</row>
    <row r="569" customFormat="false" ht="15.7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55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</row>
    <row r="570" customFormat="false" ht="15.7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55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</row>
    <row r="571" customFormat="false" ht="15.7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55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</row>
    <row r="572" customFormat="false" ht="15.7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55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</row>
    <row r="573" customFormat="false" ht="15.7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55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</row>
    <row r="574" customFormat="false" ht="15.7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55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</row>
    <row r="575" customFormat="false" ht="15.7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55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</row>
    <row r="576" customFormat="false" ht="15.7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55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</row>
    <row r="577" customFormat="false" ht="15.7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55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</row>
    <row r="578" customFormat="false" ht="15.7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55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</row>
    <row r="579" customFormat="false" ht="15.7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55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</row>
    <row r="580" customFormat="false" ht="15.7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55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</row>
    <row r="581" customFormat="false" ht="15.7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55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</row>
    <row r="582" customFormat="false" ht="15.7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55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</row>
    <row r="583" customFormat="false" ht="15.7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55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</row>
    <row r="584" customFormat="false" ht="15.7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55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</row>
    <row r="585" customFormat="false" ht="15.7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55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</row>
    <row r="586" customFormat="false" ht="15.7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55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</row>
    <row r="587" customFormat="false" ht="15.7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55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</row>
    <row r="588" customFormat="false" ht="15.7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55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</row>
    <row r="589" customFormat="false" ht="15.7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55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</row>
    <row r="590" customFormat="false" ht="15.7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55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</row>
    <row r="591" customFormat="false" ht="15.7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55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</row>
    <row r="592" customFormat="false" ht="15.7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55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</row>
    <row r="593" customFormat="false" ht="15.7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55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</row>
    <row r="594" customFormat="false" ht="15.7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55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</row>
    <row r="595" customFormat="false" ht="15.7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55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</row>
    <row r="596" customFormat="false" ht="15.7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55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</row>
    <row r="597" customFormat="false" ht="15.7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55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</row>
    <row r="598" customFormat="false" ht="15.7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55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</row>
    <row r="599" customFormat="false" ht="15.7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55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</row>
    <row r="600" customFormat="false" ht="15.7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55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</row>
    <row r="601" customFormat="false" ht="15.7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55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</row>
    <row r="602" customFormat="false" ht="15.7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55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</row>
    <row r="603" customFormat="false" ht="15.7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55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</row>
    <row r="604" customFormat="false" ht="15.7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55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</row>
    <row r="605" customFormat="false" ht="15.7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55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</row>
    <row r="606" customFormat="false" ht="15.7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55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</row>
    <row r="607" customFormat="false" ht="15.7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55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</row>
    <row r="608" customFormat="false" ht="15.7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55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</row>
    <row r="609" customFormat="false" ht="15.7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55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</row>
    <row r="610" customFormat="false" ht="15.7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55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</row>
    <row r="611" customFormat="false" ht="15.7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55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</row>
    <row r="612" customFormat="false" ht="15.7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55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</row>
    <row r="613" customFormat="false" ht="15.7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55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</row>
    <row r="614" customFormat="false" ht="15.7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55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</row>
    <row r="615" customFormat="false" ht="15.7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55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</row>
    <row r="616" customFormat="false" ht="15.7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55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</row>
    <row r="617" customFormat="false" ht="15.7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55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</row>
    <row r="618" customFormat="false" ht="15.7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55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</row>
    <row r="619" customFormat="false" ht="15.7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55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</row>
    <row r="620" customFormat="false" ht="15.7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55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</row>
    <row r="621" customFormat="false" ht="15.7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55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</row>
    <row r="622" customFormat="false" ht="15.7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55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</row>
    <row r="623" customFormat="false" ht="15.7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55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</row>
    <row r="624" customFormat="false" ht="15.7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55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</row>
    <row r="625" customFormat="false" ht="15.7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55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</row>
    <row r="626" customFormat="false" ht="15.7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55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</row>
    <row r="627" customFormat="false" ht="15.7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55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</row>
    <row r="628" customFormat="false" ht="15.7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55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</row>
    <row r="629" customFormat="false" ht="15.7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55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</row>
    <row r="630" customFormat="false" ht="15.7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55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</row>
    <row r="631" customFormat="false" ht="15.7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55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</row>
    <row r="632" customFormat="false" ht="15.7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55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</row>
    <row r="633" customFormat="false" ht="15.7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55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</row>
    <row r="634" customFormat="false" ht="15.7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55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</row>
    <row r="635" customFormat="false" ht="15.7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55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</row>
    <row r="636" customFormat="false" ht="15.7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55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</row>
    <row r="637" customFormat="false" ht="15.7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55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</row>
    <row r="638" customFormat="false" ht="15.7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55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</row>
    <row r="639" customFormat="false" ht="15.7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55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</row>
    <row r="640" customFormat="false" ht="15.7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55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</row>
    <row r="641" customFormat="false" ht="15.7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55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</row>
    <row r="642" customFormat="false" ht="15.7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55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</row>
    <row r="643" customFormat="false" ht="15.7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55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</row>
    <row r="644" customFormat="false" ht="15.7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55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</row>
    <row r="645" customFormat="false" ht="15.7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55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</row>
    <row r="646" customFormat="false" ht="15.7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55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</row>
    <row r="647" customFormat="false" ht="15.7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55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</row>
    <row r="648" customFormat="false" ht="15.7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55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</row>
    <row r="649" customFormat="false" ht="15.7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55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</row>
    <row r="650" customFormat="false" ht="15.7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55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</row>
    <row r="651" customFormat="false" ht="15.7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55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</row>
    <row r="652" customFormat="false" ht="15.7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55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</row>
    <row r="653" customFormat="false" ht="15.7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55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</row>
    <row r="654" customFormat="false" ht="15.7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55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</row>
    <row r="655" customFormat="false" ht="15.7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55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</row>
    <row r="656" customFormat="false" ht="15.7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55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</row>
    <row r="657" customFormat="false" ht="15.7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55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</row>
    <row r="658" customFormat="false" ht="15.7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55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</row>
    <row r="659" customFormat="false" ht="15.7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55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</row>
    <row r="660" customFormat="false" ht="15.7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55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</row>
    <row r="661" customFormat="false" ht="15.7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55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</row>
    <row r="662" customFormat="false" ht="15.7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55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</row>
    <row r="663" customFormat="false" ht="15.7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55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</row>
    <row r="664" customFormat="false" ht="15.7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55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</row>
    <row r="665" customFormat="false" ht="15.7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55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</row>
    <row r="666" customFormat="false" ht="15.7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55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</row>
    <row r="667" customFormat="false" ht="15.7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55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</row>
    <row r="668" customFormat="false" ht="15.7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55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</row>
    <row r="669" customFormat="false" ht="15.7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55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</row>
    <row r="670" customFormat="false" ht="15.7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55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</row>
    <row r="671" customFormat="false" ht="15.7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55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</row>
    <row r="672" customFormat="false" ht="15.7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55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</row>
    <row r="673" customFormat="false" ht="15.7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55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</row>
    <row r="674" customFormat="false" ht="15.7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55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</row>
    <row r="675" customFormat="false" ht="15.7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55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</row>
    <row r="676" customFormat="false" ht="15.7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55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</row>
    <row r="677" customFormat="false" ht="15.7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55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</row>
    <row r="678" customFormat="false" ht="15.7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55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</row>
    <row r="679" customFormat="false" ht="15.7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55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</row>
    <row r="680" customFormat="false" ht="15.7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55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</row>
    <row r="681" customFormat="false" ht="15.7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55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</row>
    <row r="682" customFormat="false" ht="15.7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55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</row>
    <row r="683" customFormat="false" ht="15.7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55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</row>
    <row r="684" customFormat="false" ht="15.7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55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</row>
    <row r="685" customFormat="false" ht="15.7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55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</row>
    <row r="686" customFormat="false" ht="15.7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55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</row>
    <row r="687" customFormat="false" ht="15.7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55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</row>
    <row r="688" customFormat="false" ht="15.7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55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</row>
    <row r="689" customFormat="false" ht="15.7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55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</row>
    <row r="690" customFormat="false" ht="15.7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55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</row>
    <row r="691" customFormat="false" ht="15.7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55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</row>
    <row r="692" customFormat="false" ht="15.7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55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</row>
    <row r="693" customFormat="false" ht="15.7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55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</row>
    <row r="694" customFormat="false" ht="15.7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55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</row>
    <row r="695" customFormat="false" ht="15.7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55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</row>
    <row r="696" customFormat="false" ht="15.7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55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</row>
    <row r="697" customFormat="false" ht="15.7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55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</row>
    <row r="698" customFormat="false" ht="15.7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55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</row>
    <row r="699" customFormat="false" ht="15.7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55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</row>
    <row r="700" customFormat="false" ht="15.7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55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</row>
    <row r="701" customFormat="false" ht="15.7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55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</row>
    <row r="702" customFormat="false" ht="15.7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55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</row>
    <row r="703" customFormat="false" ht="15.7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55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</row>
    <row r="704" customFormat="false" ht="15.7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55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</row>
    <row r="705" customFormat="false" ht="15.7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55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</row>
    <row r="706" customFormat="false" ht="15.7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55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</row>
    <row r="707" customFormat="false" ht="15.7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55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</row>
    <row r="708" customFormat="false" ht="15.7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55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</row>
    <row r="709" customFormat="false" ht="15.7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55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</row>
    <row r="710" customFormat="false" ht="15.7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55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</row>
    <row r="711" customFormat="false" ht="15.7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55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</row>
    <row r="712" customFormat="false" ht="15.7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55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</row>
    <row r="713" customFormat="false" ht="15.7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55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</row>
    <row r="714" customFormat="false" ht="15.7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55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</row>
    <row r="715" customFormat="false" ht="15.7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55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</row>
    <row r="716" customFormat="false" ht="15.7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55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</row>
    <row r="717" customFormat="false" ht="15.7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55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</row>
    <row r="718" customFormat="false" ht="15.7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55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</row>
    <row r="719" customFormat="false" ht="15.7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55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</row>
    <row r="720" customFormat="false" ht="15.7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55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</row>
    <row r="721" customFormat="false" ht="15.7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55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</row>
    <row r="722" customFormat="false" ht="15.7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55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</row>
    <row r="723" customFormat="false" ht="15.7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55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</row>
    <row r="724" customFormat="false" ht="15.7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55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</row>
    <row r="725" customFormat="false" ht="15.7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55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</row>
    <row r="726" customFormat="false" ht="15.7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55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</row>
    <row r="727" customFormat="false" ht="15.7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55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</row>
    <row r="728" customFormat="false" ht="15.7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55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</row>
    <row r="729" customFormat="false" ht="15.7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55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</row>
    <row r="730" customFormat="false" ht="15.7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55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</row>
    <row r="731" customFormat="false" ht="15.7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55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</row>
    <row r="732" customFormat="false" ht="15.7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55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</row>
    <row r="733" customFormat="false" ht="15.7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55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</row>
    <row r="734" customFormat="false" ht="15.7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55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</row>
    <row r="735" customFormat="false" ht="15.7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55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</row>
    <row r="736" customFormat="false" ht="15.7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55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</row>
    <row r="737" customFormat="false" ht="15.7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55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</row>
    <row r="738" customFormat="false" ht="15.7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55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</row>
    <row r="739" customFormat="false" ht="15.7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55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</row>
    <row r="740" customFormat="false" ht="15.7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55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</row>
    <row r="741" customFormat="false" ht="15.7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55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</row>
    <row r="742" customFormat="false" ht="15.7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55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</row>
    <row r="743" customFormat="false" ht="15.7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55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</row>
    <row r="744" customFormat="false" ht="15.7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55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</row>
    <row r="745" customFormat="false" ht="15.7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55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</row>
    <row r="746" customFormat="false" ht="15.7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55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</row>
    <row r="747" customFormat="false" ht="15.7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55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</row>
    <row r="748" customFormat="false" ht="15.7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55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</row>
    <row r="749" customFormat="false" ht="15.7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55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</row>
    <row r="750" customFormat="false" ht="15.7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55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</row>
    <row r="751" customFormat="false" ht="15.7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55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</row>
    <row r="752" customFormat="false" ht="15.7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55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</row>
    <row r="753" customFormat="false" ht="15.7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55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</row>
    <row r="754" customFormat="false" ht="15.7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55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</row>
    <row r="755" customFormat="false" ht="15.7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55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</row>
    <row r="756" customFormat="false" ht="15.7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55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</row>
    <row r="757" customFormat="false" ht="15.7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55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</row>
    <row r="758" customFormat="false" ht="15.7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55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</row>
    <row r="759" customFormat="false" ht="15.7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55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</row>
    <row r="760" customFormat="false" ht="15.7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55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</row>
    <row r="761" customFormat="false" ht="15.7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55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</row>
    <row r="762" customFormat="false" ht="15.7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55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</row>
    <row r="763" customFormat="false" ht="15.7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55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</row>
    <row r="764" customFormat="false" ht="15.7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55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</row>
    <row r="765" customFormat="false" ht="15.7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55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</row>
    <row r="766" customFormat="false" ht="15.7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55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</row>
    <row r="767" customFormat="false" ht="15.7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55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</row>
    <row r="768" customFormat="false" ht="15.7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55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</row>
    <row r="769" customFormat="false" ht="15.7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55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</row>
    <row r="770" customFormat="false" ht="15.7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55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</row>
    <row r="771" customFormat="false" ht="15.7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55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</row>
    <row r="772" customFormat="false" ht="15.7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55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</row>
    <row r="773" customFormat="false" ht="15.7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55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</row>
    <row r="774" customFormat="false" ht="15.7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55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</row>
    <row r="775" customFormat="false" ht="15.7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55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</row>
    <row r="776" customFormat="false" ht="15.7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55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</row>
    <row r="777" customFormat="false" ht="15.7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55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</row>
    <row r="778" customFormat="false" ht="15.7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55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</row>
    <row r="779" customFormat="false" ht="15.7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55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</row>
    <row r="780" customFormat="false" ht="15.7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55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</row>
    <row r="781" customFormat="false" ht="15.7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55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</row>
    <row r="782" customFormat="false" ht="15.7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55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</row>
    <row r="783" customFormat="false" ht="15.7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55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</row>
    <row r="784" customFormat="false" ht="15.7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55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</row>
    <row r="785" customFormat="false" ht="15.7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55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</row>
    <row r="786" customFormat="false" ht="15.7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55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</row>
    <row r="787" customFormat="false" ht="15.7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55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</row>
    <row r="788" customFormat="false" ht="15.7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55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</row>
    <row r="789" customFormat="false" ht="15.7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55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</row>
    <row r="790" customFormat="false" ht="15.7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55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</row>
    <row r="791" customFormat="false" ht="15.7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55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</row>
    <row r="792" customFormat="false" ht="15.7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55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</row>
    <row r="793" customFormat="false" ht="15.7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55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</row>
    <row r="794" customFormat="false" ht="15.7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55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</row>
    <row r="795" customFormat="false" ht="15.7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55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</row>
    <row r="796" customFormat="false" ht="15.7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55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</row>
    <row r="797" customFormat="false" ht="15.7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55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</row>
    <row r="798" customFormat="false" ht="15.7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55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</row>
    <row r="799" customFormat="false" ht="15.7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55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</row>
    <row r="800" customFormat="false" ht="15.7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55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</row>
    <row r="801" customFormat="false" ht="15.7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55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</row>
    <row r="802" customFormat="false" ht="15.7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55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</row>
    <row r="803" customFormat="false" ht="15.7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55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</row>
    <row r="804" customFormat="false" ht="15.7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55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</row>
    <row r="805" customFormat="false" ht="15.7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55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</row>
    <row r="806" customFormat="false" ht="15.7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55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</row>
    <row r="807" customFormat="false" ht="15.7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55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</row>
    <row r="808" customFormat="false" ht="15.7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55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</row>
    <row r="809" customFormat="false" ht="15.7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55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</row>
    <row r="810" customFormat="false" ht="15.7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55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</row>
    <row r="811" customFormat="false" ht="15.7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55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</row>
    <row r="812" customFormat="false" ht="15.7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55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</row>
    <row r="813" customFormat="false" ht="15.7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55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</row>
    <row r="814" customFormat="false" ht="15.7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55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</row>
    <row r="815" customFormat="false" ht="15.7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55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</row>
    <row r="816" customFormat="false" ht="15.7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55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</row>
    <row r="817" customFormat="false" ht="15.7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55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</row>
    <row r="818" customFormat="false" ht="15.7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55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</row>
    <row r="819" customFormat="false" ht="15.7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55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</row>
    <row r="820" customFormat="false" ht="15.7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55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</row>
    <row r="821" customFormat="false" ht="15.7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55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</row>
    <row r="822" customFormat="false" ht="15.7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55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</row>
    <row r="823" customFormat="false" ht="15.7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55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</row>
    <row r="824" customFormat="false" ht="15.7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55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</row>
    <row r="825" customFormat="false" ht="15.7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55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</row>
    <row r="826" customFormat="false" ht="15.7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55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</row>
    <row r="827" customFormat="false" ht="15.7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55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</row>
    <row r="828" customFormat="false" ht="15.7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55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</row>
    <row r="829" customFormat="false" ht="15.7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55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</row>
    <row r="830" customFormat="false" ht="15.7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55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</row>
    <row r="831" customFormat="false" ht="15.7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55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</row>
    <row r="832" customFormat="false" ht="15.7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55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</row>
    <row r="833" customFormat="false" ht="15.7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55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</row>
    <row r="834" customFormat="false" ht="15.7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55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</row>
    <row r="835" customFormat="false" ht="15.7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55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</row>
    <row r="836" customFormat="false" ht="15.7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55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</row>
    <row r="837" customFormat="false" ht="15.7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55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</row>
    <row r="838" customFormat="false" ht="15.7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55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</row>
    <row r="839" customFormat="false" ht="15.7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55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</row>
    <row r="840" customFormat="false" ht="15.7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55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</row>
    <row r="841" customFormat="false" ht="15.7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55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</row>
    <row r="842" customFormat="false" ht="15.7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55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</row>
    <row r="843" customFormat="false" ht="15.7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55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</row>
    <row r="844" customFormat="false" ht="15.7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55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</row>
    <row r="845" customFormat="false" ht="15.7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55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</row>
    <row r="846" customFormat="false" ht="15.7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55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</row>
    <row r="847" customFormat="false" ht="15.7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55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</row>
    <row r="848" customFormat="false" ht="15.7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55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</row>
    <row r="849" customFormat="false" ht="15.7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55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</row>
    <row r="850" customFormat="false" ht="15.7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55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</row>
    <row r="851" customFormat="false" ht="15.7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55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</row>
    <row r="852" customFormat="false" ht="15.7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55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</row>
    <row r="853" customFormat="false" ht="15.7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55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</row>
    <row r="854" customFormat="false" ht="15.7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55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</row>
    <row r="855" customFormat="false" ht="15.7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55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</row>
    <row r="856" customFormat="false" ht="15.7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55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</row>
    <row r="857" customFormat="false" ht="15.7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55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</row>
    <row r="858" customFormat="false" ht="15.7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55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</row>
    <row r="859" customFormat="false" ht="15.7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55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</row>
    <row r="860" customFormat="false" ht="15.7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55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</row>
    <row r="861" customFormat="false" ht="15.7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55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</row>
    <row r="862" customFormat="false" ht="15.7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55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</row>
    <row r="863" customFormat="false" ht="15.7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55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</row>
    <row r="864" customFormat="false" ht="15.7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55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</row>
    <row r="865" customFormat="false" ht="15.7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55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</row>
    <row r="866" customFormat="false" ht="15.7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55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</row>
    <row r="867" customFormat="false" ht="15.7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55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</row>
    <row r="868" customFormat="false" ht="15.7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55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</row>
    <row r="869" customFormat="false" ht="15.7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55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</row>
    <row r="870" customFormat="false" ht="15.7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55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</row>
    <row r="871" customFormat="false" ht="15.7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55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</row>
    <row r="872" customFormat="false" ht="15.7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55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</row>
    <row r="873" customFormat="false" ht="15.7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55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</row>
    <row r="874" customFormat="false" ht="15.7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55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</row>
    <row r="875" customFormat="false" ht="15.7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55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</row>
    <row r="876" customFormat="false" ht="15.7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55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</row>
    <row r="877" customFormat="false" ht="15.7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55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</row>
    <row r="878" customFormat="false" ht="15.7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55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</row>
    <row r="879" customFormat="false" ht="15.7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55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</row>
    <row r="880" customFormat="false" ht="15.7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55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</row>
    <row r="881" customFormat="false" ht="15.7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55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</row>
    <row r="882" customFormat="false" ht="15.7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55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</row>
    <row r="883" customFormat="false" ht="15.7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55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</row>
    <row r="884" customFormat="false" ht="15.7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55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</row>
    <row r="885" customFormat="false" ht="15.7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55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</row>
    <row r="886" customFormat="false" ht="15.7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55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</row>
    <row r="887" customFormat="false" ht="15.7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55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</row>
    <row r="888" customFormat="false" ht="15.7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55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</row>
    <row r="889" customFormat="false" ht="15.7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55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</row>
    <row r="890" customFormat="false" ht="15.7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55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</row>
    <row r="891" customFormat="false" ht="15.7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55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</row>
    <row r="892" customFormat="false" ht="15.7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55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</row>
    <row r="893" customFormat="false" ht="15.7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55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</row>
    <row r="894" customFormat="false" ht="15.7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55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</row>
    <row r="895" customFormat="false" ht="15.7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55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</row>
    <row r="896" customFormat="false" ht="15.7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55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</row>
    <row r="897" customFormat="false" ht="15.7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55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</row>
    <row r="898" customFormat="false" ht="15.7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55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</row>
    <row r="899" customFormat="false" ht="15.7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55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</row>
    <row r="900" customFormat="false" ht="15.7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55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</row>
    <row r="901" customFormat="false" ht="15.7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55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</row>
    <row r="902" customFormat="false" ht="15.7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55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</row>
    <row r="903" customFormat="false" ht="15.7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55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</row>
    <row r="904" customFormat="false" ht="15.7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55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</row>
    <row r="905" customFormat="false" ht="15.7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55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</row>
    <row r="906" customFormat="false" ht="15.7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55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</row>
    <row r="907" customFormat="false" ht="15.7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55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</row>
    <row r="908" customFormat="false" ht="15.7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55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</row>
    <row r="909" customFormat="false" ht="15.7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55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</row>
    <row r="910" customFormat="false" ht="15.7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55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</row>
    <row r="911" customFormat="false" ht="15.7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55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</row>
    <row r="912" customFormat="false" ht="15.7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55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</row>
    <row r="913" customFormat="false" ht="15.7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55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</row>
    <row r="914" customFormat="false" ht="15.7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55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</row>
    <row r="915" customFormat="false" ht="15.7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55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</row>
    <row r="916" customFormat="false" ht="15.7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55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</row>
    <row r="917" customFormat="false" ht="15.7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55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</row>
    <row r="918" customFormat="false" ht="15.7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55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</row>
    <row r="919" customFormat="false" ht="15.7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55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</row>
    <row r="920" customFormat="false" ht="15.7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55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</row>
    <row r="921" customFormat="false" ht="15.7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55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</row>
    <row r="922" customFormat="false" ht="15.7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55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</row>
    <row r="923" customFormat="false" ht="15.7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55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</row>
    <row r="924" customFormat="false" ht="15.7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55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</row>
    <row r="925" customFormat="false" ht="15.7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55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</row>
    <row r="926" customFormat="false" ht="15.7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55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</row>
    <row r="927" customFormat="false" ht="15.7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55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</row>
    <row r="928" customFormat="false" ht="15.7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55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</row>
    <row r="929" customFormat="false" ht="15.7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55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</row>
    <row r="930" customFormat="false" ht="15.7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55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</row>
    <row r="931" customFormat="false" ht="15.7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55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</row>
    <row r="932" customFormat="false" ht="15.7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55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</row>
    <row r="933" customFormat="false" ht="15.7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55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</row>
    <row r="934" customFormat="false" ht="15.7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55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</row>
    <row r="935" customFormat="false" ht="15.7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55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</row>
    <row r="936" customFormat="false" ht="15.7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55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</row>
    <row r="937" customFormat="false" ht="15.7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55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</row>
    <row r="938" customFormat="false" ht="15.7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55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</row>
    <row r="939" customFormat="false" ht="15.7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55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</row>
    <row r="940" customFormat="false" ht="15.7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55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</row>
    <row r="941" customFormat="false" ht="15.7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55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</row>
    <row r="942" customFormat="false" ht="15.7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55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</row>
    <row r="943" customFormat="false" ht="15.7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55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</row>
    <row r="944" customFormat="false" ht="15.7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55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</row>
    <row r="945" customFormat="false" ht="15.7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55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</row>
    <row r="946" customFormat="false" ht="15.7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55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</row>
    <row r="947" customFormat="false" ht="15.7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55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</row>
    <row r="948" customFormat="false" ht="15.7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55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</row>
    <row r="949" customFormat="false" ht="15.7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55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</row>
    <row r="950" customFormat="false" ht="15.7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55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</row>
    <row r="951" customFormat="false" ht="15.7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55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</row>
    <row r="952" customFormat="false" ht="15.7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55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</row>
    <row r="953" customFormat="false" ht="15.7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55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</row>
    <row r="954" customFormat="false" ht="15.7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55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</row>
    <row r="955" customFormat="false" ht="15.7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55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</row>
    <row r="956" customFormat="false" ht="15.7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55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</row>
    <row r="957" customFormat="false" ht="15.7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55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</row>
    <row r="958" customFormat="false" ht="15.7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55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</row>
    <row r="959" customFormat="false" ht="15.7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55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</row>
    <row r="960" customFormat="false" ht="15.7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55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</row>
    <row r="961" customFormat="false" ht="15.7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55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</row>
    <row r="962" customFormat="false" ht="15.7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55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</row>
    <row r="963" customFormat="false" ht="15.7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55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</row>
    <row r="964" customFormat="false" ht="15.7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55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</row>
    <row r="965" customFormat="false" ht="15.7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55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</row>
    <row r="966" customFormat="false" ht="15.7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55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</row>
    <row r="967" customFormat="false" ht="15.7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55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</row>
    <row r="968" customFormat="false" ht="15.7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55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</row>
    <row r="969" customFormat="false" ht="15.7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55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</row>
    <row r="970" customFormat="false" ht="15.7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55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</row>
    <row r="971" customFormat="false" ht="15.7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55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</row>
    <row r="972" customFormat="false" ht="15.7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55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</row>
    <row r="973" customFormat="false" ht="15.7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55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</row>
    <row r="974" customFormat="false" ht="15.7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55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</row>
    <row r="975" customFormat="false" ht="15.7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55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</row>
    <row r="976" customFormat="false" ht="15.7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55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</row>
    <row r="977" customFormat="false" ht="15.7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55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</row>
    <row r="978" customFormat="false" ht="15.7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55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</row>
    <row r="979" customFormat="false" ht="15.7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55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</row>
    <row r="980" customFormat="false" ht="15.7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55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</row>
    <row r="981" customFormat="false" ht="15.7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55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</row>
    <row r="982" customFormat="false" ht="15.7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55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</row>
    <row r="983" customFormat="false" ht="15.7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55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</row>
    <row r="984" customFormat="false" ht="15.7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55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</row>
    <row r="985" customFormat="false" ht="15.7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55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</row>
    <row r="986" customFormat="false" ht="15.7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55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</row>
    <row r="987" customFormat="false" ht="15.7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55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</row>
    <row r="988" customFormat="false" ht="15.7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55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</row>
    <row r="989" customFormat="false" ht="15.7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55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</row>
    <row r="990" customFormat="false" ht="15.7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55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</row>
    <row r="991" customFormat="false" ht="15.7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55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</row>
    <row r="992" customFormat="false" ht="15.7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55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</row>
    <row r="993" customFormat="false" ht="15.7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55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</row>
    <row r="994" customFormat="false" ht="15.7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55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</row>
    <row r="995" customFormat="false" ht="15.7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55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</row>
    <row r="996" customFormat="false" ht="15.7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55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</row>
    <row r="997" customFormat="false" ht="15.7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55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</row>
    <row r="998" customFormat="false" ht="15.7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55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</row>
    <row r="999" customFormat="false" ht="15.7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55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</row>
    <row r="1000" customFormat="false" ht="15.75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55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B1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7.38"/>
    <col collapsed="false" customWidth="true" hidden="false" outlineLevel="0" max="6" min="3" style="0" width="18.13"/>
    <col collapsed="false" customWidth="true" hidden="false" outlineLevel="0" max="7" min="7" style="0" width="17.75"/>
    <col collapsed="false" customWidth="true" hidden="false" outlineLevel="0" max="28" min="8" style="0" width="18.13"/>
  </cols>
  <sheetData>
    <row r="1" customFormat="false" ht="39.55" hidden="false" customHeight="true" outlineLevel="0" collapsed="false">
      <c r="A1" s="160" t="s">
        <v>648</v>
      </c>
      <c r="B1" s="160"/>
      <c r="C1" s="160"/>
      <c r="D1" s="160"/>
      <c r="E1" s="160"/>
      <c r="F1" s="160"/>
      <c r="G1" s="160"/>
      <c r="H1" s="160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</row>
    <row r="2" customFormat="false" ht="15.75" hidden="false" customHeight="false" outlineLevel="0" collapsed="false">
      <c r="A2" s="1" t="s">
        <v>649</v>
      </c>
      <c r="B2" s="1" t="s">
        <v>650</v>
      </c>
      <c r="C2" s="1" t="s">
        <v>651</v>
      </c>
      <c r="D2" s="1" t="s">
        <v>652</v>
      </c>
      <c r="E2" s="1" t="s">
        <v>653</v>
      </c>
      <c r="F2" s="1" t="s">
        <v>654</v>
      </c>
      <c r="G2" s="1" t="s">
        <v>655</v>
      </c>
      <c r="H2" s="1" t="s">
        <v>656</v>
      </c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" t="s">
        <v>11</v>
      </c>
      <c r="AB2" s="1" t="s">
        <v>12</v>
      </c>
    </row>
    <row r="3" customFormat="false" ht="15.75" hidden="false" customHeight="false" outlineLevel="0" collapsed="false">
      <c r="A3" s="1" t="s">
        <v>657</v>
      </c>
      <c r="B3" s="1" t="s">
        <v>658</v>
      </c>
      <c r="C3" s="150"/>
      <c r="D3" s="150"/>
      <c r="E3" s="1" t="s">
        <v>658</v>
      </c>
      <c r="F3" s="150"/>
      <c r="G3" s="1" t="s">
        <v>659</v>
      </c>
      <c r="H3" s="1" t="s">
        <v>660</v>
      </c>
      <c r="I3" s="150"/>
      <c r="J3" s="150"/>
      <c r="K3" s="150"/>
      <c r="L3" s="150"/>
      <c r="M3" s="150"/>
      <c r="O3" s="150"/>
      <c r="P3" s="150"/>
      <c r="Q3" s="150"/>
      <c r="S3" s="150"/>
      <c r="T3" s="150"/>
      <c r="U3" s="150"/>
      <c r="V3" s="150"/>
      <c r="Y3" s="150"/>
      <c r="Z3" s="150"/>
      <c r="AB3" s="1" t="n">
        <v>0</v>
      </c>
    </row>
    <row r="4" customFormat="false" ht="15.75" hidden="false" customHeight="false" outlineLevel="0" collapsed="false">
      <c r="A4" s="1" t="s">
        <v>661</v>
      </c>
      <c r="B4" s="1" t="s">
        <v>662</v>
      </c>
      <c r="C4" s="1" t="s">
        <v>662</v>
      </c>
      <c r="D4" s="150"/>
      <c r="E4" s="1" t="s">
        <v>663</v>
      </c>
      <c r="F4" s="1" t="s">
        <v>664</v>
      </c>
      <c r="G4" s="150"/>
      <c r="H4" s="150"/>
      <c r="I4" s="150"/>
      <c r="J4" s="150"/>
      <c r="K4" s="150"/>
      <c r="L4" s="150"/>
      <c r="M4" s="150"/>
      <c r="O4" s="150"/>
      <c r="P4" s="150"/>
      <c r="Q4" s="150"/>
      <c r="S4" s="150"/>
      <c r="T4" s="150"/>
      <c r="U4" s="150"/>
      <c r="V4" s="150"/>
      <c r="Y4" s="150"/>
      <c r="Z4" s="150"/>
      <c r="AB4" s="1" t="n">
        <v>0</v>
      </c>
    </row>
    <row r="5" customFormat="false" ht="15.75" hidden="false" customHeight="false" outlineLevel="0" collapsed="false">
      <c r="A5" s="1" t="s">
        <v>665</v>
      </c>
      <c r="B5" s="150"/>
      <c r="C5" s="1" t="s">
        <v>658</v>
      </c>
      <c r="D5" s="1" t="s">
        <v>658</v>
      </c>
      <c r="E5" s="150"/>
      <c r="F5" s="1" t="s">
        <v>659</v>
      </c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S5" s="150"/>
      <c r="T5" s="150"/>
      <c r="U5" s="150"/>
      <c r="V5" s="150"/>
      <c r="W5" s="150"/>
      <c r="X5" s="150"/>
      <c r="Y5" s="150"/>
      <c r="Z5" s="150"/>
      <c r="AB5" s="1" t="n">
        <v>-8</v>
      </c>
    </row>
    <row r="6" customFormat="false" ht="15.75" hidden="false" customHeight="false" outlineLevel="0" collapsed="false">
      <c r="A6" s="1" t="s">
        <v>666</v>
      </c>
      <c r="C6" s="150"/>
      <c r="D6" s="1" t="s">
        <v>663</v>
      </c>
      <c r="E6" s="150"/>
      <c r="F6" s="1" t="s">
        <v>663</v>
      </c>
      <c r="G6" s="150"/>
      <c r="H6" s="150"/>
      <c r="I6" s="150"/>
      <c r="J6" s="150"/>
      <c r="K6" s="150"/>
      <c r="L6" s="150"/>
      <c r="M6" s="150"/>
      <c r="N6" s="150"/>
      <c r="O6" s="150"/>
      <c r="P6" s="150"/>
      <c r="Q6" s="150"/>
      <c r="S6" s="150"/>
      <c r="T6" s="150"/>
      <c r="U6" s="150"/>
      <c r="V6" s="150"/>
      <c r="W6" s="150"/>
      <c r="X6" s="150"/>
      <c r="Y6" s="150"/>
      <c r="Z6" s="150"/>
      <c r="AB6" s="1" t="n">
        <v>-9</v>
      </c>
    </row>
    <row r="7" customFormat="false" ht="15.75" hidden="false" customHeight="false" outlineLevel="0" collapsed="false">
      <c r="A7" s="1" t="s">
        <v>667</v>
      </c>
      <c r="C7" s="150"/>
      <c r="D7" s="1" t="s">
        <v>668</v>
      </c>
      <c r="E7" s="1" t="s">
        <v>668</v>
      </c>
      <c r="G7" s="150"/>
      <c r="I7" s="150"/>
      <c r="J7" s="150"/>
      <c r="K7" s="150"/>
      <c r="L7" s="150"/>
      <c r="M7" s="150"/>
      <c r="O7" s="150"/>
      <c r="P7" s="150"/>
      <c r="Q7" s="150"/>
      <c r="T7" s="150"/>
      <c r="U7" s="150"/>
      <c r="V7" s="150"/>
      <c r="W7" s="150"/>
      <c r="X7" s="150"/>
      <c r="Y7" s="150"/>
      <c r="Z7" s="150"/>
      <c r="AB7" s="1" t="n">
        <v>-38</v>
      </c>
    </row>
    <row r="8" customFormat="false" ht="15.75" hidden="false" customHeight="false" outlineLevel="0" collapsed="false">
      <c r="A8" s="1" t="s">
        <v>669</v>
      </c>
      <c r="D8" s="1" t="s">
        <v>670</v>
      </c>
      <c r="F8" s="150"/>
      <c r="H8" s="1" t="s">
        <v>670</v>
      </c>
      <c r="I8" s="150"/>
      <c r="J8" s="150"/>
      <c r="K8" s="150"/>
      <c r="L8" s="150"/>
      <c r="M8" s="150"/>
      <c r="N8" s="150"/>
      <c r="O8" s="150"/>
      <c r="P8" s="150"/>
      <c r="Q8" s="150"/>
      <c r="S8" s="150"/>
      <c r="T8" s="150"/>
      <c r="U8" s="150"/>
      <c r="V8" s="150"/>
      <c r="W8" s="150"/>
      <c r="X8" s="150"/>
      <c r="Y8" s="150"/>
      <c r="Z8" s="150"/>
      <c r="AB8" s="1" t="n">
        <v>-6</v>
      </c>
    </row>
    <row r="9" customFormat="false" ht="15.75" hidden="false" customHeight="false" outlineLevel="0" collapsed="false">
      <c r="A9" s="1" t="s">
        <v>671</v>
      </c>
      <c r="D9" s="150"/>
      <c r="E9" s="1" t="s">
        <v>672</v>
      </c>
      <c r="F9" s="1" t="s">
        <v>672</v>
      </c>
      <c r="G9" s="1" t="s">
        <v>672</v>
      </c>
      <c r="H9" s="150"/>
      <c r="I9" s="150"/>
      <c r="J9" s="150"/>
      <c r="K9" s="150"/>
      <c r="L9" s="150"/>
      <c r="M9" s="150"/>
      <c r="O9" s="150"/>
      <c r="P9" s="150"/>
      <c r="Q9" s="150"/>
      <c r="S9" s="150"/>
      <c r="T9" s="150"/>
      <c r="U9" s="150"/>
      <c r="V9" s="150"/>
      <c r="W9" s="150"/>
      <c r="X9" s="150"/>
      <c r="Y9" s="150"/>
      <c r="Z9" s="150"/>
      <c r="AB9" s="1" t="n">
        <v>1</v>
      </c>
    </row>
    <row r="10" customFormat="false" ht="15.75" hidden="false" customHeight="false" outlineLevel="0" collapsed="false">
      <c r="A10" s="1" t="s">
        <v>673</v>
      </c>
      <c r="F10" s="150"/>
      <c r="G10" s="1" t="s">
        <v>674</v>
      </c>
      <c r="H10" s="1" t="s">
        <v>675</v>
      </c>
      <c r="I10" s="150"/>
      <c r="J10" s="150"/>
      <c r="K10" s="150"/>
      <c r="L10" s="150"/>
      <c r="M10" s="150"/>
      <c r="N10" s="150"/>
      <c r="O10" s="150"/>
      <c r="P10" s="150"/>
      <c r="Q10" s="150"/>
      <c r="S10" s="150"/>
      <c r="T10" s="150"/>
      <c r="U10" s="150"/>
      <c r="V10" s="150"/>
      <c r="W10" s="150"/>
      <c r="X10" s="150"/>
      <c r="Y10" s="150"/>
      <c r="Z10" s="150"/>
      <c r="AB10" s="1" t="n">
        <v>-7</v>
      </c>
    </row>
    <row r="11" customFormat="false" ht="15.75" hidden="false" customHeight="false" outlineLevel="0" collapsed="false">
      <c r="I11" s="150"/>
      <c r="J11" s="150"/>
      <c r="K11" s="150"/>
      <c r="L11" s="150"/>
      <c r="M11" s="150"/>
      <c r="O11" s="150"/>
      <c r="P11" s="150"/>
      <c r="Q11" s="150"/>
      <c r="S11" s="150"/>
      <c r="T11" s="150"/>
      <c r="U11" s="150"/>
      <c r="V11" s="150"/>
      <c r="W11" s="150"/>
      <c r="X11" s="150"/>
      <c r="Y11" s="150"/>
      <c r="Z11" s="150"/>
      <c r="AB11" s="1" t="n">
        <v>2</v>
      </c>
    </row>
    <row r="12" customFormat="false" ht="15.75" hidden="false" customHeight="false" outlineLevel="0" collapsed="false">
      <c r="I12" s="150"/>
      <c r="J12" s="150"/>
      <c r="K12" s="150"/>
      <c r="L12" s="150"/>
      <c r="M12" s="150"/>
      <c r="N12" s="150"/>
      <c r="O12" s="150"/>
      <c r="P12" s="150"/>
      <c r="Q12" s="150"/>
      <c r="S12" s="150"/>
      <c r="T12" s="150"/>
      <c r="U12" s="150"/>
      <c r="V12" s="150"/>
      <c r="W12" s="150"/>
      <c r="X12" s="150"/>
      <c r="Y12" s="150"/>
      <c r="Z12" s="150"/>
      <c r="AB12" s="1" t="n">
        <v>-2</v>
      </c>
    </row>
    <row r="13" customFormat="false" ht="15.75" hidden="false" customHeight="false" outlineLevel="0" collapsed="false">
      <c r="I13" s="150"/>
      <c r="J13" s="150"/>
      <c r="K13" s="150"/>
      <c r="L13" s="150"/>
      <c r="M13" s="150"/>
      <c r="O13" s="150"/>
      <c r="P13" s="150"/>
      <c r="Q13" s="150"/>
      <c r="S13" s="150"/>
      <c r="T13" s="150"/>
      <c r="U13" s="150"/>
      <c r="V13" s="150"/>
      <c r="W13" s="150"/>
      <c r="X13" s="150"/>
      <c r="Y13" s="150"/>
      <c r="Z13" s="150"/>
      <c r="AB13" s="1" t="n">
        <v>4</v>
      </c>
    </row>
    <row r="14" customFormat="false" ht="15.75" hidden="false" customHeight="false" outlineLevel="0" collapsed="false">
      <c r="I14" s="150"/>
      <c r="J14" s="150"/>
      <c r="K14" s="150"/>
      <c r="L14" s="150"/>
      <c r="M14" s="150"/>
      <c r="O14" s="150"/>
      <c r="P14" s="150"/>
      <c r="Q14" s="150"/>
      <c r="S14" s="150"/>
      <c r="T14" s="150"/>
      <c r="U14" s="150"/>
      <c r="V14" s="150"/>
      <c r="W14" s="150"/>
      <c r="X14" s="150"/>
      <c r="Y14" s="150"/>
      <c r="Z14" s="150"/>
      <c r="AB14" s="1" t="n">
        <v>3</v>
      </c>
    </row>
    <row r="15" customFormat="false" ht="15.75" hidden="false" customHeight="false" outlineLevel="0" collapsed="false">
      <c r="I15" s="150"/>
      <c r="J15" s="150"/>
      <c r="K15" s="150"/>
      <c r="L15" s="150"/>
      <c r="M15" s="150"/>
      <c r="N15" s="150"/>
      <c r="O15" s="150"/>
      <c r="P15" s="150"/>
      <c r="Q15" s="150"/>
      <c r="T15" s="150"/>
      <c r="U15" s="150"/>
      <c r="V15" s="150"/>
      <c r="W15" s="150"/>
      <c r="X15" s="150"/>
      <c r="Y15" s="150"/>
      <c r="Z15" s="150"/>
      <c r="AB15" s="1" t="n">
        <v>-8</v>
      </c>
    </row>
    <row r="16" customFormat="false" ht="15.75" hidden="false" customHeight="false" outlineLevel="0" collapsed="false">
      <c r="I16" s="150"/>
      <c r="J16" s="150"/>
      <c r="K16" s="150"/>
      <c r="L16" s="150"/>
      <c r="M16" s="150"/>
      <c r="N16" s="150"/>
      <c r="O16" s="150"/>
      <c r="P16" s="150"/>
      <c r="Q16" s="150"/>
      <c r="T16" s="150"/>
      <c r="U16" s="150"/>
      <c r="V16" s="150"/>
      <c r="W16" s="150"/>
      <c r="X16" s="150"/>
      <c r="Y16" s="150"/>
      <c r="Z16" s="150"/>
      <c r="AB16" s="1" t="n">
        <v>-5</v>
      </c>
    </row>
    <row r="17" customFormat="false" ht="15.75" hidden="false" customHeight="false" outlineLevel="0" collapsed="false">
      <c r="I17" s="150"/>
      <c r="J17" s="150"/>
      <c r="K17" s="150"/>
      <c r="L17" s="150"/>
      <c r="M17" s="150"/>
      <c r="N17" s="150"/>
      <c r="O17" s="150"/>
      <c r="P17" s="150"/>
      <c r="Q17" s="150"/>
      <c r="S17" s="150"/>
      <c r="T17" s="150"/>
      <c r="U17" s="150"/>
      <c r="V17" s="150"/>
      <c r="W17" s="150"/>
      <c r="X17" s="150"/>
      <c r="Y17" s="150"/>
      <c r="Z17" s="150"/>
      <c r="AB17" s="1" t="n">
        <v>-6</v>
      </c>
    </row>
    <row r="18" customFormat="false" ht="15.75" hidden="false" customHeight="false" outlineLevel="0" collapsed="false">
      <c r="I18" s="150"/>
      <c r="J18" s="150"/>
      <c r="K18" s="150"/>
      <c r="L18" s="150"/>
      <c r="M18" s="150"/>
      <c r="O18" s="150"/>
      <c r="P18" s="150"/>
      <c r="Q18" s="150"/>
      <c r="S18" s="150"/>
      <c r="T18" s="150"/>
      <c r="U18" s="150"/>
      <c r="V18" s="150"/>
      <c r="W18" s="150"/>
      <c r="X18" s="150"/>
      <c r="Y18" s="150"/>
      <c r="Z18" s="150"/>
      <c r="AB18" s="1" t="n">
        <v>2</v>
      </c>
    </row>
    <row r="19" customFormat="false" ht="15.75" hidden="false" customHeight="false" outlineLevel="0" collapsed="false">
      <c r="I19" s="150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  <c r="AA19" s="1" t="s">
        <v>676</v>
      </c>
      <c r="AB19" s="1" t="n">
        <v>-11</v>
      </c>
    </row>
    <row r="20" customFormat="false" ht="15.75" hidden="false" customHeight="false" outlineLevel="0" collapsed="false">
      <c r="A20" s="150"/>
      <c r="B20" s="150"/>
      <c r="C20" s="150"/>
      <c r="D20" s="150"/>
      <c r="E20" s="150"/>
      <c r="F20" s="150"/>
      <c r="G20" s="150"/>
      <c r="H20" s="150"/>
      <c r="I20" s="150"/>
      <c r="J20" s="150"/>
      <c r="K20" s="150"/>
      <c r="L20" s="150"/>
      <c r="M20" s="150"/>
      <c r="O20" s="150"/>
      <c r="P20" s="150"/>
      <c r="Q20" s="150"/>
      <c r="S20" s="150"/>
      <c r="T20" s="150"/>
      <c r="U20" s="150"/>
      <c r="V20" s="150"/>
      <c r="W20" s="150"/>
      <c r="X20" s="150"/>
      <c r="Y20" s="150"/>
      <c r="Z20" s="150"/>
      <c r="AB20" s="1" t="n">
        <v>0</v>
      </c>
    </row>
    <row r="21" customFormat="false" ht="15.75" hidden="false" customHeight="false" outlineLevel="0" collapsed="false">
      <c r="A21" s="150"/>
      <c r="B21" s="150"/>
      <c r="C21" s="150"/>
      <c r="D21" s="150"/>
      <c r="E21" s="150"/>
      <c r="F21" s="150"/>
      <c r="G21" s="150"/>
      <c r="H21" s="150"/>
      <c r="I21" s="150"/>
      <c r="J21" s="150"/>
      <c r="K21" s="150"/>
      <c r="L21" s="150"/>
      <c r="M21" s="150"/>
      <c r="O21" s="150"/>
      <c r="P21" s="150"/>
      <c r="Q21" s="150"/>
      <c r="S21" s="150"/>
      <c r="T21" s="150"/>
      <c r="U21" s="150"/>
      <c r="V21" s="150"/>
      <c r="W21" s="150"/>
      <c r="X21" s="150"/>
      <c r="Y21" s="150"/>
      <c r="Z21" s="150"/>
      <c r="AB21" s="1" t="n">
        <v>5</v>
      </c>
    </row>
    <row r="22" customFormat="false" ht="15.75" hidden="false" customHeight="false" outlineLevel="0" collapsed="false">
      <c r="A22" s="150"/>
      <c r="B22" s="150"/>
      <c r="C22" s="150"/>
      <c r="D22" s="150"/>
      <c r="E22" s="150"/>
      <c r="F22" s="150"/>
      <c r="G22" s="150"/>
      <c r="H22" s="150"/>
      <c r="I22" s="150"/>
      <c r="J22" s="150"/>
      <c r="K22" s="150"/>
      <c r="L22" s="150"/>
      <c r="M22" s="150"/>
      <c r="N22" s="150"/>
      <c r="O22" s="150"/>
      <c r="P22" s="150"/>
      <c r="Q22" s="150"/>
      <c r="T22" s="150"/>
      <c r="U22" s="150"/>
      <c r="V22" s="150"/>
      <c r="W22" s="150"/>
      <c r="X22" s="150"/>
      <c r="Y22" s="150"/>
      <c r="Z22" s="150"/>
      <c r="AB22" s="1" t="n">
        <v>-7</v>
      </c>
    </row>
    <row r="23" customFormat="false" ht="15.75" hidden="false" customHeight="false" outlineLevel="0" collapsed="false">
      <c r="A23" s="150"/>
      <c r="B23" s="150"/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O23" s="150"/>
      <c r="P23" s="150"/>
      <c r="Q23" s="150"/>
      <c r="S23" s="150"/>
      <c r="T23" s="150"/>
      <c r="U23" s="150"/>
      <c r="V23" s="150"/>
      <c r="W23" s="150"/>
      <c r="X23" s="150"/>
      <c r="Y23" s="150"/>
      <c r="Z23" s="150"/>
      <c r="AB23" s="1" t="n">
        <v>1</v>
      </c>
    </row>
    <row r="24" customFormat="false" ht="15.75" hidden="false" customHeight="false" outlineLevel="0" collapsed="false">
      <c r="A24" s="150"/>
      <c r="B24" s="150"/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O24" s="150"/>
      <c r="P24" s="150"/>
      <c r="Q24" s="150"/>
      <c r="S24" s="150"/>
      <c r="T24" s="150"/>
      <c r="U24" s="150"/>
      <c r="V24" s="150"/>
      <c r="W24" s="150"/>
      <c r="X24" s="150"/>
      <c r="Y24" s="150"/>
      <c r="Z24" s="150"/>
      <c r="AB24" s="1" t="n">
        <v>-2</v>
      </c>
    </row>
    <row r="25" customFormat="false" ht="15.75" hidden="false" customHeight="false" outlineLevel="0" collapsed="false">
      <c r="A25" s="150"/>
      <c r="B25" s="150"/>
      <c r="C25" s="150"/>
      <c r="D25" s="150"/>
      <c r="E25" s="150"/>
      <c r="F25" s="150"/>
      <c r="G25" s="150"/>
      <c r="H25" s="150"/>
      <c r="I25" s="150"/>
      <c r="J25" s="150"/>
      <c r="K25" s="150"/>
      <c r="L25" s="150"/>
      <c r="M25" s="150"/>
      <c r="O25" s="150"/>
      <c r="P25" s="150"/>
      <c r="Q25" s="150"/>
      <c r="S25" s="150"/>
      <c r="T25" s="150"/>
      <c r="U25" s="150"/>
      <c r="V25" s="150"/>
      <c r="W25" s="150"/>
      <c r="X25" s="150"/>
      <c r="Y25" s="150"/>
      <c r="Z25" s="150"/>
      <c r="AB25" s="1" t="n">
        <v>-1</v>
      </c>
    </row>
    <row r="26" customFormat="false" ht="15.75" hidden="false" customHeight="false" outlineLevel="0" collapsed="false">
      <c r="A26" s="150"/>
      <c r="B26" s="150"/>
      <c r="C26" s="150"/>
      <c r="D26" s="150"/>
      <c r="E26" s="150"/>
      <c r="F26" s="150"/>
      <c r="G26" s="150"/>
      <c r="H26" s="150"/>
      <c r="I26" s="150"/>
      <c r="J26" s="150"/>
      <c r="K26" s="150"/>
      <c r="L26" s="150"/>
      <c r="M26" s="150"/>
      <c r="O26" s="150"/>
      <c r="P26" s="150"/>
      <c r="Q26" s="150"/>
      <c r="S26" s="150"/>
      <c r="T26" s="150"/>
      <c r="U26" s="150"/>
      <c r="V26" s="150"/>
      <c r="W26" s="150"/>
      <c r="X26" s="150"/>
      <c r="Y26" s="150"/>
      <c r="Z26" s="150"/>
      <c r="AB26" s="1" t="n">
        <v>0</v>
      </c>
    </row>
    <row r="27" customFormat="false" ht="15.75" hidden="false" customHeight="false" outlineLevel="0" collapsed="false">
      <c r="A27" s="150"/>
      <c r="B27" s="150"/>
      <c r="C27" s="150"/>
      <c r="D27" s="150"/>
      <c r="E27" s="150"/>
      <c r="F27" s="150"/>
      <c r="G27" s="150"/>
      <c r="H27" s="150"/>
      <c r="I27" s="150"/>
      <c r="J27" s="150"/>
      <c r="K27" s="150"/>
      <c r="L27" s="150"/>
      <c r="M27" s="150"/>
      <c r="N27" s="150"/>
      <c r="O27" s="150"/>
      <c r="P27" s="150"/>
      <c r="Q27" s="150"/>
      <c r="S27" s="150"/>
      <c r="T27" s="150"/>
      <c r="U27" s="150"/>
      <c r="V27" s="150"/>
      <c r="W27" s="150"/>
      <c r="X27" s="150"/>
      <c r="Y27" s="150"/>
      <c r="Z27" s="150"/>
      <c r="AB27" s="1" t="n">
        <v>-7</v>
      </c>
    </row>
    <row r="28" customFormat="false" ht="15.75" hidden="false" customHeight="false" outlineLevel="0" collapsed="false">
      <c r="A28" s="150"/>
      <c r="B28" s="150"/>
      <c r="C28" s="150"/>
      <c r="D28" s="150"/>
      <c r="E28" s="150"/>
      <c r="F28" s="150"/>
      <c r="G28" s="150"/>
      <c r="H28" s="150"/>
      <c r="I28" s="150"/>
      <c r="J28" s="150"/>
      <c r="K28" s="150"/>
      <c r="L28" s="150"/>
      <c r="M28" s="150"/>
      <c r="O28" s="150"/>
      <c r="P28" s="150"/>
      <c r="Q28" s="150"/>
      <c r="S28" s="150"/>
      <c r="T28" s="150"/>
      <c r="U28" s="150"/>
      <c r="V28" s="150"/>
      <c r="W28" s="150"/>
      <c r="X28" s="150"/>
      <c r="Y28" s="150"/>
      <c r="Z28" s="150"/>
      <c r="AB28" s="1" t="n">
        <v>-9</v>
      </c>
    </row>
    <row r="29" customFormat="false" ht="15.75" hidden="false" customHeight="false" outlineLevel="0" collapsed="false">
      <c r="A29" s="150"/>
      <c r="B29" s="150"/>
      <c r="C29" s="150"/>
      <c r="D29" s="150"/>
      <c r="E29" s="150"/>
      <c r="F29" s="150"/>
      <c r="G29" s="150"/>
      <c r="H29" s="150"/>
      <c r="I29" s="150"/>
      <c r="J29" s="150"/>
      <c r="K29" s="150"/>
      <c r="L29" s="150"/>
      <c r="M29" s="150"/>
      <c r="O29" s="150"/>
      <c r="P29" s="150"/>
      <c r="Q29" s="150"/>
      <c r="S29" s="150"/>
      <c r="T29" s="150"/>
      <c r="U29" s="150"/>
      <c r="V29" s="150"/>
      <c r="W29" s="150"/>
      <c r="X29" s="150"/>
      <c r="Y29" s="150"/>
      <c r="Z29" s="150"/>
      <c r="AB29" s="1" t="n">
        <v>0</v>
      </c>
    </row>
    <row r="30" customFormat="false" ht="15.75" hidden="false" customHeight="false" outlineLevel="0" collapsed="false">
      <c r="A30" s="150"/>
      <c r="B30" s="150"/>
      <c r="C30" s="150"/>
      <c r="D30" s="150"/>
      <c r="E30" s="150"/>
      <c r="F30" s="150"/>
      <c r="G30" s="150"/>
      <c r="H30" s="150"/>
      <c r="I30" s="15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  <c r="AA30" s="1" t="s">
        <v>677</v>
      </c>
      <c r="AB30" s="1" t="n">
        <v>-8</v>
      </c>
    </row>
    <row r="31" customFormat="false" ht="15.75" hidden="false" customHeight="false" outlineLevel="0" collapsed="false">
      <c r="A31" s="150"/>
      <c r="B31" s="150"/>
      <c r="C31" s="150"/>
      <c r="D31" s="150"/>
      <c r="E31" s="150"/>
      <c r="F31" s="150"/>
      <c r="G31" s="150"/>
      <c r="H31" s="150"/>
      <c r="I31" s="150"/>
      <c r="J31" s="150"/>
      <c r="K31" s="150"/>
      <c r="L31" s="150"/>
      <c r="M31" s="150"/>
      <c r="N31" s="150"/>
      <c r="O31" s="150"/>
      <c r="P31" s="150"/>
      <c r="Q31" s="150"/>
      <c r="T31" s="150"/>
      <c r="U31" s="150"/>
      <c r="V31" s="150"/>
      <c r="W31" s="150"/>
      <c r="X31" s="150"/>
      <c r="Y31" s="150"/>
      <c r="Z31" s="150"/>
      <c r="AB31" s="1" t="n">
        <v>-7</v>
      </c>
    </row>
    <row r="32" customFormat="false" ht="15.75" hidden="false" customHeight="false" outlineLevel="0" collapsed="false">
      <c r="A32" s="150"/>
      <c r="B32" s="150"/>
      <c r="C32" s="150"/>
      <c r="D32" s="150"/>
      <c r="E32" s="150"/>
      <c r="F32" s="150"/>
      <c r="G32" s="150"/>
      <c r="H32" s="150"/>
      <c r="I32" s="150"/>
      <c r="J32" s="150"/>
      <c r="K32" s="150"/>
      <c r="L32" s="150"/>
      <c r="M32" s="150"/>
      <c r="O32" s="150"/>
      <c r="P32" s="150"/>
      <c r="Q32" s="150"/>
      <c r="S32" s="150"/>
      <c r="T32" s="150"/>
      <c r="U32" s="150"/>
      <c r="V32" s="150"/>
      <c r="W32" s="150"/>
      <c r="X32" s="150"/>
      <c r="Y32" s="150"/>
      <c r="Z32" s="150"/>
      <c r="AB32" s="1" t="n">
        <v>-2</v>
      </c>
    </row>
    <row r="33" customFormat="false" ht="15.75" hidden="false" customHeight="false" outlineLevel="0" collapsed="false">
      <c r="A33" s="150"/>
      <c r="B33" s="150"/>
      <c r="C33" s="150"/>
      <c r="D33" s="150"/>
      <c r="E33" s="150"/>
      <c r="F33" s="150"/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T33" s="150"/>
      <c r="U33" s="150"/>
      <c r="V33" s="150"/>
      <c r="W33" s="150"/>
      <c r="X33" s="150"/>
      <c r="Y33" s="150"/>
      <c r="Z33" s="150"/>
      <c r="AB33" s="1" t="n">
        <v>-8</v>
      </c>
    </row>
    <row r="34" customFormat="false" ht="15.75" hidden="false" customHeight="false" outlineLevel="0" collapsed="false">
      <c r="A34" s="150"/>
      <c r="B34" s="150"/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  <c r="AA34" s="1" t="s">
        <v>678</v>
      </c>
      <c r="AB34" s="1" t="n">
        <v>0</v>
      </c>
    </row>
    <row r="35" customFormat="false" ht="15.75" hidden="false" customHeight="false" outlineLevel="0" collapsed="false">
      <c r="A35" s="150"/>
      <c r="B35" s="150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O35" s="150"/>
      <c r="P35" s="150"/>
      <c r="Q35" s="150"/>
      <c r="S35" s="150"/>
      <c r="T35" s="150"/>
      <c r="U35" s="150"/>
      <c r="V35" s="150"/>
      <c r="W35" s="150"/>
      <c r="X35" s="150"/>
      <c r="Y35" s="150"/>
      <c r="Z35" s="150"/>
      <c r="AB35" s="1" t="n">
        <v>1</v>
      </c>
    </row>
    <row r="36" customFormat="false" ht="15.75" hidden="false" customHeight="false" outlineLevel="0" collapsed="false">
      <c r="A36" s="150"/>
      <c r="B36" s="150"/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O36" s="150"/>
      <c r="P36" s="150"/>
      <c r="Q36" s="150"/>
      <c r="S36" s="150"/>
      <c r="T36" s="150"/>
      <c r="U36" s="150"/>
      <c r="V36" s="150"/>
      <c r="Y36" s="150"/>
      <c r="Z36" s="150"/>
      <c r="AB36" s="1" t="n">
        <v>0</v>
      </c>
    </row>
    <row r="37" customFormat="false" ht="15.75" hidden="false" customHeight="false" outlineLevel="0" collapsed="false">
      <c r="A37" s="150"/>
      <c r="B37" s="150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O37" s="150"/>
      <c r="P37" s="150"/>
      <c r="Q37" s="150"/>
      <c r="S37" s="150"/>
      <c r="T37" s="150"/>
      <c r="U37" s="150"/>
      <c r="V37" s="150"/>
      <c r="W37" s="150"/>
      <c r="X37" s="150"/>
      <c r="Y37" s="150"/>
      <c r="Z37" s="150"/>
      <c r="AB37" s="1" t="n">
        <v>4</v>
      </c>
    </row>
    <row r="38" customFormat="false" ht="15.75" hidden="false" customHeight="false" outlineLevel="0" collapsed="false">
      <c r="A38" s="150"/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  <c r="AA38" s="1" t="s">
        <v>679</v>
      </c>
      <c r="AB38" s="1" t="n">
        <v>-12</v>
      </c>
    </row>
    <row r="39" customFormat="false" ht="15.75" hidden="false" customHeight="false" outlineLevel="0" collapsed="false">
      <c r="A39" s="150"/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  <c r="AA39" s="1" t="s">
        <v>680</v>
      </c>
      <c r="AB39" s="1" t="n">
        <v>0</v>
      </c>
    </row>
    <row r="40" customFormat="false" ht="15.75" hidden="false" customHeight="false" outlineLevel="0" collapsed="false">
      <c r="A40" s="150"/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O40" s="150"/>
      <c r="P40" s="150"/>
      <c r="Q40" s="150"/>
      <c r="S40" s="150"/>
      <c r="T40" s="150"/>
      <c r="U40" s="150"/>
      <c r="V40" s="150"/>
      <c r="W40" s="150"/>
      <c r="X40" s="150"/>
      <c r="Y40" s="150"/>
      <c r="Z40" s="150"/>
      <c r="AB40" s="1" t="n">
        <v>-2</v>
      </c>
    </row>
    <row r="41" customFormat="false" ht="15.75" hidden="false" customHeight="false" outlineLevel="0" collapsed="false">
      <c r="A41" s="150"/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O41" s="150"/>
      <c r="P41" s="150"/>
      <c r="Q41" s="150"/>
      <c r="S41" s="150"/>
      <c r="T41" s="150"/>
      <c r="U41" s="150"/>
      <c r="V41" s="150"/>
      <c r="W41" s="150"/>
      <c r="X41" s="150"/>
      <c r="Y41" s="150"/>
      <c r="Z41" s="150"/>
      <c r="AB41" s="1" t="n">
        <v>-10</v>
      </c>
    </row>
    <row r="42" customFormat="false" ht="15.75" hidden="false" customHeight="false" outlineLevel="0" collapsed="false">
      <c r="A42" s="150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  <c r="AA42" s="1" t="s">
        <v>681</v>
      </c>
      <c r="AB42" s="1" t="n">
        <v>6</v>
      </c>
    </row>
    <row r="43" customFormat="false" ht="15.75" hidden="false" customHeight="false" outlineLevel="0" collapsed="false">
      <c r="A43" s="150"/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T43" s="150"/>
      <c r="U43" s="150"/>
      <c r="V43" s="150"/>
      <c r="W43" s="150"/>
      <c r="X43" s="150"/>
      <c r="Y43" s="150"/>
      <c r="Z43" s="150"/>
      <c r="AB43" s="1" t="n">
        <v>-7</v>
      </c>
    </row>
    <row r="44" customFormat="false" ht="15.75" hidden="false" customHeight="false" outlineLevel="0" collapsed="false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O44" s="150"/>
      <c r="P44" s="150"/>
      <c r="Q44" s="150"/>
      <c r="S44" s="150"/>
      <c r="T44" s="150"/>
      <c r="U44" s="150"/>
      <c r="V44" s="150"/>
      <c r="W44" s="150"/>
      <c r="X44" s="150"/>
      <c r="Y44" s="150"/>
      <c r="Z44" s="150"/>
      <c r="AB44" s="1" t="n">
        <v>-2</v>
      </c>
    </row>
    <row r="45" customFormat="false" ht="15.75" hidden="false" customHeight="false" outlineLevel="0" collapsed="false">
      <c r="A45" s="150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O45" s="150"/>
      <c r="P45" s="150"/>
      <c r="Q45" s="150"/>
      <c r="S45" s="150"/>
      <c r="T45" s="150"/>
      <c r="U45" s="150"/>
      <c r="V45" s="150"/>
      <c r="W45" s="150"/>
      <c r="X45" s="150"/>
      <c r="Y45" s="150"/>
      <c r="Z45" s="150"/>
      <c r="AB45" s="1" t="n">
        <v>0</v>
      </c>
    </row>
    <row r="46" customFormat="false" ht="15.75" hidden="false" customHeight="false" outlineLevel="0" collapsed="false">
      <c r="A46" s="150"/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T46" s="150"/>
      <c r="U46" s="150"/>
      <c r="V46" s="150"/>
      <c r="W46" s="150"/>
      <c r="X46" s="150"/>
      <c r="Y46" s="150"/>
      <c r="Z46" s="150"/>
      <c r="AB46" s="1" t="n">
        <v>-2</v>
      </c>
    </row>
    <row r="47" customFormat="false" ht="15.75" hidden="false" customHeight="false" outlineLevel="0" collapsed="false">
      <c r="A47" s="150"/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O47" s="150"/>
      <c r="P47" s="150"/>
      <c r="Q47" s="150"/>
      <c r="S47" s="150"/>
      <c r="T47" s="150"/>
      <c r="U47" s="150"/>
      <c r="V47" s="150"/>
      <c r="W47" s="150"/>
      <c r="X47" s="150"/>
      <c r="Y47" s="150"/>
      <c r="Z47" s="150"/>
      <c r="AB47" s="1" t="n">
        <v>0</v>
      </c>
    </row>
    <row r="48" customFormat="false" ht="15.75" hidden="false" customHeight="false" outlineLevel="0" collapsed="false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" t="s">
        <v>682</v>
      </c>
      <c r="AB48" s="1" t="n">
        <v>-13</v>
      </c>
    </row>
    <row r="49" customFormat="false" ht="15.75" hidden="false" customHeight="false" outlineLevel="0" collapsed="false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T49" s="150"/>
      <c r="U49" s="150"/>
      <c r="V49" s="150"/>
      <c r="W49" s="150"/>
      <c r="X49" s="150"/>
      <c r="Y49" s="150"/>
      <c r="Z49" s="150"/>
      <c r="AB49" s="1" t="n">
        <v>-6</v>
      </c>
    </row>
    <row r="50" customFormat="false" ht="15.75" hidden="false" customHeight="false" outlineLevel="0" collapsed="false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O50" s="150"/>
      <c r="P50" s="150"/>
      <c r="Q50" s="150"/>
      <c r="S50" s="150"/>
      <c r="T50" s="150"/>
      <c r="U50" s="150"/>
      <c r="V50" s="150"/>
      <c r="W50" s="150"/>
      <c r="X50" s="150"/>
      <c r="Y50" s="150"/>
      <c r="Z50" s="150"/>
      <c r="AB50" s="1" t="n">
        <v>0</v>
      </c>
    </row>
    <row r="51" customFormat="false" ht="15.75" hidden="false" customHeight="false" outlineLevel="0" collapsed="false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O51" s="150"/>
      <c r="P51" s="150"/>
      <c r="Q51" s="150"/>
      <c r="S51" s="150"/>
      <c r="T51" s="150"/>
      <c r="U51" s="150"/>
      <c r="V51" s="150"/>
      <c r="W51" s="150"/>
      <c r="X51" s="150"/>
      <c r="Y51" s="150"/>
      <c r="Z51" s="150"/>
      <c r="AB51" s="1" t="n">
        <v>-6</v>
      </c>
    </row>
    <row r="52" customFormat="false" ht="15.75" hidden="false" customHeight="false" outlineLevel="0" collapsed="false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  <c r="AA52" s="1" t="s">
        <v>683</v>
      </c>
      <c r="AB52" s="1" t="n">
        <v>5</v>
      </c>
    </row>
    <row r="53" customFormat="false" ht="15.75" hidden="false" customHeight="false" outlineLevel="0" collapsed="false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O53" s="150"/>
      <c r="P53" s="150"/>
      <c r="Q53" s="150"/>
      <c r="S53" s="150"/>
      <c r="T53" s="150"/>
      <c r="U53" s="150"/>
      <c r="V53" s="150"/>
      <c r="W53" s="150"/>
      <c r="X53" s="150"/>
      <c r="Y53" s="150"/>
      <c r="Z53" s="150"/>
      <c r="AB53" s="1" t="n">
        <v>0</v>
      </c>
    </row>
    <row r="54" customFormat="false" ht="15.75" hidden="false" customHeight="false" outlineLevel="0" collapsed="false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O54" s="150"/>
      <c r="P54" s="150"/>
      <c r="Q54" s="150"/>
      <c r="S54" s="150"/>
      <c r="T54" s="150"/>
      <c r="U54" s="150"/>
      <c r="V54" s="150"/>
      <c r="W54" s="150"/>
      <c r="X54" s="150"/>
      <c r="Y54" s="150"/>
      <c r="Z54" s="150"/>
      <c r="AB54" s="1" t="n">
        <v>0</v>
      </c>
    </row>
    <row r="55" customFormat="false" ht="15.75" hidden="false" customHeight="false" outlineLevel="0" collapsed="false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T55" s="150"/>
      <c r="U55" s="150"/>
      <c r="V55" s="150"/>
      <c r="W55" s="150"/>
      <c r="X55" s="150"/>
      <c r="Y55" s="150"/>
      <c r="Z55" s="150"/>
      <c r="AB55" s="1" t="n">
        <v>-8</v>
      </c>
    </row>
    <row r="56" customFormat="false" ht="15.75" hidden="false" customHeight="false" outlineLevel="0" collapsed="false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T56" s="150"/>
      <c r="U56" s="150"/>
      <c r="V56" s="150"/>
      <c r="W56" s="150"/>
      <c r="X56" s="150"/>
      <c r="Y56" s="150"/>
      <c r="Z56" s="150"/>
      <c r="AB56" s="1" t="n">
        <v>-11</v>
      </c>
    </row>
    <row r="57" customFormat="false" ht="15.75" hidden="false" customHeight="false" outlineLevel="0" collapsed="false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T57" s="150"/>
      <c r="U57" s="150"/>
      <c r="V57" s="150"/>
      <c r="W57" s="150"/>
      <c r="X57" s="150"/>
      <c r="Y57" s="150"/>
      <c r="Z57" s="150"/>
      <c r="AB57" s="1" t="n">
        <v>-6</v>
      </c>
    </row>
    <row r="58" customFormat="false" ht="15.75" hidden="false" customHeight="false" outlineLevel="0" collapsed="false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O58" s="150"/>
      <c r="P58" s="150"/>
      <c r="Q58" s="150"/>
      <c r="S58" s="150"/>
      <c r="T58" s="150"/>
      <c r="U58" s="150"/>
      <c r="V58" s="150"/>
      <c r="W58" s="150"/>
      <c r="X58" s="150"/>
      <c r="Y58" s="150"/>
      <c r="Z58" s="150"/>
      <c r="AB58" s="1" t="n">
        <v>-2</v>
      </c>
    </row>
    <row r="59" customFormat="false" ht="15.75" hidden="false" customHeight="false" outlineLevel="0" collapsed="false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  <c r="AA59" s="1" t="s">
        <v>684</v>
      </c>
      <c r="AB59" s="1" t="n">
        <v>-9</v>
      </c>
    </row>
    <row r="60" customFormat="false" ht="15.75" hidden="false" customHeight="false" outlineLevel="0" collapsed="false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T60" s="150"/>
      <c r="U60" s="150"/>
      <c r="V60" s="150"/>
      <c r="W60" s="150"/>
      <c r="X60" s="150"/>
      <c r="Y60" s="150"/>
      <c r="Z60" s="150"/>
      <c r="AB60" s="1" t="n">
        <v>-9</v>
      </c>
    </row>
    <row r="61" customFormat="false" ht="15.75" hidden="false" customHeight="false" outlineLevel="0" collapsed="false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O61" s="150"/>
      <c r="P61" s="150"/>
      <c r="Q61" s="150"/>
      <c r="S61" s="150"/>
      <c r="T61" s="150"/>
      <c r="U61" s="150"/>
      <c r="V61" s="150"/>
      <c r="W61" s="150"/>
      <c r="X61" s="150"/>
      <c r="Y61" s="150"/>
      <c r="Z61" s="150"/>
      <c r="AB61" s="1" t="n">
        <v>-2</v>
      </c>
    </row>
    <row r="62" customFormat="false" ht="15.75" hidden="false" customHeight="false" outlineLevel="0" collapsed="false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T62" s="150"/>
      <c r="U62" s="150"/>
      <c r="V62" s="150"/>
      <c r="W62" s="150"/>
      <c r="X62" s="150"/>
      <c r="Y62" s="150"/>
      <c r="Z62" s="150"/>
      <c r="AB62" s="1" t="n">
        <v>-8</v>
      </c>
    </row>
    <row r="63" customFormat="false" ht="15.75" hidden="false" customHeight="false" outlineLevel="0" collapsed="false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  <c r="AA63" s="1" t="s">
        <v>685</v>
      </c>
      <c r="AB63" s="1" t="n">
        <v>-19</v>
      </c>
    </row>
    <row r="64" customFormat="false" ht="15.75" hidden="false" customHeight="false" outlineLevel="0" collapsed="false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O64" s="150"/>
      <c r="P64" s="150"/>
      <c r="Q64" s="150"/>
      <c r="S64" s="150"/>
      <c r="T64" s="150"/>
      <c r="U64" s="150"/>
      <c r="V64" s="150"/>
      <c r="W64" s="150"/>
      <c r="X64" s="150"/>
      <c r="Y64" s="150"/>
      <c r="Z64" s="150"/>
      <c r="AB64" s="1" t="n">
        <v>-12</v>
      </c>
    </row>
    <row r="65" customFormat="false" ht="15.75" hidden="false" customHeight="false" outlineLevel="0" collapsed="false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T65" s="150"/>
      <c r="U65" s="150"/>
      <c r="V65" s="150"/>
      <c r="W65" s="150"/>
      <c r="X65" s="150"/>
      <c r="Y65" s="150"/>
      <c r="Z65" s="150"/>
      <c r="AB65" s="1" t="n">
        <v>-7</v>
      </c>
    </row>
    <row r="66" customFormat="false" ht="15.75" hidden="false" customHeight="false" outlineLevel="0" collapsed="false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T66" s="150"/>
      <c r="U66" s="150"/>
      <c r="V66" s="150"/>
      <c r="W66" s="150"/>
      <c r="X66" s="150"/>
      <c r="Y66" s="150"/>
      <c r="Z66" s="150"/>
      <c r="AB66" s="1" t="n">
        <v>-9</v>
      </c>
    </row>
    <row r="67" customFormat="false" ht="15.75" hidden="false" customHeight="false" outlineLevel="0" collapsed="false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O67" s="150"/>
      <c r="P67" s="150"/>
      <c r="Q67" s="150"/>
      <c r="S67" s="150"/>
      <c r="T67" s="150"/>
      <c r="U67" s="150"/>
      <c r="V67" s="150"/>
      <c r="W67" s="150"/>
      <c r="X67" s="150"/>
      <c r="Y67" s="150"/>
      <c r="Z67" s="150"/>
      <c r="AB67" s="1" t="n">
        <v>-9</v>
      </c>
    </row>
    <row r="68" customFormat="false" ht="15.75" hidden="false" customHeight="false" outlineLevel="0" collapsed="false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O68" s="150"/>
      <c r="P68" s="150"/>
      <c r="Q68" s="150"/>
      <c r="S68" s="150"/>
      <c r="T68" s="150"/>
      <c r="U68" s="150"/>
      <c r="V68" s="150"/>
      <c r="W68" s="150"/>
      <c r="X68" s="150"/>
      <c r="Y68" s="150"/>
      <c r="Z68" s="150"/>
      <c r="AB68" s="1" t="n">
        <v>-11</v>
      </c>
    </row>
    <row r="69" customFormat="false" ht="15.75" hidden="false" customHeight="false" outlineLevel="0" collapsed="false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O69" s="150"/>
      <c r="P69" s="150"/>
      <c r="Q69" s="150"/>
      <c r="S69" s="150"/>
      <c r="T69" s="150"/>
      <c r="U69" s="150"/>
      <c r="V69" s="150"/>
      <c r="W69" s="150"/>
      <c r="X69" s="150"/>
      <c r="Y69" s="150"/>
      <c r="Z69" s="150"/>
      <c r="AB69" s="1" t="n">
        <v>3</v>
      </c>
    </row>
    <row r="70" customFormat="false" ht="15.75" hidden="false" customHeight="false" outlineLevel="0" collapsed="false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" t="s">
        <v>686</v>
      </c>
      <c r="AB70" s="1" t="n">
        <v>-14</v>
      </c>
    </row>
    <row r="71" customFormat="false" ht="15.75" hidden="false" customHeight="false" outlineLevel="0" collapsed="false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O71" s="150"/>
      <c r="P71" s="150"/>
      <c r="Q71" s="150"/>
      <c r="S71" s="150"/>
      <c r="T71" s="150"/>
      <c r="U71" s="150"/>
      <c r="V71" s="150"/>
      <c r="W71" s="150"/>
      <c r="X71" s="150"/>
      <c r="Y71" s="150"/>
      <c r="Z71" s="150"/>
      <c r="AB71" s="1" t="n">
        <v>1</v>
      </c>
    </row>
    <row r="72" customFormat="false" ht="15.75" hidden="false" customHeight="false" outlineLevel="0" collapsed="false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O72" s="150"/>
      <c r="P72" s="150"/>
      <c r="Q72" s="150"/>
      <c r="S72" s="150"/>
      <c r="T72" s="150"/>
      <c r="U72" s="150"/>
      <c r="V72" s="150"/>
      <c r="W72" s="150"/>
      <c r="X72" s="150"/>
      <c r="Y72" s="150"/>
      <c r="Z72" s="150"/>
      <c r="AB72" s="1" t="n">
        <v>-2</v>
      </c>
    </row>
    <row r="73" customFormat="false" ht="15.75" hidden="false" customHeight="false" outlineLevel="0" collapsed="false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O73" s="150"/>
      <c r="P73" s="150"/>
      <c r="Q73" s="150"/>
      <c r="S73" s="150"/>
      <c r="T73" s="150"/>
      <c r="U73" s="150"/>
      <c r="V73" s="150"/>
      <c r="W73" s="150"/>
      <c r="X73" s="150"/>
      <c r="Y73" s="150"/>
      <c r="Z73" s="150"/>
      <c r="AB73" s="1" t="n">
        <v>1</v>
      </c>
    </row>
    <row r="74" customFormat="false" ht="15.75" hidden="false" customHeight="false" outlineLevel="0" collapsed="false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O74" s="150"/>
      <c r="P74" s="150"/>
      <c r="Q74" s="150"/>
      <c r="S74" s="150"/>
      <c r="T74" s="150"/>
      <c r="U74" s="150"/>
      <c r="V74" s="150"/>
      <c r="W74" s="150"/>
      <c r="X74" s="150"/>
      <c r="Y74" s="150"/>
      <c r="Z74" s="150"/>
      <c r="AB74" s="1" t="n">
        <v>-1</v>
      </c>
    </row>
    <row r="75" customFormat="false" ht="15.75" hidden="false" customHeight="false" outlineLevel="0" collapsed="false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T75" s="150"/>
      <c r="U75" s="150"/>
      <c r="V75" s="150"/>
      <c r="W75" s="150"/>
      <c r="X75" s="150"/>
      <c r="Y75" s="150"/>
      <c r="Z75" s="150"/>
      <c r="AB75" s="1" t="n">
        <v>-9</v>
      </c>
    </row>
    <row r="76" customFormat="false" ht="15.75" hidden="false" customHeight="false" outlineLevel="0" collapsed="false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O76" s="150"/>
      <c r="P76" s="150"/>
      <c r="Q76" s="150"/>
      <c r="S76" s="150"/>
      <c r="T76" s="150"/>
      <c r="U76" s="150"/>
      <c r="V76" s="150"/>
      <c r="W76" s="150"/>
      <c r="X76" s="150"/>
      <c r="Y76" s="150"/>
      <c r="Z76" s="150"/>
      <c r="AB76" s="1" t="n">
        <v>0</v>
      </c>
    </row>
    <row r="77" customFormat="false" ht="15.75" hidden="false" customHeight="false" outlineLevel="0" collapsed="false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T77" s="150"/>
      <c r="U77" s="150"/>
      <c r="V77" s="150"/>
      <c r="W77" s="150"/>
      <c r="X77" s="150"/>
      <c r="Y77" s="150"/>
      <c r="Z77" s="150"/>
      <c r="AB77" s="1" t="n">
        <v>-7</v>
      </c>
    </row>
    <row r="78" customFormat="false" ht="15.75" hidden="false" customHeight="false" outlineLevel="0" collapsed="false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O78" s="150"/>
      <c r="P78" s="150"/>
      <c r="Q78" s="150"/>
      <c r="S78" s="150"/>
      <c r="T78" s="150"/>
      <c r="U78" s="150"/>
      <c r="V78" s="150"/>
      <c r="W78" s="150"/>
      <c r="X78" s="150"/>
      <c r="Y78" s="150"/>
      <c r="Z78" s="150"/>
      <c r="AB78" s="1" t="n">
        <v>0</v>
      </c>
    </row>
    <row r="79" customFormat="false" ht="15.75" hidden="false" customHeight="false" outlineLevel="0" collapsed="false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T79" s="150"/>
      <c r="U79" s="150"/>
      <c r="V79" s="150"/>
      <c r="W79" s="150"/>
      <c r="X79" s="150"/>
      <c r="Y79" s="150"/>
      <c r="Z79" s="150"/>
      <c r="AB79" s="1" t="n">
        <v>-8</v>
      </c>
    </row>
    <row r="80" customFormat="false" ht="15.75" hidden="false" customHeight="false" outlineLevel="0" collapsed="false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O80" s="150"/>
      <c r="P80" s="150"/>
      <c r="Q80" s="150"/>
      <c r="S80" s="150"/>
      <c r="T80" s="150"/>
      <c r="U80" s="150"/>
      <c r="V80" s="150"/>
      <c r="W80" s="150"/>
      <c r="X80" s="150"/>
      <c r="Y80" s="150"/>
      <c r="Z80" s="150"/>
      <c r="AB80" s="1" t="n">
        <v>0</v>
      </c>
    </row>
    <row r="81" customFormat="false" ht="15.75" hidden="false" customHeight="false" outlineLevel="0" collapsed="false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O81" s="150"/>
      <c r="P81" s="150"/>
      <c r="Q81" s="150"/>
      <c r="S81" s="150"/>
      <c r="T81" s="150"/>
      <c r="U81" s="150"/>
      <c r="V81" s="150"/>
      <c r="W81" s="150"/>
      <c r="X81" s="150"/>
      <c r="Y81" s="150"/>
      <c r="Z81" s="150"/>
      <c r="AB81" s="1" t="n">
        <v>1</v>
      </c>
    </row>
    <row r="82" customFormat="false" ht="15.75" hidden="false" customHeight="false" outlineLevel="0" collapsed="false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T82" s="150"/>
      <c r="U82" s="150"/>
      <c r="V82" s="150"/>
      <c r="W82" s="150"/>
      <c r="X82" s="150"/>
      <c r="Y82" s="150"/>
      <c r="Z82" s="150"/>
      <c r="AB82" s="1" t="n">
        <v>-7</v>
      </c>
    </row>
    <row r="83" customFormat="false" ht="15.75" hidden="false" customHeight="false" outlineLevel="0" collapsed="false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O83" s="150"/>
      <c r="P83" s="150"/>
      <c r="Q83" s="150"/>
      <c r="S83" s="150"/>
      <c r="T83" s="150"/>
      <c r="U83" s="150"/>
      <c r="V83" s="150"/>
      <c r="W83" s="150"/>
      <c r="X83" s="150"/>
      <c r="Y83" s="150"/>
      <c r="Z83" s="150"/>
      <c r="AB83" s="1" t="n">
        <v>0</v>
      </c>
    </row>
    <row r="84" customFormat="false" ht="15.75" hidden="false" customHeight="false" outlineLevel="0" collapsed="false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O84" s="150"/>
      <c r="P84" s="150"/>
      <c r="Q84" s="150"/>
      <c r="S84" s="150"/>
      <c r="T84" s="150"/>
      <c r="U84" s="150"/>
      <c r="V84" s="150"/>
      <c r="W84" s="150"/>
      <c r="X84" s="150"/>
      <c r="Y84" s="150"/>
      <c r="Z84" s="150"/>
      <c r="AB84" s="1" t="n">
        <v>-11</v>
      </c>
    </row>
    <row r="85" customFormat="false" ht="15.75" hidden="false" customHeight="false" outlineLevel="0" collapsed="false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O85" s="150"/>
      <c r="P85" s="150"/>
      <c r="Q85" s="150"/>
      <c r="S85" s="150"/>
      <c r="T85" s="150"/>
      <c r="U85" s="150"/>
      <c r="V85" s="150"/>
      <c r="W85" s="150"/>
      <c r="X85" s="150"/>
      <c r="Y85" s="150"/>
      <c r="Z85" s="150"/>
      <c r="AB85" s="1" t="n">
        <v>-13</v>
      </c>
    </row>
    <row r="86" customFormat="false" ht="15.75" hidden="false" customHeight="false" outlineLevel="0" collapsed="false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  <c r="AA86" s="1" t="s">
        <v>687</v>
      </c>
      <c r="AB86" s="1" t="n">
        <v>-21</v>
      </c>
    </row>
    <row r="87" customFormat="false" ht="15.75" hidden="false" customHeight="false" outlineLevel="0" collapsed="false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  <c r="AA87" s="1" t="s">
        <v>688</v>
      </c>
      <c r="AB87" s="1" t="n">
        <v>-7</v>
      </c>
    </row>
    <row r="88" customFormat="false" ht="15.75" hidden="false" customHeight="false" outlineLevel="0" collapsed="false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  <c r="AA88" s="1" t="s">
        <v>689</v>
      </c>
      <c r="AB88" s="1" t="n">
        <v>-10</v>
      </c>
    </row>
    <row r="89" customFormat="false" ht="15.75" hidden="false" customHeight="false" outlineLevel="0" collapsed="false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  <c r="AA89" s="1" t="s">
        <v>690</v>
      </c>
      <c r="AB89" s="1" t="n">
        <v>-6</v>
      </c>
    </row>
    <row r="90" customFormat="false" ht="15.75" hidden="false" customHeight="false" outlineLevel="0" collapsed="false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S90" s="150"/>
      <c r="T90" s="150"/>
      <c r="U90" s="150"/>
      <c r="V90" s="150"/>
      <c r="W90" s="150"/>
      <c r="X90" s="150"/>
      <c r="Y90" s="150"/>
      <c r="Z90" s="150"/>
      <c r="AB90" s="1" t="n">
        <v>-7</v>
      </c>
    </row>
    <row r="91" customFormat="false" ht="15.75" hidden="false" customHeight="false" outlineLevel="0" collapsed="false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O91" s="150"/>
      <c r="P91" s="150"/>
      <c r="Q91" s="150"/>
      <c r="S91" s="150"/>
      <c r="T91" s="150"/>
      <c r="U91" s="150"/>
      <c r="V91" s="150"/>
      <c r="W91" s="150"/>
      <c r="X91" s="150"/>
      <c r="Y91" s="150"/>
      <c r="Z91" s="150"/>
      <c r="AB91" s="1" t="n">
        <v>-2</v>
      </c>
    </row>
    <row r="92" customFormat="false" ht="15.75" hidden="false" customHeight="false" outlineLevel="0" collapsed="false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  <c r="AA92" s="1" t="s">
        <v>691</v>
      </c>
      <c r="AB92" s="1" t="n">
        <v>-17</v>
      </c>
    </row>
    <row r="93" customFormat="false" ht="15.75" hidden="false" customHeight="false" outlineLevel="0" collapsed="false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O93" s="150"/>
      <c r="P93" s="150"/>
      <c r="Q93" s="150"/>
      <c r="S93" s="150"/>
      <c r="T93" s="150"/>
      <c r="U93" s="150"/>
      <c r="V93" s="150"/>
      <c r="W93" s="150"/>
      <c r="X93" s="150"/>
      <c r="Y93" s="150"/>
      <c r="Z93" s="150"/>
      <c r="AB93" s="1" t="n">
        <v>-12</v>
      </c>
    </row>
    <row r="94" customFormat="false" ht="15.75" hidden="false" customHeight="false" outlineLevel="0" collapsed="false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T94" s="150"/>
      <c r="U94" s="150"/>
      <c r="V94" s="150"/>
      <c r="W94" s="150"/>
      <c r="X94" s="150"/>
      <c r="Y94" s="150"/>
      <c r="Z94" s="150"/>
      <c r="AB94" s="1" t="n">
        <v>-4</v>
      </c>
    </row>
    <row r="95" customFormat="false" ht="15.75" hidden="false" customHeight="false" outlineLevel="0" collapsed="false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T95" s="150"/>
      <c r="U95" s="150"/>
      <c r="V95" s="150"/>
      <c r="W95" s="150"/>
      <c r="X95" s="150"/>
      <c r="Y95" s="150"/>
      <c r="Z95" s="150"/>
      <c r="AB95" s="1" t="n">
        <v>-11</v>
      </c>
    </row>
    <row r="96" customFormat="false" ht="15.75" hidden="false" customHeight="false" outlineLevel="0" collapsed="false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O96" s="150"/>
      <c r="P96" s="150"/>
      <c r="Q96" s="150"/>
      <c r="S96" s="150"/>
      <c r="T96" s="150"/>
      <c r="U96" s="150"/>
      <c r="V96" s="150"/>
      <c r="W96" s="150"/>
      <c r="X96" s="150"/>
      <c r="Y96" s="150"/>
      <c r="Z96" s="150"/>
      <c r="AB96" s="1" t="n">
        <v>1</v>
      </c>
    </row>
    <row r="97" customFormat="false" ht="15.75" hidden="false" customHeight="false" outlineLevel="0" collapsed="false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O97" s="150"/>
      <c r="P97" s="150"/>
      <c r="Q97" s="150"/>
      <c r="S97" s="150"/>
      <c r="T97" s="150"/>
      <c r="U97" s="150"/>
      <c r="V97" s="150"/>
      <c r="W97" s="150"/>
      <c r="X97" s="150"/>
      <c r="Y97" s="150"/>
      <c r="Z97" s="150"/>
      <c r="AB97" s="1" t="n">
        <v>0</v>
      </c>
    </row>
    <row r="98" customFormat="false" ht="15.75" hidden="false" customHeight="false" outlineLevel="0" collapsed="false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T98" s="150"/>
      <c r="U98" s="150"/>
      <c r="V98" s="150"/>
      <c r="W98" s="150"/>
      <c r="X98" s="150"/>
      <c r="Y98" s="150"/>
      <c r="Z98" s="150"/>
      <c r="AB98" s="1" t="n">
        <v>-9</v>
      </c>
    </row>
    <row r="99" customFormat="false" ht="15.75" hidden="false" customHeight="false" outlineLevel="0" collapsed="false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O99" s="150"/>
      <c r="P99" s="150"/>
      <c r="Q99" s="150"/>
      <c r="S99" s="150"/>
      <c r="T99" s="150"/>
      <c r="U99" s="150"/>
      <c r="V99" s="150"/>
      <c r="W99" s="150"/>
      <c r="X99" s="150"/>
      <c r="Y99" s="150"/>
      <c r="Z99" s="150"/>
      <c r="AB99" s="1" t="n">
        <v>1</v>
      </c>
    </row>
    <row r="100" customFormat="false" ht="15.75" hidden="false" customHeight="false" outlineLevel="0" collapsed="false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T100" s="150"/>
      <c r="U100" s="150"/>
      <c r="V100" s="150"/>
      <c r="W100" s="150"/>
      <c r="X100" s="150"/>
      <c r="Y100" s="150"/>
      <c r="Z100" s="150"/>
      <c r="AB100" s="1" t="n">
        <v>-8</v>
      </c>
    </row>
    <row r="101" customFormat="false" ht="15.75" hidden="false" customHeight="false" outlineLevel="0" collapsed="false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  <c r="AA101" s="1" t="s">
        <v>692</v>
      </c>
      <c r="AB101" s="1" t="n">
        <v>-6</v>
      </c>
    </row>
    <row r="102" customFormat="false" ht="15.75" hidden="false" customHeight="false" outlineLevel="0" collapsed="false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  <c r="AA102" s="1" t="s">
        <v>693</v>
      </c>
      <c r="AB102" s="1" t="n">
        <v>1</v>
      </c>
    </row>
    <row r="103" customFormat="false" ht="15.75" hidden="false" customHeight="false" outlineLevel="0" collapsed="false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O103" s="150"/>
      <c r="P103" s="150"/>
      <c r="Q103" s="150"/>
      <c r="S103" s="150"/>
      <c r="T103" s="150"/>
      <c r="U103" s="150"/>
      <c r="V103" s="150"/>
      <c r="W103" s="150"/>
      <c r="X103" s="150"/>
      <c r="Y103" s="150"/>
      <c r="Z103" s="150"/>
      <c r="AB103" s="1" t="n">
        <v>-1</v>
      </c>
    </row>
    <row r="104" customFormat="false" ht="15.75" hidden="false" customHeight="false" outlineLevel="0" collapsed="false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T104" s="150"/>
      <c r="U104" s="150"/>
      <c r="V104" s="150"/>
      <c r="W104" s="150"/>
      <c r="X104" s="150"/>
      <c r="Y104" s="150"/>
      <c r="Z104" s="150"/>
      <c r="AB104" s="1" t="n">
        <v>-5</v>
      </c>
    </row>
    <row r="105" customFormat="false" ht="15.75" hidden="false" customHeight="false" outlineLevel="0" collapsed="false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  <c r="AA105" s="1" t="s">
        <v>694</v>
      </c>
      <c r="AB105" s="1" t="n">
        <v>-2</v>
      </c>
    </row>
    <row r="106" customFormat="false" ht="15.75" hidden="false" customHeight="false" outlineLevel="0" collapsed="false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O106" s="150"/>
      <c r="P106" s="150"/>
      <c r="Q106" s="150"/>
      <c r="S106" s="150"/>
      <c r="T106" s="150"/>
      <c r="U106" s="150"/>
      <c r="V106" s="150"/>
      <c r="W106" s="150"/>
      <c r="X106" s="150"/>
      <c r="Y106" s="150"/>
      <c r="Z106" s="150"/>
      <c r="AB106" s="1" t="n">
        <v>1</v>
      </c>
    </row>
    <row r="107" customFormat="false" ht="15.75" hidden="false" customHeight="false" outlineLevel="0" collapsed="false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  <c r="AA107" s="1" t="s">
        <v>695</v>
      </c>
      <c r="AB107" s="1" t="n">
        <v>-12</v>
      </c>
    </row>
    <row r="108" customFormat="false" ht="15.75" hidden="false" customHeight="false" outlineLevel="0" collapsed="false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O108" s="150"/>
      <c r="P108" s="150"/>
      <c r="Q108" s="150"/>
      <c r="S108" s="150"/>
      <c r="T108" s="150"/>
      <c r="U108" s="150"/>
      <c r="V108" s="150"/>
      <c r="W108" s="150"/>
      <c r="X108" s="150"/>
      <c r="Y108" s="150"/>
      <c r="Z108" s="150"/>
      <c r="AB108" s="1" t="n">
        <v>0</v>
      </c>
    </row>
    <row r="109" customFormat="false" ht="15.75" hidden="false" customHeight="false" outlineLevel="0" collapsed="false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O109" s="150"/>
      <c r="P109" s="150"/>
      <c r="Q109" s="150"/>
      <c r="S109" s="150"/>
      <c r="T109" s="150"/>
      <c r="U109" s="150"/>
      <c r="V109" s="150"/>
      <c r="W109" s="150"/>
      <c r="X109" s="150"/>
      <c r="Y109" s="150"/>
      <c r="Z109" s="150"/>
      <c r="AB109" s="1" t="n">
        <v>-1</v>
      </c>
    </row>
    <row r="110" customFormat="false" ht="15.75" hidden="false" customHeight="false" outlineLevel="0" collapsed="false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  <c r="AA110" s="1" t="s">
        <v>696</v>
      </c>
      <c r="AB110" s="1" t="n">
        <v>-14</v>
      </c>
    </row>
    <row r="111" customFormat="false" ht="15.75" hidden="false" customHeight="false" outlineLevel="0" collapsed="false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  <c r="AA111" s="1" t="s">
        <v>697</v>
      </c>
      <c r="AB111" s="1" t="n">
        <v>-6</v>
      </c>
    </row>
    <row r="112" customFormat="false" ht="15.75" hidden="false" customHeight="false" outlineLevel="0" collapsed="false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  <c r="AA112" s="1" t="s">
        <v>698</v>
      </c>
      <c r="AB112" s="1" t="n">
        <v>-11</v>
      </c>
    </row>
    <row r="113" customFormat="false" ht="15.75" hidden="false" customHeight="false" outlineLevel="0" collapsed="false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T113" s="150"/>
      <c r="U113" s="150"/>
      <c r="V113" s="150"/>
      <c r="W113" s="150"/>
      <c r="X113" s="150"/>
      <c r="Y113" s="150"/>
      <c r="Z113" s="150"/>
      <c r="AB113" s="1" t="n">
        <v>-8</v>
      </c>
    </row>
    <row r="114" customFormat="false" ht="15.75" hidden="false" customHeight="false" outlineLevel="0" collapsed="false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  <c r="AA114" s="1" t="s">
        <v>699</v>
      </c>
      <c r="AB114" s="1" t="n">
        <v>-1</v>
      </c>
    </row>
    <row r="115" customFormat="false" ht="15.75" hidden="false" customHeight="false" outlineLevel="0" collapsed="false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O115" s="150"/>
      <c r="P115" s="150"/>
      <c r="Q115" s="150"/>
      <c r="S115" s="150"/>
      <c r="T115" s="150"/>
      <c r="U115" s="150"/>
      <c r="V115" s="150"/>
      <c r="W115" s="150"/>
      <c r="X115" s="150"/>
      <c r="Y115" s="150"/>
      <c r="Z115" s="150"/>
      <c r="AB115" s="1" t="n">
        <v>4</v>
      </c>
    </row>
    <row r="116" customFormat="false" ht="15.75" hidden="false" customHeight="false" outlineLevel="0" collapsed="false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O116" s="150"/>
      <c r="P116" s="150"/>
      <c r="Q116" s="150"/>
      <c r="S116" s="150"/>
      <c r="T116" s="150"/>
      <c r="U116" s="150"/>
      <c r="V116" s="150"/>
      <c r="W116" s="150"/>
      <c r="X116" s="150"/>
      <c r="Y116" s="150"/>
      <c r="Z116" s="150"/>
      <c r="AB116" s="1" t="n">
        <v>-7</v>
      </c>
    </row>
    <row r="117" customFormat="false" ht="15.75" hidden="false" customHeight="false" outlineLevel="0" collapsed="false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  <c r="AA117" s="1" t="s">
        <v>700</v>
      </c>
      <c r="AB117" s="1" t="n">
        <v>12</v>
      </c>
    </row>
    <row r="118" customFormat="false" ht="15.75" hidden="false" customHeight="false" outlineLevel="0" collapsed="false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O118" s="150"/>
      <c r="P118" s="150"/>
      <c r="Q118" s="150"/>
      <c r="S118" s="150"/>
      <c r="T118" s="150"/>
      <c r="U118" s="150"/>
      <c r="V118" s="150"/>
      <c r="W118" s="150"/>
      <c r="X118" s="150"/>
      <c r="Y118" s="150"/>
      <c r="Z118" s="150"/>
      <c r="AB118" s="1" t="n">
        <v>-1</v>
      </c>
    </row>
    <row r="119" customFormat="false" ht="15.75" hidden="false" customHeight="false" outlineLevel="0" collapsed="false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  <c r="AA119" s="1" t="s">
        <v>701</v>
      </c>
      <c r="AB119" s="1" t="n">
        <v>-17</v>
      </c>
    </row>
    <row r="120" customFormat="false" ht="15.75" hidden="false" customHeight="false" outlineLevel="0" collapsed="false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T120" s="150"/>
      <c r="U120" s="150"/>
      <c r="V120" s="150"/>
      <c r="W120" s="150"/>
      <c r="X120" s="150"/>
      <c r="Y120" s="150"/>
      <c r="Z120" s="150"/>
      <c r="AB120" s="1" t="n">
        <v>-5</v>
      </c>
    </row>
    <row r="121" customFormat="false" ht="15.75" hidden="false" customHeight="false" outlineLevel="0" collapsed="false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T121" s="150"/>
      <c r="U121" s="150"/>
      <c r="V121" s="150"/>
      <c r="W121" s="150"/>
      <c r="X121" s="150"/>
      <c r="Y121" s="150"/>
      <c r="Z121" s="150"/>
      <c r="AB121" s="1" t="n">
        <v>-6</v>
      </c>
    </row>
    <row r="122" customFormat="false" ht="15.75" hidden="false" customHeight="false" outlineLevel="0" collapsed="false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T122" s="150"/>
      <c r="U122" s="150"/>
      <c r="V122" s="150"/>
      <c r="W122" s="150"/>
      <c r="X122" s="150"/>
      <c r="Y122" s="150"/>
      <c r="Z122" s="150"/>
      <c r="AB122" s="1" t="n">
        <v>-6</v>
      </c>
    </row>
    <row r="123" customFormat="false" ht="15.75" hidden="false" customHeight="false" outlineLevel="0" collapsed="false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  <c r="AA123" s="1" t="s">
        <v>702</v>
      </c>
      <c r="AB123" s="1" t="n">
        <v>-15</v>
      </c>
    </row>
    <row r="124" customFormat="false" ht="15.75" hidden="false" customHeight="false" outlineLevel="0" collapsed="false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S124" s="150"/>
      <c r="T124" s="150"/>
      <c r="U124" s="150"/>
      <c r="V124" s="150"/>
      <c r="W124" s="150"/>
      <c r="X124" s="150"/>
      <c r="Y124" s="150"/>
      <c r="Z124" s="150"/>
      <c r="AB124" s="1" t="n">
        <v>-6</v>
      </c>
    </row>
    <row r="125" customFormat="false" ht="15.75" hidden="false" customHeight="false" outlineLevel="0" collapsed="false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O125" s="150"/>
      <c r="P125" s="150"/>
      <c r="Q125" s="150"/>
      <c r="S125" s="150"/>
      <c r="T125" s="150"/>
      <c r="U125" s="150"/>
      <c r="V125" s="150"/>
      <c r="W125" s="150"/>
      <c r="X125" s="150"/>
      <c r="Y125" s="150"/>
      <c r="Z125" s="150"/>
      <c r="AB125" s="1" t="n">
        <v>0</v>
      </c>
    </row>
    <row r="126" customFormat="false" ht="15.75" hidden="false" customHeight="false" outlineLevel="0" collapsed="false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O126" s="150"/>
      <c r="P126" s="150"/>
      <c r="Q126" s="150"/>
      <c r="S126" s="150"/>
      <c r="T126" s="150"/>
      <c r="U126" s="150"/>
      <c r="V126" s="150"/>
      <c r="W126" s="150"/>
      <c r="X126" s="150"/>
      <c r="Y126" s="150"/>
      <c r="Z126" s="150"/>
      <c r="AB126" s="1" t="n">
        <v>-12</v>
      </c>
    </row>
    <row r="127" customFormat="false" ht="15.75" hidden="false" customHeight="false" outlineLevel="0" collapsed="false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O127" s="150"/>
      <c r="P127" s="150"/>
      <c r="Q127" s="150"/>
      <c r="S127" s="150"/>
      <c r="T127" s="150"/>
      <c r="U127" s="150"/>
      <c r="V127" s="150"/>
      <c r="W127" s="150"/>
      <c r="X127" s="150"/>
      <c r="Y127" s="150"/>
      <c r="Z127" s="150"/>
      <c r="AB127" s="1" t="n">
        <v>-11</v>
      </c>
    </row>
    <row r="128" customFormat="false" ht="15.75" hidden="false" customHeight="false" outlineLevel="0" collapsed="false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  <c r="AA128" s="1" t="s">
        <v>703</v>
      </c>
      <c r="AB128" s="1" t="n">
        <v>-11</v>
      </c>
    </row>
    <row r="129" customFormat="false" ht="15.75" hidden="false" customHeight="false" outlineLevel="0" collapsed="false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T129" s="150"/>
      <c r="U129" s="150"/>
      <c r="V129" s="150"/>
      <c r="W129" s="150"/>
      <c r="X129" s="150"/>
      <c r="Y129" s="150"/>
      <c r="Z129" s="150"/>
      <c r="AB129" s="1" t="n">
        <v>-6</v>
      </c>
    </row>
    <row r="130" customFormat="false" ht="15.75" hidden="false" customHeight="false" outlineLevel="0" collapsed="false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T130" s="150"/>
      <c r="U130" s="150"/>
      <c r="V130" s="150"/>
      <c r="W130" s="150"/>
      <c r="X130" s="150"/>
      <c r="Y130" s="150"/>
      <c r="Z130" s="150"/>
      <c r="AB130" s="1" t="n">
        <v>-8</v>
      </c>
    </row>
    <row r="131" customFormat="false" ht="15.75" hidden="false" customHeight="false" outlineLevel="0" collapsed="false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O131" s="150"/>
      <c r="P131" s="150"/>
      <c r="Q131" s="150"/>
      <c r="S131" s="150"/>
      <c r="T131" s="150"/>
      <c r="U131" s="150"/>
      <c r="V131" s="150"/>
      <c r="W131" s="150"/>
      <c r="X131" s="150"/>
      <c r="Y131" s="150"/>
      <c r="Z131" s="150"/>
      <c r="AB131" s="1" t="n">
        <v>0</v>
      </c>
    </row>
    <row r="132" customFormat="false" ht="15.75" hidden="false" customHeight="false" outlineLevel="0" collapsed="false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O132" s="150"/>
      <c r="P132" s="150"/>
      <c r="Q132" s="150"/>
      <c r="S132" s="150"/>
      <c r="T132" s="150"/>
      <c r="U132" s="150"/>
      <c r="V132" s="150"/>
      <c r="W132" s="150"/>
      <c r="X132" s="150"/>
      <c r="Y132" s="150"/>
      <c r="Z132" s="150"/>
      <c r="AB132" s="1" t="n">
        <v>0</v>
      </c>
    </row>
    <row r="133" customFormat="false" ht="15.75" hidden="false" customHeight="false" outlineLevel="0" collapsed="false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O133" s="150"/>
      <c r="P133" s="150"/>
      <c r="Q133" s="150"/>
      <c r="S133" s="150"/>
      <c r="T133" s="150"/>
      <c r="U133" s="150"/>
      <c r="V133" s="150"/>
      <c r="W133" s="150"/>
      <c r="X133" s="150"/>
      <c r="Y133" s="150"/>
      <c r="Z133" s="150"/>
      <c r="AB133" s="1" t="n">
        <v>-8</v>
      </c>
    </row>
    <row r="134" customFormat="false" ht="15.75" hidden="false" customHeight="false" outlineLevel="0" collapsed="false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S134" s="150"/>
      <c r="T134" s="150"/>
      <c r="U134" s="150"/>
      <c r="V134" s="150"/>
      <c r="W134" s="150"/>
      <c r="X134" s="150"/>
      <c r="Y134" s="150"/>
      <c r="Z134" s="150"/>
      <c r="AB134" s="1" t="n">
        <v>-8</v>
      </c>
    </row>
    <row r="135" customFormat="false" ht="15.75" hidden="false" customHeight="false" outlineLevel="0" collapsed="false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S135" s="150"/>
      <c r="T135" s="150"/>
      <c r="U135" s="150"/>
      <c r="V135" s="150"/>
      <c r="W135" s="150"/>
      <c r="X135" s="150"/>
      <c r="Y135" s="150"/>
      <c r="Z135" s="150"/>
      <c r="AB135" s="1" t="n">
        <v>-8</v>
      </c>
    </row>
    <row r="136" customFormat="false" ht="15.75" hidden="false" customHeight="false" outlineLevel="0" collapsed="false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O136" s="150"/>
      <c r="P136" s="150"/>
      <c r="Q136" s="150"/>
      <c r="S136" s="150"/>
      <c r="T136" s="150"/>
      <c r="U136" s="150"/>
      <c r="V136" s="150"/>
      <c r="W136" s="150"/>
      <c r="X136" s="150"/>
      <c r="Y136" s="150"/>
      <c r="Z136" s="150"/>
      <c r="AB136" s="1" t="n">
        <v>0</v>
      </c>
    </row>
    <row r="137" customFormat="false" ht="15.75" hidden="false" customHeight="false" outlineLevel="0" collapsed="false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T137" s="150"/>
      <c r="U137" s="150"/>
      <c r="V137" s="150"/>
      <c r="W137" s="150"/>
      <c r="X137" s="150"/>
      <c r="Y137" s="150"/>
      <c r="Z137" s="150"/>
      <c r="AB137" s="1" t="n">
        <v>-5</v>
      </c>
    </row>
    <row r="138" customFormat="false" ht="15.75" hidden="false" customHeight="false" outlineLevel="0" collapsed="false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O138" s="150"/>
      <c r="P138" s="150"/>
      <c r="Q138" s="150"/>
      <c r="S138" s="150"/>
      <c r="T138" s="150"/>
      <c r="U138" s="150"/>
      <c r="V138" s="150"/>
      <c r="W138" s="150"/>
      <c r="X138" s="150"/>
      <c r="Y138" s="150"/>
      <c r="Z138" s="150"/>
      <c r="AB138" s="1" t="n">
        <v>0</v>
      </c>
    </row>
    <row r="139" customFormat="false" ht="15.75" hidden="false" customHeight="false" outlineLevel="0" collapsed="false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S139" s="150"/>
      <c r="T139" s="150"/>
      <c r="U139" s="150"/>
      <c r="V139" s="150"/>
      <c r="W139" s="150"/>
      <c r="X139" s="150"/>
      <c r="Y139" s="150"/>
      <c r="Z139" s="150"/>
      <c r="AB139" s="1" t="n">
        <v>-10</v>
      </c>
    </row>
    <row r="140" customFormat="false" ht="15.75" hidden="false" customHeight="false" outlineLevel="0" collapsed="false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O140" s="150"/>
      <c r="P140" s="150"/>
      <c r="Q140" s="150"/>
      <c r="S140" s="150"/>
      <c r="T140" s="150"/>
      <c r="U140" s="150"/>
      <c r="V140" s="150"/>
      <c r="W140" s="150"/>
      <c r="X140" s="150"/>
      <c r="Y140" s="150"/>
      <c r="Z140" s="150"/>
      <c r="AB140" s="1" t="n">
        <v>-12</v>
      </c>
    </row>
    <row r="141" customFormat="false" ht="15.75" hidden="false" customHeight="false" outlineLevel="0" collapsed="false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  <c r="AA141" s="1" t="s">
        <v>704</v>
      </c>
      <c r="AB141" s="1" t="n">
        <v>-10</v>
      </c>
    </row>
  </sheetData>
  <mergeCells count="1">
    <mergeCell ref="A1:H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2026-04-29T15:05:28Z</dcterms:modified>
  <cp:revision>1</cp:revision>
  <dc:subject/>
  <dc:title/>
</cp:coreProperties>
</file>