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<sst xmlns="http://schemas.openxmlformats.org/spreadsheetml/2006/main" count="5569" uniqueCount="1537">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</sst>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""Mzdy!u1:v200"")"),46143.0)</f>
        <v>46143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IFERROR(__xludf.DUMMYFUNCTION("""COMPUTED_VALUE"""),256.5)</f>
        <v>256.5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IFERROR(__xludf.DUMMYFUNCTION("""COMPUTED_VALUE"""),208.0)</f>
        <v>208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IFERROR(__xludf.DUMMYFUNCTION("""COMPUTED_VALUE"""),119.0)</f>
        <v>119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/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IFERROR(__xludf.DUMMYFUNCTION("""COMPUTED_VALUE"""),"Výroba")</f>
        <v>Výroba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IFERROR(__xludf.DUMMYFUNCTION("""COMPUTED_VALUE"""),206.5)</f>
        <v>206.5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IFERROR(__xludf.DUMMYFUNCTION("""COMPUTED_VALUE"""),193.5)</f>
        <v>193.5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IFERROR(__xludf.DUMMYFUNCTION("""COMPUTED_VALUE"""),178.5)</f>
        <v>178.5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IFERROR(__xludf.DUMMYFUNCTION("""COMPUTED_VALUE"""),117.5)</f>
        <v>117.5</v>
      </c>
      <c r="W11" s="195">
        <f>IFERROR(__xludf.DUMMYFUNCTION("""COMPUTED_VALUE"""),21630.145)</f>
        <v>21630.145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IFERROR(__xludf.DUMMYFUNCTION("""COMPUTED_VALUE"""),148.5)</f>
        <v>148.5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 t="str">
        <f>IFERROR(__xludf.DUMMYFUNCTION("""COMPUTED_VALUE"""),"Prosek")</f>
        <v>Prosek</v>
      </c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IFERROR(__xludf.DUMMYFUNCTION("""COMPUTED_VALUE"""),63.5)</f>
        <v>63.5</v>
      </c>
      <c r="W14" s="195">
        <f>IFERROR(__xludf.DUMMYFUNCTION("""COMPUTED_VALUE"""),10497.058)</f>
        <v>10497.058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>Kinkorová Petra</v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IFERROR(__xludf.DUMMYFUNCTION("""COMPUTED_VALUE"""),"Zličín")</f>
        <v>Zličín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IFERROR(__xludf.DUMMYFUNCTION("""COMPUTED_VALUE"""),183.0)</f>
        <v>183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IFERROR(__xludf.DUMMYFUNCTION("""COMPUTED_VALUE"""),159.0)</f>
        <v>159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IFERROR(__xludf.DUMMYFUNCTION("""COMPUTED_VALUE"""),43.5)</f>
        <v>43.5</v>
      </c>
      <c r="W17" s="195">
        <f>IFERROR(__xludf.DUMMYFUNCTION("""COMPUTED_VALUE"""),7690.8)</f>
        <v>7690.8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 t="str">
        <f>IFERROR(__xludf.DUMMYFUNCTION("""COMPUTED_VALUE"""),"Stepanenko Solomiia")</f>
        <v>Stepanenko Solomiia</v>
      </c>
      <c r="E18" s="192" t="str">
        <f>IFERROR(__xludf.DUMMYFUNCTION("""COMPUTED_VALUE"""),"Výroba")</f>
        <v>Výroba</v>
      </c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IFERROR(__xludf.DUMMYFUNCTION("""COMPUTED_VALUE"""),126.5)</f>
        <v>126.5</v>
      </c>
      <c r="W18" s="195">
        <f>IFERROR(__xludf.DUMMYFUNCTION("""COMPUTED_VALUE"""),22440.113999999998)</f>
        <v>22440.114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 t="str">
        <f>IFERROR(__xludf.DUMMYFUNCTION("""COMPUTED_VALUE"""),"Rothová Anastasia")</f>
        <v>Rothová Anastasia</v>
      </c>
      <c r="E19" s="192" t="str">
        <f>IFERROR(__xludf.DUMMYFUNCTION("""COMPUTED_VALUE"""),"Bolevec")</f>
        <v>Bolevec</v>
      </c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IFERROR(__xludf.DUMMYFUNCTION("""COMPUTED_VALUE"""),184.0)</f>
        <v>184</v>
      </c>
      <c r="W19" s="195">
        <f>IFERROR(__xludf.DUMMYFUNCTION("""COMPUTED_VALUE"""),37009.28)</f>
        <v>37009.28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IFERROR(__xludf.DUMMYFUNCTION("""COMPUTED_VALUE"""),59.5)</f>
        <v>59.5</v>
      </c>
      <c r="W20" s="195">
        <f>IFERROR(__xludf.DUMMYFUNCTION("""COMPUTED_VALUE"""),10519.6)</f>
        <v>10519.6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>Hegedüs Erik</v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 t="str">
        <f>IFERROR(__xludf.DUMMYFUNCTION("""COMPUTED_VALUE"""),"Zličín")</f>
        <v>Zličín</v>
      </c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IFERROR(__xludf.DUMMYFUNCTION("""COMPUTED_VALUE"""),185.0)</f>
        <v>185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IFERROR(__xludf.DUMMYFUNCTION("""COMPUTED_VALUE"""),273.5)</f>
        <v>273.5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IFERROR(__xludf.DUMMYFUNCTION("""COMPUTED_VALUE"""),52.0)</f>
        <v>52</v>
      </c>
      <c r="W23" s="195">
        <f>IFERROR(__xludf.DUMMYFUNCTION("""COMPUTED_VALUE"""),8596.016)</f>
        <v>8596.016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IFERROR(__xludf.DUMMYFUNCTION("""COMPUTED_VALUE"""),201.5)</f>
        <v>201.5</v>
      </c>
      <c r="W24" s="195">
        <f>IFERROR(__xludf.DUMMYFUNCTION("""COMPUTED_VALUE"""),32150.199999999997)</f>
        <v>32150.2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IFERROR(__xludf.DUMMYFUNCTION("""COMPUTED_VALUE"""),33.0)</f>
        <v>33</v>
      </c>
      <c r="W25" s="195">
        <f>IFERROR(__xludf.DUMMYFUNCTION("""COMPUTED_VALUE"""),5046.756)</f>
        <v>5046.756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IFERROR(__xludf.DUMMYFUNCTION("""COMPUTED_VALUE"""),71.5)</f>
        <v>71.5</v>
      </c>
      <c r="W27" s="195">
        <f>IFERROR(__xludf.DUMMYFUNCTION("""COMPUTED_VALUE"""),13526.084)</f>
        <v>13526.084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IFERROR(__xludf.DUMMYFUNCTION("""COMPUTED_VALUE"""),"Malešice")</f>
        <v>Malešice</v>
      </c>
      <c r="F28" s="192" t="str">
        <f>IFERROR(__xludf.DUMMYFUNCTION("""COMPUTED_VALUE"""),"Chodov")</f>
        <v>Chodov</v>
      </c>
      <c r="G28" s="192" t="str">
        <f>IFERROR(__xludf.DUMMYFUNCTION("""COMPUTED_VALUE"""),"Zličín")</f>
        <v>Zličín</v>
      </c>
      <c r="H28" s="192" t="str">
        <f>IFERROR(__xludf.DUMMYFUNCTION("""COMPUTED_VALUE"""),"Prosek")</f>
        <v>Prosek</v>
      </c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IFERROR(__xludf.DUMMYFUNCTION("""COMPUTED_VALUE"""),192.5)</f>
        <v>192.5</v>
      </c>
      <c r="W28" s="195">
        <f>IFERROR(__xludf.DUMMYFUNCTION("""COMPUTED_VALUE"""),30829.0)</f>
        <v>30829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 t="str">
        <f>IFERROR(__xludf.DUMMYFUNCTION("""COMPUTED_VALUE"""),"Raboch Tomáš")</f>
        <v>Raboch Tomáš</v>
      </c>
      <c r="E29" s="192" t="str">
        <f>IFERROR(__xludf.DUMMYFUNCTION("""COMPUTED_VALUE"""),"Bolevec")</f>
        <v>Bolevec</v>
      </c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IFERROR(__xludf.DUMMYFUNCTION("""COMPUTED_VALUE"""),185.0)</f>
        <v>185</v>
      </c>
      <c r="W30" s="195">
        <f>IFERROR(__xludf.DUMMYFUNCTION("""COMPUTED_VALUE"""),27962.73)</f>
        <v>27962.73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 t="str">
        <f>IFERROR(__xludf.DUMMYFUNCTION("""COMPUTED_VALUE"""),"Prosek")</f>
        <v>Prosek</v>
      </c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IFERROR(__xludf.DUMMYFUNCTION("""COMPUTED_VALUE"""),131.5)</f>
        <v>131.5</v>
      </c>
      <c r="W31" s="195">
        <f>IFERROR(__xludf.DUMMYFUNCTION("""COMPUTED_VALUE"""),19268.133)</f>
        <v>19268.133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IFERROR(__xludf.DUMMYFUNCTION("""COMPUTED_VALUE"""),142.5)</f>
        <v>142.5</v>
      </c>
      <c r="W35" s="195">
        <f>IFERROR(__xludf.DUMMYFUNCTION("""COMPUTED_VALUE"""),22129.265)</f>
        <v>22129.265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IFERROR(__xludf.DUMMYFUNCTION("""COMPUTED_VALUE"""),25.0)</f>
        <v>25</v>
      </c>
      <c r="W36" s="195">
        <f>IFERROR(__xludf.DUMMYFUNCTION("""COMPUTED_VALUE"""),4132.7)</f>
        <v>4132.7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IFERROR(__xludf.DUMMYFUNCTION("""COMPUTED_VALUE"""),37.5)</f>
        <v>37.5</v>
      </c>
      <c r="W37" s="195">
        <f>IFERROR(__xludf.DUMMYFUNCTION("""COMPUTED_VALUE"""),6199.05)</f>
        <v>6199.05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IFERROR(__xludf.DUMMYFUNCTION("""COMPUTED_VALUE"""),182.5)</f>
        <v>182.5</v>
      </c>
      <c r="W38" s="195">
        <f>IFERROR(__xludf.DUMMYFUNCTION("""COMPUTED_VALUE"""),27619.585)</f>
        <v>27619.585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IFERROR(__xludf.DUMMYFUNCTION("""COMPUTED_VALUE"""),188.5)</f>
        <v>188.5</v>
      </c>
      <c r="W39" s="195">
        <f>IFERROR(__xludf.DUMMYFUNCTION("""COMPUTED_VALUE"""),28443.133)</f>
        <v>28443.133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IFERROR(__xludf.DUMMYFUNCTION("""COMPUTED_VALUE"""),40.0)</f>
        <v>40</v>
      </c>
      <c r="W40" s="195">
        <f>IFERROR(__xludf.DUMMYFUNCTION("""COMPUTED_VALUE"""),6612.32)</f>
        <v>6612.32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IFERROR(__xludf.DUMMYFUNCTION("""COMPUTED_VALUE"""),165.5)</f>
        <v>165.5</v>
      </c>
      <c r="W41" s="195">
        <f>IFERROR(__xludf.DUMMYFUNCTION("""COMPUTED_VALUE"""),25286.199)</f>
        <v>25286.199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/>
      </c>
      <c r="C42" s="192" t="b">
        <f>IFERROR(__xludf.DUMMYFUNCTION("""COMPUTED_VALUE"""),FALSE)</f>
        <v>0</v>
      </c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IFERROR(__xludf.DUMMYFUNCTION("""COMPUTED_VALUE"""),0.0)</f>
        <v>0</v>
      </c>
      <c r="W42" s="195">
        <f>IFERROR(__xludf.DUMMYFUNCTION("""COMPUTED_VALUE"""),0.0)</f>
        <v>0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IFERROR(__xludf.DUMMYFUNCTION("""COMPUTED_VALUE"""),4354.0)</f>
        <v>4354</v>
      </c>
      <c r="W60" s="195">
        <f>IFERROR(__xludf.DUMMYFUNCTION("""COMPUTED_VALUE"""),945614.6479999999)</f>
        <v>945614.648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IFERROR(__xludf.DUMMYFUNCTION("""COMPUTED_VALUE"""),26058.0)</f>
        <v>26058</v>
      </c>
      <c r="W65" s="195">
        <f>IFERROR(__xludf.DUMMYFUNCTION("""COMPUTED_VALUE"""),130.29)</f>
        <v>130.29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IFERROR(__xludf.DUMMYFUNCTION("""COMPUTED_VALUE"""),106.5)</f>
        <v>106.5</v>
      </c>
      <c r="W75" s="195">
        <f>IFERROR(__xludf.DUMMYFUNCTION("""COMPUTED_VALUE"""),15975.0)</f>
        <v>15975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IFERROR(__xludf.DUMMYFUNCTION("""COMPUTED_VALUE"""),138.0)</f>
        <v>138</v>
      </c>
      <c r="W76" s="195">
        <f>IFERROR(__xludf.DUMMYFUNCTION("""COMPUTED_VALUE"""),22828.4)</f>
        <v>22828.4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IFERROR(__xludf.DUMMYFUNCTION("""COMPUTED_VALUE"""),7.0)</f>
        <v>7</v>
      </c>
      <c r="W77" s="195">
        <f>IFERROR(__xludf.DUMMYFUNCTION("""COMPUTED_VALUE"""),1070.524)</f>
        <v>1070.524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IFERROR(__xludf.DUMMYFUNCTION("""COMPUTED_VALUE"""),30.0)</f>
        <v>30</v>
      </c>
      <c r="W78" s="195">
        <f>IFERROR(__xludf.DUMMYFUNCTION("""COMPUTED_VALUE"""),5304.0)</f>
        <v>5304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IFERROR(__xludf.DUMMYFUNCTION("""COMPUTED_VALUE"""),23.0)</f>
        <v>23</v>
      </c>
      <c r="W79" s="195">
        <f>IFERROR(__xludf.DUMMYFUNCTION("""COMPUTED_VALUE"""),3517.436)</f>
        <v>3517.436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IFERROR(__xludf.DUMMYFUNCTION("""COMPUTED_VALUE"""),98.0)</f>
        <v>98</v>
      </c>
      <c r="W80" s="195">
        <f>IFERROR(__xludf.DUMMYFUNCTION("""COMPUTED_VALUE"""),16021.284000000001)</f>
        <v>16021.284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 t="str">
        <f>IFERROR(__xludf.DUMMYFUNCTION("""COMPUTED_VALUE"""),"Malešice")</f>
        <v>Malešice</v>
      </c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IFERROR(__xludf.DUMMYFUNCTION("""COMPUTED_VALUE"""),168.0)</f>
        <v>168</v>
      </c>
      <c r="W81" s="195">
        <f>IFERROR(__xludf.DUMMYFUNCTION("""COMPUTED_VALUE"""),23902.976000000002)</f>
        <v>23902.976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IFERROR(__xludf.DUMMYFUNCTION("""COMPUTED_VALUE"""),30.5)</f>
        <v>30.5</v>
      </c>
      <c r="W83" s="195">
        <f>IFERROR(__xludf.DUMMYFUNCTION("""COMPUTED_VALUE"""),4664.426)</f>
        <v>4664.426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IFERROR(__xludf.DUMMYFUNCTION("""COMPUTED_VALUE"""),58.5)</f>
        <v>58.5</v>
      </c>
      <c r="W84" s="195">
        <f>IFERROR(__xludf.DUMMYFUNCTION("""COMPUTED_VALUE"""),9670.518)</f>
        <v>9670.518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IFERROR(__xludf.DUMMYFUNCTION("""COMPUTED_VALUE"""),44.0)</f>
        <v>44</v>
      </c>
      <c r="W85" s="195">
        <f>IFERROR(__xludf.DUMMYFUNCTION("""COMPUTED_VALUE"""),6600.0)</f>
        <v>6600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IFERROR(__xludf.DUMMYFUNCTION("""COMPUTED_VALUE"""),18.0)</f>
        <v>18</v>
      </c>
      <c r="W87" s="195">
        <f>IFERROR(__xludf.DUMMYFUNCTION("""COMPUTED_VALUE"""),2752.776)</f>
        <v>2752.776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 t="str">
        <f>IFERROR(__xludf.DUMMYFUNCTION("""COMPUTED_VALUE"""),"Výroba")</f>
        <v>Výroba</v>
      </c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IFERROR(__xludf.DUMMYFUNCTION("""COMPUTED_VALUE"""),78.0)</f>
        <v>78</v>
      </c>
      <c r="W89" s="195">
        <f>IFERROR(__xludf.DUMMYFUNCTION("""COMPUTED_VALUE"""),13260.0)</f>
        <v>13260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IFERROR(__xludf.DUMMYFUNCTION("""COMPUTED_VALUE"""),141.0)</f>
        <v>141</v>
      </c>
      <c r="W90" s="195">
        <f>IFERROR(__xludf.DUMMYFUNCTION("""COMPUTED_VALUE"""),22560.0)</f>
        <v>22560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/>
      </c>
      <c r="C92" s="192" t="b">
        <f>IFERROR(__xludf.DUMMYFUNCTION("""COMPUTED_VALUE"""),FALSE)</f>
        <v>0</v>
      </c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IFERROR(__xludf.DUMMYFUNCTION("""COMPUTED_VALUE"""),228.0)</f>
        <v>228</v>
      </c>
      <c r="W93" s="195">
        <f>IFERROR(__xludf.DUMMYFUNCTION("""COMPUTED_VALUE"""),33864.824)</f>
        <v>33864.824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IFERROR(__xludf.DUMMYFUNCTION("""COMPUTED_VALUE"""),281.0)</f>
        <v>281</v>
      </c>
      <c r="W94" s="195">
        <f>IFERROR(__xludf.DUMMYFUNCTION("""COMPUTED_VALUE"""),41139.49800000001)</f>
        <v>41139.498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IFERROR(__xludf.DUMMYFUNCTION("""COMPUTED_VALUE"""),142.0)</f>
        <v>142</v>
      </c>
      <c r="W96" s="195">
        <f>IFERROR(__xludf.DUMMYFUNCTION("""COMPUTED_VALUE"""),44995.2)</f>
        <v>44995.2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IFERROR(__xludf.DUMMYFUNCTION("""COMPUTED_VALUE"""),75.5)</f>
        <v>75.5</v>
      </c>
      <c r="W97" s="195">
        <f>IFERROR(__xludf.DUMMYFUNCTION("""COMPUTED_VALUE"""),12480.754)</f>
        <v>12480.754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IFERROR(__xludf.DUMMYFUNCTION("""COMPUTED_VALUE"""),24.5)</f>
        <v>24.5</v>
      </c>
      <c r="W98" s="195">
        <f>IFERROR(__xludf.DUMMYFUNCTION("""COMPUTED_VALUE"""),3465.2799999999997)</f>
        <v>3465.28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IFERROR(__xludf.DUMMYFUNCTION("""COMPUTED_VALUE"""),53.0)</f>
        <v>53</v>
      </c>
      <c r="W99" s="195">
        <f>IFERROR(__xludf.DUMMYFUNCTION("""COMPUTED_VALUE"""),7496.32)</f>
        <v>7496.32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IFERROR(__xludf.DUMMYFUNCTION("""COMPUTED_VALUE"""),107.0)</f>
        <v>107</v>
      </c>
      <c r="W105" s="195">
        <f>IFERROR(__xludf.DUMMYFUNCTION("""COMPUTED_VALUE"""),16157.074)</f>
        <v>16157.074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IFERROR(__xludf.DUMMYFUNCTION("""COMPUTED_VALUE"""),215.0)</f>
        <v>215</v>
      </c>
      <c r="W107" s="195">
        <f>IFERROR(__xludf.DUMMYFUNCTION("""COMPUTED_VALUE"""),30100.0)</f>
        <v>30100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 t="str">
        <f>IFERROR(__xludf.DUMMYFUNCTION("""COMPUTED_VALUE"""),"Malešice")</f>
        <v>Malešice</v>
      </c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IFERROR(__xludf.DUMMYFUNCTION("""COMPUTED_VALUE"""),76.5)</f>
        <v>76.5</v>
      </c>
      <c r="W108" s="195">
        <f>IFERROR(__xludf.DUMMYFUNCTION("""COMPUTED_VALUE"""),12646.062)</f>
        <v>12646.062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IFERROR(__xludf.DUMMYFUNCTION("""COMPUTED_VALUE"""),19.0)</f>
        <v>19</v>
      </c>
      <c r="W109" s="195">
        <f>IFERROR(__xludf.DUMMYFUNCTION("""COMPUTED_VALUE"""),2905.708)</f>
        <v>2905.708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IFERROR(__xludf.DUMMYFUNCTION("""COMPUTED_VALUE"""),60.0)</f>
        <v>60</v>
      </c>
      <c r="W110" s="195">
        <f>IFERROR(__xludf.DUMMYFUNCTION("""COMPUTED_VALUE"""),8486.4)</f>
        <v>8486.4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IFERROR(__xludf.DUMMYFUNCTION("""COMPUTED_VALUE"""),15.0)</f>
        <v>15</v>
      </c>
      <c r="W111" s="195">
        <f>IFERROR(__xludf.DUMMYFUNCTION("""COMPUTED_VALUE"""),2293.98)</f>
        <v>2293.98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IFERROR(__xludf.DUMMYFUNCTION("""COMPUTED_VALUE"""),17.5)</f>
        <v>17.5</v>
      </c>
      <c r="W112" s="195">
        <f>IFERROR(__xludf.DUMMYFUNCTION("""COMPUTED_VALUE"""),2475.2)</f>
        <v>2475.2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IFERROR(__xludf.DUMMYFUNCTION("""COMPUTED_VALUE"""),24.0)</f>
        <v>24</v>
      </c>
      <c r="W113" s="195">
        <f>IFERROR(__xludf.DUMMYFUNCTION("""COMPUTED_VALUE"""),3394.56)</f>
        <v>3394.56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IFERROR(__xludf.DUMMYFUNCTION("""COMPUTED_VALUE"""),58.0)</f>
        <v>58</v>
      </c>
      <c r="W115" s="195">
        <f>IFERROR(__xludf.DUMMYFUNCTION("""COMPUTED_VALUE"""),9587.864)</f>
        <v>9587.864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IFERROR(__xludf.DUMMYFUNCTION("""COMPUTED_VALUE"""),16.5)</f>
        <v>16.5</v>
      </c>
      <c r="W116" s="195">
        <f>IFERROR(__xludf.DUMMYFUNCTION("""COMPUTED_VALUE"""),2523.378)</f>
        <v>2523.378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IFERROR(__xludf.DUMMYFUNCTION("""COMPUTED_VALUE"""),218.0)</f>
        <v>218</v>
      </c>
      <c r="W117" s="195">
        <f>IFERROR(__xludf.DUMMYFUNCTION("""COMPUTED_VALUE"""),32492.244)</f>
        <v>32492.244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IFERROR(__xludf.DUMMYFUNCTION("""COMPUTED_VALUE"""),48.0)</f>
        <v>48</v>
      </c>
      <c r="W119" s="195">
        <f>IFERROR(__xludf.DUMMYFUNCTION("""COMPUTED_VALUE"""),6789.12)</f>
        <v>6789.12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IFERROR(__xludf.DUMMYFUNCTION("""COMPUTED_VALUE"""),30.5)</f>
        <v>30.5</v>
      </c>
      <c r="W120" s="195">
        <f>IFERROR(__xludf.DUMMYFUNCTION("""COMPUTED_VALUE"""),4313.92)</f>
        <v>4313.92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/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/>
      </c>
      <c r="C124" s="192" t="b">
        <f>IFERROR(__xludf.DUMMYFUNCTION("""COMPUTED_VALUE"""),FALSE)</f>
        <v>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IFERROR(__xludf.DUMMYFUNCTION("""COMPUTED_VALUE"""),53.0)</f>
        <v>53</v>
      </c>
      <c r="W125" s="195">
        <f>IFERROR(__xludf.DUMMYFUNCTION("""COMPUTED_VALUE"""),8105.396)</f>
        <v>8105.396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 t="str">
        <f>IFERROR(__xludf.DUMMYFUNCTION("""COMPUTED_VALUE"""),"Břicháč Pavel")</f>
        <v>Břicháč Pavel</v>
      </c>
      <c r="E126" s="192" t="str">
        <f>IFERROR(__xludf.DUMMYFUNCTION("""COMPUTED_VALUE"""),"Libuš")</f>
        <v>Libuš</v>
      </c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IFERROR(__xludf.DUMMYFUNCTION("""COMPUTED_VALUE"""),81.5)</f>
        <v>81.5</v>
      </c>
      <c r="W126" s="195">
        <f>IFERROR(__xludf.DUMMYFUNCTION("""COMPUTED_VALUE"""),12463.958)</f>
        <v>12463.958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>Čerešňák Michal</v>
      </c>
      <c r="C127" s="192" t="b">
        <f>IFERROR(__xludf.DUMMYFUNCTION("""COMPUTED_VALUE"""),FALSE)</f>
        <v>0</v>
      </c>
      <c r="D127" s="192" t="str">
        <f>IFERROR(__xludf.DUMMYFUNCTION("""COMPUTED_VALUE"""),"Čerešňák Michal")</f>
        <v>Čerešňák Michal</v>
      </c>
      <c r="E127" s="192" t="str">
        <f>IFERROR(__xludf.DUMMYFUNCTION("""COMPUTED_VALUE"""),"Zličín")</f>
        <v>Zličín</v>
      </c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8">
        <f>IFERROR(__xludf.DUMMYFUNCTION("""COMPUTED_VALUE"""),42.0)</f>
        <v>42</v>
      </c>
      <c r="W127" s="195">
        <f>IFERROR(__xludf.DUMMYFUNCTION("""COMPUTED_VALUE"""),7140.0)</f>
        <v>7140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 t="str">
        <f>IFERROR(__xludf.DUMMYFUNCTION("""COMPUTED_VALUE"""),"Weindling Josef")</f>
        <v>Weindling Josef</v>
      </c>
      <c r="E128" s="192" t="str">
        <f>IFERROR(__xludf.DUMMYFUNCTION("""COMPUTED_VALUE"""),"Libuš")</f>
        <v>Libuš</v>
      </c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5">
        <f>IFERROR(__xludf.DUMMYFUNCTION("""COMPUTED_VALUE"""),0.0)</f>
        <v>0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 t="str">
        <f>IFERROR(__xludf.DUMMYFUNCTION("""COMPUTED_VALUE"""),"Fux Vojtěch")</f>
        <v>Fux Vojtěch</v>
      </c>
      <c r="E129" s="192" t="str">
        <f>IFERROR(__xludf.DUMMYFUNCTION("""COMPUTED_VALUE"""),"Chodov")</f>
        <v>Chodov</v>
      </c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5">
        <f>IFERROR(__xludf.DUMMYFUNCTION("""COMPUTED_VALUE"""),0.0)</f>
        <v>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5">
        <f>IFERROR(__xludf.DUMMYFUNCTION("""COMPUTED_VALUE"""),0.0)</f>
        <v>0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/>
      </c>
      <c r="C132" s="192" t="b">
        <f>IFERROR(__xludf.DUMMYFUNCTION("""COMPUTED_VALUE"""),FALSE)</f>
        <v>0</v>
      </c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5">
        <f>IFERROR(__xludf.DUMMYFUNCTION("""COMPUTED_VALUE"""),0.0)</f>
        <v>0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IFERROR(__xludf.DUMMYFUNCTION("""COMPUTED_VALUE"""),2826.0)</f>
        <v>2826</v>
      </c>
      <c r="W196" s="195">
        <f>IFERROR(__xludf.DUMMYFUNCTION("""COMPUTED_VALUE"""),483172.0800000001)</f>
        <v>483172.08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