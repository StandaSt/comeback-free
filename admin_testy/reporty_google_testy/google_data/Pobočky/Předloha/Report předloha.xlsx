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<sst xmlns="http://schemas.openxmlformats.org/spreadsheetml/2006/main" count="5569" uniqueCount="1537">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</sst>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IFERROR(__xludf.DUMMYFUNCTION("""COMPUTED_VALUE"""),57.0)</f>
        <v>57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IFERROR(__xludf.DUMMYFUNCTION("""COMPUTED_VALUE"""),68.5)</f>
        <v>68.5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IFERROR(__xludf.DUMMYFUNCTION("""COMPUTED_VALUE"""),40.0)</f>
        <v>40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IFERROR(__xludf.DUMMYFUNCTION("""COMPUTED_VALUE"""),"Chodov")</f>
        <v>Chodov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IFERROR(__xludf.DUMMYFUNCTION("""COMPUTED_VALUE"""),51.5)</f>
        <v>51.5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IFERROR(__xludf.DUMMYFUNCTION("""COMPUTED_VALUE"""),61.5)</f>
        <v>61.5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IFERROR(__xludf.DUMMYFUNCTION("""COMPUTED_VALUE"""),56.0)</f>
        <v>56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IFERROR(__xludf.DUMMYFUNCTION("""COMPUTED_VALUE"""),38.0)</f>
        <v>38</v>
      </c>
      <c r="W11" s="195">
        <f>IFERROR(__xludf.DUMMYFUNCTION("""COMPUTED_VALUE"""),7423.832)</f>
        <v>7423.832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IFERROR(__xludf.DUMMYFUNCTION("""COMPUTED_VALUE"""),66.0)</f>
        <v>66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IFERROR(__xludf.DUMMYFUNCTION("""COMPUTED_VALUE"""),12.0)</f>
        <v>12</v>
      </c>
      <c r="W14" s="195">
        <f>IFERROR(__xludf.DUMMYFUNCTION("""COMPUTED_VALUE"""),1983.696)</f>
        <v>1983.696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IFERROR(__xludf.DUMMYFUNCTION("""COMPUTED_VALUE"""),57.0)</f>
        <v>57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IFERROR(__xludf.DUMMYFUNCTION("""COMPUTED_VALUE"""),69.0)</f>
        <v>69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IFERROR(__xludf.DUMMYFUNCTION("""COMPUTED_VALUE"""),21.5)</f>
        <v>21.5</v>
      </c>
      <c r="W17" s="195">
        <f>IFERROR(__xludf.DUMMYFUNCTION("""COMPUTED_VALUE"""),3801.2)</f>
        <v>3801.2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IFERROR(__xludf.DUMMYFUNCTION("""COMPUTED_VALUE"""),49.0)</f>
        <v>49</v>
      </c>
      <c r="W18" s="195">
        <f>IFERROR(__xludf.DUMMYFUNCTION("""COMPUTED_VALUE"""),9269.624)</f>
        <v>9269.624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IFERROR(__xludf.DUMMYFUNCTION("""COMPUTED_VALUE"""),6.0)</f>
        <v>6</v>
      </c>
      <c r="W19" s="195">
        <f>IFERROR(__xludf.DUMMYFUNCTION("""COMPUTED_VALUE"""),1352.52)</f>
        <v>1352.52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IFERROR(__xludf.DUMMYFUNCTION("""COMPUTED_VALUE"""),33.5)</f>
        <v>33.5</v>
      </c>
      <c r="W20" s="195">
        <f>IFERROR(__xludf.DUMMYFUNCTION("""COMPUTED_VALUE"""),5922.8)</f>
        <v>5922.8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/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IFERROR(__xludf.DUMMYFUNCTION("""COMPUTED_VALUE"""),51.0)</f>
        <v>51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IFERROR(__xludf.DUMMYFUNCTION("""COMPUTED_VALUE"""),126.5)</f>
        <v>126.5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IFERROR(__xludf.DUMMYFUNCTION("""COMPUTED_VALUE"""),52.0)</f>
        <v>52</v>
      </c>
      <c r="W23" s="195">
        <f>IFERROR(__xludf.DUMMYFUNCTION("""COMPUTED_VALUE"""),8596.016)</f>
        <v>8596.016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IFERROR(__xludf.DUMMYFUNCTION("""COMPUTED_VALUE"""),55.0)</f>
        <v>55</v>
      </c>
      <c r="W24" s="195">
        <f>IFERROR(__xludf.DUMMYFUNCTION("""COMPUTED_VALUE"""),9724.0)</f>
        <v>9724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IFERROR(__xludf.DUMMYFUNCTION("""COMPUTED_VALUE"""),16.0)</f>
        <v>16</v>
      </c>
      <c r="W25" s="195">
        <f>IFERROR(__xludf.DUMMYFUNCTION("""COMPUTED_VALUE"""),2446.912)</f>
        <v>2446.912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IFERROR(__xludf.DUMMYFUNCTION("""COMPUTED_VALUE"""),34.0)</f>
        <v>34</v>
      </c>
      <c r="W27" s="195">
        <f>IFERROR(__xludf.DUMMYFUNCTION("""COMPUTED_VALUE"""),6431.984)</f>
        <v>6431.984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IFERROR(__xludf.DUMMYFUNCTION("""COMPUTED_VALUE"""),"Chodov")</f>
        <v>Chodov</v>
      </c>
      <c r="F28" s="192" t="str">
        <f>IFERROR(__xludf.DUMMYFUNCTION("""COMPUTED_VALUE"""),"Malešice")</f>
        <v>Malešice</v>
      </c>
      <c r="G28" s="192" t="str">
        <f>IFERROR(__xludf.DUMMYFUNCTION("""COMPUTED_VALUE"""),"Zličín")</f>
        <v>Zličín</v>
      </c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IFERROR(__xludf.DUMMYFUNCTION("""COMPUTED_VALUE"""),59.0)</f>
        <v>59</v>
      </c>
      <c r="W28" s="195">
        <f>IFERROR(__xludf.DUMMYFUNCTION("""COMPUTED_VALUE"""),10431.2)</f>
        <v>10431.2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IFERROR(__xludf.DUMMYFUNCTION("""COMPUTED_VALUE"""),66.0)</f>
        <v>66</v>
      </c>
      <c r="W30" s="195">
        <f>IFERROR(__xludf.DUMMYFUNCTION("""COMPUTED_VALUE"""),10910.328)</f>
        <v>10910.328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IFERROR(__xludf.DUMMYFUNCTION("""COMPUTED_VALUE"""),44.0)</f>
        <v>44</v>
      </c>
      <c r="W31" s="195">
        <f>IFERROR(__xludf.DUMMYFUNCTION("""COMPUTED_VALUE"""),6729.008)</f>
        <v>6729.008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IFERROR(__xludf.DUMMYFUNCTION("""COMPUTED_VALUE"""),33.0)</f>
        <v>33</v>
      </c>
      <c r="W35" s="195">
        <f>IFERROR(__xludf.DUMMYFUNCTION("""COMPUTED_VALUE"""),5455.164)</f>
        <v>5455.164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IFERROR(__xludf.DUMMYFUNCTION("""COMPUTED_VALUE"""),25.0)</f>
        <v>25</v>
      </c>
      <c r="W36" s="195">
        <f>IFERROR(__xludf.DUMMYFUNCTION("""COMPUTED_VALUE"""),4132.7)</f>
        <v>4132.7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IFERROR(__xludf.DUMMYFUNCTION("""COMPUTED_VALUE"""),21.5)</f>
        <v>21.5</v>
      </c>
      <c r="W37" s="195">
        <f>IFERROR(__xludf.DUMMYFUNCTION("""COMPUTED_VALUE"""),3554.122)</f>
        <v>3554.122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IFERROR(__xludf.DUMMYFUNCTION("""COMPUTED_VALUE"""),52.0)</f>
        <v>52</v>
      </c>
      <c r="W38" s="195">
        <f>IFERROR(__xludf.DUMMYFUNCTION("""COMPUTED_VALUE"""),8596.016)</f>
        <v>8596.016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IFERROR(__xludf.DUMMYFUNCTION("""COMPUTED_VALUE"""),56.0)</f>
        <v>56</v>
      </c>
      <c r="W39" s="195">
        <f>IFERROR(__xludf.DUMMYFUNCTION("""COMPUTED_VALUE"""),9257.248)</f>
        <v>9257.248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IFERROR(__xludf.DUMMYFUNCTION("""COMPUTED_VALUE"""),58.0)</f>
        <v>58</v>
      </c>
      <c r="W41" s="195">
        <f>IFERROR(__xludf.DUMMYFUNCTION("""COMPUTED_VALUE"""),9587.864)</f>
        <v>9587.864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IFERROR(__xludf.DUMMYFUNCTION("""COMPUTED_VALUE"""),1435.5)</f>
        <v>1435.5</v>
      </c>
      <c r="W60" s="195">
        <f>IFERROR(__xludf.DUMMYFUNCTION("""COMPUTED_VALUE"""),703632.7139999998)</f>
        <v>703632.714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IFERROR(__xludf.DUMMYFUNCTION("""COMPUTED_VALUE"""),34.0)</f>
        <v>34</v>
      </c>
      <c r="W75" s="195">
        <f>IFERROR(__xludf.DUMMYFUNCTION("""COMPUTED_VALUE"""),5100.0)</f>
        <v>5100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IFERROR(__xludf.DUMMYFUNCTION("""COMPUTED_VALUE"""),39.0)</f>
        <v>39</v>
      </c>
      <c r="W76" s="195">
        <f>IFERROR(__xludf.DUMMYFUNCTION("""COMPUTED_VALUE"""),6895.2)</f>
        <v>6895.2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IFERROR(__xludf.DUMMYFUNCTION("""COMPUTED_VALUE"""),10.0)</f>
        <v>10</v>
      </c>
      <c r="W78" s="195">
        <f>IFERROR(__xludf.DUMMYFUNCTION("""COMPUTED_VALUE"""),1768.0)</f>
        <v>1768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IFERROR(__xludf.DUMMYFUNCTION("""COMPUTED_VALUE"""),7.0)</f>
        <v>7</v>
      </c>
      <c r="W79" s="195">
        <f>IFERROR(__xludf.DUMMYFUNCTION("""COMPUTED_VALUE"""),1070.524)</f>
        <v>1070.524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IFERROR(__xludf.DUMMYFUNCTION("""COMPUTED_VALUE"""),17.0)</f>
        <v>17</v>
      </c>
      <c r="W80" s="195">
        <f>IFERROR(__xludf.DUMMYFUNCTION("""COMPUTED_VALUE"""),2810.236)</f>
        <v>2810.236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IFERROR(__xludf.DUMMYFUNCTION("""COMPUTED_VALUE"""),50.5)</f>
        <v>50.5</v>
      </c>
      <c r="W81" s="195">
        <f>IFERROR(__xludf.DUMMYFUNCTION("""COMPUTED_VALUE"""),7723.066)</f>
        <v>7723.066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IFERROR(__xludf.DUMMYFUNCTION("""COMPUTED_VALUE"""),14.0)</f>
        <v>14</v>
      </c>
      <c r="W83" s="195">
        <f>IFERROR(__xludf.DUMMYFUNCTION("""COMPUTED_VALUE"""),2141.048)</f>
        <v>2141.048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IFERROR(__xludf.DUMMYFUNCTION("""COMPUTED_VALUE"""),12.0)</f>
        <v>12</v>
      </c>
      <c r="W84" s="195">
        <f>IFERROR(__xludf.DUMMYFUNCTION("""COMPUTED_VALUE"""),1983.696)</f>
        <v>1983.696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IFERROR(__xludf.DUMMYFUNCTION("""COMPUTED_VALUE"""),16.0)</f>
        <v>16</v>
      </c>
      <c r="W85" s="195">
        <f>IFERROR(__xludf.DUMMYFUNCTION("""COMPUTED_VALUE"""),2400.0)</f>
        <v>2400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IFERROR(__xludf.DUMMYFUNCTION("""COMPUTED_VALUE"""),5.0)</f>
        <v>5</v>
      </c>
      <c r="W87" s="195">
        <f>IFERROR(__xludf.DUMMYFUNCTION("""COMPUTED_VALUE"""),764.66)</f>
        <v>764.66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IFERROR(__xludf.DUMMYFUNCTION("""COMPUTED_VALUE"""),22.0)</f>
        <v>22</v>
      </c>
      <c r="W89" s="195">
        <f>IFERROR(__xludf.DUMMYFUNCTION("""COMPUTED_VALUE"""),3740.0)</f>
        <v>3740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IFERROR(__xludf.DUMMYFUNCTION("""COMPUTED_VALUE"""),61.0)</f>
        <v>61</v>
      </c>
      <c r="W90" s="195">
        <f>IFERROR(__xludf.DUMMYFUNCTION("""COMPUTED_VALUE"""),9760.0)</f>
        <v>9760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IFERROR(__xludf.DUMMYFUNCTION("""COMPUTED_VALUE"""),81.0)</f>
        <v>81</v>
      </c>
      <c r="W93" s="195">
        <f>IFERROR(__xludf.DUMMYFUNCTION("""COMPUTED_VALUE"""),13389.948)</f>
        <v>13389.948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IFERROR(__xludf.DUMMYFUNCTION("""COMPUTED_VALUE"""),63.0)</f>
        <v>63</v>
      </c>
      <c r="W94" s="195">
        <f>IFERROR(__xludf.DUMMYFUNCTION("""COMPUTED_VALUE"""),10414.404)</f>
        <v>10414.404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IFERROR(__xludf.DUMMYFUNCTION("""COMPUTED_VALUE"""),45.0)</f>
        <v>45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IFERROR(__xludf.DUMMYFUNCTION("""COMPUTED_VALUE"""),24.0)</f>
        <v>24</v>
      </c>
      <c r="W97" s="195">
        <f>IFERROR(__xludf.DUMMYFUNCTION("""COMPUTED_VALUE"""),3967.392)</f>
        <v>3967.392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IFERROR(__xludf.DUMMYFUNCTION("""COMPUTED_VALUE"""),6.0)</f>
        <v>6</v>
      </c>
      <c r="W98" s="195">
        <f>IFERROR(__xludf.DUMMYFUNCTION("""COMPUTED_VALUE"""),848.64)</f>
        <v>848.64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IFERROR(__xludf.DUMMYFUNCTION("""COMPUTED_VALUE"""),17.0)</f>
        <v>17</v>
      </c>
      <c r="W99" s="195">
        <f>IFERROR(__xludf.DUMMYFUNCTION("""COMPUTED_VALUE"""),2404.48)</f>
        <v>2404.48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IFERROR(__xludf.DUMMYFUNCTION("""COMPUTED_VALUE"""),37.0)</f>
        <v>37</v>
      </c>
      <c r="W105" s="195">
        <f>IFERROR(__xludf.DUMMYFUNCTION("""COMPUTED_VALUE"""),5658.484)</f>
        <v>5658.484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IFERROR(__xludf.DUMMYFUNCTION("""COMPUTED_VALUE"""),62.0)</f>
        <v>62</v>
      </c>
      <c r="W107" s="195">
        <f>IFERROR(__xludf.DUMMYFUNCTION("""COMPUTED_VALUE"""),8680.0)</f>
        <v>8680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IFERROR(__xludf.DUMMYFUNCTION("""COMPUTED_VALUE"""),42.5)</f>
        <v>42.5</v>
      </c>
      <c r="W108" s="195">
        <f>IFERROR(__xludf.DUMMYFUNCTION("""COMPUTED_VALUE"""),7025.59)</f>
        <v>7025.59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IFERROR(__xludf.DUMMYFUNCTION("""COMPUTED_VALUE"""),19.0)</f>
        <v>19</v>
      </c>
      <c r="W109" s="195">
        <f>IFERROR(__xludf.DUMMYFUNCTION("""COMPUTED_VALUE"""),2905.708)</f>
        <v>2905.708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IFERROR(__xludf.DUMMYFUNCTION("""COMPUTED_VALUE"""),45.0)</f>
        <v>45</v>
      </c>
      <c r="W110" s="195">
        <f>IFERROR(__xludf.DUMMYFUNCTION("""COMPUTED_VALUE"""),6364.8)</f>
        <v>6364.8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IFERROR(__xludf.DUMMYFUNCTION("""COMPUTED_VALUE"""),4.5)</f>
        <v>4.5</v>
      </c>
      <c r="W112" s="195">
        <f>IFERROR(__xludf.DUMMYFUNCTION("""COMPUTED_VALUE"""),636.48)</f>
        <v>636.48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IFERROR(__xludf.DUMMYFUNCTION("""COMPUTED_VALUE"""),6.0)</f>
        <v>6</v>
      </c>
      <c r="W113" s="195">
        <f>IFERROR(__xludf.DUMMYFUNCTION("""COMPUTED_VALUE"""),848.64)</f>
        <v>848.64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IFERROR(__xludf.DUMMYFUNCTION("""COMPUTED_VALUE"""),24.5)</f>
        <v>24.5</v>
      </c>
      <c r="W115" s="195">
        <f>IFERROR(__xludf.DUMMYFUNCTION("""COMPUTED_VALUE"""),4050.0460000000003)</f>
        <v>4050.046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IFERROR(__xludf.DUMMYFUNCTION("""COMPUTED_VALUE"""),5.5)</f>
        <v>5.5</v>
      </c>
      <c r="W116" s="195">
        <f>IFERROR(__xludf.DUMMYFUNCTION("""COMPUTED_VALUE"""),841.126)</f>
        <v>841.126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IFERROR(__xludf.DUMMYFUNCTION("""COMPUTED_VALUE"""),64.5)</f>
        <v>64.5</v>
      </c>
      <c r="W117" s="195">
        <f>IFERROR(__xludf.DUMMYFUNCTION("""COMPUTED_VALUE"""),10662.366)</f>
        <v>10662.366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IFERROR(__xludf.DUMMYFUNCTION("""COMPUTED_VALUE"""),25.0)</f>
        <v>25</v>
      </c>
      <c r="W119" s="195">
        <f>IFERROR(__xludf.DUMMYFUNCTION("""COMPUTED_VALUE"""),3536.0)</f>
        <v>3536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IFERROR(__xludf.DUMMYFUNCTION("""COMPUTED_VALUE"""),18.0)</f>
        <v>18</v>
      </c>
      <c r="W120" s="195">
        <f>IFERROR(__xludf.DUMMYFUNCTION("""COMPUTED_VALUE"""),2545.92)</f>
        <v>2545.92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IFERROR(__xludf.DUMMYFUNCTION("""COMPUTED_VALUE"""),19.0)</f>
        <v>19</v>
      </c>
      <c r="W125" s="195">
        <f>IFERROR(__xludf.DUMMYFUNCTION("""COMPUTED_VALUE"""),2905.708)</f>
        <v>2905.708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IFERROR(__xludf.DUMMYFUNCTION("""COMPUTED_VALUE"""),0.0)</f>
        <v>0</v>
      </c>
      <c r="W126" s="195">
        <f>IFERROR(__xludf.DUMMYFUNCTION("""COMPUTED_VALUE"""),0.0)</f>
        <v>0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/>
      </c>
      <c r="C127" s="192" t="b">
        <f>IFERROR(__xludf.DUMMYFUNCTION("""COMPUTED_VALUE"""),FALSE)</f>
        <v>0</v>
      </c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5">
        <f>IFERROR(__xludf.DUMMYFUNCTION("""COMPUTED_VALUE"""),0.0)</f>
        <v>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IFERROR(__xludf.DUMMYFUNCTION("""COMPUTED_VALUE"""),903.0)</f>
        <v>903</v>
      </c>
      <c r="W196" s="195">
        <f>IFERROR(__xludf.DUMMYFUNCTION("""COMPUTED_VALUE"""),209635.88600000003)</f>
        <v>209635.886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