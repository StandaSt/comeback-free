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<sst xmlns="http://schemas.openxmlformats.org/spreadsheetml/2006/main" count="5569" uniqueCount="1537">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</sst>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25:B31">
      <formula1>"Němec Filip,Zimmer Jakub,Nekolný Vladimír,Novák Jakub,Černohorský Otakar,Lowe Jana,Kormash Liubov,Vychivskyi Volodymyr,Banga Adam,Vaníková Anna"</formula1>
    </dataValidation>
    <dataValidation type="list" allowBlank="1" sqref="B12:B21">
      <formula1>"Nedbal Michal,Ahurieva Viktoriia,Hanakova Ayuna,Veselý Ondřej,Kinkorová Petra,Pechová Barbora,Pánková Vendula,Yarushynskyi Vladyslav,Putna Jaroslav"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""Mzdy!u1:v200"")"),46143.0)</f>
        <v>46143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IFERROR(__xludf.DUMMYFUNCTION("""COMPUTED_VALUE"""),111.5)</f>
        <v>111.5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IFERROR(__xludf.DUMMYFUNCTION("""COMPUTED_VALUE"""),114.0)</f>
        <v>114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IFERROR(__xludf.DUMMYFUNCTION("""COMPUTED_VALUE"""),40.0)</f>
        <v>40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>Ahurieva Viktoriia</v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IFERROR(__xludf.DUMMYFUNCTION("""COMPUTED_VALUE"""),"Zličín")</f>
        <v>Zličín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IFERROR(__xludf.DUMMYFUNCTION("""COMPUTED_VALUE"""),108.0)</f>
        <v>108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IFERROR(__xludf.DUMMYFUNCTION("""COMPUTED_VALUE"""),99.5)</f>
        <v>99.5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IFERROR(__xludf.DUMMYFUNCTION("""COMPUTED_VALUE"""),64.5)</f>
        <v>64.5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IFERROR(__xludf.DUMMYFUNCTION("""COMPUTED_VALUE"""),70.0)</f>
        <v>70</v>
      </c>
      <c r="W11" s="195">
        <f>IFERROR(__xludf.DUMMYFUNCTION("""COMPUTED_VALUE"""),13675.48)</f>
        <v>13675.48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IFERROR(__xludf.DUMMYFUNCTION("""COMPUTED_VALUE"""),66.0)</f>
        <v>66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IFERROR(__xludf.DUMMYFUNCTION("""COMPUTED_VALUE"""),20.0)</f>
        <v>20</v>
      </c>
      <c r="W14" s="195">
        <f>IFERROR(__xludf.DUMMYFUNCTION("""COMPUTED_VALUE"""),3306.16)</f>
        <v>3306.16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IFERROR(__xludf.DUMMYFUNCTION("""COMPUTED_VALUE"""),102.0)</f>
        <v>102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IFERROR(__xludf.DUMMYFUNCTION("""COMPUTED_VALUE"""),133.0)</f>
        <v>133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IFERROR(__xludf.DUMMYFUNCTION("""COMPUTED_VALUE"""),22.5)</f>
        <v>22.5</v>
      </c>
      <c r="W17" s="195">
        <f>IFERROR(__xludf.DUMMYFUNCTION("""COMPUTED_VALUE"""),3978.0)</f>
        <v>3978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IFERROR(__xludf.DUMMYFUNCTION("""COMPUTED_VALUE"""),88.0)</f>
        <v>88</v>
      </c>
      <c r="W18" s="195">
        <f>IFERROR(__xludf.DUMMYFUNCTION("""COMPUTED_VALUE"""),16392.688000000002)</f>
        <v>16392.688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IFERROR(__xludf.DUMMYFUNCTION("""COMPUTED_VALUE"""),66.5)</f>
        <v>66.5</v>
      </c>
      <c r="W19" s="195">
        <f>IFERROR(__xludf.DUMMYFUNCTION("""COMPUTED_VALUE"""),14990.43)</f>
        <v>14990.43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IFERROR(__xludf.DUMMYFUNCTION("""COMPUTED_VALUE"""),54.5)</f>
        <v>54.5</v>
      </c>
      <c r="W20" s="195">
        <f>IFERROR(__xludf.DUMMYFUNCTION("""COMPUTED_VALUE"""),9635.6)</f>
        <v>9635.6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/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/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IFERROR(__xludf.DUMMYFUNCTION("""COMPUTED_VALUE"""),100.0)</f>
        <v>100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IFERROR(__xludf.DUMMYFUNCTION("""COMPUTED_VALUE"""),174.5)</f>
        <v>174.5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IFERROR(__xludf.DUMMYFUNCTION("""COMPUTED_VALUE"""),52.0)</f>
        <v>52</v>
      </c>
      <c r="W23" s="195">
        <f>IFERROR(__xludf.DUMMYFUNCTION("""COMPUTED_VALUE"""),8596.016)</f>
        <v>8596.016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IFERROR(__xludf.DUMMYFUNCTION("""COMPUTED_VALUE"""),105.0)</f>
        <v>105</v>
      </c>
      <c r="W24" s="195">
        <f>IFERROR(__xludf.DUMMYFUNCTION("""COMPUTED_VALUE"""),17984.0)</f>
        <v>17984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IFERROR(__xludf.DUMMYFUNCTION("""COMPUTED_VALUE"""),27.0)</f>
        <v>27</v>
      </c>
      <c r="W25" s="195">
        <f>IFERROR(__xludf.DUMMYFUNCTION("""COMPUTED_VALUE"""),4129.164)</f>
        <v>4129.164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IFERROR(__xludf.DUMMYFUNCTION("""COMPUTED_VALUE"""),47.5)</f>
        <v>47.5</v>
      </c>
      <c r="W27" s="195">
        <f>IFERROR(__xludf.DUMMYFUNCTION("""COMPUTED_VALUE"""),8985.86)</f>
        <v>8985.86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IFERROR(__xludf.DUMMYFUNCTION("""COMPUTED_VALUE"""),"Chodov")</f>
        <v>Chodov</v>
      </c>
      <c r="F28" s="192" t="str">
        <f>IFERROR(__xludf.DUMMYFUNCTION("""COMPUTED_VALUE"""),"Malešice")</f>
        <v>Malešice</v>
      </c>
      <c r="G28" s="192" t="str">
        <f>IFERROR(__xludf.DUMMYFUNCTION("""COMPUTED_VALUE"""),"Zličín")</f>
        <v>Zličín</v>
      </c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IFERROR(__xludf.DUMMYFUNCTION("""COMPUTED_VALUE"""),102.0)</f>
        <v>102</v>
      </c>
      <c r="W28" s="195">
        <f>IFERROR(__xludf.DUMMYFUNCTION("""COMPUTED_VALUE"""),17543.6)</f>
        <v>17543.6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IFERROR(__xludf.DUMMYFUNCTION("""COMPUTED_VALUE"""),103.5)</f>
        <v>103.5</v>
      </c>
      <c r="W30" s="195">
        <f>IFERROR(__xludf.DUMMYFUNCTION("""COMPUTED_VALUE"""),16776.203)</f>
        <v>16776.203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 t="str">
        <f>IFERROR(__xludf.DUMMYFUNCTION("""COMPUTED_VALUE"""),"Prosek")</f>
        <v>Prosek</v>
      </c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IFERROR(__xludf.DUMMYFUNCTION("""COMPUTED_VALUE"""),78.0)</f>
        <v>78</v>
      </c>
      <c r="W31" s="195">
        <f>IFERROR(__xludf.DUMMYFUNCTION("""COMPUTED_VALUE"""),11928.696)</f>
        <v>11928.696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IFERROR(__xludf.DUMMYFUNCTION("""COMPUTED_VALUE"""),72.0)</f>
        <v>72</v>
      </c>
      <c r="W35" s="195">
        <f>IFERROR(__xludf.DUMMYFUNCTION("""COMPUTED_VALUE"""),11902.176)</f>
        <v>11902.176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IFERROR(__xludf.DUMMYFUNCTION("""COMPUTED_VALUE"""),25.0)</f>
        <v>25</v>
      </c>
      <c r="W36" s="195">
        <f>IFERROR(__xludf.DUMMYFUNCTION("""COMPUTED_VALUE"""),4132.7)</f>
        <v>4132.7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IFERROR(__xludf.DUMMYFUNCTION("""COMPUTED_VALUE"""),21.5)</f>
        <v>21.5</v>
      </c>
      <c r="W37" s="195">
        <f>IFERROR(__xludf.DUMMYFUNCTION("""COMPUTED_VALUE"""),3554.122)</f>
        <v>3554.122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IFERROR(__xludf.DUMMYFUNCTION("""COMPUTED_VALUE"""),90.5)</f>
        <v>90.5</v>
      </c>
      <c r="W38" s="195">
        <f>IFERROR(__xludf.DUMMYFUNCTION("""COMPUTED_VALUE"""),14960.374)</f>
        <v>14960.374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IFERROR(__xludf.DUMMYFUNCTION("""COMPUTED_VALUE"""),106.5)</f>
        <v>106.5</v>
      </c>
      <c r="W39" s="195">
        <f>IFERROR(__xludf.DUMMYFUNCTION("""COMPUTED_VALUE"""),17187.977)</f>
        <v>17187.977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IFERROR(__xludf.DUMMYFUNCTION("""COMPUTED_VALUE"""),0.0)</f>
        <v>0</v>
      </c>
      <c r="W40" s="195">
        <f>IFERROR(__xludf.DUMMYFUNCTION("""COMPUTED_VALUE"""),0.0)</f>
        <v>0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IFERROR(__xludf.DUMMYFUNCTION("""COMPUTED_VALUE"""),99.0)</f>
        <v>99</v>
      </c>
      <c r="W41" s="195">
        <f>IFERROR(__xludf.DUMMYFUNCTION("""COMPUTED_VALUE"""),16158.542)</f>
        <v>16158.542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IFERROR(__xludf.DUMMYFUNCTION("""COMPUTED_VALUE"""),2364.0)</f>
        <v>2364</v>
      </c>
      <c r="W60" s="195">
        <f>IFERROR(__xludf.DUMMYFUNCTION("""COMPUTED_VALUE"""),793844.2679999996)</f>
        <v>793844.268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IFERROR(__xludf.DUMMYFUNCTION("""COMPUTED_VALUE"""),26058.0)</f>
        <v>26058</v>
      </c>
      <c r="W65" s="195">
        <f>IFERROR(__xludf.DUMMYFUNCTION("""COMPUTED_VALUE"""),130.29)</f>
        <v>130.29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IFERROR(__xludf.DUMMYFUNCTION("""COMPUTED_VALUE"""),59.0)</f>
        <v>59</v>
      </c>
      <c r="W75" s="195">
        <f>IFERROR(__xludf.DUMMYFUNCTION("""COMPUTED_VALUE"""),8850.0)</f>
        <v>8850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IFERROR(__xludf.DUMMYFUNCTION("""COMPUTED_VALUE"""),63.0)</f>
        <v>63</v>
      </c>
      <c r="W76" s="195">
        <f>IFERROR(__xludf.DUMMYFUNCTION("""COMPUTED_VALUE"""),11138.4)</f>
        <v>11138.4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IFERROR(__xludf.DUMMYFUNCTION("""COMPUTED_VALUE"""),7.0)</f>
        <v>7</v>
      </c>
      <c r="W77" s="195">
        <f>IFERROR(__xludf.DUMMYFUNCTION("""COMPUTED_VALUE"""),1070.524)</f>
        <v>1070.524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IFERROR(__xludf.DUMMYFUNCTION("""COMPUTED_VALUE"""),25.0)</f>
        <v>25</v>
      </c>
      <c r="W78" s="195">
        <f>IFERROR(__xludf.DUMMYFUNCTION("""COMPUTED_VALUE"""),4420.0)</f>
        <v>4420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IFERROR(__xludf.DUMMYFUNCTION("""COMPUTED_VALUE"""),18.0)</f>
        <v>18</v>
      </c>
      <c r="W79" s="195">
        <f>IFERROR(__xludf.DUMMYFUNCTION("""COMPUTED_VALUE"""),2752.776)</f>
        <v>2752.776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IFERROR(__xludf.DUMMYFUNCTION("""COMPUTED_VALUE"""),55.5)</f>
        <v>55.5</v>
      </c>
      <c r="W80" s="195">
        <f>IFERROR(__xludf.DUMMYFUNCTION("""COMPUTED_VALUE"""),9174.594000000001)</f>
        <v>9174.594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IFERROR(__xludf.DUMMYFUNCTION("""COMPUTED_VALUE"""),96.5)</f>
        <v>96.5</v>
      </c>
      <c r="W81" s="195">
        <f>IFERROR(__xludf.DUMMYFUNCTION("""COMPUTED_VALUE"""),14757.938)</f>
        <v>14757.938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IFERROR(__xludf.DUMMYFUNCTION("""COMPUTED_VALUE"""),24.0)</f>
        <v>24</v>
      </c>
      <c r="W83" s="195">
        <f>IFERROR(__xludf.DUMMYFUNCTION("""COMPUTED_VALUE"""),3670.368)</f>
        <v>3670.368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IFERROR(__xludf.DUMMYFUNCTION("""COMPUTED_VALUE"""),33.0)</f>
        <v>33</v>
      </c>
      <c r="W84" s="195">
        <f>IFERROR(__xludf.DUMMYFUNCTION("""COMPUTED_VALUE"""),5455.164)</f>
        <v>5455.164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IFERROR(__xludf.DUMMYFUNCTION("""COMPUTED_VALUE"""),27.0)</f>
        <v>27</v>
      </c>
      <c r="W85" s="195">
        <f>IFERROR(__xludf.DUMMYFUNCTION("""COMPUTED_VALUE"""),4050.0)</f>
        <v>4050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IFERROR(__xludf.DUMMYFUNCTION("""COMPUTED_VALUE"""),10.0)</f>
        <v>10</v>
      </c>
      <c r="W87" s="195">
        <f>IFERROR(__xludf.DUMMYFUNCTION("""COMPUTED_VALUE"""),1529.32)</f>
        <v>1529.32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 t="str">
        <f>IFERROR(__xludf.DUMMYFUNCTION("""COMPUTED_VALUE"""),"Výroba")</f>
        <v>Výroba</v>
      </c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IFERROR(__xludf.DUMMYFUNCTION("""COMPUTED_VALUE"""),42.0)</f>
        <v>42</v>
      </c>
      <c r="W89" s="195">
        <f>IFERROR(__xludf.DUMMYFUNCTION("""COMPUTED_VALUE"""),7140.0)</f>
        <v>7140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IFERROR(__xludf.DUMMYFUNCTION("""COMPUTED_VALUE"""),74.0)</f>
        <v>74</v>
      </c>
      <c r="W90" s="195">
        <f>IFERROR(__xludf.DUMMYFUNCTION("""COMPUTED_VALUE"""),11840.0)</f>
        <v>11840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IFERROR(__xludf.DUMMYFUNCTION("""COMPUTED_VALUE"""),133.5)</f>
        <v>133.5</v>
      </c>
      <c r="W93" s="195">
        <f>IFERROR(__xludf.DUMMYFUNCTION("""COMPUTED_VALUE"""),20893.943)</f>
        <v>20893.943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IFERROR(__xludf.DUMMYFUNCTION("""COMPUTED_VALUE"""),120.0)</f>
        <v>120</v>
      </c>
      <c r="W94" s="195">
        <f>IFERROR(__xludf.DUMMYFUNCTION("""COMPUTED_VALUE"""),19040.96)</f>
        <v>19040.96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IFERROR(__xludf.DUMMYFUNCTION("""COMPUTED_VALUE"""),65.0)</f>
        <v>65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IFERROR(__xludf.DUMMYFUNCTION("""COMPUTED_VALUE"""),38.0)</f>
        <v>38</v>
      </c>
      <c r="W97" s="195">
        <f>IFERROR(__xludf.DUMMYFUNCTION("""COMPUTED_VALUE"""),6281.704)</f>
        <v>6281.704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IFERROR(__xludf.DUMMYFUNCTION("""COMPUTED_VALUE"""),12.0)</f>
        <v>12</v>
      </c>
      <c r="W98" s="195">
        <f>IFERROR(__xludf.DUMMYFUNCTION("""COMPUTED_VALUE"""),1697.28)</f>
        <v>1697.28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IFERROR(__xludf.DUMMYFUNCTION("""COMPUTED_VALUE"""),34.0)</f>
        <v>34</v>
      </c>
      <c r="W99" s="195">
        <f>IFERROR(__xludf.DUMMYFUNCTION("""COMPUTED_VALUE"""),4808.96)</f>
        <v>4808.96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IFERROR(__xludf.DUMMYFUNCTION("""COMPUTED_VALUE"""),55.5)</f>
        <v>55.5</v>
      </c>
      <c r="W105" s="195">
        <f>IFERROR(__xludf.DUMMYFUNCTION("""COMPUTED_VALUE"""),8487.726)</f>
        <v>8487.726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IFERROR(__xludf.DUMMYFUNCTION("""COMPUTED_VALUE"""),113.5)</f>
        <v>113.5</v>
      </c>
      <c r="W107" s="195">
        <f>IFERROR(__xludf.DUMMYFUNCTION("""COMPUTED_VALUE"""),15890.0)</f>
        <v>15890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IFERROR(__xludf.DUMMYFUNCTION("""COMPUTED_VALUE"""),64.5)</f>
        <v>64.5</v>
      </c>
      <c r="W108" s="195">
        <f>IFERROR(__xludf.DUMMYFUNCTION("""COMPUTED_VALUE"""),10662.366)</f>
        <v>10662.366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IFERROR(__xludf.DUMMYFUNCTION("""COMPUTED_VALUE"""),19.0)</f>
        <v>19</v>
      </c>
      <c r="W109" s="195">
        <f>IFERROR(__xludf.DUMMYFUNCTION("""COMPUTED_VALUE"""),2905.708)</f>
        <v>2905.708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IFERROR(__xludf.DUMMYFUNCTION("""COMPUTED_VALUE"""),60.0)</f>
        <v>60</v>
      </c>
      <c r="W110" s="195">
        <f>IFERROR(__xludf.DUMMYFUNCTION("""COMPUTED_VALUE"""),8486.4)</f>
        <v>8486.4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IFERROR(__xludf.DUMMYFUNCTION("""COMPUTED_VALUE"""),15.0)</f>
        <v>15</v>
      </c>
      <c r="W111" s="195">
        <f>IFERROR(__xludf.DUMMYFUNCTION("""COMPUTED_VALUE"""),2293.98)</f>
        <v>2293.98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IFERROR(__xludf.DUMMYFUNCTION("""COMPUTED_VALUE"""),8.5)</f>
        <v>8.5</v>
      </c>
      <c r="W112" s="195">
        <f>IFERROR(__xludf.DUMMYFUNCTION("""COMPUTED_VALUE"""),1202.24)</f>
        <v>1202.24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IFERROR(__xludf.DUMMYFUNCTION("""COMPUTED_VALUE"""),24.0)</f>
        <v>24</v>
      </c>
      <c r="W113" s="195">
        <f>IFERROR(__xludf.DUMMYFUNCTION("""COMPUTED_VALUE"""),3394.56)</f>
        <v>3394.56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IFERROR(__xludf.DUMMYFUNCTION("""COMPUTED_VALUE"""),31.5)</f>
        <v>31.5</v>
      </c>
      <c r="W115" s="195">
        <f>IFERROR(__xludf.DUMMYFUNCTION("""COMPUTED_VALUE"""),5207.202)</f>
        <v>5207.202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IFERROR(__xludf.DUMMYFUNCTION("""COMPUTED_VALUE"""),16.5)</f>
        <v>16.5</v>
      </c>
      <c r="W116" s="195">
        <f>IFERROR(__xludf.DUMMYFUNCTION("""COMPUTED_VALUE"""),2523.378)</f>
        <v>2523.378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IFERROR(__xludf.DUMMYFUNCTION("""COMPUTED_VALUE"""),123.0)</f>
        <v>123</v>
      </c>
      <c r="W117" s="195">
        <f>IFERROR(__xludf.DUMMYFUNCTION("""COMPUTED_VALUE"""),19452.733999999997)</f>
        <v>19452.734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IFERROR(__xludf.DUMMYFUNCTION("""COMPUTED_VALUE"""),25.0)</f>
        <v>25</v>
      </c>
      <c r="W119" s="195">
        <f>IFERROR(__xludf.DUMMYFUNCTION("""COMPUTED_VALUE"""),3536.0)</f>
        <v>3536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IFERROR(__xludf.DUMMYFUNCTION("""COMPUTED_VALUE"""),18.0)</f>
        <v>18</v>
      </c>
      <c r="W120" s="195">
        <f>IFERROR(__xludf.DUMMYFUNCTION("""COMPUTED_VALUE"""),2545.92)</f>
        <v>2545.92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IFERROR(__xludf.DUMMYFUNCTION("""COMPUTED_VALUE"""),35.0)</f>
        <v>35</v>
      </c>
      <c r="W125" s="195">
        <f>IFERROR(__xludf.DUMMYFUNCTION("""COMPUTED_VALUE"""),5352.62)</f>
        <v>5352.62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IFERROR(__xludf.DUMMYFUNCTION("""COMPUTED_VALUE"""),"Pavel Břicháč")</f>
        <v>Pavel Břicháč</v>
      </c>
      <c r="E126" s="192" t="str">
        <f>IFERROR(__xludf.DUMMYFUNCTION("""COMPUTED_VALUE"""),"Libuš")</f>
        <v>Libuš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IFERROR(__xludf.DUMMYFUNCTION("""COMPUTED_VALUE"""),29.5)</f>
        <v>29.5</v>
      </c>
      <c r="W126" s="195">
        <f>IFERROR(__xludf.DUMMYFUNCTION("""COMPUTED_VALUE"""),4511.494)</f>
        <v>4511.494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/>
      </c>
      <c r="C127" s="192" t="b">
        <f>IFERROR(__xludf.DUMMYFUNCTION("""COMPUTED_VALUE"""),FALSE)</f>
        <v>0</v>
      </c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5">
        <f>IFERROR(__xludf.DUMMYFUNCTION("""COMPUTED_VALUE"""),0.0)</f>
        <v>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5">
        <f>IFERROR(__xludf.DUMMYFUNCTION("""COMPUTED_VALUE"""),0.0)</f>
        <v>0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5">
        <f>IFERROR(__xludf.DUMMYFUNCTION("""COMPUTED_VALUE"""),0.0)</f>
        <v>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IFERROR(__xludf.DUMMYFUNCTION("""COMPUTED_VALUE"""),1575.0)</f>
        <v>1575</v>
      </c>
      <c r="W196" s="195">
        <f>IFERROR(__xludf.DUMMYFUNCTION("""COMPUTED_VALUE"""),309747.45900000003)</f>
        <v>309747.459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