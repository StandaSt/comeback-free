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visible" name="Report" sheetId="2" r:id="rId6"/>
    <sheet state="visible" name="Kontrola" sheetId="3" r:id="rId7"/>
    <sheet state="visible" name="RestiaCSV" sheetId="4" r:id="rId8"/>
    <sheet state="hidden" name="DatabaseRestia" sheetId="5" r:id="rId9"/>
    <sheet state="visible" name="HR" sheetId="6" r:id="rId10"/>
    <sheet state="hidden" name="Denik" sheetId="7" r:id="rId11"/>
    <sheet state="hidden" name="Směny" sheetId="8" r:id="rId12"/>
  </sheets>
  <definedNames>
    <definedName hidden="1" localSheetId="3" name="_xlnm._FilterDatabase">RestiaCSV!$A$1:$M$1615</definedName>
  </definedNames>
  <calcPr/>
</workbook>
</file>

<file path=xl/sharedStrings.xml><?xml version="1.0" encoding="utf-8"?>
<sst xmlns="http://schemas.openxmlformats.org/spreadsheetml/2006/main" count="5569" uniqueCount="1537">
  <si>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</si>
  <si>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</si>
  <si>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</si>
  <si>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</si>
  <si>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</si>
  <si>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</si>
  <si>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</si>
  <si>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</si>
  <si>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</si>
  <si>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</si>
  <si>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</si>
  <si>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</si>
  <si>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</si>
  <si>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</si>
  <si>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</si>
  <si>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</si>
  <si>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</si>
  <si>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</si>
  <si>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</si>
  <si>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</si>
  <si>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</si>
  <si>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</si>
  <si>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</si>
  <si>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</si>
  <si>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</si>
  <si>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</si>
  <si>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</si>
  <si>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</si>
  <si>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</si>
  <si>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</si>
  <si>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</si>
  <si>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</si>
  <si>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</si>
  <si>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</si>
  <si>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</si>
  <si>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</si>
  <si>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</si>
  <si>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</si>
  <si>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</si>
  <si>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</si>
  <si>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</si>
  <si>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</si>
  <si>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</si>
  <si>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</si>
  <si>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</si>
  <si>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</si>
  <si>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</si>
  <si>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</si>
  <si>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</si>
  <si>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</si>
  <si>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</si>
  <si>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</si>
  <si>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</si>
  <si>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</si>
  <si>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</si>
  <si>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</si>
  <si>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</si>
  <si>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</si>
  <si>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</si>
  <si>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</si>
  <si>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</si>
  <si>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</si>
  <si>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</si>
  <si>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</si>
  <si>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</si>
  <si>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</si>
  <si>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</si>
  <si>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</si>
  <si>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</si>
  <si>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</si>
  <si>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</si>
  <si>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</si>
  <si>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</si>
  <si>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</si>
  <si>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</si>
  <si>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</si>
  <si>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</si>
  <si>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</si>
  <si>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</si>
  <si>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</si>
  <si>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</si>
  <si>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</si>
  <si>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</si>
  <si>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</si>
  <si>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</si>
  <si>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</si>
  <si>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</si>
  <si>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</si>
  <si>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</si>
  <si>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</si>
  <si>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</si>
  <si>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</si>
  <si>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Kurýr</t>
  </si>
  <si>
    <t>Počet rozvozů</t>
  </si>
  <si>
    <t xml:space="preserve">Vlastní vůz 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</si>
  <si>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</si>
  <si>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</si>
  <si>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</si>
  <si>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</si>
  <si>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</si>
  <si>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</si>
  <si>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</si>
  <si>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</si>
  <si>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</si>
  <si>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</si>
  <si>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Vyber datum    &lt;----------&gt;</t>
  </si>
  <si>
    <t>Celkem hodin Instor</t>
  </si>
  <si>
    <t>Celkem hodin Kurýr</t>
  </si>
  <si>
    <t>Počet dní</t>
  </si>
  <si>
    <t>29:00</t>
  </si>
  <si>
    <t>Kormash Liubov</t>
  </si>
  <si>
    <t>25:00</t>
  </si>
  <si>
    <t>21:00</t>
  </si>
  <si>
    <t>15:00</t>
  </si>
  <si>
    <t>Čerešňák Michal</t>
  </si>
  <si>
    <t>7:00</t>
  </si>
  <si>
    <t>Zbyněk Hyský</t>
  </si>
  <si>
    <t xml:space="preserve">Pechová Barbora </t>
  </si>
  <si>
    <t>8:00</t>
  </si>
  <si>
    <t>Gomez Antonio</t>
  </si>
  <si>
    <t>15 min 01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</si>
  <si>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</si>
  <si>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</si>
  <si>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</si>
  <si>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</si>
  <si>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</si>
  <si>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</si>
  <si>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</si>
  <si>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</si>
  <si>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</si>
  <si>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</si>
  <si>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</si>
  <si>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</si>
  <si>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</si>
  <si>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bolt</t>
  </si>
  <si>
    <t>delivered</t>
  </si>
  <si>
    <t>Azamjon</t>
  </si>
  <si>
    <t>external-delivery</t>
  </si>
  <si>
    <t>online</t>
  </si>
  <si>
    <t>2024-10-16T00:01:55.183+02:00</t>
  </si>
  <si>
    <t>2024-10-16T00:13:13.980+02:00</t>
  </si>
  <si>
    <t>manual</t>
  </si>
  <si>
    <t>pickup</t>
  </si>
  <si>
    <t>cash</t>
  </si>
  <si>
    <t>2024-10-16T00:00:01.491+02:00</t>
  </si>
  <si>
    <t>2024-10-16T00:08:37.658+02:00</t>
  </si>
  <si>
    <t>wolt</t>
  </si>
  <si>
    <t>2024-10-15T23:58:55.188+02:00</t>
  </si>
  <si>
    <t>2024-10-16T00:06:17.117+02:00</t>
  </si>
  <si>
    <t>generic</t>
  </si>
  <si>
    <t>delivery</t>
  </si>
  <si>
    <t>2024-10-15T23:58:02.961+02:00</t>
  </si>
  <si>
    <t>2024-10-16T00:21:10.889+02:00</t>
  </si>
  <si>
    <t>2024-10-16T00:41:13.028+02:00</t>
  </si>
  <si>
    <t>2024-10-16T00:08:04.862+02:00</t>
  </si>
  <si>
    <t>ABIODUN SEGUN</t>
  </si>
  <si>
    <t>2024-10-15T23:57:33.067+02:00</t>
  </si>
  <si>
    <t>2024-10-16T00:22:23.823+02:00</t>
  </si>
  <si>
    <t>2024-10-15T23:50:53.853+02:00</t>
  </si>
  <si>
    <t>2024-10-15T23:58:32.864+02:00</t>
  </si>
  <si>
    <t>Dominik Cech</t>
  </si>
  <si>
    <t>2024-10-15T23:50:02.416+02:00</t>
  </si>
  <si>
    <t>2024-10-15T23:57:15.648+02:00</t>
  </si>
  <si>
    <t>2024-10-16T00:04:02.014+02:00</t>
  </si>
  <si>
    <t>2024-10-15T23:50:02.954+02:00</t>
  </si>
  <si>
    <t>damejidlo</t>
  </si>
  <si>
    <t>ready_pickup</t>
  </si>
  <si>
    <t>2024-10-15T23:49:54.701+02:00</t>
  </si>
  <si>
    <t>2024-10-15T23:57:36.027+02:00</t>
  </si>
  <si>
    <t>2024-10-15T23:39:02.262+02:00</t>
  </si>
  <si>
    <t>2024-10-16T00:22:36.708+02:00</t>
  </si>
  <si>
    <t>2024-10-15T23:36:01.813+02:00</t>
  </si>
  <si>
    <t>2024-10-15T23:44:38.660+02:00</t>
  </si>
  <si>
    <t>2024-10-15T23:32:02.650+02:00</t>
  </si>
  <si>
    <t>2024-10-15T23:47:14.808+02:00</t>
  </si>
  <si>
    <t>2024-10-16T00:18:08.310+02:00</t>
  </si>
  <si>
    <t>2024-10-15T23:32:03.824+02:00</t>
  </si>
  <si>
    <t>2024-10-15T23:16:36.776+02:00</t>
  </si>
  <si>
    <t>2024-10-15T23:32:58.875+02:00</t>
  </si>
  <si>
    <t>2024-10-15T23:09:55.136+02:00</t>
  </si>
  <si>
    <t>2024-10-15T23:19:36.893+02:00</t>
  </si>
  <si>
    <t>2024-10-15T23:08:54.239+02:00</t>
  </si>
  <si>
    <t>2024-10-15T23:21:09.953+02:00</t>
  </si>
  <si>
    <t>2024-10-15T22:43:29.039+02:00</t>
  </si>
  <si>
    <t>2024-10-15T22:49:05.644+02:00</t>
  </si>
  <si>
    <t>2024-10-15T22:41:03.818+02:00</t>
  </si>
  <si>
    <t>2024-10-15T22:48:31.642+02:00</t>
  </si>
  <si>
    <t>2024-10-15T22:57:11.937+02:00</t>
  </si>
  <si>
    <t>2024-10-15T22:41:04.552+02:00</t>
  </si>
  <si>
    <t>2024-10-15T22:39:51.112+02:00</t>
  </si>
  <si>
    <t>2024-10-15T22:47:04.779+02:00</t>
  </si>
  <si>
    <t>2024-10-15T22:23:55.452+02:00</t>
  </si>
  <si>
    <t>2024-10-15T22:30:53.166+02:00</t>
  </si>
  <si>
    <t>2024-10-15T22:06:37.998+02:00</t>
  </si>
  <si>
    <t>2024-10-15T22:14:49.778+02:00</t>
  </si>
  <si>
    <t>2024-10-15T22:01:43.251+02:00</t>
  </si>
  <si>
    <t>2024-10-15T22:08:11.801+02:00</t>
  </si>
  <si>
    <t>2024-10-15T21:54:02.901+02:00</t>
  </si>
  <si>
    <t>2024-10-15T22:01:54.648+02:00</t>
  </si>
  <si>
    <t>2024-10-15T22:10:13.973+02:00</t>
  </si>
  <si>
    <t>2024-10-15T21:54:03.478+02:00</t>
  </si>
  <si>
    <t>Gillani</t>
  </si>
  <si>
    <t>2024-10-15T21:52:46.837+02:00</t>
  </si>
  <si>
    <t>2024-10-15T21:59:29.847+02:00</t>
  </si>
  <si>
    <t>2024-10-15T21:38:16.787+02:00</t>
  </si>
  <si>
    <t>2024-10-15T21:45:04.813+02:00</t>
  </si>
  <si>
    <t>2024-10-15T21:20:01.762+02:00</t>
  </si>
  <si>
    <t>2024-10-15T21:31:25.627+02:00</t>
  </si>
  <si>
    <t>2024-10-15T21:43:00.269+02:00</t>
  </si>
  <si>
    <t>2024-10-15T21:20:02.453+02:00</t>
  </si>
  <si>
    <t>Vojtěch</t>
  </si>
  <si>
    <t>2024-10-15T21:17:30.751+02:00</t>
  </si>
  <si>
    <t>2024-10-15T21:25:23.046+02:00</t>
  </si>
  <si>
    <t>2024-10-15T21:11:25.248+02:00</t>
  </si>
  <si>
    <t>2024-10-15T22:07:24.872+02:00</t>
  </si>
  <si>
    <t>2024-10-15T21:07:31.059+02:00</t>
  </si>
  <si>
    <t>2024-10-15T21:18:59.819+02:00</t>
  </si>
  <si>
    <t>2024-10-15T20:56:32.438+02:00</t>
  </si>
  <si>
    <t>2024-10-15T21:04:27.594+02:00</t>
  </si>
  <si>
    <t>2024-10-15T20:50:56.018+02:00</t>
  </si>
  <si>
    <t>2024-10-15T21:02:30.541+02:00</t>
  </si>
  <si>
    <t>2024-10-15T20:50:26.568+02:00</t>
  </si>
  <si>
    <t>2024-10-15T21:01:05.555+02:00</t>
  </si>
  <si>
    <t>Somvir</t>
  </si>
  <si>
    <t>2024-10-15T20:46:44.652+02:00</t>
  </si>
  <si>
    <t>2024-10-15T20:59:02.790+02:00</t>
  </si>
  <si>
    <t>2024-10-15T20:38:13.006+02:00</t>
  </si>
  <si>
    <t>2024-10-15T20:44:21.724+02:00</t>
  </si>
  <si>
    <t>2024-10-15T20:31:56.554+02:00</t>
  </si>
  <si>
    <t>2024-10-15T20:37:26.836+02:00</t>
  </si>
  <si>
    <t>2024-10-15T20:20:56.873+02:00</t>
  </si>
  <si>
    <t>2024-10-15T20:26:21.748+02:00</t>
  </si>
  <si>
    <t>card</t>
  </si>
  <si>
    <t>2024-10-15T20:10:02.643+02:00</t>
  </si>
  <si>
    <t>2024-10-15T20:25:04.918+02:00</t>
  </si>
  <si>
    <t>2024-10-15T20:09:26.143+02:00</t>
  </si>
  <si>
    <t>2024-10-15T20:17:24.740+02:00</t>
  </si>
  <si>
    <t>2024-10-15T20:08:02.956+02:00</t>
  </si>
  <si>
    <t>2024-10-15T20:15:00.177+02:00</t>
  </si>
  <si>
    <t>2024-10-15T20:24:14.608+02:00</t>
  </si>
  <si>
    <t>2024-10-15T20:08:03.449+02:00</t>
  </si>
  <si>
    <t>2024-10-15T20:02:00.534+02:00</t>
  </si>
  <si>
    <t>2024-10-15T20:09:35.820+02:00</t>
  </si>
  <si>
    <t>2024-10-15T20:00:03.038+02:00</t>
  </si>
  <si>
    <t>2024-10-15T20:07:40.557+02:00</t>
  </si>
  <si>
    <t>2024-10-15T20:40:50.715+02:00</t>
  </si>
  <si>
    <t>2024-10-15T20:00:03.647+02:00</t>
  </si>
  <si>
    <t>2024-10-15T20:00:02.893+02:00</t>
  </si>
  <si>
    <t>2024-10-15T20:05:42.772+02:00</t>
  </si>
  <si>
    <t>2024-10-15T19:58:02.846+02:00</t>
  </si>
  <si>
    <t>2024-10-15T20:04:30.493+02:00</t>
  </si>
  <si>
    <t>2024-10-15T20:33:14.728+02:00</t>
  </si>
  <si>
    <t>2024-10-15T19:58:03.395+02:00</t>
  </si>
  <si>
    <t>2024-10-15T19:53:01.839+02:00</t>
  </si>
  <si>
    <t>2024-10-15T19:59:00.801+02:00</t>
  </si>
  <si>
    <t>2024-10-15T19:45:31.289+02:00</t>
  </si>
  <si>
    <t>2024-10-15T19:53:20.467+02:00</t>
  </si>
  <si>
    <t>2024-10-15T19:43:20.412+02:00</t>
  </si>
  <si>
    <t>2024-10-15T19:52:04.662+02:00</t>
  </si>
  <si>
    <t>2024-10-15T19:40:01.892+02:00</t>
  </si>
  <si>
    <t>2024-10-15T19:51:09.504+02:00</t>
  </si>
  <si>
    <t>2024-10-15T20:06:25.926+02:00</t>
  </si>
  <si>
    <t>2024-10-15T19:40:02.597+02:00</t>
  </si>
  <si>
    <t>2024-10-15T19:38:11.718+02:00</t>
  </si>
  <si>
    <t>2024-10-15T19:46:14.735+02:00</t>
  </si>
  <si>
    <t>Nemat</t>
  </si>
  <si>
    <t>2024-10-15T19:36:36.306+02:00</t>
  </si>
  <si>
    <t>2024-10-15T19:44:47.655+02:00</t>
  </si>
  <si>
    <t>2024-10-15T19:34:37.080+02:00</t>
  </si>
  <si>
    <t>2024-10-15T19:43:37.000+02:00</t>
  </si>
  <si>
    <t>2024-10-15T19:31:15.107+02:00</t>
  </si>
  <si>
    <t>2024-10-15T19:40:12.784+02:00</t>
  </si>
  <si>
    <t>2024-10-15T19:27:02.493+02:00</t>
  </si>
  <si>
    <t>2024-10-15T19:37:03.485+02:00</t>
  </si>
  <si>
    <t>2024-10-15T19:58:16.375+02:00</t>
  </si>
  <si>
    <t>2024-10-15T19:27:03.050+02:00</t>
  </si>
  <si>
    <t>2024-10-15T19:21:42.826+02:00</t>
  </si>
  <si>
    <t>2024-10-15T19:29:35.645+02:00</t>
  </si>
  <si>
    <t>2024-10-15T19:15:02.361+02:00</t>
  </si>
  <si>
    <t>2024-10-15T19:23:02.426+02:00</t>
  </si>
  <si>
    <t>2024-10-15T19:07:23.597+02:00</t>
  </si>
  <si>
    <t>2024-10-15T19:22:18.070+02:00</t>
  </si>
  <si>
    <t>2024-10-15T19:03:07.134+02:00</t>
  </si>
  <si>
    <t>2024-10-15T19:15:13.855+02:00</t>
  </si>
  <si>
    <t>2024-10-15T18:49:30.872+02:00</t>
  </si>
  <si>
    <t>2024-10-15T18:59:46.031+02:00</t>
  </si>
  <si>
    <t>2024-10-15T18:47:29.698+02:00</t>
  </si>
  <si>
    <t>2024-10-15T18:54:53.612+02:00</t>
  </si>
  <si>
    <t>2024-10-15T18:45:02.823+02:00</t>
  </si>
  <si>
    <t>2024-10-15T18:53:30.788+02:00</t>
  </si>
  <si>
    <t>2024-10-15T19:40:24.380+02:00</t>
  </si>
  <si>
    <t>2024-10-15T18:56:16.604+02:00</t>
  </si>
  <si>
    <t>2024-10-15T18:43:20.389+02:00</t>
  </si>
  <si>
    <t>2024-10-15T18:50:27.112+02:00</t>
  </si>
  <si>
    <t>2024-10-15T18:24:02.750+02:00</t>
  </si>
  <si>
    <t>2024-10-15T18:35:42.664+02:00</t>
  </si>
  <si>
    <t>2024-10-15T18:22:01.890+02:00</t>
  </si>
  <si>
    <t>2024-10-15T18:32:25.801+02:00</t>
  </si>
  <si>
    <t>2024-10-15T19:26:45.013+02:00</t>
  </si>
  <si>
    <t>2024-10-15T18:30:47.842+02:00</t>
  </si>
  <si>
    <t>2024-10-15T18:19:22.699+02:00</t>
  </si>
  <si>
    <t>2024-10-15T18:29:35.845+02:00</t>
  </si>
  <si>
    <t>2024-10-15T18:12:02.503+02:00</t>
  </si>
  <si>
    <t>2024-10-15T18:25:44.797+02:00</t>
  </si>
  <si>
    <t>2024-10-15T19:11:24.007+02:00</t>
  </si>
  <si>
    <t>2024-10-15T18:12:03.098+02:00</t>
  </si>
  <si>
    <t>2024-10-15T18:10:59.179+02:00</t>
  </si>
  <si>
    <t>2024-10-15T18:23:08.019+02:00</t>
  </si>
  <si>
    <t>2024-10-15T18:10:59.031+02:00</t>
  </si>
  <si>
    <t>2024-10-15T18:21:17.403+02:00</t>
  </si>
  <si>
    <t>Saikhanbayar</t>
  </si>
  <si>
    <t>2024-10-15T18:06:03.848+02:00</t>
  </si>
  <si>
    <t>2024-10-15T18:15:17.061+02:00</t>
  </si>
  <si>
    <t>2024-10-15T18:00:01.592+02:00</t>
  </si>
  <si>
    <t>2024-10-15T18:09:01.009+02:00</t>
  </si>
  <si>
    <t>2024-10-15T17:47:44.358+02:00</t>
  </si>
  <si>
    <t>2024-10-15T17:58:25.767+02:00</t>
  </si>
  <si>
    <t>2024-10-15T17:34:05.716+02:00</t>
  </si>
  <si>
    <t>2024-10-15T17:48:28.765+02:00</t>
  </si>
  <si>
    <t>2024-10-15T17:33:02.983+02:00</t>
  </si>
  <si>
    <t>2024-10-15T17:46:58.662+02:00</t>
  </si>
  <si>
    <t>2024-10-15T18:02:40.725+02:00</t>
  </si>
  <si>
    <t>2024-10-15T17:33:03.659+02:00</t>
  </si>
  <si>
    <t>2024-10-15T17:29:02.366+02:00</t>
  </si>
  <si>
    <t>2024-10-15T17:37:42.589+02:00</t>
  </si>
  <si>
    <t>2024-10-15T17:53:54.373+02:00</t>
  </si>
  <si>
    <t>2024-10-15T17:29:03.176+02:00</t>
  </si>
  <si>
    <t>2024-10-15T17:29:02.356+02:00</t>
  </si>
  <si>
    <t>2024-10-15T17:43:12.498+02:00</t>
  </si>
  <si>
    <t>2024-10-15T18:26:37.483+02:00</t>
  </si>
  <si>
    <t>2024-10-15T17:29:03.438+02:00</t>
  </si>
  <si>
    <t>2024-10-15T17:28:28.540+02:00</t>
  </si>
  <si>
    <t>2024-10-15T17:35:26.572+02:00</t>
  </si>
  <si>
    <t>2024-10-15T17:26:27.299+02:00</t>
  </si>
  <si>
    <t>2024-10-15T17:33:27.373+02:00</t>
  </si>
  <si>
    <t>2024-10-15T17:23:31.211+02:00</t>
  </si>
  <si>
    <t>2024-10-15T17:33:50.927+02:00</t>
  </si>
  <si>
    <t>2024-10-15T17:20:02.995+02:00</t>
  </si>
  <si>
    <t>2024-10-15T17:30:18.583+02:00</t>
  </si>
  <si>
    <t>2024-10-15T17:19:14.179+02:00</t>
  </si>
  <si>
    <t>2024-10-15T17:27:39.572+02:00</t>
  </si>
  <si>
    <t>Sahil</t>
  </si>
  <si>
    <t>2024-10-15T17:15:45.648+02:00</t>
  </si>
  <si>
    <t>2024-10-15T17:29:08.814+02:00</t>
  </si>
  <si>
    <t>2024-10-15T16:36:44.657+02:00</t>
  </si>
  <si>
    <t>2024-10-15T16:43:39.835+02:00</t>
  </si>
  <si>
    <t>2024-10-15T16:24:46.865+02:00</t>
  </si>
  <si>
    <t>2024-10-15T16:52:51.576+02:00</t>
  </si>
  <si>
    <t>2024-10-15T15:52:18.368+02:00</t>
  </si>
  <si>
    <t>2024-10-15T16:01:39.754+02:00</t>
  </si>
  <si>
    <t>2024-10-15T15:50:49.030+02:00</t>
  </si>
  <si>
    <t>2024-10-15T15:59:36.149+02:00</t>
  </si>
  <si>
    <t>2024-10-15T15:42:01.972+02:00</t>
  </si>
  <si>
    <t>2024-10-15T15:48:40.966+02:00</t>
  </si>
  <si>
    <t>2024-10-15T15:00:41.275+02:00</t>
  </si>
  <si>
    <t>2024-10-15T15:07:57.836+02:00</t>
  </si>
  <si>
    <t>2024-10-15T14:51:10.499+02:00</t>
  </si>
  <si>
    <t>2024-10-15T14:58:40.057+02:00</t>
  </si>
  <si>
    <t>Milan Pešta</t>
  </si>
  <si>
    <t>2024-10-15T14:34:02.895+02:00</t>
  </si>
  <si>
    <t>2024-10-15T14:39:53.382+02:00</t>
  </si>
  <si>
    <t>2024-10-15T15:00:16.330+02:00</t>
  </si>
  <si>
    <t>2024-10-15T14:34:03.580+02:00</t>
  </si>
  <si>
    <t>2024-10-15T13:49:48.153+02:00</t>
  </si>
  <si>
    <t>2024-10-15T13:56:51.736+02:00</t>
  </si>
  <si>
    <t>2024-10-15T13:27:04.319+02:00</t>
  </si>
  <si>
    <t>2024-10-15T13:34:22.587+02:00</t>
  </si>
  <si>
    <t>2024-10-15T13:21:03.009+02:00</t>
  </si>
  <si>
    <t>2024-10-15T13:27:56.417+02:00</t>
  </si>
  <si>
    <t>2024-10-15T14:07:51.748+02:00</t>
  </si>
  <si>
    <t>2024-10-15T13:21:03.659+02:00</t>
  </si>
  <si>
    <t>2024-10-15T12:58:56.179+02:00</t>
  </si>
  <si>
    <t>2024-10-15T13:05:57.582+02:00</t>
  </si>
  <si>
    <t>2024-10-15T12:58:30.056+02:00</t>
  </si>
  <si>
    <t>2024-10-15T13:13:05.549+02:00</t>
  </si>
  <si>
    <t>2024-10-15T12:58:02.118+02:00</t>
  </si>
  <si>
    <t>2024-10-15T13:09:56.348+02:00</t>
  </si>
  <si>
    <t>2024-10-15T13:41:02.920+02:00</t>
  </si>
  <si>
    <t>2024-10-15T12:58:02.813+02:00</t>
  </si>
  <si>
    <t>2024-10-15T12:57:02.338+02:00</t>
  </si>
  <si>
    <t>2024-10-15T13:04:53.325+02:00</t>
  </si>
  <si>
    <t>2024-10-15T13:18:50.331+02:00</t>
  </si>
  <si>
    <t>2024-10-15T12:57:03.118+02:00</t>
  </si>
  <si>
    <t>2024-10-15T12:44:55.442+02:00</t>
  </si>
  <si>
    <t>2024-10-15T12:51:34.566+02:00</t>
  </si>
  <si>
    <t>2024-10-15T11:38:02.977+02:00</t>
  </si>
  <si>
    <t>2024-10-15T11:56:20.251+02:00</t>
  </si>
  <si>
    <t>2024-10-15T11:25:04.135+02:00</t>
  </si>
  <si>
    <t>2024-10-15T11:52:06.498+02:00</t>
  </si>
  <si>
    <t>2024-10-15T11:19:39.714+02:00</t>
  </si>
  <si>
    <t>2024-10-15T11:47:56.548+02:00</t>
  </si>
  <si>
    <t>2024-10-15T11:18:57.780+02:00</t>
  </si>
  <si>
    <t>2024-10-15T11:24:30.271+02:00</t>
  </si>
  <si>
    <t>2024-10-15T11:13:55.603+02:00</t>
  </si>
  <si>
    <t>2024-10-15T11:32:31.991+02:00</t>
  </si>
  <si>
    <t>2024-10-15T10:25:02.520+02:00</t>
  </si>
  <si>
    <t>2024-10-15T11:35:17.334+02:00</t>
  </si>
  <si>
    <t>2024-10-15T10:11:39.876+02:00</t>
  </si>
  <si>
    <t>2024-10-15T11:44:27.587+02:00</t>
  </si>
  <si>
    <t>2024-08-23T21:52:02.871+02:00</t>
  </si>
  <si>
    <t>2024-08-23T22:11:53.097+02:00</t>
  </si>
  <si>
    <t>2024-08-23T22:21:09.872+02:00</t>
  </si>
  <si>
    <t>2024-08-23T21:52:03.448+02:00</t>
  </si>
  <si>
    <t>2024-08-23T21:32:01.917+02:00</t>
  </si>
  <si>
    <t>2024-08-23T21:46:11.028+02:00</t>
  </si>
  <si>
    <t>2024-08-23T21:57:00.619+02:00</t>
  </si>
  <si>
    <t>2024-08-23T21:32:02.744+02:00</t>
  </si>
  <si>
    <t>2024-08-23T20:58:03.166+02:00</t>
  </si>
  <si>
    <t>2024-08-23T21:18:24.054+02:00</t>
  </si>
  <si>
    <t>2024-08-23T21:33:44.871+02:00</t>
  </si>
  <si>
    <t>2024-08-23T20:58:04.064+02:00</t>
  </si>
  <si>
    <t>2024-08-23T20:20:02.297+02:00</t>
  </si>
  <si>
    <t>2024-08-23T20:32:23.028+02:00</t>
  </si>
  <si>
    <t>2024-08-23T20:49:41.434+02:00</t>
  </si>
  <si>
    <t>2024-08-23T20:20:02.817+02:00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</si>
  <si>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</si>
  <si>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</si>
  <si>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</si>
  <si>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</si>
  <si>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</si>
  <si>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</si>
  <si>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</si>
  <si>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</si>
  <si>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2024-08-23T19:30:02.960+02:00</t>
  </si>
  <si>
    <t>2024-08-23T19:51:35.011+02:00</t>
  </si>
  <si>
    <t>2024-08-23T19:59:20.980+02:00</t>
  </si>
  <si>
    <t>2024-08-23T19:30:03.431+02:00</t>
  </si>
  <si>
    <t>2024-08-23T19:04:02.577+02:00</t>
  </si>
  <si>
    <t>2024-08-23T19:43:30.984+02:00</t>
  </si>
  <si>
    <t>2024-08-23T20:13:50.725+02:00</t>
  </si>
  <si>
    <t>2024-08-23T19:04:03.279+02:00</t>
  </si>
  <si>
    <t>2024-08-23T18:25:39.481+02:00</t>
  </si>
  <si>
    <t>2024-08-23T18:41:30.012+02:00</t>
  </si>
  <si>
    <t>2024-08-23T19:02:58.914+02:00</t>
  </si>
  <si>
    <t>2024-08-23T18:25:40.219+02:00</t>
  </si>
  <si>
    <t>accepted</t>
  </si>
  <si>
    <t>2024-08-22T17:25:02.694+02:00</t>
  </si>
  <si>
    <t>2024-08-22T17:34:24.118+02:00</t>
  </si>
  <si>
    <t>2024-08-22T17:16:19.572+02:00</t>
  </si>
  <si>
    <t>2024-08-22T17:24:45.097+02:00</t>
  </si>
  <si>
    <t>2024-08-22T17:10:12.811+02:00</t>
  </si>
  <si>
    <t>2024-08-22T17:18:46.030+02:00</t>
  </si>
  <si>
    <t>2024-08-22T17:01:55.359+02:00</t>
  </si>
  <si>
    <t>2024-08-22T17:02:39.585+02:00</t>
  </si>
  <si>
    <t>2024-08-22T17:01:31.497+02:00</t>
  </si>
  <si>
    <t>2024-08-22T17:01:32.156+02:00</t>
  </si>
  <si>
    <t>2024-08-22T16:56:02.213+02:00</t>
  </si>
  <si>
    <t>2024-08-22T17:00:45.572+02:00</t>
  </si>
  <si>
    <t>Sajjan</t>
  </si>
  <si>
    <t>2024-08-22T16:54:36.872+02:00</t>
  </si>
  <si>
    <t>2024-08-22T17:05:23.660+02:00</t>
  </si>
  <si>
    <t>2024-08-22T16:50:36.354+02:00</t>
  </si>
  <si>
    <t>2024-08-22T16:58:28.925+02:00</t>
  </si>
  <si>
    <t>2024-08-22T16:48:08.655+02:00</t>
  </si>
  <si>
    <t>2024-08-22T17:04:59.062+02:00</t>
  </si>
  <si>
    <t>2024-08-22T16:23:02.685+02:00</t>
  </si>
  <si>
    <t>2024-08-22T16:30:30.595+02:00</t>
  </si>
  <si>
    <t>2024-08-22T15:47:08.923+02:00</t>
  </si>
  <si>
    <t>2024-08-22T15:54:06.856+02:00</t>
  </si>
  <si>
    <t>2024-08-22T15:43:54.139+02:00</t>
  </si>
  <si>
    <t>2024-08-22T15:59:03.846+02:00</t>
  </si>
  <si>
    <t>2024-08-22T15:26:09.657+02:00</t>
  </si>
  <si>
    <t>2024-08-22T15:31:34.816+02:00</t>
  </si>
  <si>
    <t>2024-08-22T15:12:03.040+02:00</t>
  </si>
  <si>
    <t>2024-08-22T15:19:58.703+02:00</t>
  </si>
  <si>
    <t>2024-08-22T15:32:42.303+02:00</t>
  </si>
  <si>
    <t>2024-08-22T15:18:31.661+02:00</t>
  </si>
  <si>
    <t>2024-08-22T15:06:02.741+02:00</t>
  </si>
  <si>
    <t>2024-08-22T15:13:15.497+02:00</t>
  </si>
  <si>
    <t>David Melmer</t>
  </si>
  <si>
    <t>2024-08-22T15:04:03.378+02:00</t>
  </si>
  <si>
    <t>2024-08-22T15:09:22.586+02:00</t>
  </si>
  <si>
    <t>2024-08-22T15:38:51.324+02:00</t>
  </si>
  <si>
    <t>2024-08-22T15:04:04.332+02:00</t>
  </si>
  <si>
    <t>2024-08-22T14:58:02.757+02:00</t>
  </si>
  <si>
    <t>2024-08-22T15:06:07.562+02:00</t>
  </si>
  <si>
    <t>2024-08-22T15:16:47.148+02:00</t>
  </si>
  <si>
    <t>2024-08-22T14:58:03.396+02:00</t>
  </si>
  <si>
    <t>2024-08-22T14:36:09.022+02:00</t>
  </si>
  <si>
    <t>2024-08-22T14:46:04.789+02:00</t>
  </si>
  <si>
    <t>2024-08-22T14:35:06.843+02:00</t>
  </si>
  <si>
    <t>2024-08-22T14:44:08.903+02:00</t>
  </si>
  <si>
    <t>2024-08-22T14:22:10.757+02:00</t>
  </si>
  <si>
    <t>2024-08-22T14:29:46.815+02:00</t>
  </si>
  <si>
    <t>2024-08-22T13:58:05.811+02:00</t>
  </si>
  <si>
    <t>2024-08-22T14:08:38.803+02:00</t>
  </si>
  <si>
    <t>2024-08-22T13:49:43.115+02:00</t>
  </si>
  <si>
    <t>2024-08-22T14:00:10.040+02:00</t>
  </si>
  <si>
    <t>Azizbek</t>
  </si>
  <si>
    <t>2024-08-22T13:29:48.719+02:00</t>
  </si>
  <si>
    <t>2024-08-22T13:41:10.700+02:00</t>
  </si>
  <si>
    <t>2024-08-22T13:24:48.693+02:00</t>
  </si>
  <si>
    <t>2024-08-22T13:32:22.729+02:00</t>
  </si>
  <si>
    <t>2024-08-22T13:00:03.282+02:00</t>
  </si>
  <si>
    <t>2024-08-22T13:06:28.527+02:00</t>
  </si>
  <si>
    <t>2024-08-22T13:17:48.709+02:00</t>
  </si>
  <si>
    <t>2024-08-22T13:00:04.157+02:00</t>
  </si>
  <si>
    <t>2024-08-22T12:37:55.130+02:00</t>
  </si>
  <si>
    <t>2024-08-22T12:39:58.473+02:00</t>
  </si>
  <si>
    <t>2024-08-22T12:34:18.716+02:00</t>
  </si>
  <si>
    <t>2024-08-22T12:42:34.809+02:00</t>
  </si>
  <si>
    <t>2024-08-22T12:25:02.380+02:00</t>
  </si>
  <si>
    <t>2024-08-22T12:32:00.532+02:00</t>
  </si>
  <si>
    <t>2024-08-22T12:18:04.323+02:00</t>
  </si>
  <si>
    <t>2024-08-22T12:25:05.446+02:00</t>
  </si>
  <si>
    <t>2024-08-22T12:06:16.850+02:00</t>
  </si>
  <si>
    <t>2024-08-22T12:14:56.688+02:00</t>
  </si>
  <si>
    <t>Navruzov</t>
  </si>
  <si>
    <t>2024-08-22T12:02:59.302+02:00</t>
  </si>
  <si>
    <t>2024-08-22T12:09:39.650+02:00</t>
  </si>
  <si>
    <t>2024-08-22T11:31:02.327+02:00</t>
  </si>
  <si>
    <t>2024-08-22T11:38:17.457+02:00</t>
  </si>
  <si>
    <t>2024-08-22T11:29:01.799+02:00</t>
  </si>
  <si>
    <t>2024-08-22T11:39:14.533+02:00</t>
  </si>
  <si>
    <t>2024-08-22T12:07:49.710+02:00</t>
  </si>
  <si>
    <t>2024-08-22T11:46:34.291+02:00</t>
  </si>
  <si>
    <t>2024-08-22T11:23:02.072+02:00</t>
  </si>
  <si>
    <t>2024-08-22T11:43:26.475+02:00</t>
  </si>
  <si>
    <t>2024-08-22T12:12:28.675+02:00</t>
  </si>
  <si>
    <t>2024-08-22T11:23:02.969+02:00</t>
  </si>
  <si>
    <t>2024-08-22T11:10:01.982+02:00</t>
  </si>
  <si>
    <t>2024-08-22T11:41:50.587+02:00</t>
  </si>
  <si>
    <t>2024-08-22T11:00:02.524+02:00</t>
  </si>
  <si>
    <t>2024-08-22T11:28:28.620+02:00</t>
  </si>
  <si>
    <t>2024-08-22T11:42:24.196+02:00</t>
  </si>
  <si>
    <t>2024-08-22T11:00:03.458+02:00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</si>
  <si>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</si>
  <si>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</si>
  <si>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</si>
  <si>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</si>
  <si>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</si>
  <si>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</si>
  <si>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</si>
  <si>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</si>
  <si>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</si>
  <si>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</si>
  <si>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</si>
  <si>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</si>
  <si>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</si>
  <si>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</si>
  <si>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</si>
  <si>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</si>
  <si>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</si>
  <si>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</si>
  <si>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</si>
  <si>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</si>
  <si>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</si>
  <si>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</si>
  <si>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</si>
  <si>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</si>
  <si>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</si>
  <si>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</si>
  <si>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</si>
  <si>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</si>
  <si>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</si>
  <si>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</si>
  <si>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</si>
  <si>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</si>
  <si>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</si>
  <si>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</si>
  <si>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</si>
  <si>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</si>
  <si>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</si>
  <si>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</si>
  <si>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</si>
  <si>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</si>
  <si>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</si>
  <si>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</si>
  <si>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</si>
  <si>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</si>
  <si>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</si>
  <si>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</si>
  <si>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</si>
  <si>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</si>
  <si>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</si>
  <si>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</si>
  <si>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</si>
  <si>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</si>
  <si>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</si>
  <si>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</si>
  <si>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</si>
  <si>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</si>
  <si>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</si>
  <si>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</si>
  <si>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</si>
  <si>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</si>
  <si>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</si>
  <si>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</si>
  <si>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</si>
  <si>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</si>
  <si>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</si>
  <si>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</si>
  <si>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</si>
  <si>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</si>
  <si>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</si>
  <si>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</si>
  <si>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</si>
  <si>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</si>
  <si>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</si>
  <si>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</si>
  <si>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</si>
  <si>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</si>
  <si>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</si>
  <si>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</si>
  <si>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</si>
  <si>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</si>
  <si>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</si>
  <si>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</si>
  <si>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</si>
  <si>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</si>
  <si>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</si>
  <si>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</si>
  <si>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</si>
  <si>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</si>
  <si>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</si>
  <si>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</si>
  <si>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</si>
  <si>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</si>
  <si>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</si>
  <si>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</si>
  <si>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</si>
  <si>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</si>
  <si>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</si>
  <si>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</si>
  <si>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</si>
  <si>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</si>
  <si>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</si>
  <si>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</si>
  <si>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</si>
  <si>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</si>
  <si>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</si>
  <si>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</si>
  <si>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</si>
  <si>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</si>
  <si>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</si>
  <si>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</si>
  <si>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</si>
  <si>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</si>
  <si>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</si>
  <si>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</si>
  <si>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</si>
  <si>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</si>
  <si>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</si>
  <si>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</si>
  <si>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</si>
  <si>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</si>
  <si>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</si>
  <si>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</si>
  <si>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</si>
  <si>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</si>
  <si>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</si>
  <si>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</si>
  <si>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</si>
  <si>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</si>
  <si>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</si>
  <si>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</si>
  <si>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</si>
  <si>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</si>
  <si>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</si>
  <si>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</si>
  <si>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</si>
  <si>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</si>
  <si>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</si>
  <si>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</si>
  <si>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</si>
  <si>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</si>
  <si>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</si>
  <si>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</si>
  <si>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</si>
  <si>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</si>
  <si>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</si>
  <si>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</si>
  <si>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</si>
  <si>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</si>
  <si>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</si>
  <si>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</si>
  <si>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</si>
  <si>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Petro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</si>
  <si>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</si>
  <si>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</si>
  <si>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</si>
  <si>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</si>
  <si>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</si>
  <si>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</si>
  <si>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</si>
  <si>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Volodymyr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</si>
  <si>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</si>
  <si>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</si>
  <si>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</si>
  <si>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</si>
  <si>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</si>
  <si>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</si>
  <si>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</si>
  <si>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</si>
  <si>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</si>
  <si>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</si>
  <si>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</si>
  <si>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</si>
  <si>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</si>
  <si>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</si>
  <si>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</si>
  <si>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</si>
  <si>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</si>
  <si>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</si>
  <si>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</si>
  <si>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</si>
  <si>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</si>
  <si>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</si>
  <si>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</si>
  <si>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</si>
  <si>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</si>
  <si>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</si>
  <si>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</si>
  <si>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</si>
  <si>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</si>
  <si>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</si>
  <si>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</si>
  <si>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</si>
  <si>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</si>
  <si>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</si>
  <si>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</si>
  <si>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</si>
  <si>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</si>
  <si>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</si>
  <si>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</si>
  <si>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</si>
  <si>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</si>
  <si>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</si>
  <si>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</si>
  <si>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</si>
  <si>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</si>
  <si>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</si>
  <si>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</si>
  <si>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</si>
  <si>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</si>
  <si>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</si>
  <si>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</si>
  <si>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</si>
  <si>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</si>
  <si>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</si>
  <si>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</si>
  <si>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</si>
  <si>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</si>
  <si>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</si>
  <si>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</si>
  <si>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</si>
  <si>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</si>
  <si>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</si>
  <si>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</si>
  <si>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</si>
  <si>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</si>
  <si>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</si>
  <si>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</si>
  <si>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</si>
  <si>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</si>
  <si>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</si>
  <si>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</si>
  <si>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</si>
  <si>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</si>
  <si>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</si>
  <si>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</si>
  <si>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</si>
  <si>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</si>
  <si>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</si>
  <si>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</si>
  <si>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</si>
  <si>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</si>
  <si>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</si>
  <si>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</si>
  <si>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</si>
  <si>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</si>
  <si>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</si>
  <si>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</si>
  <si>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</si>
  <si>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</si>
  <si>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</si>
  <si>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</si>
  <si>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</si>
  <si>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</si>
  <si>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</si>
  <si>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</si>
  <si>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</si>
  <si>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</si>
  <si>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</si>
  <si>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</si>
  <si>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</si>
  <si>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</si>
  <si>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</si>
  <si>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</si>
  <si>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</si>
  <si>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</si>
  <si>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</si>
  <si>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</si>
  <si>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</si>
  <si>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</si>
  <si>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</si>
  <si>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</si>
  <si>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</si>
  <si>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</si>
  <si>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</si>
  <si>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</si>
  <si>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</si>
  <si>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</si>
  <si>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</si>
  <si>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</si>
  <si>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</si>
  <si>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</si>
  <si>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</si>
  <si>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</si>
  <si>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</si>
  <si>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</si>
  <si>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</si>
  <si>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</si>
  <si>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</si>
  <si>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</si>
  <si>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</si>
  <si>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</si>
  <si>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</si>
  <si>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</si>
  <si>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</si>
  <si>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</si>
  <si>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</si>
  <si>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</si>
  <si>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</si>
  <si>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</si>
  <si>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</si>
  <si>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</si>
  <si>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</si>
  <si>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</si>
  <si>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</si>
  <si>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</si>
  <si>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</si>
  <si>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</si>
  <si>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</si>
  <si>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</si>
  <si>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</si>
  <si>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</si>
  <si>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</si>
  <si>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</si>
  <si>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</si>
  <si>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</si>
  <si>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</si>
  <si>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</si>
  <si>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</si>
  <si>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</si>
  <si>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</si>
  <si>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</si>
  <si>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</si>
  <si>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</si>
  <si>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</si>
  <si>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</si>
  <si>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2024-08-26T12:26:52.892+02:00</t>
  </si>
  <si>
    <t>2024-08-26T12:22:58.143+02:00</t>
  </si>
  <si>
    <t>2024-08-26T12:22:01.971+02:00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</si>
  <si>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</si>
  <si>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</si>
  <si>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</si>
  <si>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</si>
  <si>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</si>
  <si>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</si>
  <si>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</si>
  <si>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</si>
  <si>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</si>
  <si>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</si>
  <si>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</si>
  <si>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</si>
  <si>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</si>
  <si>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</si>
  <si>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</si>
  <si>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Dušan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</si>
  <si>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</si>
  <si>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</si>
  <si>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</si>
  <si>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</si>
  <si>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</si>
  <si>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</si>
  <si>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</si>
  <si>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</si>
  <si>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</si>
  <si>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</si>
  <si>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</si>
  <si>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</si>
  <si>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</si>
  <si>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</si>
  <si>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</si>
  <si>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</si>
  <si>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</si>
  <si>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</si>
  <si>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</si>
  <si>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</si>
  <si>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</si>
  <si>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</si>
  <si>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</si>
  <si>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</si>
  <si>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</si>
  <si>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</si>
  <si>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</si>
  <si>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2024-08-25T23:13:43.489+02:00</t>
  </si>
  <si>
    <t>2024-08-25T23:26:08.955+02:00</t>
  </si>
  <si>
    <t>Beka</t>
  </si>
  <si>
    <t>2024-08-25T22:47:06.447+02:00</t>
  </si>
  <si>
    <t>2024-08-25T22:54:19.995+02:00</t>
  </si>
  <si>
    <t>2024-08-25T22:16:42.200+02:00</t>
  </si>
  <si>
    <t>2024-08-25T22:23:11.866+02:00</t>
  </si>
  <si>
    <t>2024-08-25T22:09:41.936+02:00</t>
  </si>
  <si>
    <t>2024-08-25T22:17:15.948+02:00</t>
  </si>
  <si>
    <t>2024-08-25T21:48:26.184+02:00</t>
  </si>
  <si>
    <t>2024-08-25T21:54:43.815+02:00</t>
  </si>
  <si>
    <t>2024-08-25T21:40:55.189+02:00</t>
  </si>
  <si>
    <t>2024-08-25T21:50:10.730+02:00</t>
  </si>
  <si>
    <t>2024-08-25T21:33:20.419+02:00</t>
  </si>
  <si>
    <t>2024-08-25T21:38:45.865+02:00</t>
  </si>
  <si>
    <t>2024-08-25T21:26:49.234+02:00</t>
  </si>
  <si>
    <t>2024-08-25T21:32:52.923+02:00</t>
  </si>
  <si>
    <t>2024-08-25T21:20:44.848+02:00</t>
  </si>
  <si>
    <t>2024-08-25T21:29:57.770+02:00</t>
  </si>
  <si>
    <t>Mykola</t>
  </si>
  <si>
    <t>2024-08-25T21:19:20.981+02:00</t>
  </si>
  <si>
    <t>2024-08-25T21:29:54.678+02:00</t>
  </si>
  <si>
    <t>2024-08-25T21:18:01.451+02:00</t>
  </si>
  <si>
    <t>2024-08-25T21:26:52.856+02:00</t>
  </si>
  <si>
    <t>2024-08-25T21:05:49.099+02:00</t>
  </si>
  <si>
    <t>2024-08-25T21:12:05.657+02:00</t>
  </si>
  <si>
    <t>2024-08-25T21:03:50.097+02:00</t>
  </si>
  <si>
    <t>2024-08-25T21:12:45.892+02:00</t>
  </si>
  <si>
    <t>2024-08-25T21:01:01.652+02:00</t>
  </si>
  <si>
    <t>2024-08-25T21:16:16.578+02:00</t>
  </si>
  <si>
    <t>2024-08-25T21:24:29.058+02:00</t>
  </si>
  <si>
    <t>2024-08-25T21:01:02.390+02:00</t>
  </si>
  <si>
    <t>2024-08-25T21:00:43.489+02:00</t>
  </si>
  <si>
    <t>2024-08-25T21:08:47.704+02:00</t>
  </si>
  <si>
    <t>2024-08-25T20:58:53.166+02:00</t>
  </si>
  <si>
    <t>2024-08-25T21:04:57.486+02:00</t>
  </si>
  <si>
    <t>2024-08-25T20:53:01.508+02:00</t>
  </si>
  <si>
    <t>2024-08-25T21:04:42.586+02:00</t>
  </si>
  <si>
    <t>2024-08-25T20:51:39.035+02:00</t>
  </si>
  <si>
    <t>2024-08-25T21:01:29.720+02:00</t>
  </si>
  <si>
    <t>2024-08-25T20:48:41.480+02:00</t>
  </si>
  <si>
    <t>2024-08-25T20:58:41.694+02:00</t>
  </si>
  <si>
    <t>2024-08-25T20:44:52.592+02:00</t>
  </si>
  <si>
    <t>2024-08-25T20:52:31.756+02:00</t>
  </si>
  <si>
    <t>Bekzod</t>
  </si>
  <si>
    <t>2024-08-25T20:44:32.037+02:00</t>
  </si>
  <si>
    <t>2024-08-25T20:55:20.793+02:00</t>
  </si>
  <si>
    <t>2024-08-25T20:33:58.582+02:00</t>
  </si>
  <si>
    <t>2024-08-25T20:41:37.638+02:00</t>
  </si>
  <si>
    <t>2024-08-25T20:30:21.665+02:00</t>
  </si>
  <si>
    <t>2024-08-25T20:30:47.531+02:00</t>
  </si>
  <si>
    <t>2024-08-25T20:26:02.168+02:00</t>
  </si>
  <si>
    <t>2024-08-25T20:35:06.545+02:00</t>
  </si>
  <si>
    <t>2024-08-25T20:57:31.011+02:00</t>
  </si>
  <si>
    <t>2024-08-25T20:26:02.711+02:00</t>
  </si>
  <si>
    <t>2024-08-25T20:11:01.445+02:00</t>
  </si>
  <si>
    <t>2024-08-25T20:17:10.604+02:00</t>
  </si>
  <si>
    <t>2024-08-25T20:34:56.734+02:00</t>
  </si>
  <si>
    <t>2024-08-25T20:11:01.996+02:00</t>
  </si>
  <si>
    <t>2024-08-25T20:09:32.646+02:00</t>
  </si>
  <si>
    <t>2024-08-25T20:16:34.309+02:00</t>
  </si>
  <si>
    <t>2024-08-25T19:50:24.150+02:00</t>
  </si>
  <si>
    <t>2024-08-25T19:58:40.793+02:00</t>
  </si>
  <si>
    <t>2024-08-25T19:48:47.698+02:00</t>
  </si>
  <si>
    <t>2024-08-25T20:00:26.771+02:00</t>
  </si>
  <si>
    <t>2024-08-25T19:41:54.626+02:00</t>
  </si>
  <si>
    <t>2024-08-25T19:47:54.682+02:00</t>
  </si>
  <si>
    <t>2024-08-25T19:40:54.989+02:00</t>
  </si>
  <si>
    <t>2024-08-25T19:49:56.773+02:00</t>
  </si>
  <si>
    <t>2024-08-25T19:40:01.880+02:00</t>
  </si>
  <si>
    <t>2024-08-25T19:50:50.560+02:00</t>
  </si>
  <si>
    <t>2024-08-25T19:34:35.648+02:00</t>
  </si>
  <si>
    <t>2024-08-25T19:45:00.226+02:00</t>
  </si>
  <si>
    <t>2024-08-25T19:23:55.993+02:00</t>
  </si>
  <si>
    <t>2024-08-25T19:34:35.731+02:00</t>
  </si>
  <si>
    <t>2024-08-25T19:23:55.843+02:00</t>
  </si>
  <si>
    <t>2024-08-25T19:32:19.827+02:00</t>
  </si>
  <si>
    <t>2024-08-25T19:23:12.961+02:00</t>
  </si>
  <si>
    <t>2024-08-25T19:33:35.899+02:00</t>
  </si>
  <si>
    <t>2024-08-25T19:21:20.711+02:00</t>
  </si>
  <si>
    <t>2024-08-25T19:26:44.726+02:00</t>
  </si>
  <si>
    <t>2024-08-25T19:20:18.815+02:00</t>
  </si>
  <si>
    <t>2024-08-25T19:26:41.498+02:00</t>
  </si>
  <si>
    <t>2024-08-25T19:18:02.225+02:00</t>
  </si>
  <si>
    <t>2024-08-25T19:24:17.510+02:00</t>
  </si>
  <si>
    <t>2024-08-25T19:10:51.391+02:00</t>
  </si>
  <si>
    <t>2024-08-25T19:19:52.758+02:00</t>
  </si>
  <si>
    <t>2024-08-25T19:06:59.762+02:00</t>
  </si>
  <si>
    <t>2024-08-25T19:18:39.824+02:00</t>
  </si>
  <si>
    <t>2024-08-25T19:06:55.029+02:00</t>
  </si>
  <si>
    <t>2024-08-25T19:14:54.118+02:00</t>
  </si>
  <si>
    <t>2024-08-25T18:51:12.383+02:00</t>
  </si>
  <si>
    <t>2024-08-25T18:58:50.735+02:00</t>
  </si>
  <si>
    <t>2024-08-25T18:45:47.000+02:00</t>
  </si>
  <si>
    <t>2024-08-25T18:53:53.837+02:00</t>
  </si>
  <si>
    <t>2024-08-25T18:45:46.984+02:00</t>
  </si>
  <si>
    <t>2024-08-25T18:52:50.830+02:00</t>
  </si>
  <si>
    <t>2024-08-25T18:43:07.122+02:00</t>
  </si>
  <si>
    <t>2024-08-25T18:45:48.957+02:00</t>
  </si>
  <si>
    <t>2024-08-25T18:38:17.298+02:00</t>
  </si>
  <si>
    <t>2024-08-25T18:50:04.825+02:00</t>
  </si>
  <si>
    <t>2024-08-25T18:30:03.783+02:00</t>
  </si>
  <si>
    <t>2024-08-25T18:37:51.097+02:00</t>
  </si>
  <si>
    <t>2024-08-25T18:19:01.578+02:00</t>
  </si>
  <si>
    <t>2024-08-25T18:28:37.632+02:00</t>
  </si>
  <si>
    <t>2024-08-25T18:59:13.825+02:00</t>
  </si>
  <si>
    <t>2024-08-25T18:21:56.258+02:00</t>
  </si>
  <si>
    <t>2024-08-25T18:18:01.741+02:00</t>
  </si>
  <si>
    <t>2024-08-25T18:29:31.479+02:00</t>
  </si>
  <si>
    <t>2024-08-25T18:13:00.955+02:00</t>
  </si>
  <si>
    <t>2024-08-25T18:18:47.638+02:00</t>
  </si>
  <si>
    <t>2024-08-25T18:12:02.011+02:00</t>
  </si>
  <si>
    <t>2024-08-25T18:27:01.579+02:00</t>
  </si>
  <si>
    <t>2024-08-25T18:47:05.600+02:00</t>
  </si>
  <si>
    <t>2024-08-25T18:12:02.718+02:00</t>
  </si>
  <si>
    <t>Oleh</t>
  </si>
  <si>
    <t>2024-08-25T18:10:36.082+02:00</t>
  </si>
  <si>
    <t>2024-08-25T18:16:44.647+02:00</t>
  </si>
  <si>
    <t>2024-08-25T18:07:41.827+02:00</t>
  </si>
  <si>
    <t>2024-08-25T18:15:40.762+02:00</t>
  </si>
  <si>
    <t>2024-08-25T18:05:55.267+02:00</t>
  </si>
  <si>
    <t>2024-08-25T18:13:07.640+02:00</t>
  </si>
  <si>
    <t>2024-08-25T18:04:29.306+02:00</t>
  </si>
  <si>
    <t>2024-08-25T18:10:09.021+02:00</t>
  </si>
  <si>
    <t>2024-08-25T18:04:01.913+02:00</t>
  </si>
  <si>
    <t>2024-08-25T18:12:14.502+02:00</t>
  </si>
  <si>
    <t>2024-08-25T18:03:02.302+02:00</t>
  </si>
  <si>
    <t>2024-08-25T18:23:39.508+02:00</t>
  </si>
  <si>
    <t>2024-08-25T18:40:51.430+02:00</t>
  </si>
  <si>
    <t>2024-08-25T18:03:03.140+02:00</t>
  </si>
  <si>
    <t>2024-08-25T18:01:01.949+02:00</t>
  </si>
  <si>
    <t>2024-08-25T18:08:24.593+02:00</t>
  </si>
  <si>
    <t>2024-08-25T18:17:48.894+02:00</t>
  </si>
  <si>
    <t>2024-08-25T18:01:02.665+02:00</t>
  </si>
  <si>
    <t>2024-08-25T17:45:42.744+02:00</t>
  </si>
  <si>
    <t>2024-08-25T17:55:23.754+02:00</t>
  </si>
  <si>
    <t>2024-08-25T17:38:12.906+02:00</t>
  </si>
  <si>
    <t>2024-08-25T17:47:12.741+02:00</t>
  </si>
  <si>
    <t>2024-08-25T17:34:40.162+02:00</t>
  </si>
  <si>
    <t>2024-08-25T17:40:16.783+02:00</t>
  </si>
  <si>
    <t>2024-08-25T17:30:19.432+02:00</t>
  </si>
  <si>
    <t>2024-08-25T17:38:44.850+02:00</t>
  </si>
  <si>
    <t>2024-08-25T17:20:03.549+02:00</t>
  </si>
  <si>
    <t>2024-08-25T17:34:10.508+02:00</t>
  </si>
  <si>
    <t>2024-08-25T17:16:40.881+02:00</t>
  </si>
  <si>
    <t>2024-08-25T17:27:21.636+02:00</t>
  </si>
  <si>
    <t>2024-08-25T17:15:01.291+02:00</t>
  </si>
  <si>
    <t>2024-08-25T17:28:59.619+02:00</t>
  </si>
  <si>
    <t>2024-08-25T17:46:51.975+02:00</t>
  </si>
  <si>
    <t>2024-08-25T17:21:43.201+02:00</t>
  </si>
  <si>
    <t>2024-08-25T17:15:01.280+02:00</t>
  </si>
  <si>
    <t>2024-08-25T17:30:56.484+02:00</t>
  </si>
  <si>
    <t>2024-08-25T17:49:17.869+02:00</t>
  </si>
  <si>
    <t>2024-08-25T17:15:02.076+02:00</t>
  </si>
  <si>
    <t>2024-08-25T17:13:02.528+02:00</t>
  </si>
  <si>
    <t>2024-08-25T17:20:29.482+02:00</t>
  </si>
  <si>
    <t>2024-08-25T17:13:01.543+02:00</t>
  </si>
  <si>
    <t>2024-08-25T17:24:16.552+02:00</t>
  </si>
  <si>
    <t>2024-08-25T17:38:59.072+02:00</t>
  </si>
  <si>
    <t>2024-08-25T17:13:02.189+02:00</t>
  </si>
  <si>
    <t>2024-08-25T17:05:01.380+02:00</t>
  </si>
  <si>
    <t>2024-08-25T17:17:18.481+02:00</t>
  </si>
  <si>
    <t>2024-08-25T17:04:38.148+02:00</t>
  </si>
  <si>
    <t>2024-08-25T17:14:43.737+02:00</t>
  </si>
  <si>
    <t>2024-08-25T16:58:01.294+02:00</t>
  </si>
  <si>
    <t>2024-08-25T17:08:24.761+02:00</t>
  </si>
  <si>
    <t>2024-08-25T17:22:18.866+02:00</t>
  </si>
  <si>
    <t>2024-08-25T16:58:01.880+02:00</t>
  </si>
  <si>
    <t>2024-08-25T16:39:36.031+02:00</t>
  </si>
  <si>
    <t>2024-08-25T16:51:41.769+02:00</t>
  </si>
  <si>
    <t>2024-08-25T16:29:01.531+02:00</t>
  </si>
  <si>
    <t>2024-08-25T16:37:00.481+02:00</t>
  </si>
  <si>
    <t>2024-08-25T16:28:34.907+02:00</t>
  </si>
  <si>
    <t>2024-08-25T16:36:20.628+02:00</t>
  </si>
  <si>
    <t>2024-08-25T16:22:36.334+02:00</t>
  </si>
  <si>
    <t>2024-08-25T16:35:09.740+02:00</t>
  </si>
  <si>
    <t>2024-08-25T16:11:01.820+02:00</t>
  </si>
  <si>
    <t>2024-08-25T16:21:00.529+02:00</t>
  </si>
  <si>
    <t>2024-08-25T16:34:12.793+02:00</t>
  </si>
  <si>
    <t>2024-08-25T16:11:02.492+02:00</t>
  </si>
  <si>
    <t>2024-08-25T16:03:36.527+02:00</t>
  </si>
  <si>
    <t>2024-08-25T16:11:48.856+02:00</t>
  </si>
  <si>
    <t>2024-08-25T16:00:48.764+02:00</t>
  </si>
  <si>
    <t>2024-08-25T16:08:17.932+02:00</t>
  </si>
  <si>
    <t>2024-08-25T15:53:35.041+02:00</t>
  </si>
  <si>
    <t>2024-08-25T16:01:01.840+02:00</t>
  </si>
  <si>
    <t>2024-08-25T15:50:36.304+02:00</t>
  </si>
  <si>
    <t>2024-08-25T15:59:04.781+02:00</t>
  </si>
  <si>
    <t>2024-08-25T15:24:05.468+02:00</t>
  </si>
  <si>
    <t>2024-08-25T15:31:38.751+02:00</t>
  </si>
  <si>
    <t>2024-08-25T15:23:38.315+02:00</t>
  </si>
  <si>
    <t>2024-08-25T15:30:45.738+02:00</t>
  </si>
  <si>
    <t>2024-08-25T15:14:01.280+02:00</t>
  </si>
  <si>
    <t>2024-08-25T15:28:18.513+02:00</t>
  </si>
  <si>
    <t>2024-08-25T15:43:23.555+02:00</t>
  </si>
  <si>
    <t>2024-08-25T15:14:01.846+02:00</t>
  </si>
  <si>
    <t>2024-08-25T15:05:55.296+02:00</t>
  </si>
  <si>
    <t>2024-08-25T15:15:05.683+02:00</t>
  </si>
  <si>
    <t>2024-08-25T14:55:02.257+02:00</t>
  </si>
  <si>
    <t>2024-08-25T15:07:23.738+02:00</t>
  </si>
  <si>
    <t>2024-08-25T14:44:02.098+02:00</t>
  </si>
  <si>
    <t>2024-08-25T14:51:11.469+02:00</t>
  </si>
  <si>
    <t>2024-08-25T14:42:35.965+02:00</t>
  </si>
  <si>
    <t>2024-08-25T14:48:35.694+02:00</t>
  </si>
  <si>
    <t>Petr</t>
  </si>
  <si>
    <t>2024-08-25T14:31:47.933+02:00</t>
  </si>
  <si>
    <t>2024-08-25T14:41:44.638+02:00</t>
  </si>
  <si>
    <t>2024-08-25T14:30:40.229+02:00</t>
  </si>
  <si>
    <t>2024-08-25T14:38:28.728+02:00</t>
  </si>
  <si>
    <t>2024-08-25T14:28:02.043+02:00</t>
  </si>
  <si>
    <t>2024-08-25T14:45:38.488+02:00</t>
  </si>
  <si>
    <t>2024-08-25T15:07:33.913+02:00</t>
  </si>
  <si>
    <t>2024-08-25T14:28:02.716+02:00</t>
  </si>
  <si>
    <t>2024-08-25T14:27:01.778+02:00</t>
  </si>
  <si>
    <t>2024-08-25T14:43:26.474+02:00</t>
  </si>
  <si>
    <t>2024-08-25T14:59:48.880+02:00</t>
  </si>
  <si>
    <t>2024-08-25T14:27:02.491+02:00</t>
  </si>
  <si>
    <t>2024-08-25T14:26:40.199+02:00</t>
  </si>
  <si>
    <t>2024-08-25T14:35:26.991+02:00</t>
  </si>
  <si>
    <t>2024-08-25T14:24:14.675+02:00</t>
  </si>
  <si>
    <t>2024-08-25T14:30:40.749+02:00</t>
  </si>
  <si>
    <t>2024-08-25T14:17:47.534+02:00</t>
  </si>
  <si>
    <t>2024-08-25T14:25:55.738+02:00</t>
  </si>
  <si>
    <t>2024-08-25T14:02:04.786+02:00</t>
  </si>
  <si>
    <t>2024-08-25T14:09:05.640+02:00</t>
  </si>
  <si>
    <t>2024-08-25T14:00:05.190+02:00</t>
  </si>
  <si>
    <t>2024-08-25T14:07:04.429+02:00</t>
  </si>
  <si>
    <t>2024-08-25T13:53:02.164+02:00</t>
  </si>
  <si>
    <t>2024-08-25T14:03:47.780+02:00</t>
  </si>
  <si>
    <t>2024-08-25T13:49:52.182+02:00</t>
  </si>
  <si>
    <t>2024-08-25T14:01:10.124+02:00</t>
  </si>
  <si>
    <t>2024-08-25T13:39:36.956+02:00</t>
  </si>
  <si>
    <t>2024-08-25T13:48:26.696+02:00</t>
  </si>
  <si>
    <t>2024-08-25T13:37:21.628+02:00</t>
  </si>
  <si>
    <t>2024-08-25T13:43:36.670+02:00</t>
  </si>
  <si>
    <t>2024-08-25T13:33:59.897+02:00</t>
  </si>
  <si>
    <t>2024-08-25T13:41:24.626+02:00</t>
  </si>
  <si>
    <t>2024-08-25T13:31:01.700+02:00</t>
  </si>
  <si>
    <t>2024-08-25T13:41:44.468+02:00</t>
  </si>
  <si>
    <t>2024-08-25T13:54:40.442+02:00</t>
  </si>
  <si>
    <t>2024-08-25T13:31:02.300+02:00</t>
  </si>
  <si>
    <t>2024-08-25T13:24:56.421+02:00</t>
  </si>
  <si>
    <t>2024-08-25T13:34:26.673+02:00</t>
  </si>
  <si>
    <t>Alexandr</t>
  </si>
  <si>
    <t>2024-08-25T13:21:44.682+02:00</t>
  </si>
  <si>
    <t>2024-08-25T13:28:13.589+02:00</t>
  </si>
  <si>
    <t>2024-08-25T13:19:52.714+02:00</t>
  </si>
  <si>
    <t>2024-08-25T13:26:46.734+02:00</t>
  </si>
  <si>
    <t>2024-08-25T13:12:54.317+02:00</t>
  </si>
  <si>
    <t>2024-08-25T13:20:27.737+02:00</t>
  </si>
  <si>
    <t>2024-08-25T13:12:02.764+02:00</t>
  </si>
  <si>
    <t>2024-08-25T13:21:11.466+02:00</t>
  </si>
  <si>
    <t>2024-08-25T13:32:13.485+02:00</t>
  </si>
  <si>
    <t>2024-08-25T13:12:03.381+02:00</t>
  </si>
  <si>
    <t>2024-08-25T13:07:03.924+02:00</t>
  </si>
  <si>
    <t>2024-08-25T13:19:40.696+02:00</t>
  </si>
  <si>
    <t>2024-08-25T13:06:51.730+02:00</t>
  </si>
  <si>
    <t>2024-08-25T13:16:41.763+02:00</t>
  </si>
  <si>
    <t>Anton</t>
  </si>
  <si>
    <t>2024-08-25T12:58:33.508+02:00</t>
  </si>
  <si>
    <t>2024-08-25T13:11:32.570+02:00</t>
  </si>
  <si>
    <t>2024-08-25T12:49:16.659+02:00</t>
  </si>
  <si>
    <t>2024-08-25T13:05:38.755+02:00</t>
  </si>
  <si>
    <t>2024-08-25T12:47:16.252+02:00</t>
  </si>
  <si>
    <t>2024-08-25T13:01:15.711+02:00</t>
  </si>
  <si>
    <t>2024-08-25T12:42:01.680+02:00</t>
  </si>
  <si>
    <t>2024-08-25T12:58:42.465+02:00</t>
  </si>
  <si>
    <t>2024-08-25T13:39:17.072+02:00</t>
  </si>
  <si>
    <t>2024-08-25T12:54:12.224+02:00</t>
  </si>
  <si>
    <t>2024-08-25T12:35:02.368+02:00</t>
  </si>
  <si>
    <t>2024-08-25T12:54:47.463+02:00</t>
  </si>
  <si>
    <t>2024-08-25T12:32:02.200+02:00</t>
  </si>
  <si>
    <t>2024-08-25T12:52:39.722+02:00</t>
  </si>
  <si>
    <t>2024-08-25T12:31:15.372+02:00</t>
  </si>
  <si>
    <t>2024-08-25T12:40:48.694+02:00</t>
  </si>
  <si>
    <t>2024-08-25T12:30:14.043+02:00</t>
  </si>
  <si>
    <t>2024-08-25T12:41:10.670+02:00</t>
  </si>
  <si>
    <t>2024-08-25T12:30:02.541+02:00</t>
  </si>
  <si>
    <t>2024-08-25T12:43:15.623+02:00</t>
  </si>
  <si>
    <t>2024-08-25T12:59:12.385+02:00</t>
  </si>
  <si>
    <t>2024-08-25T12:37:00.254+02:00</t>
  </si>
  <si>
    <t>2024-08-25T12:30:02.529+02:00</t>
  </si>
  <si>
    <t>2024-08-25T12:46:56.436+02:00</t>
  </si>
  <si>
    <t>2024-08-25T12:21:23.083+02:00</t>
  </si>
  <si>
    <t>2024-08-25T12:31:51.731+02:00</t>
  </si>
  <si>
    <t>2024-08-25T12:21:23.031+02:00</t>
  </si>
  <si>
    <t>2024-08-25T12:29:39.868+02:00</t>
  </si>
  <si>
    <t>2024-08-25T12:15:02.005+02:00</t>
  </si>
  <si>
    <t>2024-08-25T12:22:46.418+02:00</t>
  </si>
  <si>
    <t>2024-08-25T12:02:36.803+02:00</t>
  </si>
  <si>
    <t>2024-08-25T12:13:44.735+02:00</t>
  </si>
  <si>
    <t>2024-08-25T11:59:33.109+02:00</t>
  </si>
  <si>
    <t>2024-08-25T12:15:10.671+02:00</t>
  </si>
  <si>
    <t>2024-08-25T11:59:03.457+02:00</t>
  </si>
  <si>
    <t>2024-08-25T12:17:00.686+02:00</t>
  </si>
  <si>
    <t>2024-08-25T11:55:33.483+02:00</t>
  </si>
  <si>
    <t>2024-08-25T12:12:01.857+02:00</t>
  </si>
  <si>
    <t>2024-08-25T11:54:32.042+02:00</t>
  </si>
  <si>
    <t>2024-08-25T12:09:21.849+02:00</t>
  </si>
  <si>
    <t>2024-08-25T11:45:01.515+02:00</t>
  </si>
  <si>
    <t>2024-08-25T12:03:20.574+02:00</t>
  </si>
  <si>
    <t>2024-08-25T12:30:13.732+02:00</t>
  </si>
  <si>
    <t>2024-08-25T11:45:03.522+02:00</t>
  </si>
  <si>
    <t>2024-08-25T11:45:01.486+02:00</t>
  </si>
  <si>
    <t>2024-08-25T11:58:02.513+02:00</t>
  </si>
  <si>
    <t>2024-08-25T12:18:47.563+02:00</t>
  </si>
  <si>
    <t>2024-08-25T11:45:02.681+02:00</t>
  </si>
  <si>
    <t>2024-08-25T11:45:01.464+02:00</t>
  </si>
  <si>
    <t>2024-08-25T12:21:59.437+02:00</t>
  </si>
  <si>
    <t>2024-08-25T11:45:01.451+02:00</t>
  </si>
  <si>
    <t>2024-08-25T11:51:38.399+02:00</t>
  </si>
  <si>
    <t>2024-08-25T11:44:32.370+02:00</t>
  </si>
  <si>
    <t>2024-08-25T11:50:49.077+02:00</t>
  </si>
  <si>
    <t>2024-08-25T11:43:01.623+02:00</t>
  </si>
  <si>
    <t>2024-08-25T11:49:49.472+02:00</t>
  </si>
  <si>
    <t>2024-08-25T11:36:01.659+02:00</t>
  </si>
  <si>
    <t>2024-08-25T11:43:30.446+02:00</t>
  </si>
  <si>
    <t>2024-08-25T11:54:25.238+02:00</t>
  </si>
  <si>
    <t>2024-08-25T11:36:02.240+02:00</t>
  </si>
  <si>
    <t>2024-08-25T11:21:01.936+02:00</t>
  </si>
  <si>
    <t>2024-08-25T11:29:07.396+02:00</t>
  </si>
  <si>
    <t>2024-08-25T11:13:30.380+02:00</t>
  </si>
  <si>
    <t>2024-08-25T11:21:18.717+02:00</t>
  </si>
  <si>
    <t>2024-08-25T11:12:28.533+02:00</t>
  </si>
  <si>
    <t>2024-08-25T11:19:43.689+02:00</t>
  </si>
  <si>
    <t>2024-08-25T11:10:29.887+02:00</t>
  </si>
  <si>
    <t>2024-08-25T11:17:38.523+02:00</t>
  </si>
  <si>
    <t>2024-08-25T11:08:58.400+02:00</t>
  </si>
  <si>
    <t>2024-08-25T11:16:34.664+02:00</t>
  </si>
  <si>
    <t>2024-08-25T11:08:02.482+02:00</t>
  </si>
  <si>
    <t>2024-08-25T11:28:25.438+02:00</t>
  </si>
  <si>
    <t>2024-08-25T11:49:06.588+02:00</t>
  </si>
  <si>
    <t>2024-08-25T11:21:08.100+02:00</t>
  </si>
  <si>
    <t>Martin</t>
  </si>
  <si>
    <t>2024-08-25T11:07:15.012+02:00</t>
  </si>
  <si>
    <t>2024-08-25T11:13:34.598+02:00</t>
  </si>
  <si>
    <t>2024-08-25T10:47:02.226+02:00</t>
  </si>
  <si>
    <t>2024-08-25T11:23:53.397+02:00</t>
  </si>
  <si>
    <t>2024-08-29T00:51:36.242+02:00</t>
  </si>
  <si>
    <t>2024-08-29T00:52:37.025+02:00</t>
  </si>
  <si>
    <t>2024-08-29T00:31:03.349+02:00</t>
  </si>
  <si>
    <t>2024-08-29T00:49:35.112+02:00</t>
  </si>
  <si>
    <t>2024-08-29T01:06:49.946+02:00</t>
  </si>
  <si>
    <t>2024-08-29T00:50:03.190+02:00</t>
  </si>
  <si>
    <t>2024-08-29T00:16:03.629+02:00</t>
  </si>
  <si>
    <t>2024-08-29T00:30:26.043+02:00</t>
  </si>
  <si>
    <t>2024-08-29T01:10:23.281+02:00</t>
  </si>
  <si>
    <t>2024-08-29T00:29:21.390+02:00</t>
  </si>
  <si>
    <t>Jan Hammer</t>
  </si>
  <si>
    <t>2024-08-29T00:06:02.231+02:00</t>
  </si>
  <si>
    <t>2024-08-29T00:28:54.196+02:00</t>
  </si>
  <si>
    <t>2024-08-29T00:33:30.273+02:00</t>
  </si>
  <si>
    <t>2024-08-29T00:06:21.326+02:00</t>
  </si>
  <si>
    <t>2024-08-28T23:59:38.702+02:00</t>
  </si>
  <si>
    <t>2024-08-29T00:07:05.620+02:00</t>
  </si>
  <si>
    <t>Andrey</t>
  </si>
  <si>
    <t>2024-08-28T23:37:48.482+02:00</t>
  </si>
  <si>
    <t>2024-08-28T23:49:43.357+02:00</t>
  </si>
  <si>
    <t>2024-08-28T23:17:02.480+02:00</t>
  </si>
  <si>
    <t>2024-08-28T23:27:52.362+02:00</t>
  </si>
  <si>
    <t>2024-08-28T22:28:03.496+02:00</t>
  </si>
  <si>
    <t>2024-08-28T22:43:41.037+02:00</t>
  </si>
  <si>
    <t>2024-08-28T22:25:10.096+02:00</t>
  </si>
  <si>
    <t>2024-08-28T22:49:36.422+02:00</t>
  </si>
  <si>
    <t>Martin Jurkovič</t>
  </si>
  <si>
    <t>2024-08-28T22:24:02.377+02:00</t>
  </si>
  <si>
    <t>2024-08-28T22:53:37.381+02:00</t>
  </si>
  <si>
    <t>2024-08-28T22:40:41.580+02:00</t>
  </si>
  <si>
    <t>2024-08-28T22:23:21.356+02:00</t>
  </si>
  <si>
    <t>2024-08-28T22:49:38.713+02:00</t>
  </si>
  <si>
    <t>Daniel</t>
  </si>
  <si>
    <t>2024-08-28T22:19:24.123+02:00</t>
  </si>
  <si>
    <t>2024-08-28T22:39:41.891+02:00</t>
  </si>
  <si>
    <t>2024-08-28T22:12:48.937+02:00</t>
  </si>
  <si>
    <t>2024-08-28T22:35:05.013+02:00</t>
  </si>
  <si>
    <t>2024-08-28T22:03:11.460+02:00</t>
  </si>
  <si>
    <t>2024-08-28T22:18:45.639+02:00</t>
  </si>
  <si>
    <t>2024-08-28T21:51:02.727+02:00</t>
  </si>
  <si>
    <t>2024-08-28T22:35:35.864+02:00</t>
  </si>
  <si>
    <t>2024-08-29T00:23:53.284+02:00</t>
  </si>
  <si>
    <t>2024-08-28T21:51:03.269+02:00</t>
  </si>
  <si>
    <t>2024-08-28T21:44:03.928+02:00</t>
  </si>
  <si>
    <t>2024-08-28T21:53:52.313+02:00</t>
  </si>
  <si>
    <t>2024-08-28T22:10:10.436+02:00</t>
  </si>
  <si>
    <t>2024-08-28T21:44:06.083+02:00</t>
  </si>
  <si>
    <t>2024-08-28T21:42:07.186+02:00</t>
  </si>
  <si>
    <t>2024-08-28T21:53:06.592+02:00</t>
  </si>
  <si>
    <t>2024-08-28T21:34:34.138+02:00</t>
  </si>
  <si>
    <t>2024-08-28T21:48:46.537+02:00</t>
  </si>
  <si>
    <t>2024-08-28T21:27:00.880+02:00</t>
  </si>
  <si>
    <t>2024-08-28T21:47:25.612+02:00</t>
  </si>
  <si>
    <t>2024-08-28T21:24:29.841+02:00</t>
  </si>
  <si>
    <t>2024-08-28T21:46:59.529+02:00</t>
  </si>
  <si>
    <t>2024-08-28T21:24:01.370+02:00</t>
  </si>
  <si>
    <t>2024-08-28T21:36:15.551+02:00</t>
  </si>
  <si>
    <t>2024-08-28T21:23:03.070+02:00</t>
  </si>
  <si>
    <t>2024-08-28T21:31:29.192+02:00</t>
  </si>
  <si>
    <t>2024-08-28T21:22:02.959+02:00</t>
  </si>
  <si>
    <t>2024-08-28T21:37:19.270+02:00</t>
  </si>
  <si>
    <t>2024-08-28T21:50:48.605+02:00</t>
  </si>
  <si>
    <t>2024-08-28T21:22:03.504+02:00</t>
  </si>
  <si>
    <t>Iliyan</t>
  </si>
  <si>
    <t>2024-08-28T21:20:44.876+02:00</t>
  </si>
  <si>
    <t>2024-08-28T21:35:03.298+02:00</t>
  </si>
  <si>
    <t>Murodkhon</t>
  </si>
  <si>
    <t>2024-08-28T21:16:03.959+02:00</t>
  </si>
  <si>
    <t>2024-08-28T21:34:30.343+02:00</t>
  </si>
  <si>
    <t>2024-08-28T21:13:02.561+02:00</t>
  </si>
  <si>
    <t>2024-08-28T21:26:32.148+02:00</t>
  </si>
  <si>
    <t>2024-08-28T21:13:02.542+02:00</t>
  </si>
  <si>
    <t>2024-08-28T21:21:59.800+02:00</t>
  </si>
  <si>
    <t>2024-08-28T21:43:45.419+02:00</t>
  </si>
  <si>
    <t>2024-08-28T21:13:03.686+02:00</t>
  </si>
  <si>
    <t>2024-08-28T21:08:03.053+02:00</t>
  </si>
  <si>
    <t>2024-08-28T21:16:58.206+02:00</t>
  </si>
  <si>
    <t>2024-08-28T21:30:51.761+02:00</t>
  </si>
  <si>
    <t>2024-08-28T21:08:03.608+02:00</t>
  </si>
  <si>
    <t>2024-08-28T20:37:03.836+02:00</t>
  </si>
  <si>
    <t>2024-08-28T20:47:38.160+02:00</t>
  </si>
  <si>
    <t>2024-08-28T21:00:00.818+02:00</t>
  </si>
  <si>
    <t>2024-08-28T20:37:04.491+02:00</t>
  </si>
  <si>
    <t>2024-08-28T20:34:02.650+02:00</t>
  </si>
  <si>
    <t>2024-08-28T20:39:57.141+02:00</t>
  </si>
  <si>
    <t>2024-08-28T20:50:51.059+02:00</t>
  </si>
  <si>
    <t>2024-08-28T20:34:03.240+02:00</t>
  </si>
  <si>
    <t>2024-08-28T20:30:06.512+02:00</t>
  </si>
  <si>
    <t>2024-08-28T20:45:36.381+02:00</t>
  </si>
  <si>
    <t>2024-08-28T20:29:03.510+02:00</t>
  </si>
  <si>
    <t>2024-08-28T20:38:19.145+02:00</t>
  </si>
  <si>
    <t>2024-08-28T21:01:37.645+02:00</t>
  </si>
  <si>
    <t>2024-08-28T20:29:04.062+02:00</t>
  </si>
  <si>
    <t>2024-08-28T20:25:43.748+02:00</t>
  </si>
  <si>
    <t>2024-08-28T20:33:27.311+02:00</t>
  </si>
  <si>
    <t>2024-08-28T20:17:03.033+02:00</t>
  </si>
  <si>
    <t>2024-08-28T20:27:43.115+02:00</t>
  </si>
  <si>
    <t>2024-08-28T20:17:03.022+02:00</t>
  </si>
  <si>
    <t>2024-08-28T20:28:27.144+02:00</t>
  </si>
  <si>
    <t>2024-08-28T20:11:38.559+02:00</t>
  </si>
  <si>
    <t>2024-08-28T20:23:50.382+02:00</t>
  </si>
  <si>
    <t>2024-08-28T20:07:08.767+02:00</t>
  </si>
  <si>
    <t>2024-08-28T20:22:52.307+02:00</t>
  </si>
  <si>
    <t>2024-08-28T20:05:02.896+02:00</t>
  </si>
  <si>
    <t>2024-08-28T20:16:12.164+02:00</t>
  </si>
  <si>
    <t>2024-08-28T20:35:04.387+02:00</t>
  </si>
  <si>
    <t>2024-08-28T20:05:03.923+02:00</t>
  </si>
  <si>
    <t>2024-08-28T20:02:04.906+02:00</t>
  </si>
  <si>
    <t>2024-08-28T20:14:37.512+02:00</t>
  </si>
  <si>
    <t>2024-08-28T19:59:36.565+02:00</t>
  </si>
  <si>
    <t>2024-08-28T20:10:45.405+02:00</t>
  </si>
  <si>
    <t>Emmanuel</t>
  </si>
  <si>
    <t>2024-08-28T19:39:38.833+02:00</t>
  </si>
  <si>
    <t>2024-08-28T19:54:20.354+02:00</t>
  </si>
  <si>
    <t>2024-08-28T19:21:02.527+02:00</t>
  </si>
  <si>
    <t>2024-08-28T19:29:04.038+02:00</t>
  </si>
  <si>
    <t>2024-08-28T19:20:27.456+02:00</t>
  </si>
  <si>
    <t>2024-08-28T19:20:54.096+02:00</t>
  </si>
  <si>
    <t>2024-08-28T19:19:05.069+02:00</t>
  </si>
  <si>
    <t>2024-08-28T19:28:17.356+02:00</t>
  </si>
  <si>
    <t>MAKSUDJON</t>
  </si>
  <si>
    <t>2024-08-28T19:11:51.882+02:00</t>
  </si>
  <si>
    <t>2024-08-28T19:23:01.245+02:00</t>
  </si>
  <si>
    <t>2024-08-28T19:03:02.408+02:00</t>
  </si>
  <si>
    <t>2024-08-28T19:06:59.125+02:00</t>
  </si>
  <si>
    <t>2024-08-28T19:28:48.781+02:00</t>
  </si>
  <si>
    <t>2024-08-28T19:03:03.133+02:00</t>
  </si>
  <si>
    <t>2024-08-28T19:00:43.688+02:00</t>
  </si>
  <si>
    <t>2024-08-28T19:19:08.698+02:00</t>
  </si>
  <si>
    <t>2024-08-28T18:55:03.147+02:00</t>
  </si>
  <si>
    <t>2024-08-28T19:03:05.135+02:00</t>
  </si>
  <si>
    <t>2024-08-28T19:22:47.553+02:00</t>
  </si>
  <si>
    <t>2024-08-28T18:55:03.737+02:00</t>
  </si>
  <si>
    <t>2024-08-28T18:48:00.884+02:00</t>
  </si>
  <si>
    <t>2024-08-28T18:58:38.408+02:00</t>
  </si>
  <si>
    <t>2024-08-28T18:42:07.054+02:00</t>
  </si>
  <si>
    <t>2024-08-28T18:57:24.247+02:00</t>
  </si>
  <si>
    <t>2024-08-28T18:35:02.825+02:00</t>
  </si>
  <si>
    <t>2024-08-28T18:57:18.609+02:00</t>
  </si>
  <si>
    <t>2024-08-28T18:34:20.112+02:00</t>
  </si>
  <si>
    <t>2024-08-28T18:53:04.315+02:00</t>
  </si>
  <si>
    <t>2024-08-28T18:33:03.298+02:00</t>
  </si>
  <si>
    <t>2024-08-28T18:48:41.112+02:00</t>
  </si>
  <si>
    <t>2024-08-28T18:31:01.848+02:00</t>
  </si>
  <si>
    <t>2024-08-28T18:42:01.358+02:00</t>
  </si>
  <si>
    <t>2024-08-28T18:04:03.038+02:00</t>
  </si>
  <si>
    <t>2024-08-28T18:16:40.287+02:00</t>
  </si>
  <si>
    <t>2024-08-28T18:03:42.904+02:00</t>
  </si>
  <si>
    <t>2024-08-28T18:18:20.181+02:00</t>
  </si>
  <si>
    <t>2024-08-28T18:02:28.257+02:00</t>
  </si>
  <si>
    <t>2024-08-28T18:13:29.028+02:00</t>
  </si>
  <si>
    <t>2024-08-28T17:50:50.769+02:00</t>
  </si>
  <si>
    <t>2024-08-28T18:13:23.292+02:00</t>
  </si>
  <si>
    <t>2024-08-28T17:50:22.710+02:00</t>
  </si>
  <si>
    <t>2024-08-28T18:11:42.233+02:00</t>
  </si>
  <si>
    <t>arrived_customer</t>
  </si>
  <si>
    <t>2024-08-28T17:50:02.804+02:00</t>
  </si>
  <si>
    <t>2024-08-28T18:06:47.984+02:00</t>
  </si>
  <si>
    <t>2024-08-28T18:22:49.991+02:00</t>
  </si>
  <si>
    <t>2024-08-28T17:50:03.821+02:00</t>
  </si>
  <si>
    <t>2024-08-28T17:47:49.698+02:00</t>
  </si>
  <si>
    <t>2024-08-28T17:49:12.912+02:00</t>
  </si>
  <si>
    <t>2024-08-28T17:27:59.544+02:00</t>
  </si>
  <si>
    <t>2024-08-28T17:39:52.287+02:00</t>
  </si>
  <si>
    <t>2024-08-28T17:01:03.547+02:00</t>
  </si>
  <si>
    <t>2024-08-28T17:15:45.871+02:00</t>
  </si>
  <si>
    <t>2024-08-28T16:58:05.056+02:00</t>
  </si>
  <si>
    <t>2024-08-28T17:13:59.447+02:00</t>
  </si>
  <si>
    <t>David Sarkozi</t>
  </si>
  <si>
    <t>2024-08-28T16:43:03.225+02:00</t>
  </si>
  <si>
    <t>2024-08-28T16:56:27.902+02:00</t>
  </si>
  <si>
    <t>2024-08-28T17:14:57.213+02:00</t>
  </si>
  <si>
    <t>2024-08-28T16:43:03.802+02:00</t>
  </si>
  <si>
    <t>2024-08-28T16:38:02.228+02:00</t>
  </si>
  <si>
    <t>2024-08-28T16:53:16.124+02:00</t>
  </si>
  <si>
    <t>2024-08-28T16:11:05.266+02:00</t>
  </si>
  <si>
    <t>2024-08-28T16:21:52.110+02:00</t>
  </si>
  <si>
    <t>2024-08-28T16:04:03.253+02:00</t>
  </si>
  <si>
    <t>2024-08-28T16:19:05.159+02:00</t>
  </si>
  <si>
    <t>2024-08-28T15:50:10.880+02:00</t>
  </si>
  <si>
    <t>2024-08-28T15:59:01.192+02:00</t>
  </si>
  <si>
    <t>2024-08-28T15:37:02.358+02:00</t>
  </si>
  <si>
    <t>2024-08-28T15:51:01.165+02:00</t>
  </si>
  <si>
    <t>2024-08-28T15:11:03.481+02:00</t>
  </si>
  <si>
    <t>2024-08-28T15:25:23.918+02:00</t>
  </si>
  <si>
    <t>2024-08-28T15:49:34.365+02:00</t>
  </si>
  <si>
    <t>2024-08-28T15:11:04.048+02:00</t>
  </si>
  <si>
    <t>2024-08-28T15:02:02.379+02:00</t>
  </si>
  <si>
    <t>2024-08-28T15:17:30.068+02:00</t>
  </si>
  <si>
    <t>2024-08-28T14:49:02.809+02:00</t>
  </si>
  <si>
    <t>2024-08-28T15:00:40.213+02:00</t>
  </si>
  <si>
    <t>2024-08-28T14:24:02.878+02:00</t>
  </si>
  <si>
    <t>2024-08-28T14:31:18.852+02:00</t>
  </si>
  <si>
    <t>2024-08-28T14:43:24.747+02:00</t>
  </si>
  <si>
    <t>2024-08-28T14:24:03.835+02:00</t>
  </si>
  <si>
    <t>2024-08-28T14:15:03.430+02:00</t>
  </si>
  <si>
    <t>2024-08-28T14:25:52.835+02:00</t>
  </si>
  <si>
    <t>2024-08-28T14:51:44.164+02:00</t>
  </si>
  <si>
    <t>2024-08-28T14:15:03.991+02:00</t>
  </si>
  <si>
    <t>2024-08-28T14:03:17.139+02:00</t>
  </si>
  <si>
    <t>2024-08-28T14:11:08.789+02:00</t>
  </si>
  <si>
    <t>2024-08-28T13:41:04.129+02:00</t>
  </si>
  <si>
    <t>2024-08-28T13:53:55.793+02:00</t>
  </si>
  <si>
    <t>2024-08-28T13:14:02.340+02:00</t>
  </si>
  <si>
    <t>2024-08-28T13:31:35.914+02:00</t>
  </si>
  <si>
    <t>2024-08-28T13:43:17.384+02:00</t>
  </si>
  <si>
    <t>2024-08-28T13:14:02.980+02:00</t>
  </si>
  <si>
    <t>2024-08-28T12:57:05.470+02:00</t>
  </si>
  <si>
    <t>2024-08-28T13:14:28.993+02:00</t>
  </si>
  <si>
    <t>2024-08-28T12:52:07.269+02:00</t>
  </si>
  <si>
    <t>2024-08-28T13:14:24.006+02:00</t>
  </si>
  <si>
    <t>2024-08-28T12:42:58.588+02:00</t>
  </si>
  <si>
    <t>2024-08-28T13:10:10.067+02:00</t>
  </si>
  <si>
    <t>2024-08-28T12:39:09.169+02:00</t>
  </si>
  <si>
    <t>2024-08-28T13:10:11.231+02:00</t>
  </si>
  <si>
    <t>2024-08-28T12:36:06.840+02:00</t>
  </si>
  <si>
    <t>2024-08-28T13:14:13.164+02:00</t>
  </si>
  <si>
    <t>2024-08-28T12:29:09.350+02:00</t>
  </si>
  <si>
    <t>2024-08-28T12:43:32.153+02:00</t>
  </si>
  <si>
    <t>2024-08-28T12:12:02.936+02:00</t>
  </si>
  <si>
    <t>2024-08-28T12:33:42.857+02:00</t>
  </si>
  <si>
    <t>2024-08-28T11:58:03.664+02:00</t>
  </si>
  <si>
    <t>2024-08-28T12:33:14.817+02:00</t>
  </si>
  <si>
    <t>2024-08-28T12:57:28.817+02:00</t>
  </si>
  <si>
    <t>2024-08-28T11:58:04.373+02:00</t>
  </si>
  <si>
    <t>2024-08-28T11:55:04.002+02:00</t>
  </si>
  <si>
    <t>2024-08-28T12:07:16.892+02:00</t>
  </si>
  <si>
    <t>2024-08-28T11:43:51.782+02:00</t>
  </si>
  <si>
    <t>2024-08-28T11:57:53.790+02:00</t>
  </si>
  <si>
    <t>2024-08-28T11:33:02.503+02:00</t>
  </si>
  <si>
    <t>2024-08-28T11:43:02.721+02:00</t>
  </si>
  <si>
    <t>2024-08-28T11:33:02.491+02:00</t>
  </si>
  <si>
    <t>2024-08-28T11:43:08.715+02:00</t>
  </si>
  <si>
    <t>Patrik</t>
  </si>
  <si>
    <t>2024-08-28T11:31:39.707+02:00</t>
  </si>
  <si>
    <t>2024-08-28T11:55:33.148+02:00</t>
  </si>
  <si>
    <t>2024-08-28T11:20:01.698+02:00</t>
  </si>
  <si>
    <t>2024-08-28T11:21:45.711+02:00</t>
  </si>
  <si>
    <t>2024-08-28T11:08:03.305+02:00</t>
  </si>
  <si>
    <t>2024-08-28T11:36:14.721+02:00</t>
  </si>
  <si>
    <t>2024-08-28T11:56:12.058+02:00</t>
  </si>
  <si>
    <t>2024-08-28T11:08:04.105+02:00</t>
  </si>
  <si>
    <t>2024-08-28T10:52:02.689+02:00</t>
  </si>
  <si>
    <t>2024-08-28T11:28:14.822+02:00</t>
  </si>
  <si>
    <t>2024-08-28T12:00:47.179+02:00</t>
  </si>
  <si>
    <t>2024-08-28T11:25:08.492+02:00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</si>
  <si>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</si>
  <si>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</si>
  <si>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</si>
  <si>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</si>
  <si>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Čtvrtek</t>
  </si>
  <si>
    <t>Sobota</t>
  </si>
  <si>
    <t>10:00 - 0:00 (Instor)</t>
  </si>
  <si>
    <t>17:00 - 0:00 (Instor)</t>
  </si>
  <si>
    <t>11:00 - 18:00 (Kurýr)</t>
  </si>
  <si>
    <t>11:00 - 0:00 (Kurýr)</t>
  </si>
  <si>
    <t>11:00 - 17:00 (Kurýr)</t>
  </si>
  <si>
    <t>18:00 - 0:00 (Kurýr)</t>
  </si>
  <si>
    <t>18:00 - 1:00 (Kurýr)</t>
  </si>
  <si>
    <t>Antonio Gomez</t>
  </si>
  <si>
    <t>10:00 - 22:00 (Instor)</t>
  </si>
  <si>
    <t>10:00 - 18:00 (Instor)</t>
  </si>
  <si>
    <t>10:00 - 17:00 (Instor)</t>
  </si>
  <si>
    <t>17:00 - 22:00 (Instor)</t>
  </si>
  <si>
    <t>10:00 - 1:00 (Instor)</t>
  </si>
  <si>
    <t>11:00 - 1:00 (Kurýr)</t>
  </si>
  <si>
    <t>17:00 - 0:00 (Kurýr)</t>
  </si>
  <si>
    <t>Jaroslav Lažek</t>
  </si>
  <si>
    <t>17:00 - 1:00 (Instor)</t>
  </si>
  <si>
    <t>11:00 - 17:00 (Instor)</t>
  </si>
  <si>
    <t>Bára Pechová</t>
  </si>
  <si>
    <t>18:00 - 0:00 (Instor)</t>
  </si>
  <si>
    <t>18:00 - 1:00 (Instor)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</si>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</sst>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#,##0\ [$Kč-405]"/>
    <numFmt numFmtId="166" formatCode="&quot;/&quot;d&quot;/&quot;myy"/>
    <numFmt numFmtId="167" formatCode="dd.mm.yyyy"/>
    <numFmt numFmtId="168" formatCode="mmmm&quot; &quot;yyyy"/>
    <numFmt numFmtId="169" formatCode="0.0 &quot;h&quot;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4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5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5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6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5" xfId="0" applyAlignment="1" applyBorder="1" applyFont="1" applyNumberFormat="1">
      <alignment horizontal="center" vertical="center"/>
    </xf>
    <xf borderId="18" fillId="0" fontId="6" numFmtId="0" xfId="0" applyBorder="1" applyFont="1"/>
    <xf borderId="5" fillId="4" fontId="8" numFmtId="0" xfId="0" applyAlignment="1" applyBorder="1" applyFont="1">
      <alignment horizontal="center" vertical="center"/>
    </xf>
    <xf borderId="13" fillId="9" fontId="11" numFmtId="165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5" xfId="0" applyAlignment="1" applyBorder="1" applyFill="1" applyFont="1" applyNumberFormat="1">
      <alignment horizontal="center" vertical="center"/>
    </xf>
    <xf borderId="19" fillId="7" fontId="10" numFmtId="0" xfId="0" applyAlignment="1" applyBorder="1" applyFont="1">
      <alignment horizontal="center" vertical="center"/>
    </xf>
    <xf borderId="11" fillId="9" fontId="11" numFmtId="165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0" fillId="9" fontId="2" numFmtId="49" xfId="0" applyAlignment="1" applyBorder="1" applyFont="1" applyNumberFormat="1">
      <alignment horizontal="center" readingOrder="0" vertical="center"/>
    </xf>
    <xf borderId="21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0" fillId="9" fontId="2" numFmtId="0" xfId="0" applyAlignment="1" applyBorder="1" applyFon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0" fillId="9" fontId="2" numFmtId="20" xfId="0" applyAlignment="1" applyBorder="1" applyFont="1" applyNumberFormat="1">
      <alignment horizontal="center" vertical="center"/>
    </xf>
    <xf borderId="19" fillId="7" fontId="14" numFmtId="0" xfId="0" applyAlignment="1" applyBorder="1" applyFont="1">
      <alignment horizontal="center" readingOrder="0" vertical="center"/>
    </xf>
    <xf borderId="11" fillId="12" fontId="11" numFmtId="165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0" xfId="0" applyAlignment="1" applyBorder="1" applyFont="1">
      <alignment horizontal="center" readingOrder="0" vertical="center"/>
    </xf>
    <xf borderId="1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3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1" fillId="10" fontId="19" numFmtId="0" xfId="0" applyAlignment="1" applyBorder="1" applyFont="1">
      <alignment horizontal="center" shrinkToFit="0" vertical="bottom" wrapText="1"/>
    </xf>
    <xf borderId="21" fillId="10" fontId="14" numFmtId="0" xfId="0" applyAlignment="1" applyBorder="1" applyFont="1">
      <alignment horizontal="center" shrinkToFit="0" vertical="bottom" wrapText="1"/>
    </xf>
    <xf borderId="1" fillId="2" fontId="20" numFmtId="2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21" fillId="13" fontId="19" numFmtId="0" xfId="0" applyAlignment="1" applyBorder="1" applyFill="1" applyFont="1">
      <alignment horizontal="center" shrinkToFit="0" vertical="bottom" wrapText="1"/>
    </xf>
    <xf borderId="21" fillId="13" fontId="19" numFmtId="165" xfId="0" applyAlignment="1" applyBorder="1" applyFont="1" applyNumberFormat="1">
      <alignment horizontal="center" shrinkToFit="0" vertical="bottom" wrapText="1"/>
    </xf>
    <xf borderId="21" fillId="13" fontId="2" numFmtId="0" xfId="0" applyAlignment="1" applyBorder="1" applyFont="1">
      <alignment horizontal="center" vertical="bottom"/>
    </xf>
    <xf borderId="24" fillId="0" fontId="14" numFmtId="0" xfId="0" applyAlignment="1" applyBorder="1" applyFont="1">
      <alignment horizontal="center" readingOrder="0" vertical="center"/>
    </xf>
    <xf borderId="25" fillId="0" fontId="14" numFmtId="20" xfId="0" applyAlignment="1" applyBorder="1" applyFont="1" applyNumberFormat="1">
      <alignment horizontal="center" vertical="center"/>
    </xf>
    <xf borderId="25" fillId="0" fontId="14" numFmtId="0" xfId="0" applyAlignment="1" applyBorder="1" applyFon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10" fontId="14" numFmtId="0" xfId="0" applyAlignment="1" applyBorder="1" applyFont="1">
      <alignment horizontal="center" shrinkToFit="0" vertical="bottom" wrapText="1"/>
    </xf>
    <xf borderId="27" fillId="10" fontId="19" numFmtId="0" xfId="0" applyAlignment="1" applyBorder="1" applyFont="1">
      <alignment horizontal="center" shrinkToFit="0" vertical="bottom" wrapText="1"/>
    </xf>
    <xf borderId="21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0" fillId="12" fontId="14" numFmtId="0" xfId="0" applyAlignment="1" applyBorder="1" applyFont="1">
      <alignment horizontal="center" vertical="center"/>
    </xf>
    <xf borderId="28" fillId="0" fontId="6" numFmtId="0" xfId="0" applyBorder="1" applyFont="1"/>
    <xf borderId="21" fillId="9" fontId="2" numFmtId="20" xfId="0" applyAlignment="1" applyBorder="1" applyFont="1" applyNumberFormat="1">
      <alignment horizontal="center" vertical="center"/>
    </xf>
    <xf borderId="13" fillId="12" fontId="14" numFmtId="0" xfId="0" applyAlignment="1" applyBorder="1" applyFont="1">
      <alignment horizontal="center" vertical="center"/>
    </xf>
    <xf borderId="21" fillId="15" fontId="19" numFmtId="0" xfId="0" applyAlignment="1" applyBorder="1" applyFill="1" applyFont="1">
      <alignment horizontal="center" shrinkToFit="0" vertical="bottom" wrapText="1"/>
    </xf>
    <xf borderId="21" fillId="16" fontId="2" numFmtId="0" xfId="0" applyAlignment="1" applyBorder="1" applyFill="1" applyFont="1">
      <alignment horizontal="center" readingOrder="0" vertical="bottom"/>
    </xf>
    <xf borderId="29" fillId="10" fontId="14" numFmtId="0" xfId="0" applyAlignment="1" applyBorder="1" applyFont="1">
      <alignment horizontal="center" shrinkToFit="0" vertical="bottom" wrapText="1"/>
    </xf>
    <xf borderId="30" fillId="0" fontId="6" numFmtId="0" xfId="0" applyBorder="1" applyFont="1"/>
    <xf borderId="21" fillId="9" fontId="2" numFmtId="46" xfId="0" applyAlignment="1" applyBorder="1" applyFont="1" applyNumberFormat="1">
      <alignment horizontal="center" readingOrder="0" vertical="center"/>
    </xf>
    <xf borderId="31" fillId="0" fontId="6" numFmtId="0" xfId="0" applyBorder="1" applyFont="1"/>
    <xf borderId="12" fillId="0" fontId="6" numFmtId="0" xfId="0" applyBorder="1" applyFont="1"/>
    <xf borderId="21" fillId="9" fontId="2" numFmtId="20" xfId="0" applyAlignment="1" applyBorder="1" applyFont="1" applyNumberFormat="1">
      <alignment horizontal="center" readingOrder="0" vertical="center"/>
    </xf>
    <xf borderId="32" fillId="16" fontId="2" numFmtId="0" xfId="0" applyAlignment="1" applyBorder="1" applyFont="1">
      <alignment horizontal="center" vertical="bottom"/>
    </xf>
    <xf borderId="33" fillId="0" fontId="6" numFmtId="0" xfId="0" applyBorder="1" applyFont="1"/>
    <xf borderId="21" fillId="13" fontId="2" numFmtId="10" xfId="0" applyAlignment="1" applyBorder="1" applyFont="1" applyNumberFormat="1">
      <alignment horizontal="center" vertical="bottom"/>
    </xf>
    <xf borderId="0" fillId="17" fontId="2" numFmtId="0" xfId="0" applyAlignment="1" applyFill="1" applyFont="1">
      <alignment vertical="bottom"/>
    </xf>
    <xf borderId="16" fillId="9" fontId="2" numFmtId="0" xfId="0" applyAlignment="1" applyBorder="1" applyFont="1">
      <alignment horizontal="center" vertical="center"/>
    </xf>
    <xf borderId="0" fillId="2" fontId="20" numFmtId="2" xfId="0" applyAlignment="1" applyFont="1" applyNumberFormat="1">
      <alignment horizontal="center" vertical="center"/>
    </xf>
    <xf borderId="22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19" fillId="0" fontId="6" numFmtId="0" xfId="0" applyBorder="1" applyFont="1"/>
    <xf borderId="19" fillId="6" fontId="14" numFmtId="0" xfId="0" applyAlignment="1" applyBorder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0" fillId="17" fontId="2" numFmtId="0" xfId="0" applyAlignment="1" applyBorder="1" applyFont="1">
      <alignment vertical="bottom"/>
    </xf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4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5" xfId="0" applyAlignment="1" applyFont="1" applyNumberFormat="1">
      <alignment horizontal="center" readingOrder="0" vertical="center"/>
    </xf>
    <xf borderId="24" fillId="5" fontId="10" numFmtId="0" xfId="0" applyAlignment="1" applyBorder="1" applyFont="1">
      <alignment horizontal="center" vertical="center"/>
    </xf>
    <xf borderId="34" fillId="5" fontId="11" numFmtId="165" xfId="0" applyAlignment="1" applyBorder="1" applyFont="1" applyNumberFormat="1">
      <alignment horizontal="center" readingOrder="0" vertical="center"/>
    </xf>
    <xf borderId="0" fillId="5" fontId="11" numFmtId="165" xfId="0" applyAlignment="1" applyFont="1" applyNumberFormat="1">
      <alignment horizontal="center" readingOrder="0" vertical="center"/>
    </xf>
    <xf borderId="0" fillId="5" fontId="12" numFmtId="166" xfId="0" applyAlignment="1" applyFont="1" applyNumberFormat="1">
      <alignment horizontal="center" readingOrder="0" vertical="center"/>
    </xf>
    <xf borderId="3" fillId="5" fontId="12" numFmtId="166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5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35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5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3" fillId="5" fontId="13" numFmtId="0" xfId="0" applyAlignment="1" applyBorder="1" applyFont="1">
      <alignment horizontal="center" readingOrder="0" vertical="center"/>
    </xf>
    <xf borderId="14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35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24" fillId="5" fontId="14" numFmtId="0" xfId="0" applyAlignment="1" applyBorder="1" applyFont="1">
      <alignment horizontal="center" readingOrder="0" vertical="center"/>
    </xf>
    <xf borderId="25" fillId="5" fontId="14" numFmtId="0" xfId="0" applyAlignment="1" applyBorder="1" applyFont="1">
      <alignment horizontal="center" readingOrder="0" vertical="center"/>
    </xf>
    <xf borderId="25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14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0" fillId="14" fontId="2" numFmtId="49" xfId="0" applyAlignment="1" applyBorder="1" applyFont="1" applyNumberFormat="1">
      <alignment horizontal="center" readingOrder="0" vertical="center"/>
    </xf>
    <xf borderId="39" fillId="5" fontId="14" numFmtId="49" xfId="0" applyAlignment="1" applyBorder="1" applyFont="1" applyNumberFormat="1">
      <alignment horizontal="center" readingOrder="0" vertical="center"/>
    </xf>
    <xf borderId="19" fillId="5" fontId="10" numFmtId="0" xfId="0" applyAlignment="1" applyBorder="1" applyFont="1">
      <alignment horizontal="center" vertical="center"/>
    </xf>
    <xf borderId="11" fillId="5" fontId="11" numFmtId="165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6" fillId="5" fontId="14" numFmtId="0" xfId="0" applyAlignment="1" applyBorder="1" applyFont="1">
      <alignment horizontal="center" vertical="center"/>
    </xf>
    <xf borderId="20" fillId="14" fontId="2" numFmtId="49" xfId="0" applyAlignment="1" applyBorder="1" applyFont="1" applyNumberFormat="1">
      <alignment horizontal="center" readingOrder="0" vertical="center"/>
    </xf>
    <xf borderId="22" fillId="5" fontId="14" numFmtId="0" xfId="0" applyAlignment="1" applyBorder="1" applyFont="1">
      <alignment horizontal="center" readingOrder="0" vertical="center"/>
    </xf>
    <xf borderId="35" fillId="5" fontId="16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top" wrapText="1"/>
    </xf>
    <xf borderId="40" fillId="10" fontId="19" numFmtId="0" xfId="0" applyAlignment="1" applyBorder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readingOrder="0" shrinkToFit="0" vertical="center" wrapText="1"/>
    </xf>
    <xf borderId="41" fillId="10" fontId="14" numFmtId="0" xfId="0" applyAlignment="1" applyBorder="1" applyFont="1">
      <alignment horizontal="center" readingOrder="0" shrinkToFit="0" vertical="center" wrapText="1"/>
    </xf>
    <xf borderId="42" fillId="10" fontId="14" numFmtId="0" xfId="0" applyAlignment="1" applyBorder="1" applyFont="1">
      <alignment horizontal="center" readingOrder="0" shrinkToFit="0" vertical="center" wrapText="1"/>
    </xf>
    <xf borderId="16" fillId="0" fontId="6" numFmtId="0" xfId="0" applyBorder="1" applyFont="1"/>
    <xf borderId="43" fillId="0" fontId="6" numFmtId="0" xfId="0" applyBorder="1" applyFont="1"/>
    <xf borderId="44" fillId="13" fontId="19" numFmtId="0" xfId="0" applyAlignment="1" applyBorder="1" applyFont="1">
      <alignment horizontal="center" readingOrder="0" shrinkToFit="0" vertical="center" wrapText="1"/>
    </xf>
    <xf borderId="21" fillId="13" fontId="19" numFmtId="165" xfId="0" applyAlignment="1" applyBorder="1" applyFont="1" applyNumberFormat="1">
      <alignment horizontal="center" readingOrder="0" shrinkToFit="0" vertical="center" wrapText="1"/>
    </xf>
    <xf borderId="21" fillId="13" fontId="2" numFmtId="0" xfId="0" applyAlignment="1" applyBorder="1" applyFont="1">
      <alignment horizontal="center" readingOrder="0" vertical="center"/>
    </xf>
    <xf borderId="39" fillId="13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readingOrder="0" shrinkToFit="0" vertical="center" wrapText="1"/>
    </xf>
    <xf borderId="27" fillId="10" fontId="19" numFmtId="0" xfId="0" applyAlignment="1" applyBorder="1" applyFont="1">
      <alignment horizontal="center" readingOrder="0" shrinkToFit="0" vertical="center" wrapText="1"/>
    </xf>
    <xf borderId="27" fillId="10" fontId="14" numFmtId="0" xfId="0" applyAlignment="1" applyBorder="1" applyFont="1">
      <alignment horizontal="center" readingOrder="0" shrinkToFit="0" vertical="center" wrapText="1"/>
    </xf>
    <xf borderId="46" fillId="10" fontId="19" numFmtId="0" xfId="0" applyAlignment="1" applyBorder="1" applyFont="1">
      <alignment horizontal="center" readingOrder="0" shrinkToFit="0" vertical="center" wrapText="1"/>
    </xf>
    <xf borderId="44" fillId="15" fontId="19" numFmtId="0" xfId="0" applyAlignment="1" applyBorder="1" applyFont="1">
      <alignment horizontal="center" readingOrder="0" shrinkToFit="0" vertical="center" wrapText="1"/>
    </xf>
    <xf borderId="39" fillId="20" fontId="2" numFmtId="0" xfId="0" applyAlignment="1" applyBorder="1" applyFill="1" applyFont="1">
      <alignment horizontal="center" readingOrder="0" vertical="center"/>
    </xf>
    <xf borderId="47" fillId="10" fontId="14" numFmtId="0" xfId="0" applyAlignment="1" applyBorder="1" applyFont="1">
      <alignment horizontal="center" readingOrder="0" shrinkToFit="0" vertical="center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 vertical="center"/>
    </xf>
    <xf borderId="21" fillId="13" fontId="2" numFmtId="10" xfId="0" applyAlignment="1" applyBorder="1" applyFont="1" applyNumberFormat="1">
      <alignment horizontal="center" readingOrder="0" vertical="center"/>
    </xf>
    <xf borderId="39" fillId="13" fontId="2" numFmtId="0" xfId="0" applyAlignment="1" applyBorder="1" applyFont="1">
      <alignment horizontal="center" readingOrder="0" vertical="center"/>
    </xf>
    <xf borderId="18" fillId="17" fontId="19" numFmtId="0" xfId="0" applyAlignment="1" applyBorder="1" applyFont="1">
      <alignment horizontal="center" readingOrder="0" shrinkToFit="0" vertical="center" wrapText="1"/>
    </xf>
    <xf borderId="22" fillId="5" fontId="2" numFmtId="49" xfId="0" applyAlignment="1" applyBorder="1" applyFont="1" applyNumberFormat="1">
      <alignment horizontal="center" readingOrder="0" vertical="center"/>
    </xf>
    <xf borderId="19" fillId="5" fontId="2" numFmtId="49" xfId="0" applyAlignment="1" applyBorder="1" applyFont="1" applyNumberFormat="1">
      <alignment horizontal="center" readingOrder="0" vertical="center"/>
    </xf>
    <xf borderId="15" fillId="14" fontId="2" numFmtId="49" xfId="0" applyAlignment="1" applyBorder="1" applyFont="1" applyNumberFormat="1">
      <alignment horizontal="center" readingOrder="0" vertical="center"/>
    </xf>
    <xf borderId="37" fillId="5" fontId="14" numFmtId="49" xfId="0" applyAlignment="1" applyBorder="1" applyFont="1" applyNumberFormat="1">
      <alignment horizontal="center" readingOrder="0" vertical="center"/>
    </xf>
    <xf borderId="23" fillId="13" fontId="2" numFmtId="10" xfId="0" applyAlignment="1" applyBorder="1" applyFont="1" applyNumberFormat="1">
      <alignment horizontal="center" readingOrder="0" vertical="center"/>
    </xf>
    <xf borderId="3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167" xfId="0" applyAlignment="1" applyFont="1" applyNumberFormat="1">
      <alignment readingOrder="0"/>
    </xf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168" xfId="0" applyAlignment="1" applyFont="1" applyNumberFormat="1">
      <alignment horizontal="right" vertical="bottom"/>
    </xf>
    <xf borderId="0" fillId="0" fontId="2" numFmtId="165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24" numFmtId="0" xfId="0" applyAlignment="1" applyFont="1">
      <alignment vertical="bottom"/>
    </xf>
    <xf borderId="0" fillId="0" fontId="2" numFmtId="2" xfId="0" applyAlignment="1" applyFont="1" applyNumberFormat="1">
      <alignment vertical="bottom"/>
    </xf>
    <xf borderId="0" fillId="5" fontId="2" numFmtId="0" xfId="0" applyAlignment="1" applyFont="1">
      <alignment vertical="bottom"/>
    </xf>
    <xf borderId="0" fillId="0" fontId="2" numFmtId="20" xfId="0" applyAlignment="1" applyFont="1" applyNumberFormat="1">
      <alignment vertical="bottom"/>
    </xf>
    <xf borderId="0" fillId="0" fontId="2" numFmtId="169" xfId="0" applyAlignment="1" applyFont="1" applyNumberFormat="1">
      <alignment vertical="bottom"/>
    </xf>
    <xf borderId="35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5"/>
      <c r="B1" s="6" t="s">
        <v>74</v>
      </c>
      <c r="C1" s="7" t="s">
        <v>0</v>
      </c>
      <c r="D1" s="8">
        <v>45580.0</v>
      </c>
      <c r="E1" s="9"/>
      <c r="F1" s="10" t="s">
        <v>28</v>
      </c>
      <c r="G1" s="11"/>
      <c r="H1" s="12"/>
      <c r="I1" s="10" t="s">
        <v>26</v>
      </c>
      <c r="J1" s="11"/>
      <c r="K1" s="12"/>
      <c r="L1" s="13" t="s">
        <v>75</v>
      </c>
      <c r="M1" s="14"/>
    </row>
    <row r="2" ht="19.5" customHeight="1">
      <c r="A2" s="5"/>
      <c r="B2" s="15"/>
      <c r="C2" s="15"/>
      <c r="D2" s="16"/>
      <c r="E2" s="17"/>
      <c r="F2" s="18">
        <f>IFERROR(__xludf.DUMMYFUNCTION("IF(I2&gt;0, 
    100 / (I2 / 112 * 100 / ((SUM(A12:A21, A25:A31) + (M17 + I32) + IFERROR(SUM(FILTER(HR!X5:X48, LEN(HR!A5:A48) &gt; 0)), 0)) / 100)), 
    ""Zadej tržbu"")
"),0.01004011623119184)</f>
        <v>0.01004011623</v>
      </c>
      <c r="H2" s="19"/>
      <c r="I2" s="20">
        <f>SUM(RestiaCSV!C:C) - SUMIFS(RestiaCSV!C:C, RestiaCSV!B:B, "canceled")</f>
        <v>42501.5</v>
      </c>
      <c r="K2" s="19"/>
      <c r="L2" s="21" t="s">
        <v>76</v>
      </c>
      <c r="M2" s="22">
        <f>SUMIFS(RestiaCSV!C:C, RestiaCSV!A:A, Report!L2, RestiaCSV!B:B, "&lt;&gt;canceled")</f>
        <v>14166</v>
      </c>
    </row>
    <row r="3">
      <c r="A3" s="23"/>
      <c r="B3" s="24" t="str">
        <f>CHOOSE(WEEKDAY(D1), "Neděle", "Pondělí", "Úterý", "Středa", "Čtvrtek", "Pátek", "Sobota")</f>
        <v>Úterý</v>
      </c>
      <c r="C3" s="25"/>
      <c r="D3" s="25"/>
      <c r="E3" s="9"/>
      <c r="H3" s="19"/>
      <c r="K3" s="19"/>
      <c r="L3" s="21" t="s">
        <v>77</v>
      </c>
      <c r="M3" s="22">
        <f>SUMIFS(RestiaCSV!C:C, RestiaCSV!A:A, Report!L3, RestiaCSV!B:B, "&lt;&gt;canceled")</f>
        <v>2963</v>
      </c>
    </row>
    <row r="4">
      <c r="A4" s="23"/>
      <c r="B4" s="16"/>
      <c r="C4" s="26"/>
      <c r="D4" s="26"/>
      <c r="E4" s="17"/>
      <c r="F4" s="26"/>
      <c r="G4" s="26"/>
      <c r="H4" s="17"/>
      <c r="I4" s="26"/>
      <c r="J4" s="26"/>
      <c r="K4" s="17"/>
      <c r="L4" s="21" t="s">
        <v>78</v>
      </c>
      <c r="M4" s="22">
        <f>SUMIFS(RestiaCSV!C:C, RestiaCSV!A:A, "damejidlo", RestiaCSV!G:G, "online", RestiaCSV!B:B, "&lt;&gt;canceled")</f>
        <v>6584</v>
      </c>
    </row>
    <row r="5">
      <c r="A5" s="23"/>
      <c r="B5" s="27" t="s">
        <v>79</v>
      </c>
      <c r="C5" s="25"/>
      <c r="D5" s="25"/>
      <c r="E5" s="25"/>
      <c r="F5" s="25"/>
      <c r="G5" s="25"/>
      <c r="H5" s="25"/>
      <c r="I5" s="25"/>
      <c r="J5" s="25"/>
      <c r="K5" s="9"/>
      <c r="L5" s="28" t="s">
        <v>80</v>
      </c>
      <c r="M5" s="22">
        <f>SUMIFS(RestiaCSV!C:C, RestiaCSV!A:A, "generic", RestiaCSV!G:G, "online", RestiaCSV!B:B, "&lt;&gt;canceled") </f>
        <v>8838</v>
      </c>
    </row>
    <row r="6">
      <c r="A6" s="23"/>
      <c r="B6" s="16"/>
      <c r="C6" s="26"/>
      <c r="D6" s="26"/>
      <c r="E6" s="26"/>
      <c r="F6" s="26"/>
      <c r="G6" s="26"/>
      <c r="H6" s="26"/>
      <c r="I6" s="26"/>
      <c r="J6" s="26"/>
      <c r="K6" s="17"/>
      <c r="L6" s="28" t="s">
        <v>81</v>
      </c>
      <c r="M6" s="22">
        <f>SUMIFS(RestiaCSV!C:C, RestiaCSV!E:E, "wolt kurýr", RestiaCSV!A:A, "&lt;&gt;wolt", RestiaCSV!G:G, "cash", RestiaCSV!B:B, "&lt;&gt;canceled")</f>
        <v>795</v>
      </c>
    </row>
    <row r="7">
      <c r="A7" s="23"/>
      <c r="B7" s="29"/>
      <c r="C7" s="25"/>
      <c r="D7" s="25"/>
      <c r="E7" s="9"/>
      <c r="F7" s="30"/>
      <c r="J7" s="31"/>
      <c r="K7" s="9"/>
      <c r="L7" s="32" t="s">
        <v>82</v>
      </c>
      <c r="M7" s="33">
        <f>SUMIFS(RestiaCSV!C:C, RestiaCSV!A:A, "damejidlo", RestiaCSV!G:G, "cash", RestiaCSV!B:B, "&lt;&gt;canceled") </f>
        <v>3398</v>
      </c>
    </row>
    <row r="8">
      <c r="A8" s="23"/>
      <c r="B8" s="34"/>
      <c r="E8" s="19"/>
      <c r="J8" s="34"/>
      <c r="K8" s="19"/>
      <c r="L8" s="35" t="s">
        <v>25</v>
      </c>
      <c r="M8" s="12"/>
    </row>
    <row r="9">
      <c r="A9" s="23"/>
      <c r="B9" s="16"/>
      <c r="C9" s="26"/>
      <c r="D9" s="26"/>
      <c r="E9" s="17"/>
      <c r="F9" s="26"/>
      <c r="G9" s="26"/>
      <c r="H9" s="26"/>
      <c r="I9" s="26"/>
      <c r="J9" s="16"/>
      <c r="K9" s="17"/>
      <c r="L9" s="21" t="s">
        <v>23</v>
      </c>
      <c r="M9" s="36"/>
    </row>
    <row r="10">
      <c r="A10" s="23"/>
      <c r="B10" s="37" t="s">
        <v>83</v>
      </c>
      <c r="C10" s="26"/>
      <c r="D10" s="26"/>
      <c r="E10" s="26"/>
      <c r="F10" s="17"/>
      <c r="G10" s="38" t="s">
        <v>15</v>
      </c>
      <c r="H10" s="26"/>
      <c r="I10" s="17"/>
      <c r="J10" s="39" t="s">
        <v>84</v>
      </c>
      <c r="K10" s="17"/>
      <c r="L10" s="21" t="s">
        <v>24</v>
      </c>
      <c r="M10" s="36"/>
    </row>
    <row r="11">
      <c r="A11" s="23"/>
      <c r="B11" s="40" t="s">
        <v>85</v>
      </c>
      <c r="C11" s="41" t="s">
        <v>86</v>
      </c>
      <c r="D11" s="41" t="s">
        <v>87</v>
      </c>
      <c r="E11" s="41" t="s">
        <v>88</v>
      </c>
      <c r="F11" s="42" t="s">
        <v>89</v>
      </c>
      <c r="G11" s="43"/>
      <c r="I11" s="19"/>
      <c r="J11" s="44">
        <f>M2+M3+M4+M5+M6+M13+M14+M15+M16+M17+M9+M10+M11-I2</f>
        <v>-9155.5</v>
      </c>
      <c r="K11" s="9"/>
      <c r="L11" s="45" t="s">
        <v>25</v>
      </c>
      <c r="M11" s="46"/>
    </row>
    <row r="12">
      <c r="A12" s="47">
        <f t="array" ref="A12">IF(ISBLANK(B12), 0, IF(ISNUMBER(MATCH(B12, HR!A:A, 0)), 0, IF(ISNUMBER(MATCH(B12, HR!B:B, 0)), INDEX(HR!W:W, MATCH(B12, HR!B:B, 0)) * (F12 * 24), 0)))</f>
        <v>0</v>
      </c>
      <c r="B12" s="48"/>
      <c r="C12" s="49" t="s">
        <v>41</v>
      </c>
      <c r="D12" s="49" t="s">
        <v>46</v>
      </c>
      <c r="E12" s="50"/>
      <c r="F12" s="51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19"/>
      <c r="J12" s="34"/>
      <c r="K12" s="19"/>
      <c r="L12" s="52" t="s">
        <v>90</v>
      </c>
      <c r="M12" s="17"/>
    </row>
    <row r="13">
      <c r="A13" s="47">
        <f t="array" ref="A13">IF(ISBLANK(B13), 0, IF(ISNUMBER(MATCH(B13, HR!A:A, 0)), 0, IF(ISNUMBER(MATCH(B13, HR!B:B, 0)), INDEX(HR!W:W, MATCH(B13, HR!B:B, 0)) * (F13 * 24), 0)))</f>
        <v>0</v>
      </c>
      <c r="B13" s="48"/>
      <c r="C13" s="49" t="s">
        <v>45</v>
      </c>
      <c r="D13" s="49" t="s">
        <v>46</v>
      </c>
      <c r="E13" s="50"/>
      <c r="F13" s="51" t="str">
        <f t="shared" si="1"/>
        <v>0:00</v>
      </c>
      <c r="G13" s="26"/>
      <c r="H13" s="26"/>
      <c r="I13" s="17"/>
      <c r="J13" s="34"/>
      <c r="K13" s="19"/>
      <c r="L13" s="21" t="s">
        <v>29</v>
      </c>
      <c r="M13" s="36"/>
    </row>
    <row r="14">
      <c r="A14" s="47">
        <f t="array" ref="A14">IF(ISBLANK(B14), 0, IF(ISNUMBER(MATCH(B14, HR!A:A, 0)), 0, IF(ISNUMBER(MATCH(B14, HR!B:B, 0)), INDEX(HR!W:W, MATCH(B14, HR!B:B, 0)) * (F14 * 24), 0)))</f>
        <v>0</v>
      </c>
      <c r="B14" s="48"/>
      <c r="C14" s="49" t="s">
        <v>41</v>
      </c>
      <c r="D14" s="49" t="s">
        <v>45</v>
      </c>
      <c r="E14" s="53"/>
      <c r="F14" s="51" t="str">
        <f t="shared" si="1"/>
        <v>0:00</v>
      </c>
      <c r="G14" s="54"/>
      <c r="I14" s="19"/>
      <c r="J14" s="34"/>
      <c r="K14" s="19"/>
      <c r="L14" s="55" t="s">
        <v>30</v>
      </c>
      <c r="M14" s="36"/>
    </row>
    <row r="15">
      <c r="A15" s="47">
        <f t="array" ref="A15">IF(ISBLANK(B15), 0, IF(ISNUMBER(MATCH(B15, HR!A:A, 0)), 0, IF(ISNUMBER(MATCH(B15, HR!B:B, 0)), INDEX(HR!W:W, MATCH(B15, HR!B:B, 0)) * (F15 * 24), 0)))</f>
        <v>0</v>
      </c>
      <c r="B15" s="48"/>
      <c r="C15" s="49"/>
      <c r="D15" s="49"/>
      <c r="E15" s="50"/>
      <c r="F15" s="51" t="str">
        <f t="shared" si="1"/>
        <v>0:00</v>
      </c>
      <c r="I15" s="19"/>
      <c r="J15" s="34"/>
      <c r="K15" s="19"/>
      <c r="L15" s="55" t="s">
        <v>31</v>
      </c>
      <c r="M15" s="36"/>
    </row>
    <row r="16">
      <c r="A16" s="47">
        <f t="array" ref="A16">IF(ISBLANK(B16), 0, IF(ISNUMBER(MATCH(B16, HR!A:A, 0)), 0, IF(ISNUMBER(MATCH(B16, HR!B:B, 0)), INDEX(HR!W:W, MATCH(B16, HR!B:B, 0)) * (F16 * 24), 0)))</f>
        <v>0</v>
      </c>
      <c r="B16" s="48"/>
      <c r="C16" s="49"/>
      <c r="D16" s="49"/>
      <c r="E16" s="56"/>
      <c r="F16" s="51" t="str">
        <f t="shared" si="1"/>
        <v>0:00</v>
      </c>
      <c r="I16" s="19"/>
      <c r="J16" s="34"/>
      <c r="K16" s="19"/>
      <c r="L16" s="55" t="s">
        <v>32</v>
      </c>
      <c r="M16" s="36"/>
    </row>
    <row r="17">
      <c r="A17" s="47">
        <f t="array" ref="A17">IF(ISBLANK(B17), 0, IF(ISNUMBER(MATCH(B17, HR!A:A, 0)), 0, IF(ISNUMBER(MATCH(B17, HR!B:B, 0)), INDEX(HR!W:W, MATCH(B17, HR!B:B, 0)) * (F17 * 24), 0)))</f>
        <v>0</v>
      </c>
      <c r="B17" s="48"/>
      <c r="C17" s="49"/>
      <c r="D17" s="49"/>
      <c r="E17" s="50"/>
      <c r="F17" s="51" t="str">
        <f t="shared" si="1"/>
        <v>0:00</v>
      </c>
      <c r="G17" s="26"/>
      <c r="H17" s="26"/>
      <c r="I17" s="17"/>
      <c r="J17" s="16"/>
      <c r="K17" s="17"/>
      <c r="L17" s="57" t="s">
        <v>33</v>
      </c>
      <c r="M17" s="58">
        <f>sum(I25:I31)</f>
        <v>0</v>
      </c>
    </row>
    <row r="18" ht="21.75" customHeight="1">
      <c r="A18" s="47">
        <f t="array" ref="A18">IF(ISBLANK(B18), 0, IF(ISNUMBER(MATCH(B18, HR!A:A, 0)), 0, IF(ISNUMBER(MATCH(B18, HR!B:B, 0)), INDEX(HR!W:W, MATCH(B18, HR!B:B, 0)) * (F18 * 24), 0)))</f>
        <v>0</v>
      </c>
      <c r="B18" s="48"/>
      <c r="C18" s="49"/>
      <c r="D18" s="49"/>
      <c r="E18" s="56"/>
      <c r="F18" s="51" t="str">
        <f t="shared" si="1"/>
        <v>0:00</v>
      </c>
      <c r="G18" s="52" t="s">
        <v>16</v>
      </c>
      <c r="H18" s="26"/>
      <c r="I18" s="17"/>
      <c r="J18" s="59"/>
      <c r="M18" s="60"/>
    </row>
    <row r="19">
      <c r="A19" s="47">
        <f t="array" ref="A19">IF(ISBLANK(B19), 0, IF(ISNUMBER(MATCH(B19, HR!A:A, 0)), 0, IF(ISNUMBER(MATCH(B19, HR!B:B, 0)), INDEX(HR!W:W, MATCH(B19, HR!B:B, 0)) * (F19 * 24), 0)))</f>
        <v>0</v>
      </c>
      <c r="B19" s="48"/>
      <c r="C19" s="49"/>
      <c r="D19" s="49"/>
      <c r="E19" s="56"/>
      <c r="F19" s="51" t="str">
        <f t="shared" si="1"/>
        <v>0:00</v>
      </c>
      <c r="G19" s="43"/>
      <c r="I19" s="19"/>
      <c r="M19" s="60"/>
    </row>
    <row r="20">
      <c r="A20" s="47">
        <f t="array" ref="A20">IF(ISBLANK(B20), 0, IF(ISNUMBER(MATCH(B20, HR!A:A, 0)), 0, IF(ISNUMBER(MATCH(B20, HR!B:B, 0)), INDEX(HR!W:W, MATCH(B20, HR!B:B, 0)) * (F20 * 24), 0)))</f>
        <v>0</v>
      </c>
      <c r="B20" s="48"/>
      <c r="C20" s="61"/>
      <c r="D20" s="61"/>
      <c r="E20" s="56"/>
      <c r="F20" s="51" t="str">
        <f t="shared" si="1"/>
        <v>0:00</v>
      </c>
      <c r="I20" s="19"/>
      <c r="M20" s="60"/>
    </row>
    <row r="21" ht="23.25" customHeight="1">
      <c r="A21" s="47">
        <f t="array" ref="A21">IF(ISBLANK(B21), 0, IF(ISNUMBER(MATCH(B21, HR!A:A, 0)), 0, IF(ISNUMBER(MATCH(B21, HR!B:B, 0)), INDEX(HR!W:W, MATCH(B21, HR!B:B, 0)) * (F21 * 24), 0)))</f>
        <v>0</v>
      </c>
      <c r="B21" s="62"/>
      <c r="C21" s="63"/>
      <c r="D21" s="63"/>
      <c r="E21" s="64"/>
      <c r="F21" s="65" t="str">
        <f t="shared" si="1"/>
        <v>0:00</v>
      </c>
      <c r="G21" s="26"/>
      <c r="H21" s="26"/>
      <c r="I21" s="17"/>
      <c r="M21" s="60"/>
    </row>
    <row r="22" ht="42.0" customHeight="1">
      <c r="A22" s="66"/>
      <c r="B22" s="67"/>
      <c r="C22" s="26"/>
      <c r="D22" s="26"/>
      <c r="E22" s="26"/>
      <c r="F22" s="26"/>
      <c r="G22" s="26"/>
      <c r="H22" s="26"/>
      <c r="I22" s="17"/>
      <c r="J22" s="68" t="s">
        <v>34</v>
      </c>
      <c r="K22" s="68" t="s">
        <v>35</v>
      </c>
      <c r="L22" s="69" t="s">
        <v>91</v>
      </c>
      <c r="M22" s="69" t="s">
        <v>37</v>
      </c>
    </row>
    <row r="23">
      <c r="A23" s="70"/>
      <c r="B23" s="71" t="s">
        <v>92</v>
      </c>
      <c r="I23" s="19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6</v>
      </c>
      <c r="M23" s="72" t="str">
        <f>INT(AVERAGE(RestiaCSV!N2:N32)) &amp; " min " &amp; TEXT(MOD(AVERAGE(RestiaCSV!N2:N32) * 60, 60), "00") &amp; " s"
</f>
        <v>12 min 24 s</v>
      </c>
    </row>
    <row r="24" ht="21.75" customHeight="1">
      <c r="A24" s="66"/>
      <c r="B24" s="75" t="s">
        <v>85</v>
      </c>
      <c r="C24" s="76" t="s">
        <v>86</v>
      </c>
      <c r="D24" s="76" t="s">
        <v>87</v>
      </c>
      <c r="E24" s="76" t="s">
        <v>88</v>
      </c>
      <c r="F24" s="77" t="s">
        <v>89</v>
      </c>
      <c r="G24" s="77" t="s">
        <v>93</v>
      </c>
      <c r="H24" s="77" t="s">
        <v>94</v>
      </c>
      <c r="I24" s="78" t="s">
        <v>13</v>
      </c>
      <c r="J24" s="79" t="s">
        <v>95</v>
      </c>
      <c r="K24" s="80" t="s">
        <v>96</v>
      </c>
      <c r="L24" s="79" t="s">
        <v>97</v>
      </c>
      <c r="M24" s="80" t="s">
        <v>98</v>
      </c>
    </row>
    <row r="25">
      <c r="A25" s="47">
        <f t="array" ref="A25">IF(ISBLANK(B25), 0, IF(ISNUMBER(MATCH(B25, HR!A:A, 0)), 0, IF(ISNUMBER(MATCH(B25, HR!B:B, 0)), INDEX(HR!W:W, MATCH(B25, HR!B:B, 0)) * (F25 * 24), 0)))</f>
        <v>0</v>
      </c>
      <c r="B25" s="48"/>
      <c r="C25" s="81" t="s">
        <v>63</v>
      </c>
      <c r="D25" s="81" t="s">
        <v>46</v>
      </c>
      <c r="E25" s="81"/>
      <c r="F25" s="51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2">
        <f>COUNTIF(RestiaCSV!E:E, B25)</f>
        <v>0</v>
      </c>
      <c r="H25" s="83" t="b">
        <v>0</v>
      </c>
      <c r="I25" s="84">
        <f t="shared" ref="I25:I31" si="3">IF(H25,G25*40, 0)</f>
        <v>0</v>
      </c>
      <c r="J25" s="85"/>
      <c r="K25" s="85"/>
      <c r="L25" s="85"/>
      <c r="M25" s="85"/>
    </row>
    <row r="26">
      <c r="A26" s="47">
        <f t="array" ref="A26">IF(ISBLANK(B26), 0, IF(ISNUMBER(MATCH(B26, HR!A:A, 0)), 0, IF(ISNUMBER(MATCH(B26, HR!B:B, 0)), INDEX(HR!W:W, MATCH(B26, HR!B:B, 0)) * (F26 * 24), 0)))</f>
        <v>0</v>
      </c>
      <c r="B26" s="48"/>
      <c r="C26" s="81"/>
      <c r="D26" s="81"/>
      <c r="E26" s="86"/>
      <c r="F26" s="51" t="str">
        <f t="shared" si="2"/>
        <v>0:00</v>
      </c>
      <c r="G26" s="82">
        <f>COUNTIF(RestiaCSV!E:E, B26)</f>
        <v>0</v>
      </c>
      <c r="H26" s="83" t="b">
        <v>0</v>
      </c>
      <c r="I26" s="87">
        <f t="shared" si="3"/>
        <v>0</v>
      </c>
      <c r="J26" s="88">
        <f>COUNTIF(I25:I31, "&gt;0")</f>
        <v>0</v>
      </c>
      <c r="K26" s="74">
        <f>IFERROR(__xludf.DUMMYFUNCTION("COUNTA(FILTER(RestiaCSV!B2:B32, RestiaCSV!B2:B32 &lt;&gt; ""canceled""))"),100.0)</f>
        <v>100</v>
      </c>
      <c r="L26" s="74">
        <f>COUNTIF(RestiaCSV!F1:F32, "delivery")</f>
        <v>21</v>
      </c>
      <c r="M26" s="89">
        <v>165.0</v>
      </c>
    </row>
    <row r="27" ht="22.5" customHeight="1">
      <c r="A27" s="47">
        <f t="array" ref="A27">IF(ISBLANK(B27), 0, IF(ISNUMBER(MATCH(B27, HR!A:A, 0)), 0, IF(ISNUMBER(MATCH(B27, HR!B:B, 0)), INDEX(HR!W:W, MATCH(B27, HR!B:B, 0)) * (F27 * 24), 0)))</f>
        <v>0</v>
      </c>
      <c r="B27" s="48"/>
      <c r="C27" s="81"/>
      <c r="D27" s="81"/>
      <c r="E27" s="86"/>
      <c r="F27" s="51" t="str">
        <f t="shared" si="2"/>
        <v>0:00</v>
      </c>
      <c r="G27" s="82">
        <f>COUNTIF(RestiaCSV!E:E, B27)</f>
        <v>0</v>
      </c>
      <c r="H27" s="83" t="b">
        <v>0</v>
      </c>
      <c r="I27" s="84">
        <f t="shared" si="3"/>
        <v>0</v>
      </c>
      <c r="J27" s="90" t="s">
        <v>99</v>
      </c>
      <c r="K27" s="91"/>
      <c r="L27" s="79" t="s">
        <v>100</v>
      </c>
      <c r="M27" s="80" t="s">
        <v>101</v>
      </c>
    </row>
    <row r="28">
      <c r="A28" s="47">
        <f t="array" ref="A28">IF(ISBLANK(B28), 0, IF(ISNUMBER(MATCH(B28, HR!A:A, 0)), 0, IF(ISNUMBER(MATCH(B28, HR!B:B, 0)), INDEX(HR!W:W, MATCH(B28, HR!B:B, 0)) * (F28 * 24), 0)))</f>
        <v>0</v>
      </c>
      <c r="B28" s="48"/>
      <c r="C28" s="81"/>
      <c r="D28" s="92"/>
      <c r="E28" s="86"/>
      <c r="F28" s="51" t="str">
        <f t="shared" si="2"/>
        <v>0:00</v>
      </c>
      <c r="G28" s="82">
        <f>COUNTIF(RestiaCSV!E:E, B28)</f>
        <v>0</v>
      </c>
      <c r="H28" s="83" t="b">
        <v>0</v>
      </c>
      <c r="I28" s="84">
        <f t="shared" si="3"/>
        <v>0</v>
      </c>
      <c r="J28" s="93"/>
      <c r="K28" s="94"/>
      <c r="L28" s="85"/>
      <c r="M28" s="85"/>
    </row>
    <row r="29">
      <c r="A29" s="47">
        <f t="array" ref="A29">IF(ISBLANK(B29), 0, IF(ISNUMBER(MATCH(B29, HR!A:A, 0)), 0, IF(ISNUMBER(MATCH(B29, HR!B:B, 0)), INDEX(HR!W:W, MATCH(B29, HR!B:B, 0)) * (F29 * 24), 0)))</f>
        <v>0</v>
      </c>
      <c r="B29" s="48"/>
      <c r="C29" s="81"/>
      <c r="D29" s="95"/>
      <c r="E29" s="86"/>
      <c r="F29" s="51" t="str">
        <f t="shared" si="2"/>
        <v>0:00</v>
      </c>
      <c r="G29" s="82">
        <f>COUNTIF(RestiaCSV!E:E, B29)</f>
        <v>0</v>
      </c>
      <c r="H29" s="83" t="b">
        <v>0</v>
      </c>
      <c r="I29" s="87">
        <f t="shared" si="3"/>
        <v>0</v>
      </c>
      <c r="J29" s="96">
        <f>COUNTIFS(RestiaCSV!M:M, "&gt;5", RestiaCSV!L:L, "&gt;5")</f>
        <v>2</v>
      </c>
      <c r="K29" s="97"/>
      <c r="L29" s="98">
        <f>L23/L26</f>
        <v>0.2857142857</v>
      </c>
      <c r="M29" s="74">
        <f>COUNTIFS(RestiaCSV!L:L, "&gt;5", RestiaCSV!F:F, "delivery", RestiaCSV!E:E, "Wolt Kurýr")</f>
        <v>2</v>
      </c>
    </row>
    <row r="30">
      <c r="A30" s="47">
        <f t="array" ref="A30">IF(ISBLANK(B30), 0, IF(ISNUMBER(MATCH(B30, HR!A:A, 0)), 0, IF(ISNUMBER(MATCH(B30, HR!B:B, 0)), INDEX(HR!W:W, MATCH(B30, HR!B:B, 0)) * (F30 * 24), 0)))</f>
        <v>0</v>
      </c>
      <c r="B30" s="48"/>
      <c r="C30" s="86"/>
      <c r="D30" s="86"/>
      <c r="E30" s="86"/>
      <c r="F30" s="51" t="str">
        <f t="shared" si="2"/>
        <v>0:00</v>
      </c>
      <c r="G30" s="82">
        <f>COUNTIF(RestiaCSV!E:E, B30)</f>
        <v>0</v>
      </c>
      <c r="H30" s="83" t="b">
        <v>0</v>
      </c>
      <c r="I30" s="87">
        <f t="shared" si="3"/>
        <v>0</v>
      </c>
      <c r="J30" s="99"/>
      <c r="K30" s="99"/>
      <c r="L30" s="80" t="s">
        <v>102</v>
      </c>
      <c r="M30" s="80" t="s">
        <v>103</v>
      </c>
    </row>
    <row r="31" ht="21.75" customHeight="1">
      <c r="A31" s="47">
        <f t="array" ref="A31">IF(ISBLANK(B31), 0, IF(ISNUMBER(MATCH(B31, HR!A:A, 0)), 0, IF(ISNUMBER(MATCH(B31, HR!B:B, 0)), INDEX(HR!W:W, MATCH(B31, HR!B:B, 0)) * (F31 * 24), 0)))</f>
        <v>0</v>
      </c>
      <c r="B31" s="100"/>
      <c r="C31" s="86"/>
      <c r="D31" s="86"/>
      <c r="E31" s="86"/>
      <c r="F31" s="51" t="str">
        <f t="shared" si="2"/>
        <v>0:00</v>
      </c>
      <c r="G31" s="82">
        <f>COUNTIF(RestiaCSV!E:E, B31)</f>
        <v>0</v>
      </c>
      <c r="H31" s="83" t="b">
        <v>0</v>
      </c>
      <c r="I31" s="87">
        <f t="shared" si="3"/>
        <v>0</v>
      </c>
      <c r="J31" s="99"/>
      <c r="K31" s="99"/>
      <c r="L31" s="85"/>
      <c r="M31" s="85"/>
    </row>
    <row r="32">
      <c r="A32" s="101"/>
      <c r="B32" s="102" t="s">
        <v>104</v>
      </c>
      <c r="C32" s="103" t="s">
        <v>14</v>
      </c>
      <c r="D32" s="26"/>
      <c r="E32" s="26"/>
      <c r="F32" s="104"/>
      <c r="G32" s="105">
        <f>COUNTIFS(RestiaCSV!E:E, "wolt kurýr", RestiaCSV!A:A, "&lt;&gt;wolt")</f>
        <v>3</v>
      </c>
      <c r="H32" s="106" t="b">
        <v>1</v>
      </c>
      <c r="I32" s="107">
        <f>G32*127</f>
        <v>381</v>
      </c>
      <c r="J32" s="108"/>
      <c r="K32" s="108"/>
      <c r="L32" s="98">
        <f>100%-L29</f>
        <v>0.7142857143</v>
      </c>
      <c r="M32" s="98">
        <f>M29/L26</f>
        <v>0.09523809524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conditionalFormatting sqref="J29:K29">
    <cfRule type="cellIs" dxfId="2" priority="4" operator="lessThan">
      <formula>1</formula>
    </cfRule>
  </conditionalFormatting>
  <conditionalFormatting sqref="M26">
    <cfRule type="cellIs" dxfId="2" priority="5" operator="equal">
      <formula>0</formula>
    </cfRule>
  </conditionalFormatting>
  <dataValidations>
    <dataValidation type="list" allowBlank="1" sqref="B25:B31">
      <formula1>"Němec Filip,Zimmer Jakub,Nekolný Vladimír,Novák Jakub,Černohorský Otakar,Lowe Jana,Kormash Liubov,Killiakov Andrei,Vychivskyi Volodymyr,Banga Adam,Kvapil Filip Leon,Vaníková Anna"</formula1>
    </dataValidation>
    <dataValidation type="list" allowBlank="1" sqref="B12:B21">
      <formula1>"Nedbal Michal,Hanakova Ayuna,Veselý Ondřej,Kinkorová Petra,Pechová Barbora,Pánková Vendula,Yarushynskyi Vladyslav,Putna Jaroslav,Kuzníková Nicol"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9"/>
      <c r="B1" s="110" t="str">
        <f>Report!B1</f>
        <v>Zličín</v>
      </c>
      <c r="C1" s="111">
        <v>45530.0</v>
      </c>
      <c r="D1" s="112" t="s">
        <v>105</v>
      </c>
      <c r="E1" s="113">
        <v>45534.0</v>
      </c>
      <c r="F1" s="114" t="s">
        <v>28</v>
      </c>
      <c r="G1" s="11"/>
      <c r="H1" s="12"/>
      <c r="I1" s="114" t="s">
        <v>26</v>
      </c>
      <c r="J1" s="11"/>
      <c r="K1" s="12"/>
      <c r="L1" s="115" t="s">
        <v>75</v>
      </c>
      <c r="M1" s="19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  <c r="CG1" s="115"/>
      <c r="CH1" s="115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15"/>
      <c r="EF1" s="115"/>
      <c r="EG1" s="115"/>
      <c r="EH1" s="115"/>
      <c r="EI1" s="115"/>
      <c r="EJ1" s="115"/>
      <c r="EK1" s="115"/>
      <c r="EL1" s="115"/>
      <c r="EM1" s="115"/>
      <c r="EN1" s="115"/>
      <c r="EO1" s="115"/>
      <c r="EP1" s="115"/>
      <c r="EQ1" s="115"/>
      <c r="ER1" s="115"/>
      <c r="ES1" s="115"/>
      <c r="ET1" s="115"/>
      <c r="EU1" s="115"/>
      <c r="EV1" s="115"/>
      <c r="EW1" s="115"/>
      <c r="EX1" s="115"/>
      <c r="EY1" s="115"/>
      <c r="EZ1" s="115"/>
      <c r="FA1" s="115"/>
      <c r="FB1" s="115"/>
      <c r="FC1" s="115"/>
      <c r="FD1" s="115"/>
      <c r="FE1" s="115"/>
      <c r="FF1" s="115"/>
      <c r="FG1" s="115"/>
      <c r="FH1" s="115"/>
      <c r="FI1" s="115"/>
      <c r="FJ1" s="115"/>
      <c r="FK1" s="115"/>
      <c r="FL1" s="115"/>
      <c r="FM1" s="115"/>
      <c r="FN1" s="115"/>
      <c r="FO1" s="115"/>
      <c r="FP1" s="115"/>
      <c r="FQ1" s="115"/>
      <c r="FR1" s="115"/>
      <c r="FS1" s="115"/>
      <c r="FT1" s="115"/>
      <c r="FU1" s="115"/>
      <c r="FV1" s="115"/>
      <c r="FW1" s="115"/>
      <c r="FX1" s="115"/>
      <c r="FY1" s="115"/>
      <c r="FZ1" s="115"/>
      <c r="GA1" s="115"/>
      <c r="GB1" s="115"/>
      <c r="GC1" s="115"/>
      <c r="GD1" s="115"/>
      <c r="GE1" s="115"/>
      <c r="GF1" s="115"/>
      <c r="GG1" s="115"/>
      <c r="GH1" s="115"/>
      <c r="GI1" s="115"/>
      <c r="GJ1" s="115"/>
      <c r="GK1" s="115"/>
      <c r="GL1" s="115"/>
      <c r="GM1" s="115"/>
      <c r="GN1" s="115"/>
      <c r="GO1" s="115"/>
      <c r="GP1" s="115"/>
      <c r="GQ1" s="115"/>
      <c r="GR1" s="115"/>
      <c r="GS1" s="115"/>
      <c r="GT1" s="115"/>
      <c r="GU1" s="115"/>
      <c r="GV1" s="115"/>
      <c r="GW1" s="115"/>
      <c r="GX1" s="115"/>
      <c r="GY1" s="115"/>
      <c r="GZ1" s="115"/>
      <c r="HA1" s="115"/>
      <c r="HB1" s="115"/>
      <c r="HC1" s="115"/>
      <c r="HD1" s="115"/>
      <c r="HE1" s="115"/>
      <c r="HF1" s="115"/>
      <c r="HG1" s="115"/>
      <c r="HH1" s="115"/>
      <c r="HI1" s="115"/>
      <c r="HJ1" s="115"/>
      <c r="HK1" s="115"/>
      <c r="HL1" s="115"/>
      <c r="HM1" s="115"/>
      <c r="HN1" s="115"/>
      <c r="HO1" s="115"/>
      <c r="HP1" s="115"/>
      <c r="HQ1" s="115"/>
      <c r="HR1" s="115"/>
      <c r="HS1" s="115"/>
      <c r="HT1" s="115"/>
      <c r="HU1" s="115"/>
      <c r="HV1" s="115"/>
      <c r="HW1" s="115"/>
      <c r="HX1" s="115"/>
      <c r="HY1" s="115"/>
      <c r="HZ1" s="115"/>
      <c r="IA1" s="115"/>
      <c r="IB1" s="115"/>
      <c r="IC1" s="115"/>
      <c r="ID1" s="115"/>
      <c r="IE1" s="115"/>
      <c r="IF1" s="115"/>
      <c r="IG1" s="115"/>
      <c r="IH1" s="115"/>
      <c r="II1" s="115"/>
      <c r="IJ1" s="115"/>
      <c r="IK1" s="115"/>
      <c r="IL1" s="115"/>
      <c r="IM1" s="115"/>
      <c r="IN1" s="115"/>
      <c r="IO1" s="115"/>
      <c r="IP1" s="115"/>
      <c r="IQ1" s="115"/>
      <c r="IR1" s="115"/>
      <c r="IS1" s="115"/>
      <c r="IT1" s="115"/>
      <c r="IU1" s="115"/>
      <c r="IV1" s="115"/>
      <c r="IW1" s="115"/>
      <c r="IX1" s="115"/>
      <c r="IY1" s="115"/>
      <c r="IZ1" s="115"/>
      <c r="JA1" s="115"/>
      <c r="JB1" s="115"/>
      <c r="JC1" s="115"/>
      <c r="JD1" s="115"/>
      <c r="JE1" s="115"/>
      <c r="JF1" s="115"/>
      <c r="JG1" s="115"/>
      <c r="JH1" s="115"/>
      <c r="JI1" s="115"/>
      <c r="JJ1" s="115"/>
      <c r="JK1" s="115"/>
    </row>
    <row r="2" ht="19.5" customHeight="1">
      <c r="A2" s="109"/>
      <c r="B2" s="15"/>
      <c r="C2" s="16"/>
      <c r="D2" s="15"/>
      <c r="E2" s="17"/>
      <c r="F2" s="116">
        <v>0.5363407171213663</v>
      </c>
      <c r="H2" s="19"/>
      <c r="I2" s="117">
        <v>39161.5</v>
      </c>
      <c r="K2" s="19"/>
      <c r="L2" s="118" t="s">
        <v>76</v>
      </c>
      <c r="M2" s="119">
        <v>5618.0</v>
      </c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20"/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20"/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20"/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EY2" s="120"/>
      <c r="EZ2" s="120"/>
      <c r="FA2" s="120"/>
      <c r="FB2" s="120"/>
      <c r="FC2" s="120"/>
      <c r="FD2" s="120"/>
      <c r="FE2" s="120"/>
      <c r="FF2" s="120"/>
      <c r="FG2" s="120"/>
      <c r="FH2" s="120"/>
      <c r="FI2" s="120"/>
      <c r="FJ2" s="120"/>
      <c r="FK2" s="120"/>
      <c r="FL2" s="120"/>
      <c r="FM2" s="120"/>
      <c r="FN2" s="120"/>
      <c r="FO2" s="120"/>
      <c r="FP2" s="120"/>
      <c r="FQ2" s="120"/>
      <c r="FR2" s="120"/>
      <c r="FS2" s="120"/>
      <c r="FT2" s="120"/>
      <c r="FU2" s="120"/>
      <c r="FV2" s="120"/>
      <c r="FW2" s="120"/>
      <c r="FX2" s="120"/>
      <c r="FY2" s="120"/>
      <c r="FZ2" s="120"/>
      <c r="GA2" s="120"/>
      <c r="GB2" s="120"/>
      <c r="GC2" s="120"/>
      <c r="GD2" s="120"/>
      <c r="GE2" s="120"/>
      <c r="GF2" s="120"/>
      <c r="GG2" s="120"/>
      <c r="GH2" s="120"/>
      <c r="GI2" s="120"/>
      <c r="GJ2" s="120"/>
      <c r="GK2" s="120"/>
      <c r="GL2" s="120"/>
      <c r="GM2" s="120"/>
      <c r="GN2" s="120"/>
      <c r="GO2" s="120"/>
      <c r="GP2" s="120"/>
      <c r="GQ2" s="120"/>
      <c r="GR2" s="120"/>
      <c r="GS2" s="120"/>
      <c r="GT2" s="120"/>
      <c r="GU2" s="120"/>
      <c r="GV2" s="120"/>
      <c r="GW2" s="120"/>
      <c r="GX2" s="120"/>
      <c r="GY2" s="120"/>
      <c r="GZ2" s="120"/>
      <c r="HA2" s="120"/>
      <c r="HB2" s="120"/>
      <c r="HC2" s="120"/>
      <c r="HD2" s="120"/>
      <c r="HE2" s="120"/>
      <c r="HF2" s="120"/>
      <c r="HG2" s="120"/>
      <c r="HH2" s="120"/>
      <c r="HI2" s="120"/>
      <c r="HJ2" s="120"/>
      <c r="HK2" s="120"/>
      <c r="HL2" s="120"/>
      <c r="HM2" s="120"/>
      <c r="HN2" s="120"/>
      <c r="HO2" s="120"/>
      <c r="HP2" s="120"/>
      <c r="HQ2" s="120"/>
      <c r="HR2" s="120"/>
      <c r="HS2" s="120"/>
      <c r="HT2" s="120"/>
      <c r="HU2" s="120"/>
      <c r="HV2" s="120"/>
      <c r="HW2" s="120"/>
      <c r="HX2" s="120"/>
      <c r="HY2" s="120"/>
      <c r="HZ2" s="120"/>
      <c r="IA2" s="120"/>
      <c r="IB2" s="120"/>
      <c r="IC2" s="120"/>
      <c r="ID2" s="120"/>
      <c r="IE2" s="120"/>
      <c r="IF2" s="120"/>
      <c r="IG2" s="120"/>
      <c r="IH2" s="120"/>
      <c r="II2" s="120"/>
      <c r="IJ2" s="120"/>
      <c r="IK2" s="120"/>
      <c r="IL2" s="120"/>
      <c r="IM2" s="120"/>
      <c r="IN2" s="120"/>
      <c r="IO2" s="120"/>
      <c r="IP2" s="120"/>
      <c r="IQ2" s="120"/>
      <c r="IR2" s="120"/>
      <c r="IS2" s="120"/>
      <c r="IT2" s="120"/>
      <c r="IU2" s="120"/>
      <c r="IV2" s="120"/>
      <c r="IW2" s="120"/>
      <c r="IX2" s="120"/>
      <c r="IY2" s="120"/>
      <c r="IZ2" s="120"/>
      <c r="JA2" s="120"/>
      <c r="JB2" s="120"/>
      <c r="JC2" s="120"/>
      <c r="JD2" s="120"/>
      <c r="JE2" s="120"/>
      <c r="JF2" s="120"/>
      <c r="JG2" s="120"/>
      <c r="JH2" s="120"/>
      <c r="JI2" s="120"/>
      <c r="JJ2" s="120"/>
      <c r="JK2" s="120"/>
    </row>
    <row r="3">
      <c r="A3" s="121"/>
      <c r="B3" s="122" t="str">
        <f>CHOOSE(WEEKDAY(C1), "Neděle", "Pondělí", "Úterý", "Středa", "Čtvrtek", "Pátek", "Sobota")</f>
        <v>Pondělí</v>
      </c>
      <c r="C3" s="25"/>
      <c r="D3" s="122" t="str">
        <f>CHOOSE(WEEKDAY(E1), "Neděle", "Pondělí", "Úterý", "Středa", "Čtvrtek", "Pátek", "Sobota")</f>
        <v>Pátek</v>
      </c>
      <c r="E3" s="9"/>
      <c r="H3" s="19"/>
      <c r="K3" s="19"/>
      <c r="L3" s="123" t="s">
        <v>77</v>
      </c>
      <c r="M3" s="124">
        <v>3298.0</v>
      </c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20"/>
      <c r="BE3" s="120"/>
      <c r="BF3" s="120"/>
      <c r="BG3" s="120"/>
      <c r="BH3" s="120"/>
      <c r="BI3" s="120"/>
      <c r="BJ3" s="120"/>
      <c r="BK3" s="120"/>
      <c r="BL3" s="120"/>
      <c r="BM3" s="120"/>
      <c r="BN3" s="120"/>
      <c r="BO3" s="120"/>
      <c r="BP3" s="120"/>
      <c r="BQ3" s="120"/>
      <c r="BR3" s="120"/>
      <c r="BS3" s="120"/>
      <c r="BT3" s="120"/>
      <c r="BU3" s="120"/>
      <c r="BV3" s="120"/>
      <c r="BW3" s="120"/>
      <c r="BX3" s="120"/>
      <c r="BY3" s="120"/>
      <c r="BZ3" s="120"/>
      <c r="CA3" s="120"/>
      <c r="CB3" s="120"/>
      <c r="CC3" s="120"/>
      <c r="CD3" s="120"/>
      <c r="CE3" s="120"/>
      <c r="CF3" s="120"/>
      <c r="CG3" s="120"/>
      <c r="CH3" s="120"/>
      <c r="CI3" s="120"/>
      <c r="CJ3" s="120"/>
      <c r="CK3" s="120"/>
      <c r="CL3" s="120"/>
      <c r="CM3" s="120"/>
      <c r="CN3" s="120"/>
      <c r="CO3" s="120"/>
      <c r="CP3" s="120"/>
      <c r="CQ3" s="120"/>
      <c r="CR3" s="120"/>
      <c r="CS3" s="120"/>
      <c r="CT3" s="120"/>
      <c r="CU3" s="120"/>
      <c r="CV3" s="120"/>
      <c r="CW3" s="120"/>
      <c r="CX3" s="120"/>
      <c r="CY3" s="120"/>
      <c r="CZ3" s="120"/>
      <c r="DA3" s="120"/>
      <c r="DB3" s="120"/>
      <c r="DC3" s="120"/>
      <c r="DD3" s="120"/>
      <c r="DE3" s="120"/>
      <c r="DF3" s="120"/>
      <c r="DG3" s="120"/>
      <c r="DH3" s="120"/>
      <c r="DI3" s="120"/>
      <c r="DJ3" s="120"/>
      <c r="DK3" s="120"/>
      <c r="DL3" s="120"/>
      <c r="DM3" s="120"/>
      <c r="DN3" s="120"/>
      <c r="DO3" s="120"/>
      <c r="DP3" s="120"/>
      <c r="DQ3" s="120"/>
      <c r="DR3" s="120"/>
      <c r="DS3" s="120"/>
      <c r="DT3" s="120"/>
      <c r="DU3" s="120"/>
      <c r="DV3" s="120"/>
      <c r="DW3" s="120"/>
      <c r="DX3" s="120"/>
      <c r="DY3" s="120"/>
      <c r="DZ3" s="120"/>
      <c r="EA3" s="120"/>
      <c r="EB3" s="120"/>
      <c r="EC3" s="120"/>
      <c r="ED3" s="120"/>
      <c r="EE3" s="120"/>
      <c r="EF3" s="120"/>
      <c r="EG3" s="120"/>
      <c r="EH3" s="120"/>
      <c r="EI3" s="120"/>
      <c r="EJ3" s="120"/>
      <c r="EK3" s="120"/>
      <c r="EL3" s="120"/>
      <c r="EM3" s="120"/>
      <c r="EN3" s="120"/>
      <c r="EO3" s="120"/>
      <c r="EP3" s="120"/>
      <c r="EQ3" s="120"/>
      <c r="ER3" s="120"/>
      <c r="ES3" s="120"/>
      <c r="ET3" s="120"/>
      <c r="EU3" s="120"/>
      <c r="EV3" s="120"/>
      <c r="EW3" s="120"/>
      <c r="EX3" s="120"/>
      <c r="EY3" s="120"/>
      <c r="EZ3" s="120"/>
      <c r="FA3" s="120"/>
      <c r="FB3" s="120"/>
      <c r="FC3" s="120"/>
      <c r="FD3" s="120"/>
      <c r="FE3" s="120"/>
      <c r="FF3" s="120"/>
      <c r="FG3" s="120"/>
      <c r="FH3" s="120"/>
      <c r="FI3" s="120"/>
      <c r="FJ3" s="120"/>
      <c r="FK3" s="120"/>
      <c r="FL3" s="120"/>
      <c r="FM3" s="120"/>
      <c r="FN3" s="120"/>
      <c r="FO3" s="120"/>
      <c r="FP3" s="120"/>
      <c r="FQ3" s="120"/>
      <c r="FR3" s="120"/>
      <c r="FS3" s="120"/>
      <c r="FT3" s="120"/>
      <c r="FU3" s="120"/>
      <c r="FV3" s="120"/>
      <c r="FW3" s="120"/>
      <c r="FX3" s="120"/>
      <c r="FY3" s="120"/>
      <c r="FZ3" s="120"/>
      <c r="GA3" s="120"/>
      <c r="GB3" s="120"/>
      <c r="GC3" s="120"/>
      <c r="GD3" s="120"/>
      <c r="GE3" s="120"/>
      <c r="GF3" s="120"/>
      <c r="GG3" s="120"/>
      <c r="GH3" s="120"/>
      <c r="GI3" s="120"/>
      <c r="GJ3" s="120"/>
      <c r="GK3" s="120"/>
      <c r="GL3" s="120"/>
      <c r="GM3" s="120"/>
      <c r="GN3" s="120"/>
      <c r="GO3" s="120"/>
      <c r="GP3" s="120"/>
      <c r="GQ3" s="120"/>
      <c r="GR3" s="120"/>
      <c r="GS3" s="120"/>
      <c r="GT3" s="120"/>
      <c r="GU3" s="120"/>
      <c r="GV3" s="120"/>
      <c r="GW3" s="120"/>
      <c r="GX3" s="120"/>
      <c r="GY3" s="120"/>
      <c r="GZ3" s="120"/>
      <c r="HA3" s="120"/>
      <c r="HB3" s="120"/>
      <c r="HC3" s="120"/>
      <c r="HD3" s="120"/>
      <c r="HE3" s="120"/>
      <c r="HF3" s="120"/>
      <c r="HG3" s="120"/>
      <c r="HH3" s="120"/>
      <c r="HI3" s="120"/>
      <c r="HJ3" s="120"/>
      <c r="HK3" s="120"/>
      <c r="HL3" s="120"/>
      <c r="HM3" s="120"/>
      <c r="HN3" s="120"/>
      <c r="HO3" s="120"/>
      <c r="HP3" s="120"/>
      <c r="HQ3" s="120"/>
      <c r="HR3" s="120"/>
      <c r="HS3" s="120"/>
      <c r="HT3" s="120"/>
      <c r="HU3" s="120"/>
      <c r="HV3" s="120"/>
      <c r="HW3" s="120"/>
      <c r="HX3" s="120"/>
      <c r="HY3" s="120"/>
      <c r="HZ3" s="120"/>
      <c r="IA3" s="120"/>
      <c r="IB3" s="120"/>
      <c r="IC3" s="120"/>
      <c r="ID3" s="120"/>
      <c r="IE3" s="120"/>
      <c r="IF3" s="120"/>
      <c r="IG3" s="120"/>
      <c r="IH3" s="120"/>
      <c r="II3" s="120"/>
      <c r="IJ3" s="120"/>
      <c r="IK3" s="120"/>
      <c r="IL3" s="120"/>
      <c r="IM3" s="120"/>
      <c r="IN3" s="120"/>
      <c r="IO3" s="120"/>
      <c r="IP3" s="120"/>
      <c r="IQ3" s="120"/>
      <c r="IR3" s="120"/>
      <c r="IS3" s="120"/>
      <c r="IT3" s="120"/>
      <c r="IU3" s="120"/>
      <c r="IV3" s="120"/>
      <c r="IW3" s="120"/>
      <c r="IX3" s="120"/>
      <c r="IY3" s="120"/>
      <c r="IZ3" s="120"/>
      <c r="JA3" s="120"/>
      <c r="JB3" s="120"/>
      <c r="JC3" s="120"/>
      <c r="JD3" s="120"/>
      <c r="JE3" s="120"/>
      <c r="JF3" s="120"/>
      <c r="JG3" s="120"/>
      <c r="JH3" s="120"/>
      <c r="JI3" s="120"/>
      <c r="JJ3" s="120"/>
      <c r="JK3" s="120"/>
    </row>
    <row r="4">
      <c r="A4" s="121"/>
      <c r="B4" s="16"/>
      <c r="C4" s="26"/>
      <c r="D4" s="16"/>
      <c r="E4" s="17"/>
      <c r="F4" s="26"/>
      <c r="G4" s="26"/>
      <c r="H4" s="17"/>
      <c r="I4" s="26"/>
      <c r="J4" s="26"/>
      <c r="K4" s="17"/>
      <c r="L4" s="123" t="s">
        <v>78</v>
      </c>
      <c r="M4" s="124">
        <v>10741.0</v>
      </c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120"/>
      <c r="BG4" s="120"/>
      <c r="BH4" s="120"/>
      <c r="BI4" s="120"/>
      <c r="BJ4" s="120"/>
      <c r="BK4" s="120"/>
      <c r="BL4" s="120"/>
      <c r="BM4" s="120"/>
      <c r="BN4" s="120"/>
      <c r="BO4" s="120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0"/>
      <c r="CC4" s="120"/>
      <c r="CD4" s="120"/>
      <c r="CE4" s="120"/>
      <c r="CF4" s="120"/>
      <c r="CG4" s="120"/>
      <c r="CH4" s="120"/>
      <c r="CI4" s="120"/>
      <c r="CJ4" s="120"/>
      <c r="CK4" s="120"/>
      <c r="CL4" s="120"/>
      <c r="CM4" s="120"/>
      <c r="CN4" s="120"/>
      <c r="CO4" s="120"/>
      <c r="CP4" s="120"/>
      <c r="CQ4" s="120"/>
      <c r="CR4" s="120"/>
      <c r="CS4" s="120"/>
      <c r="CT4" s="120"/>
      <c r="CU4" s="120"/>
      <c r="CV4" s="120"/>
      <c r="CW4" s="120"/>
      <c r="CX4" s="120"/>
      <c r="CY4" s="120"/>
      <c r="CZ4" s="120"/>
      <c r="DA4" s="120"/>
      <c r="DB4" s="120"/>
      <c r="DC4" s="120"/>
      <c r="DD4" s="120"/>
      <c r="DE4" s="120"/>
      <c r="DF4" s="120"/>
      <c r="DG4" s="120"/>
      <c r="DH4" s="120"/>
      <c r="DI4" s="120"/>
      <c r="DJ4" s="120"/>
      <c r="DK4" s="120"/>
      <c r="DL4" s="120"/>
      <c r="DM4" s="120"/>
      <c r="DN4" s="120"/>
      <c r="DO4" s="120"/>
      <c r="DP4" s="120"/>
      <c r="DQ4" s="120"/>
      <c r="DR4" s="120"/>
      <c r="DS4" s="120"/>
      <c r="DT4" s="120"/>
      <c r="DU4" s="120"/>
      <c r="DV4" s="120"/>
      <c r="DW4" s="120"/>
      <c r="DX4" s="120"/>
      <c r="DY4" s="120"/>
      <c r="DZ4" s="120"/>
      <c r="EA4" s="120"/>
      <c r="EB4" s="120"/>
      <c r="EC4" s="120"/>
      <c r="ED4" s="120"/>
      <c r="EE4" s="120"/>
      <c r="EF4" s="120"/>
      <c r="EG4" s="120"/>
      <c r="EH4" s="120"/>
      <c r="EI4" s="120"/>
      <c r="EJ4" s="120"/>
      <c r="EK4" s="120"/>
      <c r="EL4" s="120"/>
      <c r="EM4" s="120"/>
      <c r="EN4" s="120"/>
      <c r="EO4" s="120"/>
      <c r="EP4" s="120"/>
      <c r="EQ4" s="120"/>
      <c r="ER4" s="120"/>
      <c r="ES4" s="120"/>
      <c r="ET4" s="120"/>
      <c r="EU4" s="120"/>
      <c r="EV4" s="120"/>
      <c r="EW4" s="120"/>
      <c r="EX4" s="120"/>
      <c r="EY4" s="120"/>
      <c r="EZ4" s="120"/>
      <c r="FA4" s="120"/>
      <c r="FB4" s="120"/>
      <c r="FC4" s="120"/>
      <c r="FD4" s="120"/>
      <c r="FE4" s="120"/>
      <c r="FF4" s="120"/>
      <c r="FG4" s="120"/>
      <c r="FH4" s="120"/>
      <c r="FI4" s="120"/>
      <c r="FJ4" s="120"/>
      <c r="FK4" s="120"/>
      <c r="FL4" s="120"/>
      <c r="FM4" s="120"/>
      <c r="FN4" s="120"/>
      <c r="FO4" s="120"/>
      <c r="FP4" s="120"/>
      <c r="FQ4" s="120"/>
      <c r="FR4" s="120"/>
      <c r="FS4" s="120"/>
      <c r="FT4" s="120"/>
      <c r="FU4" s="120"/>
      <c r="FV4" s="120"/>
      <c r="FW4" s="120"/>
      <c r="FX4" s="120"/>
      <c r="FY4" s="120"/>
      <c r="FZ4" s="120"/>
      <c r="GA4" s="120"/>
      <c r="GB4" s="120"/>
      <c r="GC4" s="120"/>
      <c r="GD4" s="120"/>
      <c r="GE4" s="120"/>
      <c r="GF4" s="120"/>
      <c r="GG4" s="120"/>
      <c r="GH4" s="120"/>
      <c r="GI4" s="120"/>
      <c r="GJ4" s="120"/>
      <c r="GK4" s="120"/>
      <c r="GL4" s="120"/>
      <c r="GM4" s="120"/>
      <c r="GN4" s="120"/>
      <c r="GO4" s="120"/>
      <c r="GP4" s="120"/>
      <c r="GQ4" s="120"/>
      <c r="GR4" s="120"/>
      <c r="GS4" s="120"/>
      <c r="GT4" s="120"/>
      <c r="GU4" s="120"/>
      <c r="GV4" s="120"/>
      <c r="GW4" s="120"/>
      <c r="GX4" s="120"/>
      <c r="GY4" s="120"/>
      <c r="GZ4" s="120"/>
      <c r="HA4" s="120"/>
      <c r="HB4" s="120"/>
      <c r="HC4" s="120"/>
      <c r="HD4" s="120"/>
      <c r="HE4" s="120"/>
      <c r="HF4" s="120"/>
      <c r="HG4" s="120"/>
      <c r="HH4" s="120"/>
      <c r="HI4" s="120"/>
      <c r="HJ4" s="120"/>
      <c r="HK4" s="120"/>
      <c r="HL4" s="120"/>
      <c r="HM4" s="120"/>
      <c r="HN4" s="120"/>
      <c r="HO4" s="120"/>
      <c r="HP4" s="120"/>
      <c r="HQ4" s="120"/>
      <c r="HR4" s="120"/>
      <c r="HS4" s="120"/>
      <c r="HT4" s="120"/>
      <c r="HU4" s="120"/>
      <c r="HV4" s="120"/>
      <c r="HW4" s="120"/>
      <c r="HX4" s="120"/>
      <c r="HY4" s="120"/>
      <c r="HZ4" s="120"/>
      <c r="IA4" s="120"/>
      <c r="IB4" s="120"/>
      <c r="IC4" s="120"/>
      <c r="ID4" s="120"/>
      <c r="IE4" s="120"/>
      <c r="IF4" s="120"/>
      <c r="IG4" s="120"/>
      <c r="IH4" s="120"/>
      <c r="II4" s="120"/>
      <c r="IJ4" s="120"/>
      <c r="IK4" s="120"/>
      <c r="IL4" s="120"/>
      <c r="IM4" s="120"/>
      <c r="IN4" s="120"/>
      <c r="IO4" s="120"/>
      <c r="IP4" s="120"/>
      <c r="IQ4" s="120"/>
      <c r="IR4" s="120"/>
      <c r="IS4" s="120"/>
      <c r="IT4" s="120"/>
      <c r="IU4" s="120"/>
      <c r="IV4" s="120"/>
      <c r="IW4" s="120"/>
      <c r="IX4" s="120"/>
      <c r="IY4" s="120"/>
      <c r="IZ4" s="120"/>
      <c r="JA4" s="120"/>
      <c r="JB4" s="120"/>
      <c r="JC4" s="120"/>
      <c r="JD4" s="120"/>
      <c r="JE4" s="120"/>
      <c r="JF4" s="120"/>
      <c r="JG4" s="120"/>
      <c r="JH4" s="120"/>
      <c r="JI4" s="120"/>
      <c r="JJ4" s="120"/>
      <c r="JK4" s="120"/>
    </row>
    <row r="5">
      <c r="A5" s="125"/>
      <c r="B5" s="126" t="s">
        <v>106</v>
      </c>
      <c r="C5" s="25"/>
      <c r="D5" s="25"/>
      <c r="E5" s="9"/>
      <c r="F5" s="127" t="s">
        <v>107</v>
      </c>
      <c r="G5" s="25"/>
      <c r="H5" s="25"/>
      <c r="I5" s="25"/>
      <c r="J5" s="25"/>
      <c r="K5" s="9"/>
      <c r="L5" s="128" t="s">
        <v>80</v>
      </c>
      <c r="M5" s="124">
        <v>9354.0</v>
      </c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120"/>
      <c r="BG5" s="120"/>
      <c r="BH5" s="120"/>
      <c r="BI5" s="120"/>
      <c r="BJ5" s="120"/>
      <c r="BK5" s="120"/>
      <c r="BL5" s="120"/>
      <c r="BM5" s="120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20"/>
      <c r="CE5" s="120"/>
      <c r="CF5" s="120"/>
      <c r="CG5" s="120"/>
      <c r="CH5" s="120"/>
      <c r="CI5" s="120"/>
      <c r="CJ5" s="120"/>
      <c r="CK5" s="120"/>
      <c r="CL5" s="120"/>
      <c r="CM5" s="120"/>
      <c r="CN5" s="120"/>
      <c r="CO5" s="120"/>
      <c r="CP5" s="120"/>
      <c r="CQ5" s="120"/>
      <c r="CR5" s="120"/>
      <c r="CS5" s="120"/>
      <c r="CT5" s="120"/>
      <c r="CU5" s="120"/>
      <c r="CV5" s="120"/>
      <c r="CW5" s="120"/>
      <c r="CX5" s="120"/>
      <c r="CY5" s="120"/>
      <c r="CZ5" s="120"/>
      <c r="DA5" s="120"/>
      <c r="DB5" s="120"/>
      <c r="DC5" s="120"/>
      <c r="DD5" s="120"/>
      <c r="DE5" s="120"/>
      <c r="DF5" s="120"/>
      <c r="DG5" s="120"/>
      <c r="DH5" s="120"/>
      <c r="DI5" s="120"/>
      <c r="DJ5" s="120"/>
      <c r="DK5" s="120"/>
      <c r="DL5" s="120"/>
      <c r="DM5" s="120"/>
      <c r="DN5" s="120"/>
      <c r="DO5" s="120"/>
      <c r="DP5" s="120"/>
      <c r="DQ5" s="120"/>
      <c r="DR5" s="120"/>
      <c r="DS5" s="120"/>
      <c r="DT5" s="120"/>
      <c r="DU5" s="120"/>
      <c r="DV5" s="120"/>
      <c r="DW5" s="120"/>
      <c r="DX5" s="120"/>
      <c r="DY5" s="120"/>
      <c r="DZ5" s="120"/>
      <c r="EA5" s="120"/>
      <c r="EB5" s="120"/>
      <c r="EC5" s="120"/>
      <c r="ED5" s="120"/>
      <c r="EE5" s="120"/>
      <c r="EF5" s="120"/>
      <c r="EG5" s="120"/>
      <c r="EH5" s="120"/>
      <c r="EI5" s="120"/>
      <c r="EJ5" s="120"/>
      <c r="EK5" s="120"/>
      <c r="EL5" s="120"/>
      <c r="EM5" s="120"/>
      <c r="EN5" s="120"/>
      <c r="EO5" s="120"/>
      <c r="EP5" s="120"/>
      <c r="EQ5" s="120"/>
      <c r="ER5" s="120"/>
      <c r="ES5" s="120"/>
      <c r="ET5" s="120"/>
      <c r="EU5" s="120"/>
      <c r="EV5" s="120"/>
      <c r="EW5" s="120"/>
      <c r="EX5" s="120"/>
      <c r="EY5" s="120"/>
      <c r="EZ5" s="120"/>
      <c r="FA5" s="120"/>
      <c r="FB5" s="120"/>
      <c r="FC5" s="120"/>
      <c r="FD5" s="120"/>
      <c r="FE5" s="120"/>
      <c r="FF5" s="120"/>
      <c r="FG5" s="120"/>
      <c r="FH5" s="120"/>
      <c r="FI5" s="120"/>
      <c r="FJ5" s="120"/>
      <c r="FK5" s="120"/>
      <c r="FL5" s="120"/>
      <c r="FM5" s="120"/>
      <c r="FN5" s="120"/>
      <c r="FO5" s="120"/>
      <c r="FP5" s="120"/>
      <c r="FQ5" s="120"/>
      <c r="FR5" s="120"/>
      <c r="FS5" s="120"/>
      <c r="FT5" s="120"/>
      <c r="FU5" s="120"/>
      <c r="FV5" s="120"/>
      <c r="FW5" s="120"/>
      <c r="FX5" s="120"/>
      <c r="FY5" s="120"/>
      <c r="FZ5" s="120"/>
      <c r="GA5" s="120"/>
      <c r="GB5" s="120"/>
      <c r="GC5" s="120"/>
      <c r="GD5" s="120"/>
      <c r="GE5" s="120"/>
      <c r="GF5" s="120"/>
      <c r="GG5" s="120"/>
      <c r="GH5" s="120"/>
      <c r="GI5" s="120"/>
      <c r="GJ5" s="120"/>
      <c r="GK5" s="120"/>
      <c r="GL5" s="120"/>
      <c r="GM5" s="120"/>
      <c r="GN5" s="120"/>
      <c r="GO5" s="120"/>
      <c r="GP5" s="120"/>
      <c r="GQ5" s="120"/>
      <c r="GR5" s="120"/>
      <c r="GS5" s="120"/>
      <c r="GT5" s="120"/>
      <c r="GU5" s="120"/>
      <c r="GV5" s="120"/>
      <c r="GW5" s="120"/>
      <c r="GX5" s="120"/>
      <c r="GY5" s="120"/>
      <c r="GZ5" s="120"/>
      <c r="HA5" s="120"/>
      <c r="HB5" s="120"/>
      <c r="HC5" s="120"/>
      <c r="HD5" s="120"/>
      <c r="HE5" s="120"/>
      <c r="HF5" s="120"/>
      <c r="HG5" s="120"/>
      <c r="HH5" s="120"/>
      <c r="HI5" s="120"/>
      <c r="HJ5" s="120"/>
      <c r="HK5" s="120"/>
      <c r="HL5" s="120"/>
      <c r="HM5" s="120"/>
      <c r="HN5" s="120"/>
      <c r="HO5" s="120"/>
      <c r="HP5" s="120"/>
      <c r="HQ5" s="120"/>
      <c r="HR5" s="120"/>
      <c r="HS5" s="120"/>
      <c r="HT5" s="120"/>
      <c r="HU5" s="120"/>
      <c r="HV5" s="120"/>
      <c r="HW5" s="120"/>
      <c r="HX5" s="120"/>
      <c r="HY5" s="120"/>
      <c r="HZ5" s="120"/>
      <c r="IA5" s="120"/>
      <c r="IB5" s="120"/>
      <c r="IC5" s="120"/>
      <c r="ID5" s="120"/>
      <c r="IE5" s="120"/>
      <c r="IF5" s="120"/>
      <c r="IG5" s="120"/>
      <c r="IH5" s="120"/>
      <c r="II5" s="120"/>
      <c r="IJ5" s="120"/>
      <c r="IK5" s="120"/>
      <c r="IL5" s="120"/>
      <c r="IM5" s="120"/>
      <c r="IN5" s="120"/>
      <c r="IO5" s="120"/>
      <c r="IP5" s="120"/>
      <c r="IQ5" s="120"/>
      <c r="IR5" s="120"/>
      <c r="IS5" s="120"/>
      <c r="IT5" s="120"/>
      <c r="IU5" s="120"/>
      <c r="IV5" s="120"/>
      <c r="IW5" s="120"/>
      <c r="IX5" s="120"/>
      <c r="IY5" s="120"/>
      <c r="IZ5" s="120"/>
      <c r="JA5" s="120"/>
      <c r="JB5" s="120"/>
      <c r="JC5" s="120"/>
      <c r="JD5" s="120"/>
      <c r="JE5" s="120"/>
      <c r="JF5" s="120"/>
      <c r="JG5" s="120"/>
      <c r="JH5" s="120"/>
      <c r="JI5" s="120"/>
      <c r="JJ5" s="120"/>
      <c r="JK5" s="120"/>
    </row>
    <row r="6">
      <c r="A6" s="125"/>
      <c r="B6" s="16"/>
      <c r="C6" s="26"/>
      <c r="D6" s="26"/>
      <c r="E6" s="17"/>
      <c r="F6" s="26"/>
      <c r="G6" s="26"/>
      <c r="H6" s="26"/>
      <c r="I6" s="26"/>
      <c r="J6" s="26"/>
      <c r="K6" s="17"/>
      <c r="L6" s="128" t="s">
        <v>81</v>
      </c>
      <c r="M6" s="124">
        <v>0.0</v>
      </c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120"/>
      <c r="BG6" s="120"/>
      <c r="BH6" s="120"/>
      <c r="BI6" s="120"/>
      <c r="BJ6" s="120"/>
      <c r="BK6" s="120"/>
      <c r="BL6" s="120"/>
      <c r="BM6" s="120"/>
      <c r="BN6" s="120"/>
      <c r="BO6" s="120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20"/>
      <c r="CC6" s="120"/>
      <c r="CD6" s="120"/>
      <c r="CE6" s="120"/>
      <c r="CF6" s="120"/>
      <c r="CG6" s="120"/>
      <c r="CH6" s="120"/>
      <c r="CI6" s="120"/>
      <c r="CJ6" s="120"/>
      <c r="CK6" s="120"/>
      <c r="CL6" s="120"/>
      <c r="CM6" s="120"/>
      <c r="CN6" s="120"/>
      <c r="CO6" s="120"/>
      <c r="CP6" s="120"/>
      <c r="CQ6" s="120"/>
      <c r="CR6" s="120"/>
      <c r="CS6" s="120"/>
      <c r="CT6" s="120"/>
      <c r="CU6" s="120"/>
      <c r="CV6" s="120"/>
      <c r="CW6" s="120"/>
      <c r="CX6" s="120"/>
      <c r="CY6" s="120"/>
      <c r="CZ6" s="120"/>
      <c r="DA6" s="120"/>
      <c r="DB6" s="120"/>
      <c r="DC6" s="120"/>
      <c r="DD6" s="120"/>
      <c r="DE6" s="120"/>
      <c r="DF6" s="120"/>
      <c r="DG6" s="120"/>
      <c r="DH6" s="120"/>
      <c r="DI6" s="120"/>
      <c r="DJ6" s="120"/>
      <c r="DK6" s="120"/>
      <c r="DL6" s="120"/>
      <c r="DM6" s="120"/>
      <c r="DN6" s="120"/>
      <c r="DO6" s="120"/>
      <c r="DP6" s="120"/>
      <c r="DQ6" s="120"/>
      <c r="DR6" s="120"/>
      <c r="DS6" s="120"/>
      <c r="DT6" s="120"/>
      <c r="DU6" s="120"/>
      <c r="DV6" s="120"/>
      <c r="DW6" s="120"/>
      <c r="DX6" s="120"/>
      <c r="DY6" s="120"/>
      <c r="DZ6" s="120"/>
      <c r="EA6" s="120"/>
      <c r="EB6" s="120"/>
      <c r="EC6" s="120"/>
      <c r="ED6" s="120"/>
      <c r="EE6" s="120"/>
      <c r="EF6" s="120"/>
      <c r="EG6" s="120"/>
      <c r="EH6" s="120"/>
      <c r="EI6" s="120"/>
      <c r="EJ6" s="120"/>
      <c r="EK6" s="120"/>
      <c r="EL6" s="120"/>
      <c r="EM6" s="120"/>
      <c r="EN6" s="120"/>
      <c r="EO6" s="120"/>
      <c r="EP6" s="120"/>
      <c r="EQ6" s="120"/>
      <c r="ER6" s="120"/>
      <c r="ES6" s="120"/>
      <c r="ET6" s="120"/>
      <c r="EU6" s="120"/>
      <c r="EV6" s="120"/>
      <c r="EW6" s="120"/>
      <c r="EX6" s="120"/>
      <c r="EY6" s="120"/>
      <c r="EZ6" s="120"/>
      <c r="FA6" s="120"/>
      <c r="FB6" s="120"/>
      <c r="FC6" s="120"/>
      <c r="FD6" s="120"/>
      <c r="FE6" s="120"/>
      <c r="FF6" s="120"/>
      <c r="FG6" s="120"/>
      <c r="FH6" s="120"/>
      <c r="FI6" s="120"/>
      <c r="FJ6" s="120"/>
      <c r="FK6" s="120"/>
      <c r="FL6" s="120"/>
      <c r="FM6" s="120"/>
      <c r="FN6" s="120"/>
      <c r="FO6" s="120"/>
      <c r="FP6" s="120"/>
      <c r="FQ6" s="120"/>
      <c r="FR6" s="120"/>
      <c r="FS6" s="120"/>
      <c r="FT6" s="120"/>
      <c r="FU6" s="120"/>
      <c r="FV6" s="120"/>
      <c r="FW6" s="120"/>
      <c r="FX6" s="120"/>
      <c r="FY6" s="120"/>
      <c r="FZ6" s="120"/>
      <c r="GA6" s="120"/>
      <c r="GB6" s="120"/>
      <c r="GC6" s="120"/>
      <c r="GD6" s="120"/>
      <c r="GE6" s="120"/>
      <c r="GF6" s="120"/>
      <c r="GG6" s="120"/>
      <c r="GH6" s="120"/>
      <c r="GI6" s="120"/>
      <c r="GJ6" s="120"/>
      <c r="GK6" s="120"/>
      <c r="GL6" s="120"/>
      <c r="GM6" s="120"/>
      <c r="GN6" s="120"/>
      <c r="GO6" s="120"/>
      <c r="GP6" s="120"/>
      <c r="GQ6" s="120"/>
      <c r="GR6" s="120"/>
      <c r="GS6" s="120"/>
      <c r="GT6" s="120"/>
      <c r="GU6" s="120"/>
      <c r="GV6" s="120"/>
      <c r="GW6" s="120"/>
      <c r="GX6" s="120"/>
      <c r="GY6" s="120"/>
      <c r="GZ6" s="120"/>
      <c r="HA6" s="120"/>
      <c r="HB6" s="120"/>
      <c r="HC6" s="120"/>
      <c r="HD6" s="120"/>
      <c r="HE6" s="120"/>
      <c r="HF6" s="120"/>
      <c r="HG6" s="120"/>
      <c r="HH6" s="120"/>
      <c r="HI6" s="120"/>
      <c r="HJ6" s="120"/>
      <c r="HK6" s="120"/>
      <c r="HL6" s="120"/>
      <c r="HM6" s="120"/>
      <c r="HN6" s="120"/>
      <c r="HO6" s="120"/>
      <c r="HP6" s="120"/>
      <c r="HQ6" s="120"/>
      <c r="HR6" s="120"/>
      <c r="HS6" s="120"/>
      <c r="HT6" s="120"/>
      <c r="HU6" s="120"/>
      <c r="HV6" s="120"/>
      <c r="HW6" s="120"/>
      <c r="HX6" s="120"/>
      <c r="HY6" s="120"/>
      <c r="HZ6" s="120"/>
      <c r="IA6" s="120"/>
      <c r="IB6" s="120"/>
      <c r="IC6" s="120"/>
      <c r="ID6" s="120"/>
      <c r="IE6" s="120"/>
      <c r="IF6" s="120"/>
      <c r="IG6" s="120"/>
      <c r="IH6" s="120"/>
      <c r="II6" s="120"/>
      <c r="IJ6" s="120"/>
      <c r="IK6" s="120"/>
      <c r="IL6" s="120"/>
      <c r="IM6" s="120"/>
      <c r="IN6" s="120"/>
      <c r="IO6" s="120"/>
      <c r="IP6" s="120"/>
      <c r="IQ6" s="120"/>
      <c r="IR6" s="120"/>
      <c r="IS6" s="120"/>
      <c r="IT6" s="120"/>
      <c r="IU6" s="120"/>
      <c r="IV6" s="120"/>
      <c r="IW6" s="120"/>
      <c r="IX6" s="120"/>
      <c r="IY6" s="120"/>
      <c r="IZ6" s="120"/>
      <c r="JA6" s="120"/>
      <c r="JB6" s="120"/>
      <c r="JC6" s="120"/>
      <c r="JD6" s="120"/>
      <c r="JE6" s="120"/>
      <c r="JF6" s="120"/>
      <c r="JG6" s="120"/>
      <c r="JH6" s="120"/>
      <c r="JI6" s="120"/>
      <c r="JJ6" s="120"/>
      <c r="JK6" s="120"/>
    </row>
    <row r="7">
      <c r="A7" s="129"/>
      <c r="B7" s="130">
        <f>TEXT(SUMPRODUCT((IFERROR(LEFT(D10:D30, FIND(":", D10:D30) - 1) * 60, 0) + IFERROR(MID(D10:D30, FIND(":", D10:D30) + 1, LEN(D10:D30) - FIND(":", D10:D30)), 0))), "[h]:mm")/60</f>
        <v>94</v>
      </c>
      <c r="C7" s="26"/>
      <c r="D7" s="26"/>
      <c r="E7" s="17"/>
      <c r="F7" s="131">
        <f>TEXT(SUMPRODUCT((IFERROR(LEFT(H10:H30, FIND(":", H10:H30) - 1) * 60, 0) + IFERROR(MID(H10:H30, FIND(":", H10:H30) + 1, LEN(H10:H30) - FIND(":", H10:H30)), 0))), "[h]:mm")/60</f>
        <v>50</v>
      </c>
      <c r="G7" s="11"/>
      <c r="H7" s="11"/>
      <c r="I7" s="11"/>
      <c r="J7" s="132"/>
      <c r="K7" s="132"/>
      <c r="L7" s="133" t="s">
        <v>82</v>
      </c>
      <c r="M7" s="134">
        <v>963.0</v>
      </c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120"/>
      <c r="BG7" s="120"/>
      <c r="BH7" s="120"/>
      <c r="BI7" s="120"/>
      <c r="BJ7" s="120"/>
      <c r="BK7" s="120"/>
      <c r="BL7" s="120"/>
      <c r="BM7" s="120"/>
      <c r="BN7" s="120"/>
      <c r="BO7" s="120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0"/>
      <c r="CC7" s="120"/>
      <c r="CD7" s="120"/>
      <c r="CE7" s="120"/>
      <c r="CF7" s="120"/>
      <c r="CG7" s="120"/>
      <c r="CH7" s="120"/>
      <c r="CI7" s="120"/>
      <c r="CJ7" s="120"/>
      <c r="CK7" s="120"/>
      <c r="CL7" s="120"/>
      <c r="CM7" s="120"/>
      <c r="CN7" s="120"/>
      <c r="CO7" s="120"/>
      <c r="CP7" s="120"/>
      <c r="CQ7" s="120"/>
      <c r="CR7" s="120"/>
      <c r="CS7" s="120"/>
      <c r="CT7" s="120"/>
      <c r="CU7" s="120"/>
      <c r="CV7" s="120"/>
      <c r="CW7" s="120"/>
      <c r="CX7" s="120"/>
      <c r="CY7" s="120"/>
      <c r="CZ7" s="120"/>
      <c r="DA7" s="120"/>
      <c r="DB7" s="120"/>
      <c r="DC7" s="120"/>
      <c r="DD7" s="120"/>
      <c r="DE7" s="120"/>
      <c r="DF7" s="120"/>
      <c r="DG7" s="120"/>
      <c r="DH7" s="120"/>
      <c r="DI7" s="120"/>
      <c r="DJ7" s="120"/>
      <c r="DK7" s="120"/>
      <c r="DL7" s="120"/>
      <c r="DM7" s="120"/>
      <c r="DN7" s="120"/>
      <c r="DO7" s="120"/>
      <c r="DP7" s="120"/>
      <c r="DQ7" s="120"/>
      <c r="DR7" s="120"/>
      <c r="DS7" s="120"/>
      <c r="DT7" s="120"/>
      <c r="DU7" s="120"/>
      <c r="DV7" s="120"/>
      <c r="DW7" s="120"/>
      <c r="DX7" s="120"/>
      <c r="DY7" s="120"/>
      <c r="DZ7" s="120"/>
      <c r="EA7" s="120"/>
      <c r="EB7" s="120"/>
      <c r="EC7" s="120"/>
      <c r="ED7" s="120"/>
      <c r="EE7" s="120"/>
      <c r="EF7" s="120"/>
      <c r="EG7" s="120"/>
      <c r="EH7" s="120"/>
      <c r="EI7" s="120"/>
      <c r="EJ7" s="120"/>
      <c r="EK7" s="120"/>
      <c r="EL7" s="120"/>
      <c r="EM7" s="120"/>
      <c r="EN7" s="120"/>
      <c r="EO7" s="120"/>
      <c r="EP7" s="120"/>
      <c r="EQ7" s="120"/>
      <c r="ER7" s="120"/>
      <c r="ES7" s="120"/>
      <c r="ET7" s="120"/>
      <c r="EU7" s="120"/>
      <c r="EV7" s="120"/>
      <c r="EW7" s="120"/>
      <c r="EX7" s="120"/>
      <c r="EY7" s="120"/>
      <c r="EZ7" s="120"/>
      <c r="FA7" s="120"/>
      <c r="FB7" s="120"/>
      <c r="FC7" s="120"/>
      <c r="FD7" s="120"/>
      <c r="FE7" s="120"/>
      <c r="FF7" s="120"/>
      <c r="FG7" s="120"/>
      <c r="FH7" s="120"/>
      <c r="FI7" s="120"/>
      <c r="FJ7" s="120"/>
      <c r="FK7" s="120"/>
      <c r="FL7" s="120"/>
      <c r="FM7" s="120"/>
      <c r="FN7" s="120"/>
      <c r="FO7" s="120"/>
      <c r="FP7" s="120"/>
      <c r="FQ7" s="120"/>
      <c r="FR7" s="120"/>
      <c r="FS7" s="120"/>
      <c r="FT7" s="120"/>
      <c r="FU7" s="120"/>
      <c r="FV7" s="120"/>
      <c r="FW7" s="120"/>
      <c r="FX7" s="120"/>
      <c r="FY7" s="120"/>
      <c r="FZ7" s="120"/>
      <c r="GA7" s="120"/>
      <c r="GB7" s="120"/>
      <c r="GC7" s="120"/>
      <c r="GD7" s="120"/>
      <c r="GE7" s="120"/>
      <c r="GF7" s="120"/>
      <c r="GG7" s="120"/>
      <c r="GH7" s="120"/>
      <c r="GI7" s="120"/>
      <c r="GJ7" s="120"/>
      <c r="GK7" s="120"/>
      <c r="GL7" s="120"/>
      <c r="GM7" s="120"/>
      <c r="GN7" s="120"/>
      <c r="GO7" s="120"/>
      <c r="GP7" s="120"/>
      <c r="GQ7" s="120"/>
      <c r="GR7" s="120"/>
      <c r="GS7" s="120"/>
      <c r="GT7" s="120"/>
      <c r="GU7" s="120"/>
      <c r="GV7" s="120"/>
      <c r="GW7" s="120"/>
      <c r="GX7" s="120"/>
      <c r="GY7" s="120"/>
      <c r="GZ7" s="120"/>
      <c r="HA7" s="120"/>
      <c r="HB7" s="120"/>
      <c r="HC7" s="120"/>
      <c r="HD7" s="120"/>
      <c r="HE7" s="120"/>
      <c r="HF7" s="120"/>
      <c r="HG7" s="120"/>
      <c r="HH7" s="120"/>
      <c r="HI7" s="120"/>
      <c r="HJ7" s="120"/>
      <c r="HK7" s="120"/>
      <c r="HL7" s="120"/>
      <c r="HM7" s="120"/>
      <c r="HN7" s="120"/>
      <c r="HO7" s="120"/>
      <c r="HP7" s="120"/>
      <c r="HQ7" s="120"/>
      <c r="HR7" s="120"/>
      <c r="HS7" s="120"/>
      <c r="HT7" s="120"/>
      <c r="HU7" s="120"/>
      <c r="HV7" s="120"/>
      <c r="HW7" s="120"/>
      <c r="HX7" s="120"/>
      <c r="HY7" s="120"/>
      <c r="HZ7" s="120"/>
      <c r="IA7" s="120"/>
      <c r="IB7" s="120"/>
      <c r="IC7" s="120"/>
      <c r="ID7" s="120"/>
      <c r="IE7" s="120"/>
      <c r="IF7" s="120"/>
      <c r="IG7" s="120"/>
      <c r="IH7" s="120"/>
      <c r="II7" s="120"/>
      <c r="IJ7" s="120"/>
      <c r="IK7" s="120"/>
      <c r="IL7" s="120"/>
      <c r="IM7" s="120"/>
      <c r="IN7" s="120"/>
      <c r="IO7" s="120"/>
      <c r="IP7" s="120"/>
      <c r="IQ7" s="120"/>
      <c r="IR7" s="120"/>
      <c r="IS7" s="120"/>
      <c r="IT7" s="120"/>
      <c r="IU7" s="120"/>
      <c r="IV7" s="120"/>
      <c r="IW7" s="120"/>
      <c r="IX7" s="120"/>
      <c r="IY7" s="120"/>
      <c r="IZ7" s="120"/>
      <c r="JA7" s="120"/>
      <c r="JB7" s="120"/>
      <c r="JC7" s="120"/>
      <c r="JD7" s="120"/>
      <c r="JE7" s="120"/>
      <c r="JF7" s="120"/>
      <c r="JG7" s="120"/>
      <c r="JH7" s="120"/>
      <c r="JI7" s="120"/>
      <c r="JJ7" s="120"/>
      <c r="JK7" s="120"/>
    </row>
    <row r="8">
      <c r="A8" s="135"/>
      <c r="B8" s="136" t="s">
        <v>83</v>
      </c>
      <c r="C8" s="25"/>
      <c r="D8" s="25"/>
      <c r="E8" s="9"/>
      <c r="F8" s="137" t="s">
        <v>92</v>
      </c>
      <c r="G8" s="25"/>
      <c r="H8" s="25"/>
      <c r="I8" s="9"/>
      <c r="J8" s="138" t="s">
        <v>84</v>
      </c>
      <c r="K8" s="9"/>
      <c r="L8" s="139" t="s">
        <v>25</v>
      </c>
      <c r="M8" s="12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15"/>
      <c r="CU8" s="115"/>
      <c r="CV8" s="115"/>
      <c r="CW8" s="115"/>
      <c r="CX8" s="115"/>
      <c r="CY8" s="115"/>
      <c r="CZ8" s="115"/>
      <c r="DA8" s="115"/>
      <c r="DB8" s="115"/>
      <c r="DC8" s="115"/>
      <c r="DD8" s="115"/>
      <c r="DE8" s="115"/>
      <c r="DF8" s="115"/>
      <c r="DG8" s="115"/>
      <c r="DH8" s="115"/>
      <c r="DI8" s="115"/>
      <c r="DJ8" s="115"/>
      <c r="DK8" s="115"/>
      <c r="DL8" s="115"/>
      <c r="DM8" s="115"/>
      <c r="DN8" s="115"/>
      <c r="DO8" s="115"/>
      <c r="DP8" s="115"/>
      <c r="DQ8" s="115"/>
      <c r="DR8" s="115"/>
      <c r="DS8" s="115"/>
      <c r="DT8" s="115"/>
      <c r="DU8" s="115"/>
      <c r="DV8" s="115"/>
      <c r="DW8" s="115"/>
      <c r="DX8" s="115"/>
      <c r="DY8" s="115"/>
      <c r="DZ8" s="115"/>
      <c r="EA8" s="115"/>
      <c r="EB8" s="115"/>
      <c r="EC8" s="115"/>
      <c r="ED8" s="115"/>
      <c r="EE8" s="115"/>
      <c r="EF8" s="115"/>
      <c r="EG8" s="115"/>
      <c r="EH8" s="115"/>
      <c r="EI8" s="115"/>
      <c r="EJ8" s="115"/>
      <c r="EK8" s="115"/>
      <c r="EL8" s="115"/>
      <c r="EM8" s="115"/>
      <c r="EN8" s="115"/>
      <c r="EO8" s="115"/>
      <c r="EP8" s="115"/>
      <c r="EQ8" s="115"/>
      <c r="ER8" s="115"/>
      <c r="ES8" s="115"/>
      <c r="ET8" s="115"/>
      <c r="EU8" s="115"/>
      <c r="EV8" s="115"/>
      <c r="EW8" s="115"/>
      <c r="EX8" s="115"/>
      <c r="EY8" s="115"/>
      <c r="EZ8" s="115"/>
      <c r="FA8" s="115"/>
      <c r="FB8" s="115"/>
      <c r="FC8" s="115"/>
      <c r="FD8" s="115"/>
      <c r="FE8" s="115"/>
      <c r="FF8" s="115"/>
      <c r="FG8" s="115"/>
      <c r="FH8" s="115"/>
      <c r="FI8" s="115"/>
      <c r="FJ8" s="115"/>
      <c r="FK8" s="115"/>
      <c r="FL8" s="115"/>
      <c r="FM8" s="115"/>
      <c r="FN8" s="115"/>
      <c r="FO8" s="115"/>
      <c r="FP8" s="115"/>
      <c r="FQ8" s="115"/>
      <c r="FR8" s="115"/>
      <c r="FS8" s="115"/>
      <c r="FT8" s="115"/>
      <c r="FU8" s="115"/>
      <c r="FV8" s="115"/>
      <c r="FW8" s="115"/>
      <c r="FX8" s="115"/>
      <c r="FY8" s="115"/>
      <c r="FZ8" s="115"/>
      <c r="GA8" s="115"/>
      <c r="GB8" s="115"/>
      <c r="GC8" s="115"/>
      <c r="GD8" s="115"/>
      <c r="GE8" s="115"/>
      <c r="GF8" s="115"/>
      <c r="GG8" s="115"/>
      <c r="GH8" s="115"/>
      <c r="GI8" s="115"/>
      <c r="GJ8" s="115"/>
      <c r="GK8" s="115"/>
      <c r="GL8" s="115"/>
      <c r="GM8" s="115"/>
      <c r="GN8" s="115"/>
      <c r="GO8" s="115"/>
      <c r="GP8" s="115"/>
      <c r="GQ8" s="115"/>
      <c r="GR8" s="115"/>
      <c r="GS8" s="115"/>
      <c r="GT8" s="115"/>
      <c r="GU8" s="115"/>
      <c r="GV8" s="115"/>
      <c r="GW8" s="115"/>
      <c r="GX8" s="115"/>
      <c r="GY8" s="115"/>
      <c r="GZ8" s="115"/>
      <c r="HA8" s="115"/>
      <c r="HB8" s="115"/>
      <c r="HC8" s="115"/>
      <c r="HD8" s="115"/>
      <c r="HE8" s="115"/>
      <c r="HF8" s="115"/>
      <c r="HG8" s="115"/>
      <c r="HH8" s="115"/>
      <c r="HI8" s="115"/>
      <c r="HJ8" s="115"/>
      <c r="HK8" s="115"/>
      <c r="HL8" s="115"/>
      <c r="HM8" s="115"/>
      <c r="HN8" s="115"/>
      <c r="HO8" s="115"/>
      <c r="HP8" s="115"/>
      <c r="HQ8" s="115"/>
      <c r="HR8" s="115"/>
      <c r="HS8" s="115"/>
      <c r="HT8" s="115"/>
      <c r="HU8" s="115"/>
      <c r="HV8" s="115"/>
      <c r="HW8" s="115"/>
      <c r="HX8" s="115"/>
      <c r="HY8" s="115"/>
      <c r="HZ8" s="115"/>
      <c r="IA8" s="115"/>
      <c r="IB8" s="115"/>
      <c r="IC8" s="115"/>
      <c r="ID8" s="115"/>
      <c r="IE8" s="115"/>
      <c r="IF8" s="115"/>
      <c r="IG8" s="115"/>
      <c r="IH8" s="115"/>
      <c r="II8" s="115"/>
      <c r="IJ8" s="115"/>
      <c r="IK8" s="115"/>
      <c r="IL8" s="115"/>
      <c r="IM8" s="115"/>
      <c r="IN8" s="115"/>
      <c r="IO8" s="115"/>
      <c r="IP8" s="115"/>
      <c r="IQ8" s="115"/>
      <c r="IR8" s="115"/>
      <c r="IS8" s="115"/>
      <c r="IT8" s="115"/>
      <c r="IU8" s="115"/>
      <c r="IV8" s="115"/>
      <c r="IW8" s="115"/>
      <c r="IX8" s="115"/>
      <c r="IY8" s="115"/>
      <c r="IZ8" s="115"/>
      <c r="JA8" s="115"/>
      <c r="JB8" s="115"/>
      <c r="JC8" s="115"/>
      <c r="JD8" s="115"/>
      <c r="JE8" s="115"/>
      <c r="JF8" s="115"/>
      <c r="JG8" s="115"/>
      <c r="JH8" s="115"/>
      <c r="JI8" s="115"/>
      <c r="JJ8" s="115"/>
      <c r="JK8" s="115"/>
    </row>
    <row r="9">
      <c r="A9" s="140"/>
      <c r="B9" s="141" t="s">
        <v>85</v>
      </c>
      <c r="C9" s="142" t="s">
        <v>108</v>
      </c>
      <c r="D9" s="142" t="s">
        <v>89</v>
      </c>
      <c r="E9" s="143"/>
      <c r="F9" s="141" t="s">
        <v>85</v>
      </c>
      <c r="G9" s="142" t="s">
        <v>108</v>
      </c>
      <c r="H9" s="142" t="s">
        <v>89</v>
      </c>
      <c r="I9" s="144" t="s">
        <v>93</v>
      </c>
      <c r="J9" s="145">
        <v>-9483.5</v>
      </c>
      <c r="K9" s="9"/>
      <c r="L9" s="146" t="s">
        <v>23</v>
      </c>
      <c r="M9" s="124">
        <v>13.0</v>
      </c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20"/>
      <c r="CC9" s="120"/>
      <c r="CD9" s="120"/>
      <c r="CE9" s="120"/>
      <c r="CF9" s="120"/>
      <c r="CG9" s="120"/>
      <c r="CH9" s="120"/>
      <c r="CI9" s="120"/>
      <c r="CJ9" s="120"/>
      <c r="CK9" s="120"/>
      <c r="CL9" s="120"/>
      <c r="CM9" s="120"/>
      <c r="CN9" s="120"/>
      <c r="CO9" s="120"/>
      <c r="CP9" s="120"/>
      <c r="CQ9" s="120"/>
      <c r="CR9" s="120"/>
      <c r="CS9" s="120"/>
      <c r="CT9" s="120"/>
      <c r="CU9" s="120"/>
      <c r="CV9" s="120"/>
      <c r="CW9" s="120"/>
      <c r="CX9" s="120"/>
      <c r="CY9" s="120"/>
      <c r="CZ9" s="120"/>
      <c r="DA9" s="120"/>
      <c r="DB9" s="120"/>
      <c r="DC9" s="120"/>
      <c r="DD9" s="120"/>
      <c r="DE9" s="120"/>
      <c r="DF9" s="120"/>
      <c r="DG9" s="120"/>
      <c r="DH9" s="120"/>
      <c r="DI9" s="120"/>
      <c r="DJ9" s="120"/>
      <c r="DK9" s="120"/>
      <c r="DL9" s="120"/>
      <c r="DM9" s="120"/>
      <c r="DN9" s="120"/>
      <c r="DO9" s="120"/>
      <c r="DP9" s="120"/>
      <c r="DQ9" s="120"/>
      <c r="DR9" s="120"/>
      <c r="DS9" s="120"/>
      <c r="DT9" s="120"/>
      <c r="DU9" s="120"/>
      <c r="DV9" s="120"/>
      <c r="DW9" s="120"/>
      <c r="DX9" s="120"/>
      <c r="DY9" s="120"/>
      <c r="DZ9" s="120"/>
      <c r="EA9" s="120"/>
      <c r="EB9" s="120"/>
      <c r="EC9" s="120"/>
      <c r="ED9" s="120"/>
      <c r="EE9" s="120"/>
      <c r="EF9" s="120"/>
      <c r="EG9" s="120"/>
      <c r="EH9" s="120"/>
      <c r="EI9" s="120"/>
      <c r="EJ9" s="120"/>
      <c r="EK9" s="120"/>
      <c r="EL9" s="120"/>
      <c r="EM9" s="120"/>
      <c r="EN9" s="120"/>
      <c r="EO9" s="120"/>
      <c r="EP9" s="120"/>
      <c r="EQ9" s="120"/>
      <c r="ER9" s="120"/>
      <c r="ES9" s="120"/>
      <c r="ET9" s="120"/>
      <c r="EU9" s="120"/>
      <c r="EV9" s="120"/>
      <c r="EW9" s="120"/>
      <c r="EX9" s="120"/>
      <c r="EY9" s="120"/>
      <c r="EZ9" s="120"/>
      <c r="FA9" s="120"/>
      <c r="FB9" s="120"/>
      <c r="FC9" s="120"/>
      <c r="FD9" s="120"/>
      <c r="FE9" s="120"/>
      <c r="FF9" s="120"/>
      <c r="FG9" s="120"/>
      <c r="FH9" s="120"/>
      <c r="FI9" s="120"/>
      <c r="FJ9" s="120"/>
      <c r="FK9" s="120"/>
      <c r="FL9" s="120"/>
      <c r="FM9" s="120"/>
      <c r="FN9" s="120"/>
      <c r="FO9" s="120"/>
      <c r="FP9" s="120"/>
      <c r="FQ9" s="120"/>
      <c r="FR9" s="120"/>
      <c r="FS9" s="120"/>
      <c r="FT9" s="120"/>
      <c r="FU9" s="120"/>
      <c r="FV9" s="120"/>
      <c r="FW9" s="120"/>
      <c r="FX9" s="120"/>
      <c r="FY9" s="120"/>
      <c r="FZ9" s="120"/>
      <c r="GA9" s="120"/>
      <c r="GB9" s="120"/>
      <c r="GC9" s="120"/>
      <c r="GD9" s="120"/>
      <c r="GE9" s="120"/>
      <c r="GF9" s="120"/>
      <c r="GG9" s="120"/>
      <c r="GH9" s="120"/>
      <c r="GI9" s="120"/>
      <c r="GJ9" s="120"/>
      <c r="GK9" s="120"/>
      <c r="GL9" s="120"/>
      <c r="GM9" s="120"/>
      <c r="GN9" s="120"/>
      <c r="GO9" s="120"/>
      <c r="GP9" s="120"/>
      <c r="GQ9" s="120"/>
      <c r="GR9" s="120"/>
      <c r="GS9" s="120"/>
      <c r="GT9" s="120"/>
      <c r="GU9" s="120"/>
      <c r="GV9" s="120"/>
      <c r="GW9" s="120"/>
      <c r="GX9" s="120"/>
      <c r="GY9" s="120"/>
      <c r="GZ9" s="120"/>
      <c r="HA9" s="120"/>
      <c r="HB9" s="120"/>
      <c r="HC9" s="120"/>
      <c r="HD9" s="120"/>
      <c r="HE9" s="120"/>
      <c r="HF9" s="120"/>
      <c r="HG9" s="120"/>
      <c r="HH9" s="120"/>
      <c r="HI9" s="120"/>
      <c r="HJ9" s="120"/>
      <c r="HK9" s="120"/>
      <c r="HL9" s="120"/>
      <c r="HM9" s="120"/>
      <c r="HN9" s="120"/>
      <c r="HO9" s="120"/>
      <c r="HP9" s="120"/>
      <c r="HQ9" s="120"/>
      <c r="HR9" s="120"/>
      <c r="HS9" s="120"/>
      <c r="HT9" s="120"/>
      <c r="HU9" s="120"/>
      <c r="HV9" s="120"/>
      <c r="HW9" s="120"/>
      <c r="HX9" s="120"/>
      <c r="HY9" s="120"/>
      <c r="HZ9" s="120"/>
      <c r="IA9" s="120"/>
      <c r="IB9" s="120"/>
      <c r="IC9" s="120"/>
      <c r="ID9" s="120"/>
      <c r="IE9" s="120"/>
      <c r="IF9" s="120"/>
      <c r="IG9" s="120"/>
      <c r="IH9" s="120"/>
      <c r="II9" s="120"/>
      <c r="IJ9" s="120"/>
      <c r="IK9" s="120"/>
      <c r="IL9" s="120"/>
      <c r="IM9" s="120"/>
      <c r="IN9" s="120"/>
      <c r="IO9" s="120"/>
      <c r="IP9" s="120"/>
      <c r="IQ9" s="120"/>
      <c r="IR9" s="120"/>
      <c r="IS9" s="120"/>
      <c r="IT9" s="120"/>
      <c r="IU9" s="120"/>
      <c r="IV9" s="120"/>
      <c r="IW9" s="120"/>
      <c r="IX9" s="120"/>
      <c r="IY9" s="120"/>
      <c r="IZ9" s="120"/>
      <c r="JA9" s="120"/>
      <c r="JB9" s="120"/>
      <c r="JC9" s="120"/>
      <c r="JD9" s="120"/>
      <c r="JE9" s="120"/>
      <c r="JF9" s="120"/>
      <c r="JG9" s="120"/>
      <c r="JH9" s="120"/>
      <c r="JI9" s="120"/>
      <c r="JJ9" s="120"/>
      <c r="JK9" s="120"/>
    </row>
    <row r="10" ht="18.75" customHeight="1">
      <c r="A10" s="147"/>
      <c r="B10" s="148" t="s">
        <v>40</v>
      </c>
      <c r="C10" s="149">
        <v>1.0</v>
      </c>
      <c r="D10" s="149" t="s">
        <v>49</v>
      </c>
      <c r="E10" s="150" t="s">
        <v>109</v>
      </c>
      <c r="F10" s="148" t="s">
        <v>110</v>
      </c>
      <c r="G10" s="149">
        <v>1.0</v>
      </c>
      <c r="H10" s="149" t="s">
        <v>111</v>
      </c>
      <c r="I10" s="151">
        <v>15.0</v>
      </c>
      <c r="K10" s="19"/>
      <c r="L10" s="146" t="s">
        <v>24</v>
      </c>
      <c r="M10" s="124">
        <v>14.0</v>
      </c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20"/>
      <c r="BJ10" s="120"/>
      <c r="BK10" s="120"/>
      <c r="BL10" s="120"/>
      <c r="BM10" s="120"/>
      <c r="BN10" s="120"/>
      <c r="BO10" s="120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20"/>
      <c r="CE10" s="120"/>
      <c r="CF10" s="120"/>
      <c r="CG10" s="120"/>
      <c r="CH10" s="120"/>
      <c r="CI10" s="120"/>
      <c r="CJ10" s="120"/>
      <c r="CK10" s="120"/>
      <c r="CL10" s="120"/>
      <c r="CM10" s="120"/>
      <c r="CN10" s="120"/>
      <c r="CO10" s="120"/>
      <c r="CP10" s="120"/>
      <c r="CQ10" s="120"/>
      <c r="CR10" s="120"/>
      <c r="CS10" s="120"/>
      <c r="CT10" s="120"/>
      <c r="CU10" s="120"/>
      <c r="CV10" s="120"/>
      <c r="CW10" s="120"/>
      <c r="CX10" s="120"/>
      <c r="CY10" s="120"/>
      <c r="CZ10" s="120"/>
      <c r="DA10" s="120"/>
      <c r="DB10" s="120"/>
      <c r="DC10" s="120"/>
      <c r="DD10" s="120"/>
      <c r="DE10" s="120"/>
      <c r="DF10" s="120"/>
      <c r="DG10" s="120"/>
      <c r="DH10" s="120"/>
      <c r="DI10" s="120"/>
      <c r="DJ10" s="120"/>
      <c r="DK10" s="120"/>
      <c r="DL10" s="120"/>
      <c r="DM10" s="120"/>
      <c r="DN10" s="120"/>
      <c r="DO10" s="120"/>
      <c r="DP10" s="120"/>
      <c r="DQ10" s="120"/>
      <c r="DR10" s="120"/>
      <c r="DS10" s="120"/>
      <c r="DT10" s="120"/>
      <c r="DU10" s="120"/>
      <c r="DV10" s="120"/>
      <c r="DW10" s="120"/>
      <c r="DX10" s="120"/>
      <c r="DY10" s="120"/>
      <c r="DZ10" s="120"/>
      <c r="EA10" s="120"/>
      <c r="EB10" s="120"/>
      <c r="EC10" s="120"/>
      <c r="ED10" s="120"/>
      <c r="EE10" s="120"/>
      <c r="EF10" s="120"/>
      <c r="EG10" s="120"/>
      <c r="EH10" s="120"/>
      <c r="EI10" s="120"/>
      <c r="EJ10" s="120"/>
      <c r="EK10" s="120"/>
      <c r="EL10" s="120"/>
      <c r="EM10" s="120"/>
      <c r="EN10" s="120"/>
      <c r="EO10" s="120"/>
      <c r="EP10" s="120"/>
      <c r="EQ10" s="120"/>
      <c r="ER10" s="120"/>
      <c r="ES10" s="120"/>
      <c r="ET10" s="120"/>
      <c r="EU10" s="120"/>
      <c r="EV10" s="120"/>
      <c r="EW10" s="120"/>
      <c r="EX10" s="120"/>
      <c r="EY10" s="120"/>
      <c r="EZ10" s="120"/>
      <c r="FA10" s="120"/>
      <c r="FB10" s="120"/>
      <c r="FC10" s="120"/>
      <c r="FD10" s="120"/>
      <c r="FE10" s="120"/>
      <c r="FF10" s="120"/>
      <c r="FG10" s="120"/>
      <c r="FH10" s="120"/>
      <c r="FI10" s="120"/>
      <c r="FJ10" s="120"/>
      <c r="FK10" s="120"/>
      <c r="FL10" s="120"/>
      <c r="FM10" s="120"/>
      <c r="FN10" s="120"/>
      <c r="FO10" s="120"/>
      <c r="FP10" s="120"/>
      <c r="FQ10" s="120"/>
      <c r="FR10" s="120"/>
      <c r="FS10" s="120"/>
      <c r="FT10" s="120"/>
      <c r="FU10" s="120"/>
      <c r="FV10" s="120"/>
      <c r="FW10" s="120"/>
      <c r="FX10" s="120"/>
      <c r="FY10" s="120"/>
      <c r="FZ10" s="120"/>
      <c r="GA10" s="120"/>
      <c r="GB10" s="120"/>
      <c r="GC10" s="120"/>
      <c r="GD10" s="120"/>
      <c r="GE10" s="120"/>
      <c r="GF10" s="120"/>
      <c r="GG10" s="120"/>
      <c r="GH10" s="120"/>
      <c r="GI10" s="120"/>
      <c r="GJ10" s="120"/>
      <c r="GK10" s="120"/>
      <c r="GL10" s="120"/>
      <c r="GM10" s="120"/>
      <c r="GN10" s="120"/>
      <c r="GO10" s="120"/>
      <c r="GP10" s="120"/>
      <c r="GQ10" s="120"/>
      <c r="GR10" s="120"/>
      <c r="GS10" s="120"/>
      <c r="GT10" s="120"/>
      <c r="GU10" s="120"/>
      <c r="GV10" s="120"/>
      <c r="GW10" s="120"/>
      <c r="GX10" s="120"/>
      <c r="GY10" s="120"/>
      <c r="GZ10" s="120"/>
      <c r="HA10" s="120"/>
      <c r="HB10" s="120"/>
      <c r="HC10" s="120"/>
      <c r="HD10" s="120"/>
      <c r="HE10" s="120"/>
      <c r="HF10" s="120"/>
      <c r="HG10" s="120"/>
      <c r="HH10" s="120"/>
      <c r="HI10" s="120"/>
      <c r="HJ10" s="120"/>
      <c r="HK10" s="120"/>
      <c r="HL10" s="120"/>
      <c r="HM10" s="120"/>
      <c r="HN10" s="120"/>
      <c r="HO10" s="120"/>
      <c r="HP10" s="120"/>
      <c r="HQ10" s="120"/>
      <c r="HR10" s="120"/>
      <c r="HS10" s="120"/>
      <c r="HT10" s="120"/>
      <c r="HU10" s="120"/>
      <c r="HV10" s="120"/>
      <c r="HW10" s="120"/>
      <c r="HX10" s="120"/>
      <c r="HY10" s="120"/>
      <c r="HZ10" s="120"/>
      <c r="IA10" s="120"/>
      <c r="IB10" s="120"/>
      <c r="IC10" s="120"/>
      <c r="ID10" s="120"/>
      <c r="IE10" s="120"/>
      <c r="IF10" s="120"/>
      <c r="IG10" s="120"/>
      <c r="IH10" s="120"/>
      <c r="II10" s="120"/>
      <c r="IJ10" s="120"/>
      <c r="IK10" s="120"/>
      <c r="IL10" s="120"/>
      <c r="IM10" s="120"/>
      <c r="IN10" s="120"/>
      <c r="IO10" s="120"/>
      <c r="IP10" s="120"/>
      <c r="IQ10" s="120"/>
      <c r="IR10" s="120"/>
      <c r="IS10" s="120"/>
      <c r="IT10" s="120"/>
      <c r="IU10" s="120"/>
      <c r="IV10" s="120"/>
      <c r="IW10" s="120"/>
      <c r="IX10" s="120"/>
      <c r="IY10" s="120"/>
      <c r="IZ10" s="120"/>
      <c r="JA10" s="120"/>
      <c r="JB10" s="120"/>
      <c r="JC10" s="120"/>
      <c r="JD10" s="120"/>
      <c r="JE10" s="120"/>
      <c r="JF10" s="120"/>
      <c r="JG10" s="120"/>
      <c r="JH10" s="120"/>
      <c r="JI10" s="120"/>
      <c r="JJ10" s="120"/>
      <c r="JK10" s="120"/>
    </row>
    <row r="11" ht="18.75" customHeight="1">
      <c r="A11" s="147"/>
      <c r="B11" s="148" t="s">
        <v>52</v>
      </c>
      <c r="C11" s="149">
        <v>1.0</v>
      </c>
      <c r="D11" s="149" t="s">
        <v>112</v>
      </c>
      <c r="E11" s="150" t="s">
        <v>49</v>
      </c>
      <c r="F11" s="148" t="s">
        <v>71</v>
      </c>
      <c r="G11" s="149">
        <v>1.0</v>
      </c>
      <c r="H11" s="149" t="s">
        <v>113</v>
      </c>
      <c r="I11" s="151">
        <v>0.0</v>
      </c>
      <c r="K11" s="19"/>
      <c r="L11" s="152" t="s">
        <v>25</v>
      </c>
      <c r="M11" s="153">
        <v>15.0</v>
      </c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20"/>
      <c r="BE11" s="120"/>
      <c r="BF11" s="120"/>
      <c r="BG11" s="120"/>
      <c r="BH11" s="120"/>
      <c r="BI11" s="120"/>
      <c r="BJ11" s="120"/>
      <c r="BK11" s="120"/>
      <c r="BL11" s="120"/>
      <c r="BM11" s="120"/>
      <c r="BN11" s="120"/>
      <c r="BO11" s="120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20"/>
      <c r="CC11" s="120"/>
      <c r="CD11" s="120"/>
      <c r="CE11" s="120"/>
      <c r="CF11" s="120"/>
      <c r="CG11" s="120"/>
      <c r="CH11" s="120"/>
      <c r="CI11" s="120"/>
      <c r="CJ11" s="120"/>
      <c r="CK11" s="120"/>
      <c r="CL11" s="120"/>
      <c r="CM11" s="120"/>
      <c r="CN11" s="120"/>
      <c r="CO11" s="120"/>
      <c r="CP11" s="120"/>
      <c r="CQ11" s="120"/>
      <c r="CR11" s="120"/>
      <c r="CS11" s="120"/>
      <c r="CT11" s="120"/>
      <c r="CU11" s="120"/>
      <c r="CV11" s="120"/>
      <c r="CW11" s="120"/>
      <c r="CX11" s="120"/>
      <c r="CY11" s="120"/>
      <c r="CZ11" s="120"/>
      <c r="DA11" s="120"/>
      <c r="DB11" s="120"/>
      <c r="DC11" s="120"/>
      <c r="DD11" s="120"/>
      <c r="DE11" s="120"/>
      <c r="DF11" s="120"/>
      <c r="DG11" s="120"/>
      <c r="DH11" s="120"/>
      <c r="DI11" s="120"/>
      <c r="DJ11" s="120"/>
      <c r="DK11" s="120"/>
      <c r="DL11" s="120"/>
      <c r="DM11" s="120"/>
      <c r="DN11" s="120"/>
      <c r="DO11" s="120"/>
      <c r="DP11" s="120"/>
      <c r="DQ11" s="120"/>
      <c r="DR11" s="120"/>
      <c r="DS11" s="120"/>
      <c r="DT11" s="120"/>
      <c r="DU11" s="120"/>
      <c r="DV11" s="120"/>
      <c r="DW11" s="120"/>
      <c r="DX11" s="120"/>
      <c r="DY11" s="120"/>
      <c r="DZ11" s="120"/>
      <c r="EA11" s="120"/>
      <c r="EB11" s="120"/>
      <c r="EC11" s="120"/>
      <c r="ED11" s="120"/>
      <c r="EE11" s="120"/>
      <c r="EF11" s="120"/>
      <c r="EG11" s="120"/>
      <c r="EH11" s="120"/>
      <c r="EI11" s="120"/>
      <c r="EJ11" s="120"/>
      <c r="EK11" s="120"/>
      <c r="EL11" s="120"/>
      <c r="EM11" s="120"/>
      <c r="EN11" s="120"/>
      <c r="EO11" s="120"/>
      <c r="EP11" s="120"/>
      <c r="EQ11" s="120"/>
      <c r="ER11" s="120"/>
      <c r="ES11" s="120"/>
      <c r="ET11" s="120"/>
      <c r="EU11" s="120"/>
      <c r="EV11" s="120"/>
      <c r="EW11" s="120"/>
      <c r="EX11" s="120"/>
      <c r="EY11" s="120"/>
      <c r="EZ11" s="120"/>
      <c r="FA11" s="120"/>
      <c r="FB11" s="120"/>
      <c r="FC11" s="120"/>
      <c r="FD11" s="120"/>
      <c r="FE11" s="120"/>
      <c r="FF11" s="120"/>
      <c r="FG11" s="120"/>
      <c r="FH11" s="120"/>
      <c r="FI11" s="120"/>
      <c r="FJ11" s="120"/>
      <c r="FK11" s="120"/>
      <c r="FL11" s="120"/>
      <c r="FM11" s="120"/>
      <c r="FN11" s="120"/>
      <c r="FO11" s="120"/>
      <c r="FP11" s="120"/>
      <c r="FQ11" s="120"/>
      <c r="FR11" s="120"/>
      <c r="FS11" s="120"/>
      <c r="FT11" s="120"/>
      <c r="FU11" s="120"/>
      <c r="FV11" s="120"/>
      <c r="FW11" s="120"/>
      <c r="FX11" s="120"/>
      <c r="FY11" s="120"/>
      <c r="FZ11" s="120"/>
      <c r="GA11" s="120"/>
      <c r="GB11" s="120"/>
      <c r="GC11" s="120"/>
      <c r="GD11" s="120"/>
      <c r="GE11" s="120"/>
      <c r="GF11" s="120"/>
      <c r="GG11" s="120"/>
      <c r="GH11" s="120"/>
      <c r="GI11" s="120"/>
      <c r="GJ11" s="120"/>
      <c r="GK11" s="120"/>
      <c r="GL11" s="120"/>
      <c r="GM11" s="120"/>
      <c r="GN11" s="120"/>
      <c r="GO11" s="120"/>
      <c r="GP11" s="120"/>
      <c r="GQ11" s="120"/>
      <c r="GR11" s="120"/>
      <c r="GS11" s="120"/>
      <c r="GT11" s="120"/>
      <c r="GU11" s="120"/>
      <c r="GV11" s="120"/>
      <c r="GW11" s="120"/>
      <c r="GX11" s="120"/>
      <c r="GY11" s="120"/>
      <c r="GZ11" s="120"/>
      <c r="HA11" s="120"/>
      <c r="HB11" s="120"/>
      <c r="HC11" s="120"/>
      <c r="HD11" s="120"/>
      <c r="HE11" s="120"/>
      <c r="HF11" s="120"/>
      <c r="HG11" s="120"/>
      <c r="HH11" s="120"/>
      <c r="HI11" s="120"/>
      <c r="HJ11" s="120"/>
      <c r="HK11" s="120"/>
      <c r="HL11" s="120"/>
      <c r="HM11" s="120"/>
      <c r="HN11" s="120"/>
      <c r="HO11" s="120"/>
      <c r="HP11" s="120"/>
      <c r="HQ11" s="120"/>
      <c r="HR11" s="120"/>
      <c r="HS11" s="120"/>
      <c r="HT11" s="120"/>
      <c r="HU11" s="120"/>
      <c r="HV11" s="120"/>
      <c r="HW11" s="120"/>
      <c r="HX11" s="120"/>
      <c r="HY11" s="120"/>
      <c r="HZ11" s="120"/>
      <c r="IA11" s="120"/>
      <c r="IB11" s="120"/>
      <c r="IC11" s="120"/>
      <c r="ID11" s="120"/>
      <c r="IE11" s="120"/>
      <c r="IF11" s="120"/>
      <c r="IG11" s="120"/>
      <c r="IH11" s="120"/>
      <c r="II11" s="120"/>
      <c r="IJ11" s="120"/>
      <c r="IK11" s="120"/>
      <c r="IL11" s="120"/>
      <c r="IM11" s="120"/>
      <c r="IN11" s="120"/>
      <c r="IO11" s="120"/>
      <c r="IP11" s="120"/>
      <c r="IQ11" s="120"/>
      <c r="IR11" s="120"/>
      <c r="IS11" s="120"/>
      <c r="IT11" s="120"/>
      <c r="IU11" s="120"/>
      <c r="IV11" s="120"/>
      <c r="IW11" s="120"/>
      <c r="IX11" s="120"/>
      <c r="IY11" s="120"/>
      <c r="IZ11" s="120"/>
      <c r="JA11" s="120"/>
      <c r="JB11" s="120"/>
      <c r="JC11" s="120"/>
      <c r="JD11" s="120"/>
      <c r="JE11" s="120"/>
      <c r="JF11" s="120"/>
      <c r="JG11" s="120"/>
      <c r="JH11" s="120"/>
      <c r="JI11" s="120"/>
      <c r="JJ11" s="120"/>
      <c r="JK11" s="120"/>
    </row>
    <row r="12" ht="18.75" customHeight="1">
      <c r="A12" s="147"/>
      <c r="B12" s="148" t="s">
        <v>114</v>
      </c>
      <c r="C12" s="149">
        <v>1.0</v>
      </c>
      <c r="D12" s="149" t="s">
        <v>115</v>
      </c>
      <c r="E12" s="150" t="s">
        <v>50</v>
      </c>
      <c r="F12" s="148" t="s">
        <v>116</v>
      </c>
      <c r="G12" s="149">
        <v>1.0</v>
      </c>
      <c r="H12" s="149" t="s">
        <v>41</v>
      </c>
      <c r="I12" s="151">
        <v>0.0</v>
      </c>
      <c r="K12" s="19"/>
      <c r="L12" s="154" t="s">
        <v>90</v>
      </c>
      <c r="M12" s="17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15"/>
      <c r="CU12" s="115"/>
      <c r="CV12" s="115"/>
      <c r="CW12" s="115"/>
      <c r="CX12" s="115"/>
      <c r="CY12" s="115"/>
      <c r="CZ12" s="115"/>
      <c r="DA12" s="115"/>
      <c r="DB12" s="115"/>
      <c r="DC12" s="115"/>
      <c r="DD12" s="115"/>
      <c r="DE12" s="115"/>
      <c r="DF12" s="115"/>
      <c r="DG12" s="115"/>
      <c r="DH12" s="115"/>
      <c r="DI12" s="115"/>
      <c r="DJ12" s="115"/>
      <c r="DK12" s="115"/>
      <c r="DL12" s="115"/>
      <c r="DM12" s="115"/>
      <c r="DN12" s="115"/>
      <c r="DO12" s="115"/>
      <c r="DP12" s="115"/>
      <c r="DQ12" s="115"/>
      <c r="DR12" s="115"/>
      <c r="DS12" s="115"/>
      <c r="DT12" s="115"/>
      <c r="DU12" s="115"/>
      <c r="DV12" s="115"/>
      <c r="DW12" s="115"/>
      <c r="DX12" s="115"/>
      <c r="DY12" s="115"/>
      <c r="DZ12" s="115"/>
      <c r="EA12" s="115"/>
      <c r="EB12" s="115"/>
      <c r="EC12" s="115"/>
      <c r="ED12" s="115"/>
      <c r="EE12" s="115"/>
      <c r="EF12" s="115"/>
      <c r="EG12" s="115"/>
      <c r="EH12" s="115"/>
      <c r="EI12" s="115"/>
      <c r="EJ12" s="115"/>
      <c r="EK12" s="115"/>
      <c r="EL12" s="115"/>
      <c r="EM12" s="115"/>
      <c r="EN12" s="115"/>
      <c r="EO12" s="115"/>
      <c r="EP12" s="115"/>
      <c r="EQ12" s="115"/>
      <c r="ER12" s="115"/>
      <c r="ES12" s="115"/>
      <c r="ET12" s="115"/>
      <c r="EU12" s="115"/>
      <c r="EV12" s="115"/>
      <c r="EW12" s="115"/>
      <c r="EX12" s="115"/>
      <c r="EY12" s="115"/>
      <c r="EZ12" s="115"/>
      <c r="FA12" s="115"/>
      <c r="FB12" s="115"/>
      <c r="FC12" s="115"/>
      <c r="FD12" s="115"/>
      <c r="FE12" s="115"/>
      <c r="FF12" s="115"/>
      <c r="FG12" s="115"/>
      <c r="FH12" s="115"/>
      <c r="FI12" s="115"/>
      <c r="FJ12" s="115"/>
      <c r="FK12" s="115"/>
      <c r="FL12" s="115"/>
      <c r="FM12" s="115"/>
      <c r="FN12" s="115"/>
      <c r="FO12" s="115"/>
      <c r="FP12" s="115"/>
      <c r="FQ12" s="115"/>
      <c r="FR12" s="115"/>
      <c r="FS12" s="115"/>
      <c r="FT12" s="115"/>
      <c r="FU12" s="115"/>
      <c r="FV12" s="115"/>
      <c r="FW12" s="115"/>
      <c r="FX12" s="115"/>
      <c r="FY12" s="115"/>
      <c r="FZ12" s="115"/>
      <c r="GA12" s="115"/>
      <c r="GB12" s="115"/>
      <c r="GC12" s="115"/>
      <c r="GD12" s="115"/>
      <c r="GE12" s="115"/>
      <c r="GF12" s="115"/>
      <c r="GG12" s="115"/>
      <c r="GH12" s="115"/>
      <c r="GI12" s="115"/>
      <c r="GJ12" s="115"/>
      <c r="GK12" s="115"/>
      <c r="GL12" s="115"/>
      <c r="GM12" s="115"/>
      <c r="GN12" s="115"/>
      <c r="GO12" s="115"/>
      <c r="GP12" s="115"/>
      <c r="GQ12" s="115"/>
      <c r="GR12" s="115"/>
      <c r="GS12" s="115"/>
      <c r="GT12" s="115"/>
      <c r="GU12" s="115"/>
      <c r="GV12" s="115"/>
      <c r="GW12" s="115"/>
      <c r="GX12" s="115"/>
      <c r="GY12" s="115"/>
      <c r="GZ12" s="115"/>
      <c r="HA12" s="115"/>
      <c r="HB12" s="115"/>
      <c r="HC12" s="115"/>
      <c r="HD12" s="115"/>
      <c r="HE12" s="115"/>
      <c r="HF12" s="115"/>
      <c r="HG12" s="115"/>
      <c r="HH12" s="115"/>
      <c r="HI12" s="115"/>
      <c r="HJ12" s="115"/>
      <c r="HK12" s="115"/>
      <c r="HL12" s="115"/>
      <c r="HM12" s="115"/>
      <c r="HN12" s="115"/>
      <c r="HO12" s="115"/>
      <c r="HP12" s="115"/>
      <c r="HQ12" s="115"/>
      <c r="HR12" s="115"/>
      <c r="HS12" s="115"/>
      <c r="HT12" s="115"/>
      <c r="HU12" s="115"/>
      <c r="HV12" s="115"/>
      <c r="HW12" s="115"/>
      <c r="HX12" s="115"/>
      <c r="HY12" s="115"/>
      <c r="HZ12" s="115"/>
      <c r="IA12" s="115"/>
      <c r="IB12" s="115"/>
      <c r="IC12" s="115"/>
      <c r="ID12" s="115"/>
      <c r="IE12" s="115"/>
      <c r="IF12" s="115"/>
      <c r="IG12" s="115"/>
      <c r="IH12" s="115"/>
      <c r="II12" s="115"/>
      <c r="IJ12" s="115"/>
      <c r="IK12" s="115"/>
      <c r="IL12" s="115"/>
      <c r="IM12" s="115"/>
      <c r="IN12" s="115"/>
      <c r="IO12" s="115"/>
      <c r="IP12" s="115"/>
      <c r="IQ12" s="115"/>
      <c r="IR12" s="115"/>
      <c r="IS12" s="115"/>
      <c r="IT12" s="115"/>
      <c r="IU12" s="115"/>
      <c r="IV12" s="115"/>
      <c r="IW12" s="115"/>
      <c r="IX12" s="115"/>
      <c r="IY12" s="115"/>
      <c r="IZ12" s="115"/>
      <c r="JA12" s="115"/>
      <c r="JB12" s="115"/>
      <c r="JC12" s="115"/>
      <c r="JD12" s="115"/>
      <c r="JE12" s="115"/>
      <c r="JF12" s="115"/>
      <c r="JG12" s="115"/>
      <c r="JH12" s="115"/>
      <c r="JI12" s="115"/>
      <c r="JJ12" s="115"/>
      <c r="JK12" s="115"/>
    </row>
    <row r="13" ht="18.75" customHeight="1">
      <c r="A13" s="147"/>
      <c r="B13" s="148" t="s">
        <v>44</v>
      </c>
      <c r="C13" s="149">
        <v>1.0</v>
      </c>
      <c r="D13" s="149" t="s">
        <v>45</v>
      </c>
      <c r="E13" s="150" t="s">
        <v>50</v>
      </c>
      <c r="F13" s="148"/>
      <c r="G13" s="149"/>
      <c r="H13" s="149"/>
      <c r="I13" s="151"/>
      <c r="K13" s="19"/>
      <c r="L13" s="118" t="s">
        <v>29</v>
      </c>
      <c r="M13" s="119">
        <v>13.0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120"/>
      <c r="BG13" s="120"/>
      <c r="BH13" s="120"/>
      <c r="BI13" s="120"/>
      <c r="BJ13" s="120"/>
      <c r="BK13" s="120"/>
      <c r="BL13" s="120"/>
      <c r="BM13" s="120"/>
      <c r="BN13" s="120"/>
      <c r="BO13" s="120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0"/>
      <c r="CC13" s="120"/>
      <c r="CD13" s="120"/>
      <c r="CE13" s="120"/>
      <c r="CF13" s="120"/>
      <c r="CG13" s="120"/>
      <c r="CH13" s="120"/>
      <c r="CI13" s="120"/>
      <c r="CJ13" s="120"/>
      <c r="CK13" s="120"/>
      <c r="CL13" s="120"/>
      <c r="CM13" s="120"/>
      <c r="CN13" s="120"/>
      <c r="CO13" s="120"/>
      <c r="CP13" s="120"/>
      <c r="CQ13" s="120"/>
      <c r="CR13" s="120"/>
      <c r="CS13" s="120"/>
      <c r="CT13" s="120"/>
      <c r="CU13" s="120"/>
      <c r="CV13" s="120"/>
      <c r="CW13" s="120"/>
      <c r="CX13" s="120"/>
      <c r="CY13" s="120"/>
      <c r="CZ13" s="120"/>
      <c r="DA13" s="120"/>
      <c r="DB13" s="120"/>
      <c r="DC13" s="120"/>
      <c r="DD13" s="120"/>
      <c r="DE13" s="120"/>
      <c r="DF13" s="120"/>
      <c r="DG13" s="120"/>
      <c r="DH13" s="120"/>
      <c r="DI13" s="120"/>
      <c r="DJ13" s="120"/>
      <c r="DK13" s="120"/>
      <c r="DL13" s="120"/>
      <c r="DM13" s="120"/>
      <c r="DN13" s="120"/>
      <c r="DO13" s="120"/>
      <c r="DP13" s="120"/>
      <c r="DQ13" s="120"/>
      <c r="DR13" s="120"/>
      <c r="DS13" s="120"/>
      <c r="DT13" s="120"/>
      <c r="DU13" s="120"/>
      <c r="DV13" s="120"/>
      <c r="DW13" s="120"/>
      <c r="DX13" s="120"/>
      <c r="DY13" s="120"/>
      <c r="DZ13" s="120"/>
      <c r="EA13" s="120"/>
      <c r="EB13" s="120"/>
      <c r="EC13" s="120"/>
      <c r="ED13" s="120"/>
      <c r="EE13" s="120"/>
      <c r="EF13" s="120"/>
      <c r="EG13" s="120"/>
      <c r="EH13" s="120"/>
      <c r="EI13" s="120"/>
      <c r="EJ13" s="120"/>
      <c r="EK13" s="120"/>
      <c r="EL13" s="120"/>
      <c r="EM13" s="120"/>
      <c r="EN13" s="120"/>
      <c r="EO13" s="120"/>
      <c r="EP13" s="120"/>
      <c r="EQ13" s="120"/>
      <c r="ER13" s="120"/>
      <c r="ES13" s="120"/>
      <c r="ET13" s="120"/>
      <c r="EU13" s="120"/>
      <c r="EV13" s="120"/>
      <c r="EW13" s="120"/>
      <c r="EX13" s="120"/>
      <c r="EY13" s="120"/>
      <c r="EZ13" s="120"/>
      <c r="FA13" s="120"/>
      <c r="FB13" s="120"/>
      <c r="FC13" s="120"/>
      <c r="FD13" s="120"/>
      <c r="FE13" s="120"/>
      <c r="FF13" s="120"/>
      <c r="FG13" s="120"/>
      <c r="FH13" s="120"/>
      <c r="FI13" s="120"/>
      <c r="FJ13" s="120"/>
      <c r="FK13" s="120"/>
      <c r="FL13" s="120"/>
      <c r="FM13" s="120"/>
      <c r="FN13" s="120"/>
      <c r="FO13" s="120"/>
      <c r="FP13" s="120"/>
      <c r="FQ13" s="120"/>
      <c r="FR13" s="120"/>
      <c r="FS13" s="120"/>
      <c r="FT13" s="120"/>
      <c r="FU13" s="120"/>
      <c r="FV13" s="120"/>
      <c r="FW13" s="120"/>
      <c r="FX13" s="120"/>
      <c r="FY13" s="120"/>
      <c r="FZ13" s="120"/>
      <c r="GA13" s="120"/>
      <c r="GB13" s="120"/>
      <c r="GC13" s="120"/>
      <c r="GD13" s="120"/>
      <c r="GE13" s="120"/>
      <c r="GF13" s="120"/>
      <c r="GG13" s="120"/>
      <c r="GH13" s="120"/>
      <c r="GI13" s="120"/>
      <c r="GJ13" s="120"/>
      <c r="GK13" s="120"/>
      <c r="GL13" s="120"/>
      <c r="GM13" s="120"/>
      <c r="GN13" s="120"/>
      <c r="GO13" s="120"/>
      <c r="GP13" s="120"/>
      <c r="GQ13" s="120"/>
      <c r="GR13" s="120"/>
      <c r="GS13" s="120"/>
      <c r="GT13" s="120"/>
      <c r="GU13" s="120"/>
      <c r="GV13" s="120"/>
      <c r="GW13" s="120"/>
      <c r="GX13" s="120"/>
      <c r="GY13" s="120"/>
      <c r="GZ13" s="120"/>
      <c r="HA13" s="120"/>
      <c r="HB13" s="120"/>
      <c r="HC13" s="120"/>
      <c r="HD13" s="120"/>
      <c r="HE13" s="120"/>
      <c r="HF13" s="120"/>
      <c r="HG13" s="120"/>
      <c r="HH13" s="120"/>
      <c r="HI13" s="120"/>
      <c r="HJ13" s="120"/>
      <c r="HK13" s="120"/>
      <c r="HL13" s="120"/>
      <c r="HM13" s="120"/>
      <c r="HN13" s="120"/>
      <c r="HO13" s="120"/>
      <c r="HP13" s="120"/>
      <c r="HQ13" s="120"/>
      <c r="HR13" s="120"/>
      <c r="HS13" s="120"/>
      <c r="HT13" s="120"/>
      <c r="HU13" s="120"/>
      <c r="HV13" s="120"/>
      <c r="HW13" s="120"/>
      <c r="HX13" s="120"/>
      <c r="HY13" s="120"/>
      <c r="HZ13" s="120"/>
      <c r="IA13" s="120"/>
      <c r="IB13" s="120"/>
      <c r="IC13" s="120"/>
      <c r="ID13" s="120"/>
      <c r="IE13" s="120"/>
      <c r="IF13" s="120"/>
      <c r="IG13" s="120"/>
      <c r="IH13" s="120"/>
      <c r="II13" s="120"/>
      <c r="IJ13" s="120"/>
      <c r="IK13" s="120"/>
      <c r="IL13" s="120"/>
      <c r="IM13" s="120"/>
      <c r="IN13" s="120"/>
      <c r="IO13" s="120"/>
      <c r="IP13" s="120"/>
      <c r="IQ13" s="120"/>
      <c r="IR13" s="120"/>
      <c r="IS13" s="120"/>
      <c r="IT13" s="120"/>
      <c r="IU13" s="120"/>
      <c r="IV13" s="120"/>
      <c r="IW13" s="120"/>
      <c r="IX13" s="120"/>
      <c r="IY13" s="120"/>
      <c r="IZ13" s="120"/>
      <c r="JA13" s="120"/>
      <c r="JB13" s="120"/>
      <c r="JC13" s="120"/>
      <c r="JD13" s="120"/>
      <c r="JE13" s="120"/>
      <c r="JF13" s="120"/>
      <c r="JG13" s="120"/>
      <c r="JH13" s="120"/>
      <c r="JI13" s="120"/>
      <c r="JJ13" s="120"/>
      <c r="JK13" s="120"/>
    </row>
    <row r="14" ht="18.75" customHeight="1">
      <c r="A14" s="147"/>
      <c r="B14" s="148" t="s">
        <v>117</v>
      </c>
      <c r="C14" s="149">
        <v>1.0</v>
      </c>
      <c r="D14" s="149" t="s">
        <v>118</v>
      </c>
      <c r="E14" s="150" t="s">
        <v>115</v>
      </c>
      <c r="F14" s="148"/>
      <c r="G14" s="149"/>
      <c r="H14" s="149"/>
      <c r="I14" s="151"/>
      <c r="K14" s="19"/>
      <c r="L14" s="155" t="s">
        <v>30</v>
      </c>
      <c r="M14" s="124">
        <v>5.0</v>
      </c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120"/>
      <c r="BG14" s="120"/>
      <c r="BH14" s="120"/>
      <c r="BI14" s="120"/>
      <c r="BJ14" s="120"/>
      <c r="BK14" s="120"/>
      <c r="BL14" s="120"/>
      <c r="BM14" s="120"/>
      <c r="BN14" s="120"/>
      <c r="BO14" s="120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20"/>
      <c r="CC14" s="120"/>
      <c r="CD14" s="120"/>
      <c r="CE14" s="120"/>
      <c r="CF14" s="120"/>
      <c r="CG14" s="120"/>
      <c r="CH14" s="120"/>
      <c r="CI14" s="120"/>
      <c r="CJ14" s="120"/>
      <c r="CK14" s="120"/>
      <c r="CL14" s="120"/>
      <c r="CM14" s="120"/>
      <c r="CN14" s="120"/>
      <c r="CO14" s="120"/>
      <c r="CP14" s="120"/>
      <c r="CQ14" s="120"/>
      <c r="CR14" s="120"/>
      <c r="CS14" s="120"/>
      <c r="CT14" s="120"/>
      <c r="CU14" s="120"/>
      <c r="CV14" s="120"/>
      <c r="CW14" s="120"/>
      <c r="CX14" s="120"/>
      <c r="CY14" s="120"/>
      <c r="CZ14" s="120"/>
      <c r="DA14" s="120"/>
      <c r="DB14" s="120"/>
      <c r="DC14" s="120"/>
      <c r="DD14" s="120"/>
      <c r="DE14" s="120"/>
      <c r="DF14" s="120"/>
      <c r="DG14" s="120"/>
      <c r="DH14" s="120"/>
      <c r="DI14" s="120"/>
      <c r="DJ14" s="120"/>
      <c r="DK14" s="120"/>
      <c r="DL14" s="120"/>
      <c r="DM14" s="120"/>
      <c r="DN14" s="120"/>
      <c r="DO14" s="120"/>
      <c r="DP14" s="120"/>
      <c r="DQ14" s="120"/>
      <c r="DR14" s="120"/>
      <c r="DS14" s="120"/>
      <c r="DT14" s="120"/>
      <c r="DU14" s="120"/>
      <c r="DV14" s="120"/>
      <c r="DW14" s="120"/>
      <c r="DX14" s="120"/>
      <c r="DY14" s="120"/>
      <c r="DZ14" s="120"/>
      <c r="EA14" s="120"/>
      <c r="EB14" s="120"/>
      <c r="EC14" s="120"/>
      <c r="ED14" s="120"/>
      <c r="EE14" s="120"/>
      <c r="EF14" s="120"/>
      <c r="EG14" s="120"/>
      <c r="EH14" s="120"/>
      <c r="EI14" s="120"/>
      <c r="EJ14" s="120"/>
      <c r="EK14" s="120"/>
      <c r="EL14" s="120"/>
      <c r="EM14" s="120"/>
      <c r="EN14" s="120"/>
      <c r="EO14" s="120"/>
      <c r="EP14" s="120"/>
      <c r="EQ14" s="120"/>
      <c r="ER14" s="120"/>
      <c r="ES14" s="120"/>
      <c r="ET14" s="120"/>
      <c r="EU14" s="120"/>
      <c r="EV14" s="120"/>
      <c r="EW14" s="120"/>
      <c r="EX14" s="120"/>
      <c r="EY14" s="120"/>
      <c r="EZ14" s="120"/>
      <c r="FA14" s="120"/>
      <c r="FB14" s="120"/>
      <c r="FC14" s="120"/>
      <c r="FD14" s="120"/>
      <c r="FE14" s="120"/>
      <c r="FF14" s="120"/>
      <c r="FG14" s="120"/>
      <c r="FH14" s="120"/>
      <c r="FI14" s="120"/>
      <c r="FJ14" s="120"/>
      <c r="FK14" s="120"/>
      <c r="FL14" s="120"/>
      <c r="FM14" s="120"/>
      <c r="FN14" s="120"/>
      <c r="FO14" s="120"/>
      <c r="FP14" s="120"/>
      <c r="FQ14" s="120"/>
      <c r="FR14" s="120"/>
      <c r="FS14" s="120"/>
      <c r="FT14" s="120"/>
      <c r="FU14" s="120"/>
      <c r="FV14" s="120"/>
      <c r="FW14" s="120"/>
      <c r="FX14" s="120"/>
      <c r="FY14" s="120"/>
      <c r="FZ14" s="120"/>
      <c r="GA14" s="120"/>
      <c r="GB14" s="120"/>
      <c r="GC14" s="120"/>
      <c r="GD14" s="120"/>
      <c r="GE14" s="120"/>
      <c r="GF14" s="120"/>
      <c r="GG14" s="120"/>
      <c r="GH14" s="120"/>
      <c r="GI14" s="120"/>
      <c r="GJ14" s="120"/>
      <c r="GK14" s="120"/>
      <c r="GL14" s="120"/>
      <c r="GM14" s="120"/>
      <c r="GN14" s="120"/>
      <c r="GO14" s="120"/>
      <c r="GP14" s="120"/>
      <c r="GQ14" s="120"/>
      <c r="GR14" s="120"/>
      <c r="GS14" s="120"/>
      <c r="GT14" s="120"/>
      <c r="GU14" s="120"/>
      <c r="GV14" s="120"/>
      <c r="GW14" s="120"/>
      <c r="GX14" s="120"/>
      <c r="GY14" s="120"/>
      <c r="GZ14" s="120"/>
      <c r="HA14" s="120"/>
      <c r="HB14" s="120"/>
      <c r="HC14" s="120"/>
      <c r="HD14" s="120"/>
      <c r="HE14" s="120"/>
      <c r="HF14" s="120"/>
      <c r="HG14" s="120"/>
      <c r="HH14" s="120"/>
      <c r="HI14" s="120"/>
      <c r="HJ14" s="120"/>
      <c r="HK14" s="120"/>
      <c r="HL14" s="120"/>
      <c r="HM14" s="120"/>
      <c r="HN14" s="120"/>
      <c r="HO14" s="120"/>
      <c r="HP14" s="120"/>
      <c r="HQ14" s="120"/>
      <c r="HR14" s="120"/>
      <c r="HS14" s="120"/>
      <c r="HT14" s="120"/>
      <c r="HU14" s="120"/>
      <c r="HV14" s="120"/>
      <c r="HW14" s="120"/>
      <c r="HX14" s="120"/>
      <c r="HY14" s="120"/>
      <c r="HZ14" s="120"/>
      <c r="IA14" s="120"/>
      <c r="IB14" s="120"/>
      <c r="IC14" s="120"/>
      <c r="ID14" s="120"/>
      <c r="IE14" s="120"/>
      <c r="IF14" s="120"/>
      <c r="IG14" s="120"/>
      <c r="IH14" s="120"/>
      <c r="II14" s="120"/>
      <c r="IJ14" s="120"/>
      <c r="IK14" s="120"/>
      <c r="IL14" s="120"/>
      <c r="IM14" s="120"/>
      <c r="IN14" s="120"/>
      <c r="IO14" s="120"/>
      <c r="IP14" s="120"/>
      <c r="IQ14" s="120"/>
      <c r="IR14" s="120"/>
      <c r="IS14" s="120"/>
      <c r="IT14" s="120"/>
      <c r="IU14" s="120"/>
      <c r="IV14" s="120"/>
      <c r="IW14" s="120"/>
      <c r="IX14" s="120"/>
      <c r="IY14" s="120"/>
      <c r="IZ14" s="120"/>
      <c r="JA14" s="120"/>
      <c r="JB14" s="120"/>
      <c r="JC14" s="120"/>
      <c r="JD14" s="120"/>
      <c r="JE14" s="120"/>
      <c r="JF14" s="120"/>
      <c r="JG14" s="120"/>
      <c r="JH14" s="120"/>
      <c r="JI14" s="120"/>
      <c r="JJ14" s="120"/>
      <c r="JK14" s="120"/>
    </row>
    <row r="15" ht="18.75" customHeight="1">
      <c r="A15" s="147"/>
      <c r="B15" s="148" t="s">
        <v>119</v>
      </c>
      <c r="C15" s="149">
        <v>1.0</v>
      </c>
      <c r="D15" s="149" t="s">
        <v>70</v>
      </c>
      <c r="E15" s="150" t="s">
        <v>115</v>
      </c>
      <c r="F15" s="148"/>
      <c r="G15" s="149"/>
      <c r="H15" s="149"/>
      <c r="I15" s="151"/>
      <c r="K15" s="19"/>
      <c r="L15" s="155" t="s">
        <v>31</v>
      </c>
      <c r="M15" s="124">
        <v>5.0</v>
      </c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120"/>
      <c r="BG15" s="120"/>
      <c r="BH15" s="120"/>
      <c r="BI15" s="120"/>
      <c r="BJ15" s="120"/>
      <c r="BK15" s="120"/>
      <c r="BL15" s="120"/>
      <c r="BM15" s="120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  <c r="CZ15" s="120"/>
      <c r="DA15" s="120"/>
      <c r="DB15" s="120"/>
      <c r="DC15" s="120"/>
      <c r="DD15" s="120"/>
      <c r="DE15" s="120"/>
      <c r="DF15" s="120"/>
      <c r="DG15" s="120"/>
      <c r="DH15" s="120"/>
      <c r="DI15" s="120"/>
      <c r="DJ15" s="120"/>
      <c r="DK15" s="120"/>
      <c r="DL15" s="120"/>
      <c r="DM15" s="120"/>
      <c r="DN15" s="120"/>
      <c r="DO15" s="120"/>
      <c r="DP15" s="120"/>
      <c r="DQ15" s="120"/>
      <c r="DR15" s="120"/>
      <c r="DS15" s="120"/>
      <c r="DT15" s="120"/>
      <c r="DU15" s="120"/>
      <c r="DV15" s="120"/>
      <c r="DW15" s="120"/>
      <c r="DX15" s="120"/>
      <c r="DY15" s="120"/>
      <c r="DZ15" s="120"/>
      <c r="EA15" s="120"/>
      <c r="EB15" s="120"/>
      <c r="EC15" s="120"/>
      <c r="ED15" s="120"/>
      <c r="EE15" s="120"/>
      <c r="EF15" s="120"/>
      <c r="EG15" s="120"/>
      <c r="EH15" s="120"/>
      <c r="EI15" s="120"/>
      <c r="EJ15" s="120"/>
      <c r="EK15" s="120"/>
      <c r="EL15" s="120"/>
      <c r="EM15" s="120"/>
      <c r="EN15" s="120"/>
      <c r="EO15" s="120"/>
      <c r="EP15" s="120"/>
      <c r="EQ15" s="120"/>
      <c r="ER15" s="120"/>
      <c r="ES15" s="120"/>
      <c r="ET15" s="120"/>
      <c r="EU15" s="120"/>
      <c r="EV15" s="120"/>
      <c r="EW15" s="120"/>
      <c r="EX15" s="120"/>
      <c r="EY15" s="120"/>
      <c r="EZ15" s="120"/>
      <c r="FA15" s="120"/>
      <c r="FB15" s="120"/>
      <c r="FC15" s="120"/>
      <c r="FD15" s="120"/>
      <c r="FE15" s="120"/>
      <c r="FF15" s="120"/>
      <c r="FG15" s="120"/>
      <c r="FH15" s="120"/>
      <c r="FI15" s="120"/>
      <c r="FJ15" s="120"/>
      <c r="FK15" s="120"/>
      <c r="FL15" s="120"/>
      <c r="FM15" s="120"/>
      <c r="FN15" s="120"/>
      <c r="FO15" s="120"/>
      <c r="FP15" s="120"/>
      <c r="FQ15" s="120"/>
      <c r="FR15" s="120"/>
      <c r="FS15" s="120"/>
      <c r="FT15" s="120"/>
      <c r="FU15" s="120"/>
      <c r="FV15" s="120"/>
      <c r="FW15" s="120"/>
      <c r="FX15" s="120"/>
      <c r="FY15" s="120"/>
      <c r="FZ15" s="120"/>
      <c r="GA15" s="120"/>
      <c r="GB15" s="120"/>
      <c r="GC15" s="120"/>
      <c r="GD15" s="120"/>
      <c r="GE15" s="120"/>
      <c r="GF15" s="120"/>
      <c r="GG15" s="120"/>
      <c r="GH15" s="120"/>
      <c r="GI15" s="120"/>
      <c r="GJ15" s="120"/>
      <c r="GK15" s="120"/>
      <c r="GL15" s="120"/>
      <c r="GM15" s="120"/>
      <c r="GN15" s="120"/>
      <c r="GO15" s="120"/>
      <c r="GP15" s="120"/>
      <c r="GQ15" s="120"/>
      <c r="GR15" s="120"/>
      <c r="GS15" s="120"/>
      <c r="GT15" s="120"/>
      <c r="GU15" s="120"/>
      <c r="GV15" s="120"/>
      <c r="GW15" s="120"/>
      <c r="GX15" s="120"/>
      <c r="GY15" s="120"/>
      <c r="GZ15" s="120"/>
      <c r="HA15" s="120"/>
      <c r="HB15" s="120"/>
      <c r="HC15" s="120"/>
      <c r="HD15" s="120"/>
      <c r="HE15" s="120"/>
      <c r="HF15" s="120"/>
      <c r="HG15" s="120"/>
      <c r="HH15" s="120"/>
      <c r="HI15" s="120"/>
      <c r="HJ15" s="120"/>
      <c r="HK15" s="120"/>
      <c r="HL15" s="120"/>
      <c r="HM15" s="120"/>
      <c r="HN15" s="120"/>
      <c r="HO15" s="120"/>
      <c r="HP15" s="120"/>
      <c r="HQ15" s="120"/>
      <c r="HR15" s="120"/>
      <c r="HS15" s="120"/>
      <c r="HT15" s="120"/>
      <c r="HU15" s="120"/>
      <c r="HV15" s="120"/>
      <c r="HW15" s="120"/>
      <c r="HX15" s="120"/>
      <c r="HY15" s="120"/>
      <c r="HZ15" s="120"/>
      <c r="IA15" s="120"/>
      <c r="IB15" s="120"/>
      <c r="IC15" s="120"/>
      <c r="ID15" s="120"/>
      <c r="IE15" s="120"/>
      <c r="IF15" s="120"/>
      <c r="IG15" s="120"/>
      <c r="IH15" s="120"/>
      <c r="II15" s="120"/>
      <c r="IJ15" s="120"/>
      <c r="IK15" s="120"/>
      <c r="IL15" s="120"/>
      <c r="IM15" s="120"/>
      <c r="IN15" s="120"/>
      <c r="IO15" s="120"/>
      <c r="IP15" s="120"/>
      <c r="IQ15" s="120"/>
      <c r="IR15" s="120"/>
      <c r="IS15" s="120"/>
      <c r="IT15" s="120"/>
      <c r="IU15" s="120"/>
      <c r="IV15" s="120"/>
      <c r="IW15" s="120"/>
      <c r="IX15" s="120"/>
      <c r="IY15" s="120"/>
      <c r="IZ15" s="120"/>
      <c r="JA15" s="120"/>
      <c r="JB15" s="120"/>
      <c r="JC15" s="120"/>
      <c r="JD15" s="120"/>
      <c r="JE15" s="120"/>
      <c r="JF15" s="120"/>
      <c r="JG15" s="120"/>
      <c r="JH15" s="120"/>
      <c r="JI15" s="120"/>
      <c r="JJ15" s="120"/>
      <c r="JK15" s="120"/>
    </row>
    <row r="16" ht="18.75" customHeight="1">
      <c r="A16" s="147"/>
      <c r="B16" s="148"/>
      <c r="C16" s="149"/>
      <c r="D16" s="149"/>
      <c r="E16" s="156"/>
      <c r="F16" s="148"/>
      <c r="G16" s="149"/>
      <c r="H16" s="149"/>
      <c r="I16" s="151"/>
      <c r="K16" s="19"/>
      <c r="L16" s="155" t="s">
        <v>32</v>
      </c>
      <c r="M16" s="124">
        <v>2.0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120"/>
      <c r="BG16" s="120"/>
      <c r="BH16" s="120"/>
      <c r="BI16" s="120"/>
      <c r="BJ16" s="120"/>
      <c r="BK16" s="120"/>
      <c r="BL16" s="120"/>
      <c r="BM16" s="120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  <c r="CZ16" s="120"/>
      <c r="DA16" s="120"/>
      <c r="DB16" s="120"/>
      <c r="DC16" s="120"/>
      <c r="DD16" s="120"/>
      <c r="DE16" s="120"/>
      <c r="DF16" s="120"/>
      <c r="DG16" s="120"/>
      <c r="DH16" s="120"/>
      <c r="DI16" s="120"/>
      <c r="DJ16" s="120"/>
      <c r="DK16" s="120"/>
      <c r="DL16" s="120"/>
      <c r="DM16" s="120"/>
      <c r="DN16" s="120"/>
      <c r="DO16" s="120"/>
      <c r="DP16" s="120"/>
      <c r="DQ16" s="120"/>
      <c r="DR16" s="120"/>
      <c r="DS16" s="120"/>
      <c r="DT16" s="120"/>
      <c r="DU16" s="120"/>
      <c r="DV16" s="120"/>
      <c r="DW16" s="120"/>
      <c r="DX16" s="120"/>
      <c r="DY16" s="120"/>
      <c r="DZ16" s="120"/>
      <c r="EA16" s="120"/>
      <c r="EB16" s="120"/>
      <c r="EC16" s="120"/>
      <c r="ED16" s="120"/>
      <c r="EE16" s="120"/>
      <c r="EF16" s="120"/>
      <c r="EG16" s="120"/>
      <c r="EH16" s="120"/>
      <c r="EI16" s="120"/>
      <c r="EJ16" s="120"/>
      <c r="EK16" s="120"/>
      <c r="EL16" s="120"/>
      <c r="EM16" s="120"/>
      <c r="EN16" s="120"/>
      <c r="EO16" s="120"/>
      <c r="EP16" s="120"/>
      <c r="EQ16" s="120"/>
      <c r="ER16" s="120"/>
      <c r="ES16" s="120"/>
      <c r="ET16" s="120"/>
      <c r="EU16" s="120"/>
      <c r="EV16" s="120"/>
      <c r="EW16" s="120"/>
      <c r="EX16" s="120"/>
      <c r="EY16" s="120"/>
      <c r="EZ16" s="120"/>
      <c r="FA16" s="120"/>
      <c r="FB16" s="120"/>
      <c r="FC16" s="120"/>
      <c r="FD16" s="120"/>
      <c r="FE16" s="120"/>
      <c r="FF16" s="120"/>
      <c r="FG16" s="120"/>
      <c r="FH16" s="120"/>
      <c r="FI16" s="120"/>
      <c r="FJ16" s="120"/>
      <c r="FK16" s="120"/>
      <c r="FL16" s="120"/>
      <c r="FM16" s="120"/>
      <c r="FN16" s="120"/>
      <c r="FO16" s="120"/>
      <c r="FP16" s="120"/>
      <c r="FQ16" s="120"/>
      <c r="FR16" s="120"/>
      <c r="FS16" s="120"/>
      <c r="FT16" s="120"/>
      <c r="FU16" s="120"/>
      <c r="FV16" s="120"/>
      <c r="FW16" s="120"/>
      <c r="FX16" s="120"/>
      <c r="FY16" s="120"/>
      <c r="FZ16" s="120"/>
      <c r="GA16" s="120"/>
      <c r="GB16" s="120"/>
      <c r="GC16" s="120"/>
      <c r="GD16" s="120"/>
      <c r="GE16" s="120"/>
      <c r="GF16" s="120"/>
      <c r="GG16" s="120"/>
      <c r="GH16" s="120"/>
      <c r="GI16" s="120"/>
      <c r="GJ16" s="120"/>
      <c r="GK16" s="120"/>
      <c r="GL16" s="120"/>
      <c r="GM16" s="120"/>
      <c r="GN16" s="120"/>
      <c r="GO16" s="120"/>
      <c r="GP16" s="120"/>
      <c r="GQ16" s="120"/>
      <c r="GR16" s="120"/>
      <c r="GS16" s="120"/>
      <c r="GT16" s="120"/>
      <c r="GU16" s="120"/>
      <c r="GV16" s="120"/>
      <c r="GW16" s="120"/>
      <c r="GX16" s="120"/>
      <c r="GY16" s="120"/>
      <c r="GZ16" s="120"/>
      <c r="HA16" s="120"/>
      <c r="HB16" s="120"/>
      <c r="HC16" s="120"/>
      <c r="HD16" s="120"/>
      <c r="HE16" s="120"/>
      <c r="HF16" s="120"/>
      <c r="HG16" s="120"/>
      <c r="HH16" s="120"/>
      <c r="HI16" s="120"/>
      <c r="HJ16" s="120"/>
      <c r="HK16" s="120"/>
      <c r="HL16" s="120"/>
      <c r="HM16" s="120"/>
      <c r="HN16" s="120"/>
      <c r="HO16" s="120"/>
      <c r="HP16" s="120"/>
      <c r="HQ16" s="120"/>
      <c r="HR16" s="120"/>
      <c r="HS16" s="120"/>
      <c r="HT16" s="120"/>
      <c r="HU16" s="120"/>
      <c r="HV16" s="120"/>
      <c r="HW16" s="120"/>
      <c r="HX16" s="120"/>
      <c r="HY16" s="120"/>
      <c r="HZ16" s="120"/>
      <c r="IA16" s="120"/>
      <c r="IB16" s="120"/>
      <c r="IC16" s="120"/>
      <c r="ID16" s="120"/>
      <c r="IE16" s="120"/>
      <c r="IF16" s="120"/>
      <c r="IG16" s="120"/>
      <c r="IH16" s="120"/>
      <c r="II16" s="120"/>
      <c r="IJ16" s="120"/>
      <c r="IK16" s="120"/>
      <c r="IL16" s="120"/>
      <c r="IM16" s="120"/>
      <c r="IN16" s="120"/>
      <c r="IO16" s="120"/>
      <c r="IP16" s="120"/>
      <c r="IQ16" s="120"/>
      <c r="IR16" s="120"/>
      <c r="IS16" s="120"/>
      <c r="IT16" s="120"/>
      <c r="IU16" s="120"/>
      <c r="IV16" s="120"/>
      <c r="IW16" s="120"/>
      <c r="IX16" s="120"/>
      <c r="IY16" s="120"/>
      <c r="IZ16" s="120"/>
      <c r="JA16" s="120"/>
      <c r="JB16" s="120"/>
      <c r="JC16" s="120"/>
      <c r="JD16" s="120"/>
      <c r="JE16" s="120"/>
      <c r="JF16" s="120"/>
      <c r="JG16" s="120"/>
      <c r="JH16" s="120"/>
      <c r="JI16" s="120"/>
      <c r="JJ16" s="120"/>
      <c r="JK16" s="120"/>
    </row>
    <row r="17" ht="18.75" customHeight="1">
      <c r="A17" s="147"/>
      <c r="B17" s="148"/>
      <c r="C17" s="149"/>
      <c r="D17" s="149"/>
      <c r="E17" s="156"/>
      <c r="F17" s="148"/>
      <c r="G17" s="149"/>
      <c r="H17" s="149"/>
      <c r="I17" s="151"/>
      <c r="J17" s="26"/>
      <c r="K17" s="17"/>
      <c r="L17" s="157" t="s">
        <v>33</v>
      </c>
      <c r="M17" s="153">
        <v>600.0</v>
      </c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20"/>
      <c r="BJ17" s="120"/>
      <c r="BK17" s="120"/>
      <c r="BL17" s="120"/>
      <c r="BM17" s="120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  <c r="CZ17" s="120"/>
      <c r="DA17" s="120"/>
      <c r="DB17" s="120"/>
      <c r="DC17" s="120"/>
      <c r="DD17" s="120"/>
      <c r="DE17" s="120"/>
      <c r="DF17" s="120"/>
      <c r="DG17" s="120"/>
      <c r="DH17" s="120"/>
      <c r="DI17" s="120"/>
      <c r="DJ17" s="120"/>
      <c r="DK17" s="120"/>
      <c r="DL17" s="120"/>
      <c r="DM17" s="120"/>
      <c r="DN17" s="120"/>
      <c r="DO17" s="120"/>
      <c r="DP17" s="120"/>
      <c r="DQ17" s="120"/>
      <c r="DR17" s="120"/>
      <c r="DS17" s="120"/>
      <c r="DT17" s="120"/>
      <c r="DU17" s="120"/>
      <c r="DV17" s="120"/>
      <c r="DW17" s="120"/>
      <c r="DX17" s="120"/>
      <c r="DY17" s="120"/>
      <c r="DZ17" s="120"/>
      <c r="EA17" s="120"/>
      <c r="EB17" s="120"/>
      <c r="EC17" s="120"/>
      <c r="ED17" s="120"/>
      <c r="EE17" s="120"/>
      <c r="EF17" s="120"/>
      <c r="EG17" s="120"/>
      <c r="EH17" s="120"/>
      <c r="EI17" s="120"/>
      <c r="EJ17" s="120"/>
      <c r="EK17" s="120"/>
      <c r="EL17" s="120"/>
      <c r="EM17" s="120"/>
      <c r="EN17" s="120"/>
      <c r="EO17" s="120"/>
      <c r="EP17" s="120"/>
      <c r="EQ17" s="120"/>
      <c r="ER17" s="120"/>
      <c r="ES17" s="120"/>
      <c r="ET17" s="120"/>
      <c r="EU17" s="120"/>
      <c r="EV17" s="120"/>
      <c r="EW17" s="120"/>
      <c r="EX17" s="120"/>
      <c r="EY17" s="120"/>
      <c r="EZ17" s="120"/>
      <c r="FA17" s="120"/>
      <c r="FB17" s="120"/>
      <c r="FC17" s="120"/>
      <c r="FD17" s="120"/>
      <c r="FE17" s="120"/>
      <c r="FF17" s="120"/>
      <c r="FG17" s="120"/>
      <c r="FH17" s="120"/>
      <c r="FI17" s="120"/>
      <c r="FJ17" s="120"/>
      <c r="FK17" s="120"/>
      <c r="FL17" s="120"/>
      <c r="FM17" s="120"/>
      <c r="FN17" s="120"/>
      <c r="FO17" s="120"/>
      <c r="FP17" s="120"/>
      <c r="FQ17" s="120"/>
      <c r="FR17" s="120"/>
      <c r="FS17" s="120"/>
      <c r="FT17" s="120"/>
      <c r="FU17" s="120"/>
      <c r="FV17" s="120"/>
      <c r="FW17" s="120"/>
      <c r="FX17" s="120"/>
      <c r="FY17" s="120"/>
      <c r="FZ17" s="120"/>
      <c r="GA17" s="120"/>
      <c r="GB17" s="120"/>
      <c r="GC17" s="120"/>
      <c r="GD17" s="120"/>
      <c r="GE17" s="120"/>
      <c r="GF17" s="120"/>
      <c r="GG17" s="120"/>
      <c r="GH17" s="120"/>
      <c r="GI17" s="120"/>
      <c r="GJ17" s="120"/>
      <c r="GK17" s="120"/>
      <c r="GL17" s="120"/>
      <c r="GM17" s="120"/>
      <c r="GN17" s="120"/>
      <c r="GO17" s="120"/>
      <c r="GP17" s="120"/>
      <c r="GQ17" s="120"/>
      <c r="GR17" s="120"/>
      <c r="GS17" s="120"/>
      <c r="GT17" s="120"/>
      <c r="GU17" s="120"/>
      <c r="GV17" s="120"/>
      <c r="GW17" s="120"/>
      <c r="GX17" s="120"/>
      <c r="GY17" s="120"/>
      <c r="GZ17" s="120"/>
      <c r="HA17" s="120"/>
      <c r="HB17" s="120"/>
      <c r="HC17" s="120"/>
      <c r="HD17" s="120"/>
      <c r="HE17" s="120"/>
      <c r="HF17" s="120"/>
      <c r="HG17" s="120"/>
      <c r="HH17" s="120"/>
      <c r="HI17" s="120"/>
      <c r="HJ17" s="120"/>
      <c r="HK17" s="120"/>
      <c r="HL17" s="120"/>
      <c r="HM17" s="120"/>
      <c r="HN17" s="120"/>
      <c r="HO17" s="120"/>
      <c r="HP17" s="120"/>
      <c r="HQ17" s="120"/>
      <c r="HR17" s="120"/>
      <c r="HS17" s="120"/>
      <c r="HT17" s="120"/>
      <c r="HU17" s="120"/>
      <c r="HV17" s="120"/>
      <c r="HW17" s="120"/>
      <c r="HX17" s="120"/>
      <c r="HY17" s="120"/>
      <c r="HZ17" s="120"/>
      <c r="IA17" s="120"/>
      <c r="IB17" s="120"/>
      <c r="IC17" s="120"/>
      <c r="ID17" s="120"/>
      <c r="IE17" s="120"/>
      <c r="IF17" s="120"/>
      <c r="IG17" s="120"/>
      <c r="IH17" s="120"/>
      <c r="II17" s="120"/>
      <c r="IJ17" s="120"/>
      <c r="IK17" s="120"/>
      <c r="IL17" s="120"/>
      <c r="IM17" s="120"/>
      <c r="IN17" s="120"/>
      <c r="IO17" s="120"/>
      <c r="IP17" s="120"/>
      <c r="IQ17" s="120"/>
      <c r="IR17" s="120"/>
      <c r="IS17" s="120"/>
      <c r="IT17" s="120"/>
      <c r="IU17" s="120"/>
      <c r="IV17" s="120"/>
      <c r="IW17" s="120"/>
      <c r="IX17" s="120"/>
      <c r="IY17" s="120"/>
      <c r="IZ17" s="120"/>
      <c r="JA17" s="120"/>
      <c r="JB17" s="120"/>
      <c r="JC17" s="120"/>
      <c r="JD17" s="120"/>
      <c r="JE17" s="120"/>
      <c r="JF17" s="120"/>
      <c r="JG17" s="120"/>
      <c r="JH17" s="120"/>
      <c r="JI17" s="120"/>
      <c r="JJ17" s="120"/>
      <c r="JK17" s="120"/>
    </row>
    <row r="18" ht="18.75" customHeight="1">
      <c r="A18" s="147"/>
      <c r="B18" s="148"/>
      <c r="C18" s="149"/>
      <c r="D18" s="149"/>
      <c r="E18" s="156"/>
      <c r="F18" s="148"/>
      <c r="G18" s="149"/>
      <c r="H18" s="149"/>
      <c r="I18" s="151"/>
      <c r="J18" s="158"/>
      <c r="K18" s="11"/>
      <c r="L18" s="11"/>
      <c r="M18" s="12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  <c r="AK18" s="159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  <c r="AV18" s="159"/>
      <c r="AW18" s="159"/>
      <c r="AX18" s="159"/>
      <c r="AY18" s="159"/>
      <c r="AZ18" s="159"/>
      <c r="BA18" s="159"/>
      <c r="BB18" s="159"/>
      <c r="BC18" s="159"/>
      <c r="BD18" s="159"/>
      <c r="BE18" s="159"/>
      <c r="BF18" s="159"/>
      <c r="BG18" s="159"/>
      <c r="BH18" s="159"/>
      <c r="BI18" s="159"/>
      <c r="BJ18" s="159"/>
      <c r="BK18" s="159"/>
      <c r="BL18" s="159"/>
      <c r="BM18" s="159"/>
      <c r="BN18" s="159"/>
      <c r="BO18" s="159"/>
      <c r="BP18" s="159"/>
      <c r="BQ18" s="159"/>
      <c r="BR18" s="159"/>
      <c r="BS18" s="159"/>
      <c r="BT18" s="159"/>
      <c r="BU18" s="159"/>
      <c r="BV18" s="159"/>
      <c r="BW18" s="159"/>
      <c r="BX18" s="159"/>
      <c r="BY18" s="159"/>
      <c r="BZ18" s="159"/>
      <c r="CA18" s="159"/>
      <c r="CB18" s="159"/>
      <c r="CC18" s="159"/>
      <c r="CD18" s="159"/>
      <c r="CE18" s="159"/>
      <c r="CF18" s="159"/>
      <c r="CG18" s="159"/>
      <c r="CH18" s="159"/>
      <c r="CI18" s="159"/>
      <c r="CJ18" s="159"/>
      <c r="CK18" s="159"/>
      <c r="CL18" s="159"/>
      <c r="CM18" s="159"/>
      <c r="CN18" s="159"/>
      <c r="CO18" s="159"/>
      <c r="CP18" s="159"/>
      <c r="CQ18" s="159"/>
      <c r="CR18" s="159"/>
      <c r="CS18" s="159"/>
      <c r="CT18" s="159"/>
      <c r="CU18" s="159"/>
      <c r="CV18" s="159"/>
      <c r="CW18" s="159"/>
      <c r="CX18" s="159"/>
      <c r="CY18" s="159"/>
      <c r="CZ18" s="159"/>
      <c r="DA18" s="159"/>
      <c r="DB18" s="159"/>
      <c r="DC18" s="159"/>
      <c r="DD18" s="159"/>
      <c r="DE18" s="159"/>
      <c r="DF18" s="159"/>
      <c r="DG18" s="159"/>
      <c r="DH18" s="159"/>
      <c r="DI18" s="159"/>
      <c r="DJ18" s="159"/>
      <c r="DK18" s="159"/>
      <c r="DL18" s="159"/>
      <c r="DM18" s="159"/>
      <c r="DN18" s="159"/>
      <c r="DO18" s="159"/>
      <c r="DP18" s="159"/>
      <c r="DQ18" s="159"/>
      <c r="DR18" s="159"/>
      <c r="DS18" s="159"/>
      <c r="DT18" s="159"/>
      <c r="DU18" s="159"/>
      <c r="DV18" s="159"/>
      <c r="DW18" s="159"/>
      <c r="DX18" s="159"/>
      <c r="DY18" s="159"/>
      <c r="DZ18" s="159"/>
      <c r="EA18" s="159"/>
      <c r="EB18" s="159"/>
      <c r="EC18" s="159"/>
      <c r="ED18" s="159"/>
      <c r="EE18" s="159"/>
      <c r="EF18" s="159"/>
      <c r="EG18" s="159"/>
      <c r="EH18" s="159"/>
      <c r="EI18" s="159"/>
      <c r="EJ18" s="159"/>
      <c r="EK18" s="159"/>
      <c r="EL18" s="159"/>
      <c r="EM18" s="159"/>
      <c r="EN18" s="159"/>
      <c r="EO18" s="159"/>
      <c r="EP18" s="159"/>
      <c r="EQ18" s="159"/>
      <c r="ER18" s="159"/>
      <c r="ES18" s="159"/>
      <c r="ET18" s="159"/>
      <c r="EU18" s="159"/>
      <c r="EV18" s="159"/>
      <c r="EW18" s="159"/>
      <c r="EX18" s="159"/>
      <c r="EY18" s="159"/>
      <c r="EZ18" s="159"/>
      <c r="FA18" s="159"/>
      <c r="FB18" s="159"/>
      <c r="FC18" s="159"/>
      <c r="FD18" s="159"/>
      <c r="FE18" s="159"/>
      <c r="FF18" s="159"/>
      <c r="FG18" s="159"/>
      <c r="FH18" s="159"/>
      <c r="FI18" s="159"/>
      <c r="FJ18" s="159"/>
      <c r="FK18" s="159"/>
      <c r="FL18" s="159"/>
      <c r="FM18" s="159"/>
      <c r="FN18" s="159"/>
      <c r="FO18" s="159"/>
      <c r="FP18" s="159"/>
      <c r="FQ18" s="159"/>
      <c r="FR18" s="159"/>
      <c r="FS18" s="159"/>
      <c r="FT18" s="159"/>
      <c r="FU18" s="159"/>
      <c r="FV18" s="159"/>
      <c r="FW18" s="159"/>
      <c r="FX18" s="159"/>
      <c r="FY18" s="159"/>
      <c r="FZ18" s="159"/>
      <c r="GA18" s="159"/>
      <c r="GB18" s="159"/>
      <c r="GC18" s="159"/>
      <c r="GD18" s="159"/>
      <c r="GE18" s="159"/>
      <c r="GF18" s="159"/>
      <c r="GG18" s="159"/>
      <c r="GH18" s="159"/>
      <c r="GI18" s="159"/>
      <c r="GJ18" s="159"/>
      <c r="GK18" s="159"/>
      <c r="GL18" s="159"/>
      <c r="GM18" s="159"/>
      <c r="GN18" s="159"/>
      <c r="GO18" s="159"/>
      <c r="GP18" s="159"/>
      <c r="GQ18" s="159"/>
      <c r="GR18" s="159"/>
      <c r="GS18" s="159"/>
      <c r="GT18" s="159"/>
      <c r="GU18" s="159"/>
      <c r="GV18" s="159"/>
      <c r="GW18" s="159"/>
      <c r="GX18" s="159"/>
      <c r="GY18" s="159"/>
      <c r="GZ18" s="159"/>
      <c r="HA18" s="159"/>
      <c r="HB18" s="159"/>
      <c r="HC18" s="159"/>
      <c r="HD18" s="159"/>
      <c r="HE18" s="159"/>
      <c r="HF18" s="159"/>
      <c r="HG18" s="159"/>
      <c r="HH18" s="159"/>
      <c r="HI18" s="159"/>
      <c r="HJ18" s="159"/>
      <c r="HK18" s="159"/>
      <c r="HL18" s="159"/>
      <c r="HM18" s="159"/>
      <c r="HN18" s="159"/>
      <c r="HO18" s="159"/>
      <c r="HP18" s="159"/>
      <c r="HQ18" s="159"/>
      <c r="HR18" s="159"/>
      <c r="HS18" s="159"/>
      <c r="HT18" s="159"/>
      <c r="HU18" s="159"/>
      <c r="HV18" s="159"/>
      <c r="HW18" s="159"/>
      <c r="HX18" s="159"/>
      <c r="HY18" s="159"/>
      <c r="HZ18" s="159"/>
      <c r="IA18" s="159"/>
      <c r="IB18" s="159"/>
      <c r="IC18" s="159"/>
      <c r="ID18" s="159"/>
      <c r="IE18" s="159"/>
      <c r="IF18" s="159"/>
      <c r="IG18" s="159"/>
      <c r="IH18" s="159"/>
      <c r="II18" s="159"/>
      <c r="IJ18" s="159"/>
      <c r="IK18" s="159"/>
      <c r="IL18" s="159"/>
      <c r="IM18" s="159"/>
      <c r="IN18" s="159"/>
      <c r="IO18" s="159"/>
      <c r="IP18" s="159"/>
      <c r="IQ18" s="159"/>
      <c r="IR18" s="159"/>
      <c r="IS18" s="159"/>
      <c r="IT18" s="159"/>
      <c r="IU18" s="159"/>
      <c r="IV18" s="159"/>
      <c r="IW18" s="159"/>
      <c r="IX18" s="159"/>
      <c r="IY18" s="159"/>
      <c r="IZ18" s="159"/>
      <c r="JA18" s="159"/>
      <c r="JB18" s="159"/>
      <c r="JC18" s="159"/>
      <c r="JD18" s="159"/>
      <c r="JE18" s="159"/>
      <c r="JF18" s="159"/>
      <c r="JG18" s="159"/>
      <c r="JH18" s="159"/>
      <c r="JI18" s="159"/>
      <c r="JJ18" s="159"/>
      <c r="JK18" s="159"/>
    </row>
    <row r="19" ht="18.75" customHeight="1">
      <c r="A19" s="147"/>
      <c r="B19" s="148"/>
      <c r="C19" s="149"/>
      <c r="D19" s="149"/>
      <c r="E19" s="156"/>
      <c r="F19" s="148"/>
      <c r="G19" s="149"/>
      <c r="H19" s="149"/>
      <c r="I19" s="151"/>
      <c r="J19" s="160" t="s">
        <v>34</v>
      </c>
      <c r="K19" s="161" t="s">
        <v>35</v>
      </c>
      <c r="L19" s="162" t="s">
        <v>91</v>
      </c>
      <c r="M19" s="163" t="s">
        <v>37</v>
      </c>
    </row>
    <row r="20" ht="18.75" customHeight="1">
      <c r="A20" s="147"/>
      <c r="B20" s="148"/>
      <c r="C20" s="149"/>
      <c r="D20" s="149"/>
      <c r="E20" s="156"/>
      <c r="F20" s="148"/>
      <c r="G20" s="149"/>
      <c r="H20" s="149"/>
      <c r="I20" s="151"/>
      <c r="J20" s="164"/>
      <c r="K20" s="85"/>
      <c r="L20" s="85"/>
      <c r="M20" s="165"/>
    </row>
    <row r="21" ht="18.75" customHeight="1">
      <c r="A21" s="147"/>
      <c r="B21" s="148"/>
      <c r="C21" s="149"/>
      <c r="D21" s="149"/>
      <c r="E21" s="156"/>
      <c r="F21" s="148"/>
      <c r="G21" s="149"/>
      <c r="H21" s="149"/>
      <c r="I21" s="151"/>
      <c r="J21" s="166">
        <v>0.0</v>
      </c>
      <c r="K21" s="167">
        <v>0.0</v>
      </c>
      <c r="L21" s="168">
        <v>6.0</v>
      </c>
      <c r="M21" s="169" t="s">
        <v>120</v>
      </c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59"/>
      <c r="CY21" s="159"/>
      <c r="CZ21" s="159"/>
      <c r="DA21" s="159"/>
      <c r="DB21" s="159"/>
      <c r="DC21" s="159"/>
      <c r="DD21" s="159"/>
      <c r="DE21" s="159"/>
      <c r="DF21" s="159"/>
      <c r="DG21" s="159"/>
      <c r="DH21" s="159"/>
      <c r="DI21" s="159"/>
      <c r="DJ21" s="159"/>
      <c r="DK21" s="159"/>
      <c r="DL21" s="159"/>
      <c r="DM21" s="159"/>
      <c r="DN21" s="159"/>
      <c r="DO21" s="159"/>
      <c r="DP21" s="159"/>
      <c r="DQ21" s="159"/>
      <c r="DR21" s="159"/>
      <c r="DS21" s="159"/>
      <c r="DT21" s="159"/>
      <c r="DU21" s="159"/>
      <c r="DV21" s="159"/>
      <c r="DW21" s="159"/>
      <c r="DX21" s="159"/>
      <c r="DY21" s="159"/>
      <c r="DZ21" s="159"/>
      <c r="EA21" s="159"/>
      <c r="EB21" s="159"/>
      <c r="EC21" s="159"/>
      <c r="ED21" s="159"/>
      <c r="EE21" s="159"/>
      <c r="EF21" s="159"/>
      <c r="EG21" s="159"/>
      <c r="EH21" s="159"/>
      <c r="EI21" s="159"/>
      <c r="EJ21" s="159"/>
      <c r="EK21" s="159"/>
      <c r="EL21" s="159"/>
      <c r="EM21" s="159"/>
      <c r="EN21" s="159"/>
      <c r="EO21" s="159"/>
      <c r="EP21" s="159"/>
      <c r="EQ21" s="159"/>
      <c r="ER21" s="159"/>
      <c r="ES21" s="159"/>
      <c r="ET21" s="159"/>
      <c r="EU21" s="159"/>
      <c r="EV21" s="159"/>
      <c r="EW21" s="159"/>
      <c r="EX21" s="159"/>
      <c r="EY21" s="159"/>
      <c r="EZ21" s="159"/>
      <c r="FA21" s="159"/>
      <c r="FB21" s="159"/>
      <c r="FC21" s="159"/>
      <c r="FD21" s="159"/>
      <c r="FE21" s="159"/>
      <c r="FF21" s="159"/>
      <c r="FG21" s="159"/>
      <c r="FH21" s="159"/>
      <c r="FI21" s="159"/>
      <c r="FJ21" s="159"/>
      <c r="FK21" s="159"/>
      <c r="FL21" s="159"/>
      <c r="FM21" s="159"/>
      <c r="FN21" s="159"/>
      <c r="FO21" s="159"/>
      <c r="FP21" s="159"/>
      <c r="FQ21" s="159"/>
      <c r="FR21" s="159"/>
      <c r="FS21" s="159"/>
      <c r="FT21" s="159"/>
      <c r="FU21" s="159"/>
      <c r="FV21" s="159"/>
      <c r="FW21" s="159"/>
      <c r="FX21" s="159"/>
      <c r="FY21" s="159"/>
      <c r="FZ21" s="159"/>
      <c r="GA21" s="159"/>
      <c r="GB21" s="159"/>
      <c r="GC21" s="159"/>
      <c r="GD21" s="159"/>
      <c r="GE21" s="159"/>
      <c r="GF21" s="159"/>
      <c r="GG21" s="159"/>
      <c r="GH21" s="159"/>
      <c r="GI21" s="159"/>
      <c r="GJ21" s="159"/>
      <c r="GK21" s="159"/>
      <c r="GL21" s="159"/>
      <c r="GM21" s="159"/>
      <c r="GN21" s="159"/>
      <c r="GO21" s="159"/>
      <c r="GP21" s="159"/>
      <c r="GQ21" s="159"/>
      <c r="GR21" s="159"/>
      <c r="GS21" s="159"/>
      <c r="GT21" s="159"/>
      <c r="GU21" s="159"/>
      <c r="GV21" s="159"/>
      <c r="GW21" s="159"/>
      <c r="GX21" s="159"/>
      <c r="GY21" s="159"/>
      <c r="GZ21" s="159"/>
      <c r="HA21" s="159"/>
      <c r="HB21" s="159"/>
      <c r="HC21" s="159"/>
      <c r="HD21" s="159"/>
      <c r="HE21" s="159"/>
      <c r="HF21" s="159"/>
      <c r="HG21" s="159"/>
      <c r="HH21" s="159"/>
      <c r="HI21" s="159"/>
      <c r="HJ21" s="159"/>
      <c r="HK21" s="159"/>
      <c r="HL21" s="159"/>
      <c r="HM21" s="159"/>
      <c r="HN21" s="159"/>
      <c r="HO21" s="159"/>
      <c r="HP21" s="159"/>
      <c r="HQ21" s="159"/>
      <c r="HR21" s="159"/>
      <c r="HS21" s="159"/>
      <c r="HT21" s="159"/>
      <c r="HU21" s="159"/>
      <c r="HV21" s="159"/>
      <c r="HW21" s="159"/>
      <c r="HX21" s="159"/>
      <c r="HY21" s="159"/>
      <c r="HZ21" s="159"/>
      <c r="IA21" s="159"/>
      <c r="IB21" s="159"/>
      <c r="IC21" s="159"/>
      <c r="ID21" s="159"/>
      <c r="IE21" s="159"/>
      <c r="IF21" s="159"/>
      <c r="IG21" s="159"/>
      <c r="IH21" s="159"/>
      <c r="II21" s="159"/>
      <c r="IJ21" s="159"/>
      <c r="IK21" s="159"/>
      <c r="IL21" s="159"/>
      <c r="IM21" s="159"/>
      <c r="IN21" s="159"/>
      <c r="IO21" s="159"/>
      <c r="IP21" s="159"/>
      <c r="IQ21" s="159"/>
      <c r="IR21" s="159"/>
      <c r="IS21" s="159"/>
      <c r="IT21" s="159"/>
      <c r="IU21" s="159"/>
      <c r="IV21" s="159"/>
      <c r="IW21" s="159"/>
      <c r="IX21" s="159"/>
      <c r="IY21" s="159"/>
      <c r="IZ21" s="159"/>
      <c r="JA21" s="159"/>
      <c r="JB21" s="159"/>
      <c r="JC21" s="159"/>
      <c r="JD21" s="159"/>
      <c r="JE21" s="159"/>
      <c r="JF21" s="159"/>
      <c r="JG21" s="159"/>
      <c r="JH21" s="159"/>
      <c r="JI21" s="159"/>
      <c r="JJ21" s="159"/>
      <c r="JK21" s="159"/>
    </row>
    <row r="22" ht="18.75" customHeight="1">
      <c r="A22" s="147"/>
      <c r="B22" s="148"/>
      <c r="C22" s="149"/>
      <c r="D22" s="149"/>
      <c r="E22" s="156"/>
      <c r="F22" s="148"/>
      <c r="G22" s="149"/>
      <c r="H22" s="149"/>
      <c r="I22" s="151"/>
      <c r="J22" s="170" t="s">
        <v>95</v>
      </c>
      <c r="K22" s="171" t="s">
        <v>96</v>
      </c>
      <c r="L22" s="172" t="s">
        <v>97</v>
      </c>
      <c r="M22" s="173" t="s">
        <v>98</v>
      </c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59"/>
      <c r="AJ22" s="159"/>
      <c r="AK22" s="159"/>
      <c r="AL22" s="159"/>
      <c r="AM22" s="159"/>
      <c r="AN22" s="159"/>
      <c r="AO22" s="159"/>
      <c r="AP22" s="159"/>
      <c r="AQ22" s="159"/>
      <c r="AR22" s="159"/>
      <c r="AS22" s="159"/>
      <c r="AT22" s="159"/>
      <c r="AU22" s="159"/>
      <c r="AV22" s="159"/>
      <c r="AW22" s="159"/>
      <c r="AX22" s="159"/>
      <c r="AY22" s="159"/>
      <c r="AZ22" s="159"/>
      <c r="BA22" s="159"/>
      <c r="BB22" s="159"/>
      <c r="BC22" s="159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  <c r="BP22" s="159"/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  <c r="CD22" s="159"/>
      <c r="CE22" s="159"/>
      <c r="CF22" s="159"/>
      <c r="CG22" s="159"/>
      <c r="CH22" s="159"/>
      <c r="CI22" s="159"/>
      <c r="CJ22" s="159"/>
      <c r="CK22" s="159"/>
      <c r="CL22" s="159"/>
      <c r="CM22" s="159"/>
      <c r="CN22" s="159"/>
      <c r="CO22" s="159"/>
      <c r="CP22" s="159"/>
      <c r="CQ22" s="159"/>
      <c r="CR22" s="159"/>
      <c r="CS22" s="159"/>
      <c r="CT22" s="159"/>
      <c r="CU22" s="159"/>
      <c r="CV22" s="159"/>
      <c r="CW22" s="159"/>
      <c r="CX22" s="159"/>
      <c r="CY22" s="159"/>
      <c r="CZ22" s="159"/>
      <c r="DA22" s="159"/>
      <c r="DB22" s="159"/>
      <c r="DC22" s="159"/>
      <c r="DD22" s="159"/>
      <c r="DE22" s="159"/>
      <c r="DF22" s="159"/>
      <c r="DG22" s="159"/>
      <c r="DH22" s="159"/>
      <c r="DI22" s="159"/>
      <c r="DJ22" s="159"/>
      <c r="DK22" s="159"/>
      <c r="DL22" s="159"/>
      <c r="DM22" s="159"/>
      <c r="DN22" s="159"/>
      <c r="DO22" s="159"/>
      <c r="DP22" s="159"/>
      <c r="DQ22" s="159"/>
      <c r="DR22" s="159"/>
      <c r="DS22" s="159"/>
      <c r="DT22" s="159"/>
      <c r="DU22" s="159"/>
      <c r="DV22" s="159"/>
      <c r="DW22" s="159"/>
      <c r="DX22" s="159"/>
      <c r="DY22" s="159"/>
      <c r="DZ22" s="159"/>
      <c r="EA22" s="159"/>
      <c r="EB22" s="159"/>
      <c r="EC22" s="159"/>
      <c r="ED22" s="159"/>
      <c r="EE22" s="159"/>
      <c r="EF22" s="159"/>
      <c r="EG22" s="159"/>
      <c r="EH22" s="159"/>
      <c r="EI22" s="159"/>
      <c r="EJ22" s="159"/>
      <c r="EK22" s="159"/>
      <c r="EL22" s="159"/>
      <c r="EM22" s="159"/>
      <c r="EN22" s="159"/>
      <c r="EO22" s="159"/>
      <c r="EP22" s="159"/>
      <c r="EQ22" s="159"/>
      <c r="ER22" s="159"/>
      <c r="ES22" s="159"/>
      <c r="ET22" s="159"/>
      <c r="EU22" s="159"/>
      <c r="EV22" s="159"/>
      <c r="EW22" s="159"/>
      <c r="EX22" s="159"/>
      <c r="EY22" s="159"/>
      <c r="EZ22" s="159"/>
      <c r="FA22" s="159"/>
      <c r="FB22" s="159"/>
      <c r="FC22" s="159"/>
      <c r="FD22" s="159"/>
      <c r="FE22" s="159"/>
      <c r="FF22" s="159"/>
      <c r="FG22" s="159"/>
      <c r="FH22" s="159"/>
      <c r="FI22" s="159"/>
      <c r="FJ22" s="159"/>
      <c r="FK22" s="159"/>
      <c r="FL22" s="159"/>
      <c r="FM22" s="159"/>
      <c r="FN22" s="159"/>
      <c r="FO22" s="159"/>
      <c r="FP22" s="159"/>
      <c r="FQ22" s="159"/>
      <c r="FR22" s="159"/>
      <c r="FS22" s="159"/>
      <c r="FT22" s="159"/>
      <c r="FU22" s="159"/>
      <c r="FV22" s="159"/>
      <c r="FW22" s="159"/>
      <c r="FX22" s="159"/>
      <c r="FY22" s="159"/>
      <c r="FZ22" s="159"/>
      <c r="GA22" s="159"/>
      <c r="GB22" s="159"/>
      <c r="GC22" s="159"/>
      <c r="GD22" s="159"/>
      <c r="GE22" s="159"/>
      <c r="GF22" s="159"/>
      <c r="GG22" s="159"/>
      <c r="GH22" s="159"/>
      <c r="GI22" s="159"/>
      <c r="GJ22" s="159"/>
      <c r="GK22" s="159"/>
      <c r="GL22" s="159"/>
      <c r="GM22" s="159"/>
      <c r="GN22" s="159"/>
      <c r="GO22" s="159"/>
      <c r="GP22" s="159"/>
      <c r="GQ22" s="159"/>
      <c r="GR22" s="159"/>
      <c r="GS22" s="159"/>
      <c r="GT22" s="159"/>
      <c r="GU22" s="159"/>
      <c r="GV22" s="159"/>
      <c r="GW22" s="159"/>
      <c r="GX22" s="159"/>
      <c r="GY22" s="159"/>
      <c r="GZ22" s="159"/>
      <c r="HA22" s="159"/>
      <c r="HB22" s="159"/>
      <c r="HC22" s="159"/>
      <c r="HD22" s="159"/>
      <c r="HE22" s="159"/>
      <c r="HF22" s="159"/>
      <c r="HG22" s="159"/>
      <c r="HH22" s="159"/>
      <c r="HI22" s="159"/>
      <c r="HJ22" s="159"/>
      <c r="HK22" s="159"/>
      <c r="HL22" s="159"/>
      <c r="HM22" s="159"/>
      <c r="HN22" s="159"/>
      <c r="HO22" s="159"/>
      <c r="HP22" s="159"/>
      <c r="HQ22" s="159"/>
      <c r="HR22" s="159"/>
      <c r="HS22" s="159"/>
      <c r="HT22" s="159"/>
      <c r="HU22" s="159"/>
      <c r="HV22" s="159"/>
      <c r="HW22" s="159"/>
      <c r="HX22" s="159"/>
      <c r="HY22" s="159"/>
      <c r="HZ22" s="159"/>
      <c r="IA22" s="159"/>
      <c r="IB22" s="159"/>
      <c r="IC22" s="159"/>
      <c r="ID22" s="159"/>
      <c r="IE22" s="159"/>
      <c r="IF22" s="159"/>
      <c r="IG22" s="159"/>
      <c r="IH22" s="159"/>
      <c r="II22" s="159"/>
      <c r="IJ22" s="159"/>
      <c r="IK22" s="159"/>
      <c r="IL22" s="159"/>
      <c r="IM22" s="159"/>
      <c r="IN22" s="159"/>
      <c r="IO22" s="159"/>
      <c r="IP22" s="159"/>
      <c r="IQ22" s="159"/>
      <c r="IR22" s="159"/>
      <c r="IS22" s="159"/>
      <c r="IT22" s="159"/>
      <c r="IU22" s="159"/>
      <c r="IV22" s="159"/>
      <c r="IW22" s="159"/>
      <c r="IX22" s="159"/>
      <c r="IY22" s="159"/>
      <c r="IZ22" s="159"/>
      <c r="JA22" s="159"/>
      <c r="JB22" s="159"/>
      <c r="JC22" s="159"/>
      <c r="JD22" s="159"/>
      <c r="JE22" s="159"/>
      <c r="JF22" s="159"/>
      <c r="JG22" s="159"/>
      <c r="JH22" s="159"/>
      <c r="JI22" s="159"/>
      <c r="JJ22" s="159"/>
      <c r="JK22" s="159"/>
    </row>
    <row r="23" ht="18.75" customHeight="1">
      <c r="A23" s="147"/>
      <c r="B23" s="148"/>
      <c r="C23" s="149"/>
      <c r="D23" s="149"/>
      <c r="E23" s="156"/>
      <c r="F23" s="148"/>
      <c r="G23" s="149"/>
      <c r="H23" s="149"/>
      <c r="I23" s="151"/>
      <c r="J23" s="164"/>
      <c r="K23" s="85"/>
      <c r="L23" s="85"/>
      <c r="M23" s="165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59"/>
      <c r="CB23" s="159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59"/>
      <c r="CY23" s="159"/>
      <c r="CZ23" s="159"/>
      <c r="DA23" s="159"/>
      <c r="DB23" s="159"/>
      <c r="DC23" s="159"/>
      <c r="DD23" s="159"/>
      <c r="DE23" s="159"/>
      <c r="DF23" s="159"/>
      <c r="DG23" s="159"/>
      <c r="DH23" s="159"/>
      <c r="DI23" s="159"/>
      <c r="DJ23" s="159"/>
      <c r="DK23" s="159"/>
      <c r="DL23" s="159"/>
      <c r="DM23" s="159"/>
      <c r="DN23" s="159"/>
      <c r="DO23" s="159"/>
      <c r="DP23" s="159"/>
      <c r="DQ23" s="159"/>
      <c r="DR23" s="159"/>
      <c r="DS23" s="159"/>
      <c r="DT23" s="159"/>
      <c r="DU23" s="159"/>
      <c r="DV23" s="159"/>
      <c r="DW23" s="159"/>
      <c r="DX23" s="159"/>
      <c r="DY23" s="159"/>
      <c r="DZ23" s="159"/>
      <c r="EA23" s="159"/>
      <c r="EB23" s="159"/>
      <c r="EC23" s="159"/>
      <c r="ED23" s="159"/>
      <c r="EE23" s="159"/>
      <c r="EF23" s="159"/>
      <c r="EG23" s="159"/>
      <c r="EH23" s="159"/>
      <c r="EI23" s="159"/>
      <c r="EJ23" s="159"/>
      <c r="EK23" s="159"/>
      <c r="EL23" s="159"/>
      <c r="EM23" s="159"/>
      <c r="EN23" s="159"/>
      <c r="EO23" s="159"/>
      <c r="EP23" s="159"/>
      <c r="EQ23" s="159"/>
      <c r="ER23" s="159"/>
      <c r="ES23" s="159"/>
      <c r="ET23" s="159"/>
      <c r="EU23" s="159"/>
      <c r="EV23" s="159"/>
      <c r="EW23" s="159"/>
      <c r="EX23" s="159"/>
      <c r="EY23" s="159"/>
      <c r="EZ23" s="159"/>
      <c r="FA23" s="159"/>
      <c r="FB23" s="159"/>
      <c r="FC23" s="159"/>
      <c r="FD23" s="159"/>
      <c r="FE23" s="159"/>
      <c r="FF23" s="159"/>
      <c r="FG23" s="159"/>
      <c r="FH23" s="159"/>
      <c r="FI23" s="159"/>
      <c r="FJ23" s="159"/>
      <c r="FK23" s="159"/>
      <c r="FL23" s="159"/>
      <c r="FM23" s="159"/>
      <c r="FN23" s="159"/>
      <c r="FO23" s="159"/>
      <c r="FP23" s="159"/>
      <c r="FQ23" s="159"/>
      <c r="FR23" s="159"/>
      <c r="FS23" s="159"/>
      <c r="FT23" s="159"/>
      <c r="FU23" s="159"/>
      <c r="FV23" s="159"/>
      <c r="FW23" s="159"/>
      <c r="FX23" s="159"/>
      <c r="FY23" s="159"/>
      <c r="FZ23" s="159"/>
      <c r="GA23" s="159"/>
      <c r="GB23" s="159"/>
      <c r="GC23" s="159"/>
      <c r="GD23" s="159"/>
      <c r="GE23" s="159"/>
      <c r="GF23" s="159"/>
      <c r="GG23" s="159"/>
      <c r="GH23" s="159"/>
      <c r="GI23" s="159"/>
      <c r="GJ23" s="159"/>
      <c r="GK23" s="159"/>
      <c r="GL23" s="159"/>
      <c r="GM23" s="159"/>
      <c r="GN23" s="159"/>
      <c r="GO23" s="159"/>
      <c r="GP23" s="159"/>
      <c r="GQ23" s="159"/>
      <c r="GR23" s="159"/>
      <c r="GS23" s="159"/>
      <c r="GT23" s="159"/>
      <c r="GU23" s="159"/>
      <c r="GV23" s="159"/>
      <c r="GW23" s="159"/>
      <c r="GX23" s="159"/>
      <c r="GY23" s="159"/>
      <c r="GZ23" s="159"/>
      <c r="HA23" s="159"/>
      <c r="HB23" s="159"/>
      <c r="HC23" s="159"/>
      <c r="HD23" s="159"/>
      <c r="HE23" s="159"/>
      <c r="HF23" s="159"/>
      <c r="HG23" s="159"/>
      <c r="HH23" s="159"/>
      <c r="HI23" s="159"/>
      <c r="HJ23" s="159"/>
      <c r="HK23" s="159"/>
      <c r="HL23" s="159"/>
      <c r="HM23" s="159"/>
      <c r="HN23" s="159"/>
      <c r="HO23" s="159"/>
      <c r="HP23" s="159"/>
      <c r="HQ23" s="159"/>
      <c r="HR23" s="159"/>
      <c r="HS23" s="159"/>
      <c r="HT23" s="159"/>
      <c r="HU23" s="159"/>
      <c r="HV23" s="159"/>
      <c r="HW23" s="159"/>
      <c r="HX23" s="159"/>
      <c r="HY23" s="159"/>
      <c r="HZ23" s="159"/>
      <c r="IA23" s="159"/>
      <c r="IB23" s="159"/>
      <c r="IC23" s="159"/>
      <c r="ID23" s="159"/>
      <c r="IE23" s="159"/>
      <c r="IF23" s="159"/>
      <c r="IG23" s="159"/>
      <c r="IH23" s="159"/>
      <c r="II23" s="159"/>
      <c r="IJ23" s="159"/>
      <c r="IK23" s="159"/>
      <c r="IL23" s="159"/>
      <c r="IM23" s="159"/>
      <c r="IN23" s="159"/>
      <c r="IO23" s="159"/>
      <c r="IP23" s="159"/>
      <c r="IQ23" s="159"/>
      <c r="IR23" s="159"/>
      <c r="IS23" s="159"/>
      <c r="IT23" s="159"/>
      <c r="IU23" s="159"/>
      <c r="IV23" s="159"/>
      <c r="IW23" s="159"/>
      <c r="IX23" s="159"/>
      <c r="IY23" s="159"/>
      <c r="IZ23" s="159"/>
      <c r="JA23" s="159"/>
      <c r="JB23" s="159"/>
      <c r="JC23" s="159"/>
      <c r="JD23" s="159"/>
      <c r="JE23" s="159"/>
      <c r="JF23" s="159"/>
      <c r="JG23" s="159"/>
      <c r="JH23" s="159"/>
      <c r="JI23" s="159"/>
      <c r="JJ23" s="159"/>
      <c r="JK23" s="159"/>
    </row>
    <row r="24" ht="18.75" customHeight="1">
      <c r="A24" s="147"/>
      <c r="B24" s="148"/>
      <c r="C24" s="149"/>
      <c r="D24" s="149"/>
      <c r="E24" s="156"/>
      <c r="F24" s="148"/>
      <c r="G24" s="149"/>
      <c r="H24" s="149"/>
      <c r="I24" s="151"/>
      <c r="J24" s="174">
        <v>3.0</v>
      </c>
      <c r="K24" s="168">
        <v>94.0</v>
      </c>
      <c r="L24" s="168">
        <v>24.0</v>
      </c>
      <c r="M24" s="175">
        <v>495.0</v>
      </c>
      <c r="N24" s="159"/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59"/>
      <c r="AL24" s="159"/>
      <c r="AM24" s="159"/>
      <c r="AN24" s="159"/>
      <c r="AO24" s="159"/>
      <c r="AP24" s="159"/>
      <c r="AQ24" s="159"/>
      <c r="AR24" s="159"/>
      <c r="AS24" s="159"/>
      <c r="AT24" s="159"/>
      <c r="AU24" s="159"/>
      <c r="AV24" s="159"/>
      <c r="AW24" s="159"/>
      <c r="AX24" s="159"/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59"/>
      <c r="BW24" s="159"/>
      <c r="BX24" s="159"/>
      <c r="BY24" s="159"/>
      <c r="BZ24" s="159"/>
      <c r="CA24" s="159"/>
      <c r="CB24" s="159"/>
      <c r="CC24" s="159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59"/>
      <c r="CY24" s="159"/>
      <c r="CZ24" s="159"/>
      <c r="DA24" s="159"/>
      <c r="DB24" s="159"/>
      <c r="DC24" s="159"/>
      <c r="DD24" s="159"/>
      <c r="DE24" s="159"/>
      <c r="DF24" s="159"/>
      <c r="DG24" s="159"/>
      <c r="DH24" s="159"/>
      <c r="DI24" s="159"/>
      <c r="DJ24" s="159"/>
      <c r="DK24" s="159"/>
      <c r="DL24" s="159"/>
      <c r="DM24" s="159"/>
      <c r="DN24" s="159"/>
      <c r="DO24" s="159"/>
      <c r="DP24" s="159"/>
      <c r="DQ24" s="159"/>
      <c r="DR24" s="159"/>
      <c r="DS24" s="159"/>
      <c r="DT24" s="159"/>
      <c r="DU24" s="159"/>
      <c r="DV24" s="159"/>
      <c r="DW24" s="159"/>
      <c r="DX24" s="159"/>
      <c r="DY24" s="159"/>
      <c r="DZ24" s="159"/>
      <c r="EA24" s="159"/>
      <c r="EB24" s="159"/>
      <c r="EC24" s="159"/>
      <c r="ED24" s="159"/>
      <c r="EE24" s="159"/>
      <c r="EF24" s="159"/>
      <c r="EG24" s="159"/>
      <c r="EH24" s="159"/>
      <c r="EI24" s="159"/>
      <c r="EJ24" s="159"/>
      <c r="EK24" s="159"/>
      <c r="EL24" s="159"/>
      <c r="EM24" s="159"/>
      <c r="EN24" s="159"/>
      <c r="EO24" s="159"/>
      <c r="EP24" s="159"/>
      <c r="EQ24" s="159"/>
      <c r="ER24" s="159"/>
      <c r="ES24" s="159"/>
      <c r="ET24" s="159"/>
      <c r="EU24" s="159"/>
      <c r="EV24" s="159"/>
      <c r="EW24" s="159"/>
      <c r="EX24" s="159"/>
      <c r="EY24" s="159"/>
      <c r="EZ24" s="159"/>
      <c r="FA24" s="159"/>
      <c r="FB24" s="159"/>
      <c r="FC24" s="159"/>
      <c r="FD24" s="159"/>
      <c r="FE24" s="159"/>
      <c r="FF24" s="159"/>
      <c r="FG24" s="159"/>
      <c r="FH24" s="159"/>
      <c r="FI24" s="159"/>
      <c r="FJ24" s="159"/>
      <c r="FK24" s="159"/>
      <c r="FL24" s="159"/>
      <c r="FM24" s="159"/>
      <c r="FN24" s="159"/>
      <c r="FO24" s="159"/>
      <c r="FP24" s="159"/>
      <c r="FQ24" s="159"/>
      <c r="FR24" s="159"/>
      <c r="FS24" s="159"/>
      <c r="FT24" s="159"/>
      <c r="FU24" s="159"/>
      <c r="FV24" s="159"/>
      <c r="FW24" s="159"/>
      <c r="FX24" s="159"/>
      <c r="FY24" s="159"/>
      <c r="FZ24" s="159"/>
      <c r="GA24" s="159"/>
      <c r="GB24" s="159"/>
      <c r="GC24" s="159"/>
      <c r="GD24" s="159"/>
      <c r="GE24" s="159"/>
      <c r="GF24" s="159"/>
      <c r="GG24" s="159"/>
      <c r="GH24" s="159"/>
      <c r="GI24" s="159"/>
      <c r="GJ24" s="159"/>
      <c r="GK24" s="159"/>
      <c r="GL24" s="159"/>
      <c r="GM24" s="159"/>
      <c r="GN24" s="159"/>
      <c r="GO24" s="159"/>
      <c r="GP24" s="159"/>
      <c r="GQ24" s="159"/>
      <c r="GR24" s="159"/>
      <c r="GS24" s="159"/>
      <c r="GT24" s="159"/>
      <c r="GU24" s="159"/>
      <c r="GV24" s="159"/>
      <c r="GW24" s="159"/>
      <c r="GX24" s="159"/>
      <c r="GY24" s="159"/>
      <c r="GZ24" s="159"/>
      <c r="HA24" s="159"/>
      <c r="HB24" s="159"/>
      <c r="HC24" s="159"/>
      <c r="HD24" s="159"/>
      <c r="HE24" s="159"/>
      <c r="HF24" s="159"/>
      <c r="HG24" s="159"/>
      <c r="HH24" s="159"/>
      <c r="HI24" s="159"/>
      <c r="HJ24" s="159"/>
      <c r="HK24" s="159"/>
      <c r="HL24" s="159"/>
      <c r="HM24" s="159"/>
      <c r="HN24" s="159"/>
      <c r="HO24" s="159"/>
      <c r="HP24" s="159"/>
      <c r="HQ24" s="159"/>
      <c r="HR24" s="159"/>
      <c r="HS24" s="159"/>
      <c r="HT24" s="159"/>
      <c r="HU24" s="159"/>
      <c r="HV24" s="159"/>
      <c r="HW24" s="159"/>
      <c r="HX24" s="159"/>
      <c r="HY24" s="159"/>
      <c r="HZ24" s="159"/>
      <c r="IA24" s="159"/>
      <c r="IB24" s="159"/>
      <c r="IC24" s="159"/>
      <c r="ID24" s="159"/>
      <c r="IE24" s="159"/>
      <c r="IF24" s="159"/>
      <c r="IG24" s="159"/>
      <c r="IH24" s="159"/>
      <c r="II24" s="159"/>
      <c r="IJ24" s="159"/>
      <c r="IK24" s="159"/>
      <c r="IL24" s="159"/>
      <c r="IM24" s="159"/>
      <c r="IN24" s="159"/>
      <c r="IO24" s="159"/>
      <c r="IP24" s="159"/>
      <c r="IQ24" s="159"/>
      <c r="IR24" s="159"/>
      <c r="IS24" s="159"/>
      <c r="IT24" s="159"/>
      <c r="IU24" s="159"/>
      <c r="IV24" s="159"/>
      <c r="IW24" s="159"/>
      <c r="IX24" s="159"/>
      <c r="IY24" s="159"/>
      <c r="IZ24" s="159"/>
      <c r="JA24" s="159"/>
      <c r="JB24" s="159"/>
      <c r="JC24" s="159"/>
      <c r="JD24" s="159"/>
      <c r="JE24" s="159"/>
      <c r="JF24" s="159"/>
      <c r="JG24" s="159"/>
      <c r="JH24" s="159"/>
      <c r="JI24" s="159"/>
      <c r="JJ24" s="159"/>
      <c r="JK24" s="159"/>
    </row>
    <row r="25" ht="18.75" customHeight="1">
      <c r="A25" s="147"/>
      <c r="B25" s="148"/>
      <c r="C25" s="149"/>
      <c r="D25" s="149"/>
      <c r="E25" s="156"/>
      <c r="F25" s="148"/>
      <c r="G25" s="149"/>
      <c r="H25" s="149"/>
      <c r="I25" s="151"/>
      <c r="J25" s="176" t="s">
        <v>99</v>
      </c>
      <c r="K25" s="91"/>
      <c r="L25" s="172" t="s">
        <v>100</v>
      </c>
      <c r="M25" s="173" t="s">
        <v>101</v>
      </c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  <c r="AK25" s="159"/>
      <c r="AL25" s="159"/>
      <c r="AM25" s="159"/>
      <c r="AN25" s="159"/>
      <c r="AO25" s="159"/>
      <c r="AP25" s="159"/>
      <c r="AQ25" s="159"/>
      <c r="AR25" s="159"/>
      <c r="AS25" s="159"/>
      <c r="AT25" s="159"/>
      <c r="AU25" s="159"/>
      <c r="AV25" s="159"/>
      <c r="AW25" s="159"/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59"/>
      <c r="CB25" s="159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59"/>
      <c r="CY25" s="159"/>
      <c r="CZ25" s="159"/>
      <c r="DA25" s="159"/>
      <c r="DB25" s="159"/>
      <c r="DC25" s="159"/>
      <c r="DD25" s="159"/>
      <c r="DE25" s="159"/>
      <c r="DF25" s="159"/>
      <c r="DG25" s="159"/>
      <c r="DH25" s="159"/>
      <c r="DI25" s="159"/>
      <c r="DJ25" s="159"/>
      <c r="DK25" s="159"/>
      <c r="DL25" s="159"/>
      <c r="DM25" s="159"/>
      <c r="DN25" s="159"/>
      <c r="DO25" s="159"/>
      <c r="DP25" s="159"/>
      <c r="DQ25" s="159"/>
      <c r="DR25" s="159"/>
      <c r="DS25" s="159"/>
      <c r="DT25" s="159"/>
      <c r="DU25" s="159"/>
      <c r="DV25" s="159"/>
      <c r="DW25" s="159"/>
      <c r="DX25" s="159"/>
      <c r="DY25" s="159"/>
      <c r="DZ25" s="159"/>
      <c r="EA25" s="159"/>
      <c r="EB25" s="159"/>
      <c r="EC25" s="159"/>
      <c r="ED25" s="159"/>
      <c r="EE25" s="159"/>
      <c r="EF25" s="159"/>
      <c r="EG25" s="159"/>
      <c r="EH25" s="159"/>
      <c r="EI25" s="159"/>
      <c r="EJ25" s="159"/>
      <c r="EK25" s="159"/>
      <c r="EL25" s="159"/>
      <c r="EM25" s="159"/>
      <c r="EN25" s="159"/>
      <c r="EO25" s="159"/>
      <c r="EP25" s="159"/>
      <c r="EQ25" s="159"/>
      <c r="ER25" s="159"/>
      <c r="ES25" s="159"/>
      <c r="ET25" s="159"/>
      <c r="EU25" s="159"/>
      <c r="EV25" s="159"/>
      <c r="EW25" s="159"/>
      <c r="EX25" s="159"/>
      <c r="EY25" s="159"/>
      <c r="EZ25" s="159"/>
      <c r="FA25" s="159"/>
      <c r="FB25" s="159"/>
      <c r="FC25" s="159"/>
      <c r="FD25" s="159"/>
      <c r="FE25" s="159"/>
      <c r="FF25" s="159"/>
      <c r="FG25" s="159"/>
      <c r="FH25" s="159"/>
      <c r="FI25" s="159"/>
      <c r="FJ25" s="159"/>
      <c r="FK25" s="159"/>
      <c r="FL25" s="159"/>
      <c r="FM25" s="159"/>
      <c r="FN25" s="159"/>
      <c r="FO25" s="159"/>
      <c r="FP25" s="159"/>
      <c r="FQ25" s="159"/>
      <c r="FR25" s="159"/>
      <c r="FS25" s="159"/>
      <c r="FT25" s="159"/>
      <c r="FU25" s="159"/>
      <c r="FV25" s="159"/>
      <c r="FW25" s="159"/>
      <c r="FX25" s="159"/>
      <c r="FY25" s="159"/>
      <c r="FZ25" s="159"/>
      <c r="GA25" s="159"/>
      <c r="GB25" s="159"/>
      <c r="GC25" s="159"/>
      <c r="GD25" s="159"/>
      <c r="GE25" s="159"/>
      <c r="GF25" s="159"/>
      <c r="GG25" s="159"/>
      <c r="GH25" s="159"/>
      <c r="GI25" s="159"/>
      <c r="GJ25" s="159"/>
      <c r="GK25" s="159"/>
      <c r="GL25" s="159"/>
      <c r="GM25" s="159"/>
      <c r="GN25" s="159"/>
      <c r="GO25" s="159"/>
      <c r="GP25" s="159"/>
      <c r="GQ25" s="159"/>
      <c r="GR25" s="159"/>
      <c r="GS25" s="159"/>
      <c r="GT25" s="159"/>
      <c r="GU25" s="159"/>
      <c r="GV25" s="159"/>
      <c r="GW25" s="159"/>
      <c r="GX25" s="159"/>
      <c r="GY25" s="159"/>
      <c r="GZ25" s="159"/>
      <c r="HA25" s="159"/>
      <c r="HB25" s="159"/>
      <c r="HC25" s="159"/>
      <c r="HD25" s="159"/>
      <c r="HE25" s="159"/>
      <c r="HF25" s="159"/>
      <c r="HG25" s="159"/>
      <c r="HH25" s="159"/>
      <c r="HI25" s="159"/>
      <c r="HJ25" s="159"/>
      <c r="HK25" s="159"/>
      <c r="HL25" s="159"/>
      <c r="HM25" s="159"/>
      <c r="HN25" s="159"/>
      <c r="HO25" s="159"/>
      <c r="HP25" s="159"/>
      <c r="HQ25" s="159"/>
      <c r="HR25" s="159"/>
      <c r="HS25" s="159"/>
      <c r="HT25" s="159"/>
      <c r="HU25" s="159"/>
      <c r="HV25" s="159"/>
      <c r="HW25" s="159"/>
      <c r="HX25" s="159"/>
      <c r="HY25" s="159"/>
      <c r="HZ25" s="159"/>
      <c r="IA25" s="159"/>
      <c r="IB25" s="159"/>
      <c r="IC25" s="159"/>
      <c r="ID25" s="159"/>
      <c r="IE25" s="159"/>
      <c r="IF25" s="159"/>
      <c r="IG25" s="159"/>
      <c r="IH25" s="159"/>
      <c r="II25" s="159"/>
      <c r="IJ25" s="159"/>
      <c r="IK25" s="159"/>
      <c r="IL25" s="159"/>
      <c r="IM25" s="159"/>
      <c r="IN25" s="159"/>
      <c r="IO25" s="159"/>
      <c r="IP25" s="159"/>
      <c r="IQ25" s="159"/>
      <c r="IR25" s="159"/>
      <c r="IS25" s="159"/>
      <c r="IT25" s="159"/>
      <c r="IU25" s="159"/>
      <c r="IV25" s="159"/>
      <c r="IW25" s="159"/>
      <c r="IX25" s="159"/>
      <c r="IY25" s="159"/>
      <c r="IZ25" s="159"/>
      <c r="JA25" s="159"/>
      <c r="JB25" s="159"/>
      <c r="JC25" s="159"/>
      <c r="JD25" s="159"/>
      <c r="JE25" s="159"/>
      <c r="JF25" s="159"/>
      <c r="JG25" s="159"/>
      <c r="JH25" s="159"/>
      <c r="JI25" s="159"/>
      <c r="JJ25" s="159"/>
      <c r="JK25" s="159"/>
    </row>
    <row r="26" ht="18.75" customHeight="1">
      <c r="A26" s="147"/>
      <c r="B26" s="148"/>
      <c r="C26" s="149"/>
      <c r="D26" s="149"/>
      <c r="E26" s="156"/>
      <c r="F26" s="148"/>
      <c r="G26" s="149"/>
      <c r="H26" s="149"/>
      <c r="I26" s="151"/>
      <c r="J26" s="177"/>
      <c r="K26" s="94"/>
      <c r="L26" s="85"/>
      <c r="M26" s="165"/>
      <c r="N26" s="159"/>
      <c r="O26" s="159"/>
      <c r="P26" s="159"/>
      <c r="Q26" s="159"/>
      <c r="R26" s="159"/>
      <c r="S26" s="159"/>
      <c r="T26" s="159"/>
      <c r="U26" s="159"/>
      <c r="V26" s="159"/>
      <c r="W26" s="159"/>
      <c r="X26" s="159"/>
      <c r="Y26" s="159"/>
      <c r="Z26" s="159"/>
      <c r="AA26" s="159"/>
      <c r="AB26" s="159"/>
      <c r="AC26" s="159"/>
      <c r="AD26" s="159"/>
      <c r="AE26" s="159"/>
      <c r="AF26" s="159"/>
      <c r="AG26" s="159"/>
      <c r="AH26" s="159"/>
      <c r="AI26" s="159"/>
      <c r="AJ26" s="159"/>
      <c r="AK26" s="159"/>
      <c r="AL26" s="159"/>
      <c r="AM26" s="159"/>
      <c r="AN26" s="159"/>
      <c r="AO26" s="159"/>
      <c r="AP26" s="159"/>
      <c r="AQ26" s="159"/>
      <c r="AR26" s="159"/>
      <c r="AS26" s="159"/>
      <c r="AT26" s="159"/>
      <c r="AU26" s="159"/>
      <c r="AV26" s="159"/>
      <c r="AW26" s="159"/>
      <c r="AX26" s="159"/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59"/>
      <c r="BQ26" s="159"/>
      <c r="BR26" s="159"/>
      <c r="BS26" s="159"/>
      <c r="BT26" s="159"/>
      <c r="BU26" s="159"/>
      <c r="BV26" s="159"/>
      <c r="BW26" s="159"/>
      <c r="BX26" s="159"/>
      <c r="BY26" s="159"/>
      <c r="BZ26" s="159"/>
      <c r="CA26" s="159"/>
      <c r="CB26" s="159"/>
      <c r="CC26" s="159"/>
      <c r="CD26" s="159"/>
      <c r="CE26" s="159"/>
      <c r="CF26" s="159"/>
      <c r="CG26" s="159"/>
      <c r="CH26" s="159"/>
      <c r="CI26" s="159"/>
      <c r="CJ26" s="159"/>
      <c r="CK26" s="159"/>
      <c r="CL26" s="159"/>
      <c r="CM26" s="159"/>
      <c r="CN26" s="159"/>
      <c r="CO26" s="159"/>
      <c r="CP26" s="159"/>
      <c r="CQ26" s="159"/>
      <c r="CR26" s="159"/>
      <c r="CS26" s="159"/>
      <c r="CT26" s="159"/>
      <c r="CU26" s="159"/>
      <c r="CV26" s="159"/>
      <c r="CW26" s="159"/>
      <c r="CX26" s="159"/>
      <c r="CY26" s="159"/>
      <c r="CZ26" s="159"/>
      <c r="DA26" s="159"/>
      <c r="DB26" s="159"/>
      <c r="DC26" s="159"/>
      <c r="DD26" s="159"/>
      <c r="DE26" s="159"/>
      <c r="DF26" s="159"/>
      <c r="DG26" s="159"/>
      <c r="DH26" s="159"/>
      <c r="DI26" s="159"/>
      <c r="DJ26" s="159"/>
      <c r="DK26" s="159"/>
      <c r="DL26" s="159"/>
      <c r="DM26" s="159"/>
      <c r="DN26" s="159"/>
      <c r="DO26" s="159"/>
      <c r="DP26" s="159"/>
      <c r="DQ26" s="159"/>
      <c r="DR26" s="159"/>
      <c r="DS26" s="159"/>
      <c r="DT26" s="159"/>
      <c r="DU26" s="159"/>
      <c r="DV26" s="159"/>
      <c r="DW26" s="159"/>
      <c r="DX26" s="159"/>
      <c r="DY26" s="159"/>
      <c r="DZ26" s="159"/>
      <c r="EA26" s="159"/>
      <c r="EB26" s="159"/>
      <c r="EC26" s="159"/>
      <c r="ED26" s="159"/>
      <c r="EE26" s="159"/>
      <c r="EF26" s="159"/>
      <c r="EG26" s="159"/>
      <c r="EH26" s="159"/>
      <c r="EI26" s="159"/>
      <c r="EJ26" s="159"/>
      <c r="EK26" s="159"/>
      <c r="EL26" s="159"/>
      <c r="EM26" s="159"/>
      <c r="EN26" s="159"/>
      <c r="EO26" s="159"/>
      <c r="EP26" s="159"/>
      <c r="EQ26" s="159"/>
      <c r="ER26" s="159"/>
      <c r="ES26" s="159"/>
      <c r="ET26" s="159"/>
      <c r="EU26" s="159"/>
      <c r="EV26" s="159"/>
      <c r="EW26" s="159"/>
      <c r="EX26" s="159"/>
      <c r="EY26" s="159"/>
      <c r="EZ26" s="159"/>
      <c r="FA26" s="159"/>
      <c r="FB26" s="159"/>
      <c r="FC26" s="159"/>
      <c r="FD26" s="159"/>
      <c r="FE26" s="159"/>
      <c r="FF26" s="159"/>
      <c r="FG26" s="159"/>
      <c r="FH26" s="159"/>
      <c r="FI26" s="159"/>
      <c r="FJ26" s="159"/>
      <c r="FK26" s="159"/>
      <c r="FL26" s="159"/>
      <c r="FM26" s="159"/>
      <c r="FN26" s="159"/>
      <c r="FO26" s="159"/>
      <c r="FP26" s="159"/>
      <c r="FQ26" s="159"/>
      <c r="FR26" s="159"/>
      <c r="FS26" s="159"/>
      <c r="FT26" s="159"/>
      <c r="FU26" s="159"/>
      <c r="FV26" s="159"/>
      <c r="FW26" s="159"/>
      <c r="FX26" s="159"/>
      <c r="FY26" s="159"/>
      <c r="FZ26" s="159"/>
      <c r="GA26" s="159"/>
      <c r="GB26" s="159"/>
      <c r="GC26" s="159"/>
      <c r="GD26" s="159"/>
      <c r="GE26" s="159"/>
      <c r="GF26" s="159"/>
      <c r="GG26" s="159"/>
      <c r="GH26" s="159"/>
      <c r="GI26" s="159"/>
      <c r="GJ26" s="159"/>
      <c r="GK26" s="159"/>
      <c r="GL26" s="159"/>
      <c r="GM26" s="159"/>
      <c r="GN26" s="159"/>
      <c r="GO26" s="159"/>
      <c r="GP26" s="159"/>
      <c r="GQ26" s="159"/>
      <c r="GR26" s="159"/>
      <c r="GS26" s="159"/>
      <c r="GT26" s="159"/>
      <c r="GU26" s="159"/>
      <c r="GV26" s="159"/>
      <c r="GW26" s="159"/>
      <c r="GX26" s="159"/>
      <c r="GY26" s="159"/>
      <c r="GZ26" s="159"/>
      <c r="HA26" s="159"/>
      <c r="HB26" s="159"/>
      <c r="HC26" s="159"/>
      <c r="HD26" s="159"/>
      <c r="HE26" s="159"/>
      <c r="HF26" s="159"/>
      <c r="HG26" s="159"/>
      <c r="HH26" s="159"/>
      <c r="HI26" s="159"/>
      <c r="HJ26" s="159"/>
      <c r="HK26" s="159"/>
      <c r="HL26" s="159"/>
      <c r="HM26" s="159"/>
      <c r="HN26" s="159"/>
      <c r="HO26" s="159"/>
      <c r="HP26" s="159"/>
      <c r="HQ26" s="159"/>
      <c r="HR26" s="159"/>
      <c r="HS26" s="159"/>
      <c r="HT26" s="159"/>
      <c r="HU26" s="159"/>
      <c r="HV26" s="159"/>
      <c r="HW26" s="159"/>
      <c r="HX26" s="159"/>
      <c r="HY26" s="159"/>
      <c r="HZ26" s="159"/>
      <c r="IA26" s="159"/>
      <c r="IB26" s="159"/>
      <c r="IC26" s="159"/>
      <c r="ID26" s="159"/>
      <c r="IE26" s="159"/>
      <c r="IF26" s="159"/>
      <c r="IG26" s="159"/>
      <c r="IH26" s="159"/>
      <c r="II26" s="159"/>
      <c r="IJ26" s="159"/>
      <c r="IK26" s="159"/>
      <c r="IL26" s="159"/>
      <c r="IM26" s="159"/>
      <c r="IN26" s="159"/>
      <c r="IO26" s="159"/>
      <c r="IP26" s="159"/>
      <c r="IQ26" s="159"/>
      <c r="IR26" s="159"/>
      <c r="IS26" s="159"/>
      <c r="IT26" s="159"/>
      <c r="IU26" s="159"/>
      <c r="IV26" s="159"/>
      <c r="IW26" s="159"/>
      <c r="IX26" s="159"/>
      <c r="IY26" s="159"/>
      <c r="IZ26" s="159"/>
      <c r="JA26" s="159"/>
      <c r="JB26" s="159"/>
      <c r="JC26" s="159"/>
      <c r="JD26" s="159"/>
      <c r="JE26" s="159"/>
      <c r="JF26" s="159"/>
      <c r="JG26" s="159"/>
      <c r="JH26" s="159"/>
      <c r="JI26" s="159"/>
      <c r="JJ26" s="159"/>
      <c r="JK26" s="159"/>
    </row>
    <row r="27" ht="18.75" customHeight="1">
      <c r="A27" s="147"/>
      <c r="B27" s="148"/>
      <c r="C27" s="149"/>
      <c r="D27" s="149"/>
      <c r="E27" s="156"/>
      <c r="F27" s="148"/>
      <c r="G27" s="149"/>
      <c r="H27" s="149"/>
      <c r="I27" s="151"/>
      <c r="J27" s="178">
        <v>3.0</v>
      </c>
      <c r="K27" s="97"/>
      <c r="L27" s="179">
        <v>0.25</v>
      </c>
      <c r="M27" s="180">
        <v>3.0</v>
      </c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159"/>
      <c r="AU27" s="159"/>
      <c r="AV27" s="159"/>
      <c r="AW27" s="159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59"/>
      <c r="CB27" s="159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59"/>
      <c r="CY27" s="159"/>
      <c r="CZ27" s="159"/>
      <c r="DA27" s="159"/>
      <c r="DB27" s="159"/>
      <c r="DC27" s="159"/>
      <c r="DD27" s="159"/>
      <c r="DE27" s="159"/>
      <c r="DF27" s="159"/>
      <c r="DG27" s="159"/>
      <c r="DH27" s="159"/>
      <c r="DI27" s="159"/>
      <c r="DJ27" s="159"/>
      <c r="DK27" s="159"/>
      <c r="DL27" s="159"/>
      <c r="DM27" s="159"/>
      <c r="DN27" s="159"/>
      <c r="DO27" s="159"/>
      <c r="DP27" s="159"/>
      <c r="DQ27" s="159"/>
      <c r="DR27" s="159"/>
      <c r="DS27" s="159"/>
      <c r="DT27" s="159"/>
      <c r="DU27" s="159"/>
      <c r="DV27" s="159"/>
      <c r="DW27" s="159"/>
      <c r="DX27" s="159"/>
      <c r="DY27" s="159"/>
      <c r="DZ27" s="159"/>
      <c r="EA27" s="159"/>
      <c r="EB27" s="159"/>
      <c r="EC27" s="159"/>
      <c r="ED27" s="159"/>
      <c r="EE27" s="159"/>
      <c r="EF27" s="159"/>
      <c r="EG27" s="159"/>
      <c r="EH27" s="159"/>
      <c r="EI27" s="159"/>
      <c r="EJ27" s="159"/>
      <c r="EK27" s="159"/>
      <c r="EL27" s="159"/>
      <c r="EM27" s="159"/>
      <c r="EN27" s="159"/>
      <c r="EO27" s="159"/>
      <c r="EP27" s="159"/>
      <c r="EQ27" s="159"/>
      <c r="ER27" s="159"/>
      <c r="ES27" s="159"/>
      <c r="ET27" s="159"/>
      <c r="EU27" s="159"/>
      <c r="EV27" s="159"/>
      <c r="EW27" s="159"/>
      <c r="EX27" s="159"/>
      <c r="EY27" s="159"/>
      <c r="EZ27" s="159"/>
      <c r="FA27" s="159"/>
      <c r="FB27" s="159"/>
      <c r="FC27" s="159"/>
      <c r="FD27" s="159"/>
      <c r="FE27" s="159"/>
      <c r="FF27" s="159"/>
      <c r="FG27" s="159"/>
      <c r="FH27" s="159"/>
      <c r="FI27" s="159"/>
      <c r="FJ27" s="159"/>
      <c r="FK27" s="159"/>
      <c r="FL27" s="159"/>
      <c r="FM27" s="159"/>
      <c r="FN27" s="159"/>
      <c r="FO27" s="159"/>
      <c r="FP27" s="159"/>
      <c r="FQ27" s="159"/>
      <c r="FR27" s="159"/>
      <c r="FS27" s="159"/>
      <c r="FT27" s="159"/>
      <c r="FU27" s="159"/>
      <c r="FV27" s="159"/>
      <c r="FW27" s="159"/>
      <c r="FX27" s="159"/>
      <c r="FY27" s="159"/>
      <c r="FZ27" s="159"/>
      <c r="GA27" s="159"/>
      <c r="GB27" s="159"/>
      <c r="GC27" s="159"/>
      <c r="GD27" s="159"/>
      <c r="GE27" s="159"/>
      <c r="GF27" s="159"/>
      <c r="GG27" s="159"/>
      <c r="GH27" s="159"/>
      <c r="GI27" s="159"/>
      <c r="GJ27" s="159"/>
      <c r="GK27" s="159"/>
      <c r="GL27" s="159"/>
      <c r="GM27" s="159"/>
      <c r="GN27" s="159"/>
      <c r="GO27" s="159"/>
      <c r="GP27" s="159"/>
      <c r="GQ27" s="159"/>
      <c r="GR27" s="159"/>
      <c r="GS27" s="159"/>
      <c r="GT27" s="159"/>
      <c r="GU27" s="159"/>
      <c r="GV27" s="159"/>
      <c r="GW27" s="159"/>
      <c r="GX27" s="159"/>
      <c r="GY27" s="159"/>
      <c r="GZ27" s="159"/>
      <c r="HA27" s="159"/>
      <c r="HB27" s="159"/>
      <c r="HC27" s="159"/>
      <c r="HD27" s="159"/>
      <c r="HE27" s="159"/>
      <c r="HF27" s="159"/>
      <c r="HG27" s="159"/>
      <c r="HH27" s="159"/>
      <c r="HI27" s="159"/>
      <c r="HJ27" s="159"/>
      <c r="HK27" s="159"/>
      <c r="HL27" s="159"/>
      <c r="HM27" s="159"/>
      <c r="HN27" s="159"/>
      <c r="HO27" s="159"/>
      <c r="HP27" s="159"/>
      <c r="HQ27" s="159"/>
      <c r="HR27" s="159"/>
      <c r="HS27" s="159"/>
      <c r="HT27" s="159"/>
      <c r="HU27" s="159"/>
      <c r="HV27" s="159"/>
      <c r="HW27" s="159"/>
      <c r="HX27" s="159"/>
      <c r="HY27" s="159"/>
      <c r="HZ27" s="159"/>
      <c r="IA27" s="159"/>
      <c r="IB27" s="159"/>
      <c r="IC27" s="159"/>
      <c r="ID27" s="159"/>
      <c r="IE27" s="159"/>
      <c r="IF27" s="159"/>
      <c r="IG27" s="159"/>
      <c r="IH27" s="159"/>
      <c r="II27" s="159"/>
      <c r="IJ27" s="159"/>
      <c r="IK27" s="159"/>
      <c r="IL27" s="159"/>
      <c r="IM27" s="159"/>
      <c r="IN27" s="159"/>
      <c r="IO27" s="159"/>
      <c r="IP27" s="159"/>
      <c r="IQ27" s="159"/>
      <c r="IR27" s="159"/>
      <c r="IS27" s="159"/>
      <c r="IT27" s="159"/>
      <c r="IU27" s="159"/>
      <c r="IV27" s="159"/>
      <c r="IW27" s="159"/>
      <c r="IX27" s="159"/>
      <c r="IY27" s="159"/>
      <c r="IZ27" s="159"/>
      <c r="JA27" s="159"/>
      <c r="JB27" s="159"/>
      <c r="JC27" s="159"/>
      <c r="JD27" s="159"/>
      <c r="JE27" s="159"/>
      <c r="JF27" s="159"/>
      <c r="JG27" s="159"/>
      <c r="JH27" s="159"/>
      <c r="JI27" s="159"/>
      <c r="JJ27" s="159"/>
      <c r="JK27" s="159"/>
    </row>
    <row r="28" ht="18.75" customHeight="1">
      <c r="A28" s="147"/>
      <c r="B28" s="148"/>
      <c r="C28" s="149"/>
      <c r="D28" s="149"/>
      <c r="E28" s="156"/>
      <c r="F28" s="148"/>
      <c r="G28" s="149"/>
      <c r="H28" s="149"/>
      <c r="I28" s="151"/>
      <c r="J28" s="181"/>
      <c r="L28" s="171" t="s">
        <v>102</v>
      </c>
      <c r="M28" s="173" t="s">
        <v>103</v>
      </c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59"/>
      <c r="AS28" s="159"/>
      <c r="AT28" s="159"/>
      <c r="AU28" s="159"/>
      <c r="AV28" s="159"/>
      <c r="AW28" s="159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59"/>
      <c r="BQ28" s="159"/>
      <c r="BR28" s="159"/>
      <c r="BS28" s="159"/>
      <c r="BT28" s="159"/>
      <c r="BU28" s="159"/>
      <c r="BV28" s="159"/>
      <c r="BW28" s="159"/>
      <c r="BX28" s="159"/>
      <c r="BY28" s="159"/>
      <c r="BZ28" s="159"/>
      <c r="CA28" s="159"/>
      <c r="CB28" s="159"/>
      <c r="CC28" s="159"/>
      <c r="CD28" s="159"/>
      <c r="CE28" s="159"/>
      <c r="CF28" s="159"/>
      <c r="CG28" s="159"/>
      <c r="CH28" s="159"/>
      <c r="CI28" s="159"/>
      <c r="CJ28" s="159"/>
      <c r="CK28" s="159"/>
      <c r="CL28" s="159"/>
      <c r="CM28" s="159"/>
      <c r="CN28" s="159"/>
      <c r="CO28" s="159"/>
      <c r="CP28" s="159"/>
      <c r="CQ28" s="159"/>
      <c r="CR28" s="159"/>
      <c r="CS28" s="159"/>
      <c r="CT28" s="159"/>
      <c r="CU28" s="159"/>
      <c r="CV28" s="159"/>
      <c r="CW28" s="159"/>
      <c r="CX28" s="159"/>
      <c r="CY28" s="159"/>
      <c r="CZ28" s="159"/>
      <c r="DA28" s="159"/>
      <c r="DB28" s="159"/>
      <c r="DC28" s="159"/>
      <c r="DD28" s="159"/>
      <c r="DE28" s="159"/>
      <c r="DF28" s="159"/>
      <c r="DG28" s="159"/>
      <c r="DH28" s="159"/>
      <c r="DI28" s="159"/>
      <c r="DJ28" s="159"/>
      <c r="DK28" s="159"/>
      <c r="DL28" s="159"/>
      <c r="DM28" s="159"/>
      <c r="DN28" s="159"/>
      <c r="DO28" s="159"/>
      <c r="DP28" s="159"/>
      <c r="DQ28" s="159"/>
      <c r="DR28" s="159"/>
      <c r="DS28" s="159"/>
      <c r="DT28" s="159"/>
      <c r="DU28" s="159"/>
      <c r="DV28" s="159"/>
      <c r="DW28" s="159"/>
      <c r="DX28" s="159"/>
      <c r="DY28" s="159"/>
      <c r="DZ28" s="159"/>
      <c r="EA28" s="159"/>
      <c r="EB28" s="159"/>
      <c r="EC28" s="159"/>
      <c r="ED28" s="159"/>
      <c r="EE28" s="159"/>
      <c r="EF28" s="159"/>
      <c r="EG28" s="159"/>
      <c r="EH28" s="159"/>
      <c r="EI28" s="159"/>
      <c r="EJ28" s="159"/>
      <c r="EK28" s="159"/>
      <c r="EL28" s="159"/>
      <c r="EM28" s="159"/>
      <c r="EN28" s="159"/>
      <c r="EO28" s="159"/>
      <c r="EP28" s="159"/>
      <c r="EQ28" s="159"/>
      <c r="ER28" s="159"/>
      <c r="ES28" s="159"/>
      <c r="ET28" s="159"/>
      <c r="EU28" s="159"/>
      <c r="EV28" s="159"/>
      <c r="EW28" s="159"/>
      <c r="EX28" s="159"/>
      <c r="EY28" s="159"/>
      <c r="EZ28" s="159"/>
      <c r="FA28" s="159"/>
      <c r="FB28" s="159"/>
      <c r="FC28" s="159"/>
      <c r="FD28" s="159"/>
      <c r="FE28" s="159"/>
      <c r="FF28" s="159"/>
      <c r="FG28" s="159"/>
      <c r="FH28" s="159"/>
      <c r="FI28" s="159"/>
      <c r="FJ28" s="159"/>
      <c r="FK28" s="159"/>
      <c r="FL28" s="159"/>
      <c r="FM28" s="159"/>
      <c r="FN28" s="159"/>
      <c r="FO28" s="159"/>
      <c r="FP28" s="159"/>
      <c r="FQ28" s="159"/>
      <c r="FR28" s="159"/>
      <c r="FS28" s="159"/>
      <c r="FT28" s="159"/>
      <c r="FU28" s="159"/>
      <c r="FV28" s="159"/>
      <c r="FW28" s="159"/>
      <c r="FX28" s="159"/>
      <c r="FY28" s="159"/>
      <c r="FZ28" s="159"/>
      <c r="GA28" s="159"/>
      <c r="GB28" s="159"/>
      <c r="GC28" s="159"/>
      <c r="GD28" s="159"/>
      <c r="GE28" s="159"/>
      <c r="GF28" s="159"/>
      <c r="GG28" s="159"/>
      <c r="GH28" s="159"/>
      <c r="GI28" s="159"/>
      <c r="GJ28" s="159"/>
      <c r="GK28" s="159"/>
      <c r="GL28" s="159"/>
      <c r="GM28" s="159"/>
      <c r="GN28" s="159"/>
      <c r="GO28" s="159"/>
      <c r="GP28" s="159"/>
      <c r="GQ28" s="159"/>
      <c r="GR28" s="159"/>
      <c r="GS28" s="159"/>
      <c r="GT28" s="159"/>
      <c r="GU28" s="159"/>
      <c r="GV28" s="159"/>
      <c r="GW28" s="159"/>
      <c r="GX28" s="159"/>
      <c r="GY28" s="159"/>
      <c r="GZ28" s="159"/>
      <c r="HA28" s="159"/>
      <c r="HB28" s="159"/>
      <c r="HC28" s="159"/>
      <c r="HD28" s="159"/>
      <c r="HE28" s="159"/>
      <c r="HF28" s="159"/>
      <c r="HG28" s="159"/>
      <c r="HH28" s="159"/>
      <c r="HI28" s="159"/>
      <c r="HJ28" s="159"/>
      <c r="HK28" s="159"/>
      <c r="HL28" s="159"/>
      <c r="HM28" s="159"/>
      <c r="HN28" s="159"/>
      <c r="HO28" s="159"/>
      <c r="HP28" s="159"/>
      <c r="HQ28" s="159"/>
      <c r="HR28" s="159"/>
      <c r="HS28" s="159"/>
      <c r="HT28" s="159"/>
      <c r="HU28" s="159"/>
      <c r="HV28" s="159"/>
      <c r="HW28" s="159"/>
      <c r="HX28" s="159"/>
      <c r="HY28" s="159"/>
      <c r="HZ28" s="159"/>
      <c r="IA28" s="159"/>
      <c r="IB28" s="159"/>
      <c r="IC28" s="159"/>
      <c r="ID28" s="159"/>
      <c r="IE28" s="159"/>
      <c r="IF28" s="159"/>
      <c r="IG28" s="159"/>
      <c r="IH28" s="159"/>
      <c r="II28" s="159"/>
      <c r="IJ28" s="159"/>
      <c r="IK28" s="159"/>
      <c r="IL28" s="159"/>
      <c r="IM28" s="159"/>
      <c r="IN28" s="159"/>
      <c r="IO28" s="159"/>
      <c r="IP28" s="159"/>
      <c r="IQ28" s="159"/>
      <c r="IR28" s="159"/>
      <c r="IS28" s="159"/>
      <c r="IT28" s="159"/>
      <c r="IU28" s="159"/>
      <c r="IV28" s="159"/>
      <c r="IW28" s="159"/>
      <c r="IX28" s="159"/>
      <c r="IY28" s="159"/>
      <c r="IZ28" s="159"/>
      <c r="JA28" s="159"/>
      <c r="JB28" s="159"/>
      <c r="JC28" s="159"/>
      <c r="JD28" s="159"/>
      <c r="JE28" s="159"/>
      <c r="JF28" s="159"/>
      <c r="JG28" s="159"/>
      <c r="JH28" s="159"/>
      <c r="JI28" s="159"/>
      <c r="JJ28" s="159"/>
      <c r="JK28" s="159"/>
    </row>
    <row r="29" ht="18.75" customHeight="1">
      <c r="A29" s="147"/>
      <c r="B29" s="148"/>
      <c r="C29" s="149"/>
      <c r="D29" s="149"/>
      <c r="E29" s="156"/>
      <c r="F29" s="148"/>
      <c r="G29" s="149"/>
      <c r="H29" s="149"/>
      <c r="I29" s="151"/>
      <c r="J29" s="34"/>
      <c r="L29" s="85"/>
      <c r="M29" s="165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59"/>
      <c r="AE29" s="159"/>
      <c r="AF29" s="159"/>
      <c r="AG29" s="159"/>
      <c r="AH29" s="159"/>
      <c r="AI29" s="159"/>
      <c r="AJ29" s="159"/>
      <c r="AK29" s="159"/>
      <c r="AL29" s="159"/>
      <c r="AM29" s="159"/>
      <c r="AN29" s="159"/>
      <c r="AO29" s="159"/>
      <c r="AP29" s="159"/>
      <c r="AQ29" s="159"/>
      <c r="AR29" s="159"/>
      <c r="AS29" s="159"/>
      <c r="AT29" s="159"/>
      <c r="AU29" s="159"/>
      <c r="AV29" s="159"/>
      <c r="AW29" s="159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59"/>
      <c r="BQ29" s="159"/>
      <c r="BR29" s="159"/>
      <c r="BS29" s="159"/>
      <c r="BT29" s="159"/>
      <c r="BU29" s="159"/>
      <c r="BV29" s="159"/>
      <c r="BW29" s="159"/>
      <c r="BX29" s="159"/>
      <c r="BY29" s="159"/>
      <c r="BZ29" s="159"/>
      <c r="CA29" s="159"/>
      <c r="CB29" s="159"/>
      <c r="CC29" s="159"/>
      <c r="CD29" s="159"/>
      <c r="CE29" s="159"/>
      <c r="CF29" s="159"/>
      <c r="CG29" s="159"/>
      <c r="CH29" s="159"/>
      <c r="CI29" s="159"/>
      <c r="CJ29" s="159"/>
      <c r="CK29" s="159"/>
      <c r="CL29" s="159"/>
      <c r="CM29" s="159"/>
      <c r="CN29" s="159"/>
      <c r="CO29" s="159"/>
      <c r="CP29" s="159"/>
      <c r="CQ29" s="159"/>
      <c r="CR29" s="159"/>
      <c r="CS29" s="159"/>
      <c r="CT29" s="159"/>
      <c r="CU29" s="159"/>
      <c r="CV29" s="159"/>
      <c r="CW29" s="159"/>
      <c r="CX29" s="159"/>
      <c r="CY29" s="159"/>
      <c r="CZ29" s="159"/>
      <c r="DA29" s="159"/>
      <c r="DB29" s="159"/>
      <c r="DC29" s="159"/>
      <c r="DD29" s="159"/>
      <c r="DE29" s="159"/>
      <c r="DF29" s="159"/>
      <c r="DG29" s="159"/>
      <c r="DH29" s="159"/>
      <c r="DI29" s="159"/>
      <c r="DJ29" s="159"/>
      <c r="DK29" s="159"/>
      <c r="DL29" s="159"/>
      <c r="DM29" s="159"/>
      <c r="DN29" s="159"/>
      <c r="DO29" s="159"/>
      <c r="DP29" s="159"/>
      <c r="DQ29" s="159"/>
      <c r="DR29" s="159"/>
      <c r="DS29" s="159"/>
      <c r="DT29" s="159"/>
      <c r="DU29" s="159"/>
      <c r="DV29" s="159"/>
      <c r="DW29" s="159"/>
      <c r="DX29" s="159"/>
      <c r="DY29" s="159"/>
      <c r="DZ29" s="159"/>
      <c r="EA29" s="159"/>
      <c r="EB29" s="159"/>
      <c r="EC29" s="159"/>
      <c r="ED29" s="159"/>
      <c r="EE29" s="159"/>
      <c r="EF29" s="159"/>
      <c r="EG29" s="159"/>
      <c r="EH29" s="159"/>
      <c r="EI29" s="159"/>
      <c r="EJ29" s="159"/>
      <c r="EK29" s="159"/>
      <c r="EL29" s="159"/>
      <c r="EM29" s="159"/>
      <c r="EN29" s="159"/>
      <c r="EO29" s="159"/>
      <c r="EP29" s="159"/>
      <c r="EQ29" s="159"/>
      <c r="ER29" s="159"/>
      <c r="ES29" s="159"/>
      <c r="ET29" s="159"/>
      <c r="EU29" s="159"/>
      <c r="EV29" s="159"/>
      <c r="EW29" s="159"/>
      <c r="EX29" s="159"/>
      <c r="EY29" s="159"/>
      <c r="EZ29" s="159"/>
      <c r="FA29" s="159"/>
      <c r="FB29" s="159"/>
      <c r="FC29" s="159"/>
      <c r="FD29" s="159"/>
      <c r="FE29" s="159"/>
      <c r="FF29" s="159"/>
      <c r="FG29" s="159"/>
      <c r="FH29" s="159"/>
      <c r="FI29" s="159"/>
      <c r="FJ29" s="159"/>
      <c r="FK29" s="159"/>
      <c r="FL29" s="159"/>
      <c r="FM29" s="159"/>
      <c r="FN29" s="159"/>
      <c r="FO29" s="159"/>
      <c r="FP29" s="159"/>
      <c r="FQ29" s="159"/>
      <c r="FR29" s="159"/>
      <c r="FS29" s="159"/>
      <c r="FT29" s="159"/>
      <c r="FU29" s="159"/>
      <c r="FV29" s="159"/>
      <c r="FW29" s="159"/>
      <c r="FX29" s="159"/>
      <c r="FY29" s="159"/>
      <c r="FZ29" s="159"/>
      <c r="GA29" s="159"/>
      <c r="GB29" s="159"/>
      <c r="GC29" s="159"/>
      <c r="GD29" s="159"/>
      <c r="GE29" s="159"/>
      <c r="GF29" s="159"/>
      <c r="GG29" s="159"/>
      <c r="GH29" s="159"/>
      <c r="GI29" s="159"/>
      <c r="GJ29" s="159"/>
      <c r="GK29" s="159"/>
      <c r="GL29" s="159"/>
      <c r="GM29" s="159"/>
      <c r="GN29" s="159"/>
      <c r="GO29" s="159"/>
      <c r="GP29" s="159"/>
      <c r="GQ29" s="159"/>
      <c r="GR29" s="159"/>
      <c r="GS29" s="159"/>
      <c r="GT29" s="159"/>
      <c r="GU29" s="159"/>
      <c r="GV29" s="159"/>
      <c r="GW29" s="159"/>
      <c r="GX29" s="159"/>
      <c r="GY29" s="159"/>
      <c r="GZ29" s="159"/>
      <c r="HA29" s="159"/>
      <c r="HB29" s="159"/>
      <c r="HC29" s="159"/>
      <c r="HD29" s="159"/>
      <c r="HE29" s="159"/>
      <c r="HF29" s="159"/>
      <c r="HG29" s="159"/>
      <c r="HH29" s="159"/>
      <c r="HI29" s="159"/>
      <c r="HJ29" s="159"/>
      <c r="HK29" s="159"/>
      <c r="HL29" s="159"/>
      <c r="HM29" s="159"/>
      <c r="HN29" s="159"/>
      <c r="HO29" s="159"/>
      <c r="HP29" s="159"/>
      <c r="HQ29" s="159"/>
      <c r="HR29" s="159"/>
      <c r="HS29" s="159"/>
      <c r="HT29" s="159"/>
      <c r="HU29" s="159"/>
      <c r="HV29" s="159"/>
      <c r="HW29" s="159"/>
      <c r="HX29" s="159"/>
      <c r="HY29" s="159"/>
      <c r="HZ29" s="159"/>
      <c r="IA29" s="159"/>
      <c r="IB29" s="159"/>
      <c r="IC29" s="159"/>
      <c r="ID29" s="159"/>
      <c r="IE29" s="159"/>
      <c r="IF29" s="159"/>
      <c r="IG29" s="159"/>
      <c r="IH29" s="159"/>
      <c r="II29" s="159"/>
      <c r="IJ29" s="159"/>
      <c r="IK29" s="159"/>
      <c r="IL29" s="159"/>
      <c r="IM29" s="159"/>
      <c r="IN29" s="159"/>
      <c r="IO29" s="159"/>
      <c r="IP29" s="159"/>
      <c r="IQ29" s="159"/>
      <c r="IR29" s="159"/>
      <c r="IS29" s="159"/>
      <c r="IT29" s="159"/>
      <c r="IU29" s="159"/>
      <c r="IV29" s="159"/>
      <c r="IW29" s="159"/>
      <c r="IX29" s="159"/>
      <c r="IY29" s="159"/>
      <c r="IZ29" s="159"/>
      <c r="JA29" s="159"/>
      <c r="JB29" s="159"/>
      <c r="JC29" s="159"/>
      <c r="JD29" s="159"/>
      <c r="JE29" s="159"/>
      <c r="JF29" s="159"/>
      <c r="JG29" s="159"/>
      <c r="JH29" s="159"/>
      <c r="JI29" s="159"/>
      <c r="JJ29" s="159"/>
      <c r="JK29" s="159"/>
    </row>
    <row r="30" ht="18.75" customHeight="1">
      <c r="A30" s="147"/>
      <c r="B30" s="182"/>
      <c r="C30" s="183"/>
      <c r="D30" s="183"/>
      <c r="E30" s="184"/>
      <c r="F30" s="182"/>
      <c r="G30" s="183"/>
      <c r="H30" s="183"/>
      <c r="I30" s="185"/>
      <c r="J30" s="16"/>
      <c r="K30" s="26"/>
      <c r="L30" s="186">
        <v>0.75</v>
      </c>
      <c r="M30" s="187">
        <v>0.125</v>
      </c>
      <c r="N30" s="159"/>
      <c r="O30" s="159"/>
      <c r="P30" s="159"/>
      <c r="Q30" s="159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59"/>
      <c r="BQ30" s="159"/>
      <c r="BR30" s="159"/>
      <c r="BS30" s="159"/>
      <c r="BT30" s="159"/>
      <c r="BU30" s="159"/>
      <c r="BV30" s="159"/>
      <c r="BW30" s="159"/>
      <c r="BX30" s="159"/>
      <c r="BY30" s="159"/>
      <c r="BZ30" s="159"/>
      <c r="CA30" s="159"/>
      <c r="CB30" s="159"/>
      <c r="CC30" s="159"/>
      <c r="CD30" s="159"/>
      <c r="CE30" s="159"/>
      <c r="CF30" s="159"/>
      <c r="CG30" s="159"/>
      <c r="CH30" s="159"/>
      <c r="CI30" s="159"/>
      <c r="CJ30" s="159"/>
      <c r="CK30" s="159"/>
      <c r="CL30" s="159"/>
      <c r="CM30" s="159"/>
      <c r="CN30" s="159"/>
      <c r="CO30" s="159"/>
      <c r="CP30" s="159"/>
      <c r="CQ30" s="159"/>
      <c r="CR30" s="159"/>
      <c r="CS30" s="159"/>
      <c r="CT30" s="159"/>
      <c r="CU30" s="159"/>
      <c r="CV30" s="159"/>
      <c r="CW30" s="159"/>
      <c r="CX30" s="159"/>
      <c r="CY30" s="159"/>
      <c r="CZ30" s="159"/>
      <c r="DA30" s="159"/>
      <c r="DB30" s="159"/>
      <c r="DC30" s="159"/>
      <c r="DD30" s="159"/>
      <c r="DE30" s="159"/>
      <c r="DF30" s="159"/>
      <c r="DG30" s="159"/>
      <c r="DH30" s="159"/>
      <c r="DI30" s="159"/>
      <c r="DJ30" s="159"/>
      <c r="DK30" s="159"/>
      <c r="DL30" s="159"/>
      <c r="DM30" s="159"/>
      <c r="DN30" s="159"/>
      <c r="DO30" s="159"/>
      <c r="DP30" s="159"/>
      <c r="DQ30" s="159"/>
      <c r="DR30" s="159"/>
      <c r="DS30" s="159"/>
      <c r="DT30" s="159"/>
      <c r="DU30" s="159"/>
      <c r="DV30" s="159"/>
      <c r="DW30" s="159"/>
      <c r="DX30" s="159"/>
      <c r="DY30" s="159"/>
      <c r="DZ30" s="159"/>
      <c r="EA30" s="159"/>
      <c r="EB30" s="159"/>
      <c r="EC30" s="159"/>
      <c r="ED30" s="159"/>
      <c r="EE30" s="159"/>
      <c r="EF30" s="159"/>
      <c r="EG30" s="159"/>
      <c r="EH30" s="159"/>
      <c r="EI30" s="159"/>
      <c r="EJ30" s="159"/>
      <c r="EK30" s="159"/>
      <c r="EL30" s="159"/>
      <c r="EM30" s="159"/>
      <c r="EN30" s="159"/>
      <c r="EO30" s="159"/>
      <c r="EP30" s="159"/>
      <c r="EQ30" s="159"/>
      <c r="ER30" s="159"/>
      <c r="ES30" s="159"/>
      <c r="ET30" s="159"/>
      <c r="EU30" s="159"/>
      <c r="EV30" s="159"/>
      <c r="EW30" s="159"/>
      <c r="EX30" s="159"/>
      <c r="EY30" s="159"/>
      <c r="EZ30" s="159"/>
      <c r="FA30" s="159"/>
      <c r="FB30" s="159"/>
      <c r="FC30" s="159"/>
      <c r="FD30" s="159"/>
      <c r="FE30" s="159"/>
      <c r="FF30" s="159"/>
      <c r="FG30" s="159"/>
      <c r="FH30" s="159"/>
      <c r="FI30" s="159"/>
      <c r="FJ30" s="159"/>
      <c r="FK30" s="159"/>
      <c r="FL30" s="159"/>
      <c r="FM30" s="159"/>
      <c r="FN30" s="159"/>
      <c r="FO30" s="159"/>
      <c r="FP30" s="159"/>
      <c r="FQ30" s="159"/>
      <c r="FR30" s="159"/>
      <c r="FS30" s="159"/>
      <c r="FT30" s="159"/>
      <c r="FU30" s="159"/>
      <c r="FV30" s="159"/>
      <c r="FW30" s="159"/>
      <c r="FX30" s="159"/>
      <c r="FY30" s="159"/>
      <c r="FZ30" s="159"/>
      <c r="GA30" s="159"/>
      <c r="GB30" s="159"/>
      <c r="GC30" s="159"/>
      <c r="GD30" s="159"/>
      <c r="GE30" s="159"/>
      <c r="GF30" s="159"/>
      <c r="GG30" s="159"/>
      <c r="GH30" s="159"/>
      <c r="GI30" s="159"/>
      <c r="GJ30" s="159"/>
      <c r="GK30" s="159"/>
      <c r="GL30" s="159"/>
      <c r="GM30" s="159"/>
      <c r="GN30" s="159"/>
      <c r="GO30" s="159"/>
      <c r="GP30" s="159"/>
      <c r="GQ30" s="159"/>
      <c r="GR30" s="159"/>
      <c r="GS30" s="159"/>
      <c r="GT30" s="159"/>
      <c r="GU30" s="159"/>
      <c r="GV30" s="159"/>
      <c r="GW30" s="159"/>
      <c r="GX30" s="159"/>
      <c r="GY30" s="159"/>
      <c r="GZ30" s="159"/>
      <c r="HA30" s="159"/>
      <c r="HB30" s="159"/>
      <c r="HC30" s="159"/>
      <c r="HD30" s="159"/>
      <c r="HE30" s="159"/>
      <c r="HF30" s="159"/>
      <c r="HG30" s="159"/>
      <c r="HH30" s="159"/>
      <c r="HI30" s="159"/>
      <c r="HJ30" s="159"/>
      <c r="HK30" s="159"/>
      <c r="HL30" s="159"/>
      <c r="HM30" s="159"/>
      <c r="HN30" s="159"/>
      <c r="HO30" s="159"/>
      <c r="HP30" s="159"/>
      <c r="HQ30" s="159"/>
      <c r="HR30" s="159"/>
      <c r="HS30" s="159"/>
      <c r="HT30" s="159"/>
      <c r="HU30" s="159"/>
      <c r="HV30" s="159"/>
      <c r="HW30" s="159"/>
      <c r="HX30" s="159"/>
      <c r="HY30" s="159"/>
      <c r="HZ30" s="159"/>
      <c r="IA30" s="159"/>
      <c r="IB30" s="159"/>
      <c r="IC30" s="159"/>
      <c r="ID30" s="159"/>
      <c r="IE30" s="159"/>
      <c r="IF30" s="159"/>
      <c r="IG30" s="159"/>
      <c r="IH30" s="159"/>
      <c r="II30" s="159"/>
      <c r="IJ30" s="159"/>
      <c r="IK30" s="159"/>
      <c r="IL30" s="159"/>
      <c r="IM30" s="159"/>
      <c r="IN30" s="159"/>
      <c r="IO30" s="159"/>
      <c r="IP30" s="159"/>
      <c r="IQ30" s="159"/>
      <c r="IR30" s="159"/>
      <c r="IS30" s="159"/>
      <c r="IT30" s="159"/>
      <c r="IU30" s="159"/>
      <c r="IV30" s="159"/>
      <c r="IW30" s="159"/>
      <c r="IX30" s="159"/>
      <c r="IY30" s="159"/>
      <c r="IZ30" s="159"/>
      <c r="JA30" s="159"/>
      <c r="JB30" s="159"/>
      <c r="JC30" s="159"/>
      <c r="JD30" s="159"/>
      <c r="JE30" s="159"/>
      <c r="JF30" s="159"/>
      <c r="JG30" s="159"/>
      <c r="JH30" s="159"/>
      <c r="JI30" s="159"/>
      <c r="JJ30" s="159"/>
      <c r="JK30" s="159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 t="s">
        <v>121</v>
      </c>
      <c r="B1" s="1" t="s">
        <v>122</v>
      </c>
      <c r="C1" s="1" t="s">
        <v>123</v>
      </c>
      <c r="D1" s="1" t="s">
        <v>124</v>
      </c>
      <c r="E1" s="1" t="s">
        <v>92</v>
      </c>
      <c r="F1" s="1" t="s">
        <v>125</v>
      </c>
      <c r="G1" s="1" t="s">
        <v>126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131</v>
      </c>
      <c r="M1" s="1" t="s">
        <v>132</v>
      </c>
      <c r="N1" s="1" t="s">
        <v>133</v>
      </c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 t="s">
        <v>134</v>
      </c>
      <c r="B2" s="1" t="s">
        <v>135</v>
      </c>
      <c r="C2" s="1">
        <v>596.0</v>
      </c>
      <c r="D2" s="1">
        <v>0.0</v>
      </c>
      <c r="E2" s="1" t="s">
        <v>136</v>
      </c>
      <c r="F2" s="1" t="s">
        <v>137</v>
      </c>
      <c r="G2" s="1" t="s">
        <v>138</v>
      </c>
      <c r="H2" s="1" t="s">
        <v>139</v>
      </c>
      <c r="I2" s="1" t="s">
        <v>140</v>
      </c>
      <c r="J2" s="1" t="s">
        <v>140</v>
      </c>
      <c r="K2" s="188"/>
      <c r="L2" s="1">
        <v>-8.0</v>
      </c>
      <c r="M2" s="188"/>
      <c r="N2" s="1">
        <v>11.313283333333333</v>
      </c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  <c r="AS2" s="188"/>
      <c r="AT2" s="188"/>
      <c r="AU2" s="188"/>
      <c r="AV2" s="188"/>
      <c r="AW2" s="188"/>
      <c r="AX2" s="188"/>
      <c r="AY2" s="188"/>
      <c r="AZ2" s="188"/>
      <c r="BA2" s="188"/>
      <c r="BB2" s="188"/>
      <c r="BC2" s="188"/>
    </row>
    <row r="3">
      <c r="A3" s="1" t="s">
        <v>141</v>
      </c>
      <c r="B3" s="1" t="s">
        <v>135</v>
      </c>
      <c r="C3" s="1">
        <v>457.0</v>
      </c>
      <c r="D3" s="1">
        <v>0.0</v>
      </c>
      <c r="E3" s="188"/>
      <c r="F3" s="1" t="s">
        <v>142</v>
      </c>
      <c r="G3" s="1" t="s">
        <v>143</v>
      </c>
      <c r="H3" s="1" t="s">
        <v>144</v>
      </c>
      <c r="I3" s="1" t="s">
        <v>145</v>
      </c>
      <c r="J3" s="1" t="s">
        <v>145</v>
      </c>
      <c r="K3" s="188"/>
      <c r="L3" s="1">
        <v>3.0</v>
      </c>
      <c r="M3" s="188"/>
      <c r="N3" s="1">
        <v>8.602783333333333</v>
      </c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</row>
    <row r="4">
      <c r="A4" s="1" t="s">
        <v>146</v>
      </c>
      <c r="B4" s="1" t="s">
        <v>135</v>
      </c>
      <c r="C4" s="1">
        <v>294.0</v>
      </c>
      <c r="D4" s="1">
        <v>0.0</v>
      </c>
      <c r="E4" s="1" t="s">
        <v>104</v>
      </c>
      <c r="F4" s="1" t="s">
        <v>137</v>
      </c>
      <c r="G4" s="1" t="s">
        <v>138</v>
      </c>
      <c r="H4" s="1" t="s">
        <v>147</v>
      </c>
      <c r="I4" s="1" t="s">
        <v>148</v>
      </c>
      <c r="J4" s="1" t="s">
        <v>148</v>
      </c>
      <c r="K4" s="188"/>
      <c r="L4" s="1">
        <v>-7.0</v>
      </c>
      <c r="M4" s="188"/>
      <c r="N4" s="1">
        <v>7.365483333333334</v>
      </c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 t="s">
        <v>149</v>
      </c>
      <c r="B5" s="1" t="s">
        <v>135</v>
      </c>
      <c r="C5" s="1">
        <v>795.0</v>
      </c>
      <c r="D5" s="1">
        <v>0.0</v>
      </c>
      <c r="E5" s="1" t="s">
        <v>104</v>
      </c>
      <c r="F5" s="1" t="s">
        <v>150</v>
      </c>
      <c r="G5" s="1" t="s">
        <v>143</v>
      </c>
      <c r="H5" s="1" t="s">
        <v>151</v>
      </c>
      <c r="I5" s="1" t="s">
        <v>152</v>
      </c>
      <c r="J5" s="1" t="s">
        <v>153</v>
      </c>
      <c r="K5" s="1" t="s">
        <v>154</v>
      </c>
      <c r="L5" s="1">
        <v>-11.0</v>
      </c>
      <c r="M5" s="1">
        <v>10.031683333333334</v>
      </c>
      <c r="N5" s="1">
        <v>23.132133333333332</v>
      </c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 t="s">
        <v>134</v>
      </c>
      <c r="B6" s="1" t="s">
        <v>135</v>
      </c>
      <c r="C6" s="1">
        <v>264.0</v>
      </c>
      <c r="D6" s="1">
        <v>0.0</v>
      </c>
      <c r="E6" s="1" t="s">
        <v>155</v>
      </c>
      <c r="F6" s="1" t="s">
        <v>137</v>
      </c>
      <c r="G6" s="1" t="s">
        <v>138</v>
      </c>
      <c r="H6" s="1" t="s">
        <v>156</v>
      </c>
      <c r="I6" s="1" t="s">
        <v>157</v>
      </c>
      <c r="J6" s="1" t="s">
        <v>157</v>
      </c>
      <c r="K6" s="188"/>
      <c r="L6" s="1">
        <v>9.0</v>
      </c>
      <c r="M6" s="188"/>
      <c r="N6" s="1">
        <v>24.845933333333335</v>
      </c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 t="s">
        <v>146</v>
      </c>
      <c r="B7" s="1" t="s">
        <v>135</v>
      </c>
      <c r="C7" s="1">
        <v>218.0</v>
      </c>
      <c r="D7" s="1">
        <v>0.0</v>
      </c>
      <c r="E7" s="1" t="s">
        <v>104</v>
      </c>
      <c r="F7" s="1" t="s">
        <v>137</v>
      </c>
      <c r="G7" s="1" t="s">
        <v>138</v>
      </c>
      <c r="H7" s="1" t="s">
        <v>158</v>
      </c>
      <c r="I7" s="1" t="s">
        <v>159</v>
      </c>
      <c r="J7" s="1" t="s">
        <v>159</v>
      </c>
      <c r="K7" s="188"/>
      <c r="L7" s="1">
        <v>-7.0</v>
      </c>
      <c r="M7" s="188"/>
      <c r="N7" s="1">
        <v>7.650183333333334</v>
      </c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 t="s">
        <v>149</v>
      </c>
      <c r="B8" s="1" t="s">
        <v>135</v>
      </c>
      <c r="C8" s="1">
        <v>250.0</v>
      </c>
      <c r="D8" s="1">
        <v>0.0</v>
      </c>
      <c r="E8" s="1" t="s">
        <v>160</v>
      </c>
      <c r="F8" s="1" t="s">
        <v>150</v>
      </c>
      <c r="G8" s="1" t="s">
        <v>138</v>
      </c>
      <c r="H8" s="1" t="s">
        <v>161</v>
      </c>
      <c r="I8" s="1" t="s">
        <v>162</v>
      </c>
      <c r="J8" s="1" t="s">
        <v>163</v>
      </c>
      <c r="K8" s="1" t="s">
        <v>164</v>
      </c>
      <c r="L8" s="1">
        <v>-15.0</v>
      </c>
      <c r="M8" s="1">
        <v>0.008966666666666666</v>
      </c>
      <c r="N8" s="1">
        <v>7.220533333333333</v>
      </c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 t="s">
        <v>165</v>
      </c>
      <c r="B9" s="1" t="s">
        <v>166</v>
      </c>
      <c r="C9" s="1">
        <v>329.0</v>
      </c>
      <c r="D9" s="1">
        <v>0.0</v>
      </c>
      <c r="E9" s="188"/>
      <c r="F9" s="1" t="s">
        <v>137</v>
      </c>
      <c r="G9" s="1" t="s">
        <v>143</v>
      </c>
      <c r="H9" s="1" t="s">
        <v>167</v>
      </c>
      <c r="I9" s="1" t="s">
        <v>168</v>
      </c>
      <c r="J9" s="1" t="s">
        <v>168</v>
      </c>
      <c r="K9" s="188"/>
      <c r="L9" s="1">
        <v>0.0</v>
      </c>
      <c r="M9" s="188"/>
      <c r="N9" s="1">
        <v>7.688766666666667</v>
      </c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 t="s">
        <v>149</v>
      </c>
      <c r="B10" s="1" t="s">
        <v>135</v>
      </c>
      <c r="C10" s="1">
        <v>332.0</v>
      </c>
      <c r="D10" s="1">
        <v>56.0</v>
      </c>
      <c r="E10" s="188"/>
      <c r="F10" s="1" t="s">
        <v>142</v>
      </c>
      <c r="G10" s="1" t="s">
        <v>138</v>
      </c>
      <c r="H10" s="1" t="s">
        <v>169</v>
      </c>
      <c r="I10" s="1" t="s">
        <v>170</v>
      </c>
      <c r="J10" s="1" t="s">
        <v>170</v>
      </c>
      <c r="K10" s="188"/>
      <c r="L10" s="1">
        <v>-7.0</v>
      </c>
      <c r="M10" s="188"/>
      <c r="N10" s="1">
        <v>43.5741</v>
      </c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 t="s">
        <v>149</v>
      </c>
      <c r="B11" s="1" t="s">
        <v>135</v>
      </c>
      <c r="C11" s="1">
        <v>159.0</v>
      </c>
      <c r="D11" s="1">
        <v>50.0</v>
      </c>
      <c r="E11" s="188"/>
      <c r="F11" s="1" t="s">
        <v>142</v>
      </c>
      <c r="G11" s="1" t="s">
        <v>138</v>
      </c>
      <c r="H11" s="1" t="s">
        <v>171</v>
      </c>
      <c r="I11" s="1" t="s">
        <v>172</v>
      </c>
      <c r="J11" s="1" t="s">
        <v>172</v>
      </c>
      <c r="K11" s="188"/>
      <c r="L11" s="1">
        <v>-10.0</v>
      </c>
      <c r="M11" s="188"/>
      <c r="N11" s="1">
        <v>8.614116666666666</v>
      </c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 t="s">
        <v>149</v>
      </c>
      <c r="B12" s="1" t="s">
        <v>135</v>
      </c>
      <c r="C12" s="1">
        <v>358.0</v>
      </c>
      <c r="D12" s="1">
        <v>0.0</v>
      </c>
      <c r="E12" s="1" t="s">
        <v>160</v>
      </c>
      <c r="F12" s="1" t="s">
        <v>150</v>
      </c>
      <c r="G12" s="1" t="s">
        <v>138</v>
      </c>
      <c r="H12" s="1" t="s">
        <v>173</v>
      </c>
      <c r="I12" s="1" t="s">
        <v>174</v>
      </c>
      <c r="J12" s="1" t="s">
        <v>175</v>
      </c>
      <c r="K12" s="1" t="s">
        <v>176</v>
      </c>
      <c r="L12" s="1">
        <v>-3.0</v>
      </c>
      <c r="M12" s="1">
        <v>0.019566666666666666</v>
      </c>
      <c r="N12" s="1">
        <v>15.202633333333333</v>
      </c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 t="s">
        <v>146</v>
      </c>
      <c r="B13" s="1" t="s">
        <v>135</v>
      </c>
      <c r="C13" s="1">
        <v>478.0</v>
      </c>
      <c r="D13" s="1">
        <v>0.0</v>
      </c>
      <c r="E13" s="1" t="s">
        <v>104</v>
      </c>
      <c r="F13" s="1" t="s">
        <v>137</v>
      </c>
      <c r="G13" s="1" t="s">
        <v>138</v>
      </c>
      <c r="H13" s="1" t="s">
        <v>177</v>
      </c>
      <c r="I13" s="1" t="s">
        <v>178</v>
      </c>
      <c r="J13" s="1" t="s">
        <v>178</v>
      </c>
      <c r="K13" s="188"/>
      <c r="L13" s="1">
        <v>1.0</v>
      </c>
      <c r="M13" s="188"/>
      <c r="N13" s="1">
        <v>16.368316666666665</v>
      </c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 t="s">
        <v>165</v>
      </c>
      <c r="B14" s="1" t="s">
        <v>135</v>
      </c>
      <c r="C14" s="1">
        <v>264.0</v>
      </c>
      <c r="D14" s="1">
        <v>0.0</v>
      </c>
      <c r="E14" s="188"/>
      <c r="F14" s="1" t="s">
        <v>137</v>
      </c>
      <c r="G14" s="1" t="s">
        <v>138</v>
      </c>
      <c r="H14" s="1" t="s">
        <v>179</v>
      </c>
      <c r="I14" s="1" t="s">
        <v>180</v>
      </c>
      <c r="J14" s="1" t="s">
        <v>180</v>
      </c>
      <c r="K14" s="188"/>
      <c r="L14" s="1">
        <v>2.0</v>
      </c>
      <c r="M14" s="188"/>
      <c r="N14" s="1">
        <v>9.69595</v>
      </c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 t="s">
        <v>165</v>
      </c>
      <c r="B15" s="1" t="s">
        <v>166</v>
      </c>
      <c r="C15" s="1">
        <v>498.0</v>
      </c>
      <c r="D15" s="1">
        <v>0.0</v>
      </c>
      <c r="E15" s="188"/>
      <c r="F15" s="1" t="s">
        <v>137</v>
      </c>
      <c r="G15" s="1" t="s">
        <v>138</v>
      </c>
      <c r="H15" s="1" t="s">
        <v>181</v>
      </c>
      <c r="I15" s="1" t="s">
        <v>182</v>
      </c>
      <c r="J15" s="1" t="s">
        <v>182</v>
      </c>
      <c r="K15" s="188"/>
      <c r="L15" s="1">
        <v>3.0</v>
      </c>
      <c r="M15" s="188"/>
      <c r="N15" s="1">
        <v>12.2619</v>
      </c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 t="s">
        <v>141</v>
      </c>
      <c r="B16" s="1" t="s">
        <v>135</v>
      </c>
      <c r="C16" s="1">
        <v>119.0</v>
      </c>
      <c r="D16" s="1">
        <v>0.0</v>
      </c>
      <c r="E16" s="188"/>
      <c r="F16" s="1" t="s">
        <v>142</v>
      </c>
      <c r="G16" s="1" t="s">
        <v>143</v>
      </c>
      <c r="H16" s="1" t="s">
        <v>183</v>
      </c>
      <c r="I16" s="1" t="s">
        <v>184</v>
      </c>
      <c r="J16" s="1" t="s">
        <v>184</v>
      </c>
      <c r="K16" s="188"/>
      <c r="L16" s="1">
        <v>0.0</v>
      </c>
      <c r="M16" s="188"/>
      <c r="N16" s="1">
        <v>5.610083333333334</v>
      </c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 t="s">
        <v>149</v>
      </c>
      <c r="B17" s="1" t="s">
        <v>135</v>
      </c>
      <c r="C17" s="1">
        <v>309.0</v>
      </c>
      <c r="D17" s="1">
        <v>0.0</v>
      </c>
      <c r="E17" s="1" t="s">
        <v>160</v>
      </c>
      <c r="F17" s="1" t="s">
        <v>150</v>
      </c>
      <c r="G17" s="1" t="s">
        <v>143</v>
      </c>
      <c r="H17" s="1" t="s">
        <v>185</v>
      </c>
      <c r="I17" s="1" t="s">
        <v>186</v>
      </c>
      <c r="J17" s="1" t="s">
        <v>187</v>
      </c>
      <c r="K17" s="1" t="s">
        <v>188</v>
      </c>
      <c r="L17" s="1">
        <v>-13.0</v>
      </c>
      <c r="M17" s="1">
        <v>0.012233333333333334</v>
      </c>
      <c r="N17" s="1">
        <v>7.463733333333334</v>
      </c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 t="s">
        <v>146</v>
      </c>
      <c r="B18" s="1" t="s">
        <v>135</v>
      </c>
      <c r="C18" s="1">
        <v>329.0</v>
      </c>
      <c r="D18" s="1">
        <v>0.0</v>
      </c>
      <c r="E18" s="1" t="s">
        <v>104</v>
      </c>
      <c r="F18" s="1" t="s">
        <v>137</v>
      </c>
      <c r="G18" s="1" t="s">
        <v>138</v>
      </c>
      <c r="H18" s="1" t="s">
        <v>189</v>
      </c>
      <c r="I18" s="1" t="s">
        <v>190</v>
      </c>
      <c r="J18" s="1" t="s">
        <v>190</v>
      </c>
      <c r="K18" s="188"/>
      <c r="L18" s="1">
        <v>-7.0</v>
      </c>
      <c r="M18" s="188"/>
      <c r="N18" s="1">
        <v>7.227783333333333</v>
      </c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 t="s">
        <v>165</v>
      </c>
      <c r="B19" s="1" t="s">
        <v>135</v>
      </c>
      <c r="C19" s="1">
        <v>388.0</v>
      </c>
      <c r="D19" s="1">
        <v>0.0</v>
      </c>
      <c r="E19" s="188"/>
      <c r="F19" s="1" t="s">
        <v>137</v>
      </c>
      <c r="G19" s="1" t="s">
        <v>138</v>
      </c>
      <c r="H19" s="1" t="s">
        <v>191</v>
      </c>
      <c r="I19" s="1" t="s">
        <v>192</v>
      </c>
      <c r="J19" s="1" t="s">
        <v>192</v>
      </c>
      <c r="K19" s="188"/>
      <c r="L19" s="1">
        <v>-1.0</v>
      </c>
      <c r="M19" s="188"/>
      <c r="N19" s="1">
        <v>6.9619</v>
      </c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 t="s">
        <v>146</v>
      </c>
      <c r="B20" s="1" t="s">
        <v>135</v>
      </c>
      <c r="C20" s="1">
        <v>368.0</v>
      </c>
      <c r="D20" s="1">
        <v>0.0</v>
      </c>
      <c r="E20" s="1" t="s">
        <v>104</v>
      </c>
      <c r="F20" s="1" t="s">
        <v>137</v>
      </c>
      <c r="G20" s="1" t="s">
        <v>138</v>
      </c>
      <c r="H20" s="1" t="s">
        <v>193</v>
      </c>
      <c r="I20" s="1" t="s">
        <v>194</v>
      </c>
      <c r="J20" s="1" t="s">
        <v>194</v>
      </c>
      <c r="K20" s="188"/>
      <c r="L20" s="1">
        <v>-6.0</v>
      </c>
      <c r="M20" s="188"/>
      <c r="N20" s="1">
        <v>8.196333333333333</v>
      </c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 t="s">
        <v>146</v>
      </c>
      <c r="B21" s="1" t="s">
        <v>135</v>
      </c>
      <c r="C21" s="1">
        <v>214.0</v>
      </c>
      <c r="D21" s="1">
        <v>0.0</v>
      </c>
      <c r="E21" s="1" t="s">
        <v>104</v>
      </c>
      <c r="F21" s="1" t="s">
        <v>137</v>
      </c>
      <c r="G21" s="1" t="s">
        <v>138</v>
      </c>
      <c r="H21" s="1" t="s">
        <v>195</v>
      </c>
      <c r="I21" s="1" t="s">
        <v>196</v>
      </c>
      <c r="J21" s="1" t="s">
        <v>196</v>
      </c>
      <c r="K21" s="188"/>
      <c r="L21" s="1">
        <v>-8.0</v>
      </c>
      <c r="M21" s="188"/>
      <c r="N21" s="1">
        <v>6.475833333333333</v>
      </c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 t="s">
        <v>149</v>
      </c>
      <c r="B22" s="1" t="s">
        <v>135</v>
      </c>
      <c r="C22" s="1">
        <v>346.0</v>
      </c>
      <c r="D22" s="1">
        <v>0.0</v>
      </c>
      <c r="E22" s="1" t="s">
        <v>160</v>
      </c>
      <c r="F22" s="1" t="s">
        <v>150</v>
      </c>
      <c r="G22" s="1" t="s">
        <v>138</v>
      </c>
      <c r="H22" s="1" t="s">
        <v>197</v>
      </c>
      <c r="I22" s="1" t="s">
        <v>198</v>
      </c>
      <c r="J22" s="1" t="s">
        <v>199</v>
      </c>
      <c r="K22" s="1" t="s">
        <v>200</v>
      </c>
      <c r="L22" s="1">
        <v>-12.0</v>
      </c>
      <c r="M22" s="1">
        <v>0.009616666666666667</v>
      </c>
      <c r="N22" s="1">
        <v>7.86245</v>
      </c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 t="s">
        <v>134</v>
      </c>
      <c r="B23" s="1" t="s">
        <v>135</v>
      </c>
      <c r="C23" s="1">
        <v>364.0</v>
      </c>
      <c r="D23" s="1">
        <v>0.0</v>
      </c>
      <c r="E23" s="1" t="s">
        <v>201</v>
      </c>
      <c r="F23" s="1" t="s">
        <v>137</v>
      </c>
      <c r="G23" s="1" t="s">
        <v>138</v>
      </c>
      <c r="H23" s="1" t="s">
        <v>202</v>
      </c>
      <c r="I23" s="1" t="s">
        <v>203</v>
      </c>
      <c r="J23" s="1" t="s">
        <v>203</v>
      </c>
      <c r="K23" s="188"/>
      <c r="L23" s="1">
        <v>-8.0</v>
      </c>
      <c r="M23" s="188"/>
      <c r="N23" s="1">
        <v>6.716833333333334</v>
      </c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 t="s">
        <v>134</v>
      </c>
      <c r="B24" s="1" t="s">
        <v>135</v>
      </c>
      <c r="C24" s="1">
        <v>294.0</v>
      </c>
      <c r="D24" s="1">
        <v>0.0</v>
      </c>
      <c r="E24" s="1" t="s">
        <v>201</v>
      </c>
      <c r="F24" s="1" t="s">
        <v>137</v>
      </c>
      <c r="G24" s="1" t="s">
        <v>138</v>
      </c>
      <c r="H24" s="1" t="s">
        <v>204</v>
      </c>
      <c r="I24" s="1" t="s">
        <v>205</v>
      </c>
      <c r="J24" s="1" t="s">
        <v>205</v>
      </c>
      <c r="K24" s="188"/>
      <c r="L24" s="1">
        <v>-8.0</v>
      </c>
      <c r="M24" s="188"/>
      <c r="N24" s="1">
        <v>6.800433333333333</v>
      </c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 t="s">
        <v>149</v>
      </c>
      <c r="B25" s="1" t="s">
        <v>135</v>
      </c>
      <c r="C25" s="1">
        <v>844.0</v>
      </c>
      <c r="D25" s="1">
        <v>0.0</v>
      </c>
      <c r="E25" s="1" t="s">
        <v>160</v>
      </c>
      <c r="F25" s="1" t="s">
        <v>150</v>
      </c>
      <c r="G25" s="1" t="s">
        <v>138</v>
      </c>
      <c r="H25" s="1" t="s">
        <v>206</v>
      </c>
      <c r="I25" s="1" t="s">
        <v>207</v>
      </c>
      <c r="J25" s="1" t="s">
        <v>208</v>
      </c>
      <c r="K25" s="1" t="s">
        <v>209</v>
      </c>
      <c r="L25" s="1">
        <v>-6.0</v>
      </c>
      <c r="M25" s="1">
        <v>0.011516666666666666</v>
      </c>
      <c r="N25" s="1">
        <v>11.39775</v>
      </c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 t="s">
        <v>134</v>
      </c>
      <c r="B26" s="1" t="s">
        <v>135</v>
      </c>
      <c r="C26" s="1">
        <v>323.0</v>
      </c>
      <c r="D26" s="1">
        <v>0.0</v>
      </c>
      <c r="E26" s="1" t="s">
        <v>210</v>
      </c>
      <c r="F26" s="1" t="s">
        <v>137</v>
      </c>
      <c r="G26" s="1" t="s">
        <v>138</v>
      </c>
      <c r="H26" s="1" t="s">
        <v>211</v>
      </c>
      <c r="I26" s="1" t="s">
        <v>212</v>
      </c>
      <c r="J26" s="1" t="s">
        <v>212</v>
      </c>
      <c r="K26" s="188"/>
      <c r="L26" s="1">
        <v>-7.0</v>
      </c>
      <c r="M26" s="188"/>
      <c r="N26" s="1">
        <v>7.871583333333334</v>
      </c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 t="s">
        <v>146</v>
      </c>
      <c r="B27" s="1" t="s">
        <v>135</v>
      </c>
      <c r="C27" s="1">
        <v>528.0</v>
      </c>
      <c r="D27" s="1">
        <v>0.0</v>
      </c>
      <c r="E27" s="1" t="s">
        <v>104</v>
      </c>
      <c r="F27" s="1" t="s">
        <v>137</v>
      </c>
      <c r="G27" s="1" t="s">
        <v>138</v>
      </c>
      <c r="H27" s="1" t="s">
        <v>213</v>
      </c>
      <c r="I27" s="1" t="s">
        <v>214</v>
      </c>
      <c r="J27" s="1" t="s">
        <v>214</v>
      </c>
      <c r="K27" s="188"/>
      <c r="L27" s="1">
        <v>-10.0</v>
      </c>
      <c r="M27" s="188"/>
      <c r="N27" s="1">
        <v>55.99373333333333</v>
      </c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 t="s">
        <v>146</v>
      </c>
      <c r="B28" s="1" t="s">
        <v>135</v>
      </c>
      <c r="C28" s="1">
        <v>394.0</v>
      </c>
      <c r="D28" s="1">
        <v>0.0</v>
      </c>
      <c r="E28" s="1" t="s">
        <v>104</v>
      </c>
      <c r="F28" s="1" t="s">
        <v>137</v>
      </c>
      <c r="G28" s="1" t="s">
        <v>138</v>
      </c>
      <c r="H28" s="1" t="s">
        <v>215</v>
      </c>
      <c r="I28" s="1" t="s">
        <v>216</v>
      </c>
      <c r="J28" s="1" t="s">
        <v>216</v>
      </c>
      <c r="K28" s="188"/>
      <c r="L28" s="1">
        <v>-3.0</v>
      </c>
      <c r="M28" s="188"/>
      <c r="N28" s="1">
        <v>11.479333333333333</v>
      </c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 t="s">
        <v>141</v>
      </c>
      <c r="B29" s="1" t="s">
        <v>135</v>
      </c>
      <c r="C29" s="189">
        <v>329.0</v>
      </c>
      <c r="D29" s="1">
        <v>0.0</v>
      </c>
      <c r="E29" s="188"/>
      <c r="F29" s="1" t="s">
        <v>142</v>
      </c>
      <c r="G29" s="1" t="s">
        <v>143</v>
      </c>
      <c r="H29" s="1" t="s">
        <v>217</v>
      </c>
      <c r="I29" s="1" t="s">
        <v>218</v>
      </c>
      <c r="J29" s="1" t="s">
        <v>218</v>
      </c>
      <c r="K29" s="188"/>
      <c r="L29" s="1">
        <v>2.0</v>
      </c>
      <c r="M29" s="188"/>
      <c r="N29" s="1">
        <v>7.919266666666666</v>
      </c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 t="s">
        <v>141</v>
      </c>
      <c r="B30" s="1" t="s">
        <v>135</v>
      </c>
      <c r="C30" s="1">
        <v>119.0</v>
      </c>
      <c r="D30" s="1">
        <v>0.0</v>
      </c>
      <c r="E30" s="188"/>
      <c r="F30" s="1" t="s">
        <v>142</v>
      </c>
      <c r="G30" s="1" t="s">
        <v>143</v>
      </c>
      <c r="H30" s="1" t="s">
        <v>219</v>
      </c>
      <c r="I30" s="1" t="s">
        <v>220</v>
      </c>
      <c r="J30" s="1" t="s">
        <v>220</v>
      </c>
      <c r="K30" s="188"/>
      <c r="L30" s="1">
        <v>6.0</v>
      </c>
      <c r="M30" s="188"/>
      <c r="N30" s="1">
        <v>11.575383333333333</v>
      </c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 t="s">
        <v>141</v>
      </c>
      <c r="B31" s="1" t="s">
        <v>135</v>
      </c>
      <c r="C31" s="1">
        <v>249.0</v>
      </c>
      <c r="D31" s="1">
        <v>0.0</v>
      </c>
      <c r="E31" s="188"/>
      <c r="F31" s="1" t="s">
        <v>142</v>
      </c>
      <c r="G31" s="1" t="s">
        <v>143</v>
      </c>
      <c r="H31" s="1" t="s">
        <v>221</v>
      </c>
      <c r="I31" s="1" t="s">
        <v>222</v>
      </c>
      <c r="J31" s="1" t="s">
        <v>222</v>
      </c>
      <c r="K31" s="188"/>
      <c r="L31" s="1">
        <v>5.0</v>
      </c>
      <c r="M31" s="188"/>
      <c r="N31" s="1">
        <v>10.649783333333334</v>
      </c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 t="s">
        <v>134</v>
      </c>
      <c r="B32" s="1" t="s">
        <v>166</v>
      </c>
      <c r="C32" s="1">
        <v>356.0</v>
      </c>
      <c r="D32" s="1">
        <v>0.0</v>
      </c>
      <c r="E32" s="1" t="s">
        <v>223</v>
      </c>
      <c r="F32" s="1" t="s">
        <v>137</v>
      </c>
      <c r="G32" s="1" t="s">
        <v>138</v>
      </c>
      <c r="H32" s="1" t="s">
        <v>224</v>
      </c>
      <c r="I32" s="1" t="s">
        <v>225</v>
      </c>
      <c r="J32" s="1" t="s">
        <v>225</v>
      </c>
      <c r="K32" s="188"/>
      <c r="L32" s="1">
        <v>-2.0</v>
      </c>
      <c r="M32" s="188"/>
      <c r="N32" s="1">
        <v>12.3023</v>
      </c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 t="s">
        <v>146</v>
      </c>
      <c r="B33" s="1" t="s">
        <v>135</v>
      </c>
      <c r="C33" s="1">
        <v>289.0</v>
      </c>
      <c r="D33" s="1">
        <v>0.0</v>
      </c>
      <c r="E33" s="1" t="s">
        <v>104</v>
      </c>
      <c r="F33" s="1" t="s">
        <v>137</v>
      </c>
      <c r="G33" s="1" t="s">
        <v>138</v>
      </c>
      <c r="H33" s="1" t="s">
        <v>226</v>
      </c>
      <c r="I33" s="1" t="s">
        <v>227</v>
      </c>
      <c r="J33" s="1" t="s">
        <v>227</v>
      </c>
      <c r="K33" s="188"/>
      <c r="L33" s="1">
        <v>-8.0</v>
      </c>
      <c r="M33" s="188"/>
      <c r="N33" s="1">
        <v>6.1453</v>
      </c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 t="s">
        <v>165</v>
      </c>
      <c r="B34" s="1" t="s">
        <v>166</v>
      </c>
      <c r="C34" s="1">
        <v>435.0</v>
      </c>
      <c r="D34" s="1">
        <v>0.0</v>
      </c>
      <c r="E34" s="188"/>
      <c r="F34" s="1" t="s">
        <v>137</v>
      </c>
      <c r="G34" s="1" t="s">
        <v>138</v>
      </c>
      <c r="H34" s="1" t="s">
        <v>228</v>
      </c>
      <c r="I34" s="1" t="s">
        <v>229</v>
      </c>
      <c r="J34" s="1" t="s">
        <v>229</v>
      </c>
      <c r="K34" s="188"/>
      <c r="L34" s="1">
        <v>-2.0</v>
      </c>
      <c r="M34" s="188"/>
      <c r="N34" s="1">
        <v>5.5047</v>
      </c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 t="s">
        <v>146</v>
      </c>
      <c r="B35" s="1" t="s">
        <v>135</v>
      </c>
      <c r="C35" s="1">
        <v>264.0</v>
      </c>
      <c r="D35" s="1">
        <v>0.0</v>
      </c>
      <c r="E35" s="1" t="s">
        <v>104</v>
      </c>
      <c r="F35" s="1" t="s">
        <v>137</v>
      </c>
      <c r="G35" s="1" t="s">
        <v>138</v>
      </c>
      <c r="H35" s="1" t="s">
        <v>230</v>
      </c>
      <c r="I35" s="1" t="s">
        <v>231</v>
      </c>
      <c r="J35" s="1" t="s">
        <v>231</v>
      </c>
      <c r="K35" s="188"/>
      <c r="L35" s="1">
        <v>-9.0</v>
      </c>
      <c r="M35" s="188"/>
      <c r="N35" s="1">
        <v>5.414583333333334</v>
      </c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 t="s">
        <v>149</v>
      </c>
      <c r="B36" s="1" t="s">
        <v>135</v>
      </c>
      <c r="C36" s="1">
        <v>727.0</v>
      </c>
      <c r="D36" s="1">
        <v>186.0</v>
      </c>
      <c r="E36" s="188"/>
      <c r="F36" s="1" t="s">
        <v>142</v>
      </c>
      <c r="G36" s="1" t="s">
        <v>232</v>
      </c>
      <c r="H36" s="1" t="s">
        <v>233</v>
      </c>
      <c r="I36" s="1" t="s">
        <v>234</v>
      </c>
      <c r="J36" s="1" t="s">
        <v>234</v>
      </c>
      <c r="K36" s="188"/>
      <c r="L36" s="1">
        <v>-9.0</v>
      </c>
      <c r="M36" s="188"/>
      <c r="N36" s="1">
        <v>15.037916666666666</v>
      </c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 t="s">
        <v>146</v>
      </c>
      <c r="B37" s="1" t="s">
        <v>135</v>
      </c>
      <c r="C37" s="1">
        <v>329.0</v>
      </c>
      <c r="D37" s="1">
        <v>0.0</v>
      </c>
      <c r="E37" s="1" t="s">
        <v>104</v>
      </c>
      <c r="F37" s="1" t="s">
        <v>137</v>
      </c>
      <c r="G37" s="1" t="s">
        <v>138</v>
      </c>
      <c r="H37" s="1" t="s">
        <v>235</v>
      </c>
      <c r="I37" s="1" t="s">
        <v>236</v>
      </c>
      <c r="J37" s="1" t="s">
        <v>236</v>
      </c>
      <c r="K37" s="188"/>
      <c r="L37" s="1">
        <v>-7.0</v>
      </c>
      <c r="M37" s="188"/>
      <c r="N37" s="1">
        <v>7.976616666666667</v>
      </c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 t="s">
        <v>149</v>
      </c>
      <c r="B38" s="1" t="s">
        <v>135</v>
      </c>
      <c r="C38" s="1">
        <v>250.0</v>
      </c>
      <c r="D38" s="1">
        <v>0.0</v>
      </c>
      <c r="E38" s="1" t="s">
        <v>160</v>
      </c>
      <c r="F38" s="1" t="s">
        <v>150</v>
      </c>
      <c r="G38" s="1" t="s">
        <v>138</v>
      </c>
      <c r="H38" s="1" t="s">
        <v>237</v>
      </c>
      <c r="I38" s="1" t="s">
        <v>238</v>
      </c>
      <c r="J38" s="1" t="s">
        <v>239</v>
      </c>
      <c r="K38" s="1" t="s">
        <v>240</v>
      </c>
      <c r="L38" s="1">
        <v>-12.0</v>
      </c>
      <c r="M38" s="1">
        <v>0.008216666666666667</v>
      </c>
      <c r="N38" s="1">
        <v>6.953683333333333</v>
      </c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 t="s">
        <v>165</v>
      </c>
      <c r="B39" s="1" t="s">
        <v>135</v>
      </c>
      <c r="C39" s="1">
        <v>321.0</v>
      </c>
      <c r="D39" s="1">
        <v>0.0</v>
      </c>
      <c r="E39" s="188"/>
      <c r="F39" s="1" t="s">
        <v>137</v>
      </c>
      <c r="G39" s="1" t="s">
        <v>138</v>
      </c>
      <c r="H39" s="1" t="s">
        <v>241</v>
      </c>
      <c r="I39" s="1" t="s">
        <v>242</v>
      </c>
      <c r="J39" s="1" t="s">
        <v>242</v>
      </c>
      <c r="K39" s="188"/>
      <c r="L39" s="1">
        <v>0.0</v>
      </c>
      <c r="M39" s="188"/>
      <c r="N39" s="1">
        <v>7.5881</v>
      </c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 t="s">
        <v>149</v>
      </c>
      <c r="B40" s="1" t="s">
        <v>135</v>
      </c>
      <c r="C40" s="1">
        <v>274.0</v>
      </c>
      <c r="D40" s="1">
        <v>0.0</v>
      </c>
      <c r="E40" s="1" t="s">
        <v>160</v>
      </c>
      <c r="F40" s="1" t="s">
        <v>150</v>
      </c>
      <c r="G40" s="1" t="s">
        <v>138</v>
      </c>
      <c r="H40" s="1" t="s">
        <v>243</v>
      </c>
      <c r="I40" s="1" t="s">
        <v>244</v>
      </c>
      <c r="J40" s="1" t="s">
        <v>245</v>
      </c>
      <c r="K40" s="1" t="s">
        <v>246</v>
      </c>
      <c r="L40" s="1">
        <v>12.0</v>
      </c>
      <c r="M40" s="1">
        <v>0.01015</v>
      </c>
      <c r="N40" s="1">
        <v>7.6253166666666665</v>
      </c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 t="s">
        <v>165</v>
      </c>
      <c r="B41" s="1" t="s">
        <v>135</v>
      </c>
      <c r="C41" s="1">
        <v>214.0</v>
      </c>
      <c r="D41" s="1">
        <v>50.0</v>
      </c>
      <c r="E41" s="188"/>
      <c r="F41" s="1" t="s">
        <v>137</v>
      </c>
      <c r="G41" s="1" t="s">
        <v>138</v>
      </c>
      <c r="H41" s="1" t="s">
        <v>247</v>
      </c>
      <c r="I41" s="1" t="s">
        <v>248</v>
      </c>
      <c r="J41" s="1" t="s">
        <v>248</v>
      </c>
      <c r="K41" s="188"/>
      <c r="L41" s="1">
        <v>-2.0</v>
      </c>
      <c r="M41" s="188"/>
      <c r="N41" s="1">
        <v>5.66465</v>
      </c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 t="s">
        <v>149</v>
      </c>
      <c r="B42" s="1" t="s">
        <v>135</v>
      </c>
      <c r="C42" s="1">
        <v>328.0</v>
      </c>
      <c r="D42" s="1">
        <v>0.0</v>
      </c>
      <c r="E42" s="1" t="s">
        <v>160</v>
      </c>
      <c r="F42" s="1" t="s">
        <v>150</v>
      </c>
      <c r="G42" s="1" t="s">
        <v>138</v>
      </c>
      <c r="H42" s="1" t="s">
        <v>249</v>
      </c>
      <c r="I42" s="1" t="s">
        <v>250</v>
      </c>
      <c r="J42" s="1" t="s">
        <v>251</v>
      </c>
      <c r="K42" s="1" t="s">
        <v>252</v>
      </c>
      <c r="L42" s="1">
        <v>6.0</v>
      </c>
      <c r="M42" s="1">
        <v>0.00915</v>
      </c>
      <c r="N42" s="1">
        <v>6.4607833333333335</v>
      </c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 t="s">
        <v>165</v>
      </c>
      <c r="B43" s="1" t="s">
        <v>135</v>
      </c>
      <c r="C43" s="1">
        <v>129.0</v>
      </c>
      <c r="D43" s="1">
        <v>0.0</v>
      </c>
      <c r="E43" s="188"/>
      <c r="F43" s="1" t="s">
        <v>137</v>
      </c>
      <c r="G43" s="1" t="s">
        <v>138</v>
      </c>
      <c r="H43" s="1" t="s">
        <v>253</v>
      </c>
      <c r="I43" s="1" t="s">
        <v>254</v>
      </c>
      <c r="J43" s="1" t="s">
        <v>254</v>
      </c>
      <c r="K43" s="188"/>
      <c r="L43" s="1">
        <v>-1.0</v>
      </c>
      <c r="M43" s="188"/>
      <c r="N43" s="1">
        <v>5.9827</v>
      </c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 t="s">
        <v>141</v>
      </c>
      <c r="B44" s="1" t="s">
        <v>135</v>
      </c>
      <c r="C44" s="1">
        <v>378.0</v>
      </c>
      <c r="D44" s="1">
        <v>0.0</v>
      </c>
      <c r="E44" s="188"/>
      <c r="F44" s="1" t="s">
        <v>142</v>
      </c>
      <c r="G44" s="1" t="s">
        <v>143</v>
      </c>
      <c r="H44" s="1" t="s">
        <v>255</v>
      </c>
      <c r="I44" s="1" t="s">
        <v>256</v>
      </c>
      <c r="J44" s="1" t="s">
        <v>256</v>
      </c>
      <c r="K44" s="188"/>
      <c r="L44" s="1">
        <v>2.0</v>
      </c>
      <c r="M44" s="188"/>
      <c r="N44" s="1">
        <v>7.819633333333333</v>
      </c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 t="s">
        <v>146</v>
      </c>
      <c r="B45" s="1" t="s">
        <v>135</v>
      </c>
      <c r="C45" s="1">
        <v>254.0</v>
      </c>
      <c r="D45" s="1">
        <v>0.0</v>
      </c>
      <c r="E45" s="1" t="s">
        <v>104</v>
      </c>
      <c r="F45" s="1" t="s">
        <v>137</v>
      </c>
      <c r="G45" s="1" t="s">
        <v>138</v>
      </c>
      <c r="H45" s="1" t="s">
        <v>257</v>
      </c>
      <c r="I45" s="1" t="s">
        <v>258</v>
      </c>
      <c r="J45" s="1" t="s">
        <v>258</v>
      </c>
      <c r="K45" s="188"/>
      <c r="L45" s="1">
        <v>-6.0</v>
      </c>
      <c r="M45" s="188"/>
      <c r="N45" s="1">
        <v>8.7375</v>
      </c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 t="s">
        <v>149</v>
      </c>
      <c r="B46" s="1" t="s">
        <v>135</v>
      </c>
      <c r="C46" s="1">
        <v>328.0</v>
      </c>
      <c r="D46" s="1">
        <v>0.0</v>
      </c>
      <c r="E46" s="1" t="s">
        <v>160</v>
      </c>
      <c r="F46" s="1" t="s">
        <v>150</v>
      </c>
      <c r="G46" s="1" t="s">
        <v>138</v>
      </c>
      <c r="H46" s="1" t="s">
        <v>259</v>
      </c>
      <c r="I46" s="1" t="s">
        <v>260</v>
      </c>
      <c r="J46" s="1" t="s">
        <v>261</v>
      </c>
      <c r="K46" s="1" t="s">
        <v>262</v>
      </c>
      <c r="L46" s="1">
        <v>-2.0</v>
      </c>
      <c r="M46" s="1">
        <v>0.01175</v>
      </c>
      <c r="N46" s="1">
        <v>11.126866666666666</v>
      </c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 t="s">
        <v>165</v>
      </c>
      <c r="B47" s="1" t="s">
        <v>135</v>
      </c>
      <c r="C47" s="1">
        <v>329.0</v>
      </c>
      <c r="D47" s="1">
        <v>0.0</v>
      </c>
      <c r="E47" s="188"/>
      <c r="F47" s="1" t="s">
        <v>137</v>
      </c>
      <c r="G47" s="1" t="s">
        <v>138</v>
      </c>
      <c r="H47" s="1" t="s">
        <v>263</v>
      </c>
      <c r="I47" s="1" t="s">
        <v>264</v>
      </c>
      <c r="J47" s="1" t="s">
        <v>264</v>
      </c>
      <c r="K47" s="188"/>
      <c r="L47" s="1">
        <v>1.0</v>
      </c>
      <c r="M47" s="188"/>
      <c r="N47" s="1">
        <v>8.050283333333333</v>
      </c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 t="s">
        <v>134</v>
      </c>
      <c r="B48" s="1" t="s">
        <v>135</v>
      </c>
      <c r="C48" s="1">
        <v>329.0</v>
      </c>
      <c r="D48" s="1">
        <v>0.0</v>
      </c>
      <c r="E48" s="1" t="s">
        <v>265</v>
      </c>
      <c r="F48" s="1" t="s">
        <v>137</v>
      </c>
      <c r="G48" s="1" t="s">
        <v>138</v>
      </c>
      <c r="H48" s="1" t="s">
        <v>266</v>
      </c>
      <c r="I48" s="1" t="s">
        <v>267</v>
      </c>
      <c r="J48" s="1" t="s">
        <v>267</v>
      </c>
      <c r="K48" s="188"/>
      <c r="L48" s="1">
        <v>-6.0</v>
      </c>
      <c r="M48" s="188"/>
      <c r="N48" s="1">
        <v>8.18915</v>
      </c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 t="s">
        <v>165</v>
      </c>
      <c r="B49" s="1" t="s">
        <v>135</v>
      </c>
      <c r="C49" s="1">
        <v>214.0</v>
      </c>
      <c r="D49" s="1">
        <v>50.0</v>
      </c>
      <c r="E49" s="188"/>
      <c r="F49" s="1" t="s">
        <v>137</v>
      </c>
      <c r="G49" s="1" t="s">
        <v>138</v>
      </c>
      <c r="H49" s="1" t="s">
        <v>268</v>
      </c>
      <c r="I49" s="1" t="s">
        <v>269</v>
      </c>
      <c r="J49" s="1" t="s">
        <v>269</v>
      </c>
      <c r="K49" s="188"/>
      <c r="L49" s="1">
        <v>2.0</v>
      </c>
      <c r="M49" s="188"/>
      <c r="N49" s="1">
        <v>8.998666666666667</v>
      </c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 t="s">
        <v>165</v>
      </c>
      <c r="B50" s="1" t="s">
        <v>135</v>
      </c>
      <c r="C50" s="1">
        <v>418.0</v>
      </c>
      <c r="D50" s="1">
        <v>0.0</v>
      </c>
      <c r="E50" s="188"/>
      <c r="F50" s="1" t="s">
        <v>137</v>
      </c>
      <c r="G50" s="1" t="s">
        <v>138</v>
      </c>
      <c r="H50" s="1" t="s">
        <v>270</v>
      </c>
      <c r="I50" s="1" t="s">
        <v>271</v>
      </c>
      <c r="J50" s="1" t="s">
        <v>271</v>
      </c>
      <c r="K50" s="188"/>
      <c r="L50" s="1">
        <v>0.0</v>
      </c>
      <c r="M50" s="188"/>
      <c r="N50" s="1">
        <v>8.961283333333334</v>
      </c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 t="s">
        <v>149</v>
      </c>
      <c r="B51" s="1" t="s">
        <v>135</v>
      </c>
      <c r="C51" s="1">
        <v>528.0</v>
      </c>
      <c r="D51" s="1">
        <v>0.0</v>
      </c>
      <c r="E51" s="1" t="s">
        <v>160</v>
      </c>
      <c r="F51" s="1" t="s">
        <v>150</v>
      </c>
      <c r="G51" s="1" t="s">
        <v>138</v>
      </c>
      <c r="H51" s="1" t="s">
        <v>272</v>
      </c>
      <c r="I51" s="1" t="s">
        <v>273</v>
      </c>
      <c r="J51" s="1" t="s">
        <v>274</v>
      </c>
      <c r="K51" s="1" t="s">
        <v>275</v>
      </c>
      <c r="L51" s="1">
        <v>-2.0</v>
      </c>
      <c r="M51" s="1">
        <v>0.009283333333333333</v>
      </c>
      <c r="N51" s="1">
        <v>10.016533333333333</v>
      </c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 t="s">
        <v>146</v>
      </c>
      <c r="B52" s="1" t="s">
        <v>135</v>
      </c>
      <c r="C52" s="1">
        <v>364.0</v>
      </c>
      <c r="D52" s="1">
        <v>0.0</v>
      </c>
      <c r="E52" s="1" t="s">
        <v>104</v>
      </c>
      <c r="F52" s="1" t="s">
        <v>137</v>
      </c>
      <c r="G52" s="1" t="s">
        <v>138</v>
      </c>
      <c r="H52" s="1" t="s">
        <v>276</v>
      </c>
      <c r="I52" s="1" t="s">
        <v>277</v>
      </c>
      <c r="J52" s="1" t="s">
        <v>277</v>
      </c>
      <c r="K52" s="188"/>
      <c r="L52" s="1">
        <v>-7.0</v>
      </c>
      <c r="M52" s="188"/>
      <c r="N52" s="1">
        <v>7.880316666666666</v>
      </c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 t="s">
        <v>149</v>
      </c>
      <c r="B53" s="1" t="s">
        <v>135</v>
      </c>
      <c r="C53" s="1">
        <v>247.0</v>
      </c>
      <c r="D53" s="1">
        <v>62.0</v>
      </c>
      <c r="E53" s="188"/>
      <c r="F53" s="1" t="s">
        <v>142</v>
      </c>
      <c r="G53" s="1" t="s">
        <v>232</v>
      </c>
      <c r="H53" s="1" t="s">
        <v>278</v>
      </c>
      <c r="I53" s="1" t="s">
        <v>279</v>
      </c>
      <c r="J53" s="1" t="s">
        <v>279</v>
      </c>
      <c r="K53" s="188"/>
      <c r="L53" s="1">
        <v>-11.0</v>
      </c>
      <c r="M53" s="188"/>
      <c r="N53" s="1">
        <v>8.001083333333334</v>
      </c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 t="s">
        <v>165</v>
      </c>
      <c r="B54" s="1" t="s">
        <v>166</v>
      </c>
      <c r="C54" s="1">
        <v>1008.0</v>
      </c>
      <c r="D54" s="1">
        <v>0.0</v>
      </c>
      <c r="E54" s="188"/>
      <c r="F54" s="1" t="s">
        <v>137</v>
      </c>
      <c r="G54" s="1" t="s">
        <v>143</v>
      </c>
      <c r="H54" s="1" t="s">
        <v>280</v>
      </c>
      <c r="I54" s="1" t="s">
        <v>281</v>
      </c>
      <c r="J54" s="1" t="s">
        <v>281</v>
      </c>
      <c r="K54" s="188"/>
      <c r="L54" s="1">
        <v>2.0</v>
      </c>
      <c r="M54" s="188"/>
      <c r="N54" s="1">
        <v>14.907883333333332</v>
      </c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 t="s">
        <v>146</v>
      </c>
      <c r="B55" s="1" t="s">
        <v>135</v>
      </c>
      <c r="C55" s="1">
        <v>898.0</v>
      </c>
      <c r="D55" s="1">
        <v>0.0</v>
      </c>
      <c r="E55" s="1" t="s">
        <v>104</v>
      </c>
      <c r="F55" s="1" t="s">
        <v>137</v>
      </c>
      <c r="G55" s="1" t="s">
        <v>138</v>
      </c>
      <c r="H55" s="1" t="s">
        <v>282</v>
      </c>
      <c r="I55" s="1" t="s">
        <v>283</v>
      </c>
      <c r="J55" s="1" t="s">
        <v>283</v>
      </c>
      <c r="K55" s="188"/>
      <c r="L55" s="1">
        <v>-7.0</v>
      </c>
      <c r="M55" s="188"/>
      <c r="N55" s="1">
        <v>12.112016666666667</v>
      </c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 t="s">
        <v>146</v>
      </c>
      <c r="B56" s="1" t="s">
        <v>135</v>
      </c>
      <c r="C56" s="1">
        <v>475.0</v>
      </c>
      <c r="D56" s="1">
        <v>0.0</v>
      </c>
      <c r="E56" s="1" t="s">
        <v>104</v>
      </c>
      <c r="F56" s="1" t="s">
        <v>137</v>
      </c>
      <c r="G56" s="1" t="s">
        <v>138</v>
      </c>
      <c r="H56" s="1" t="s">
        <v>284</v>
      </c>
      <c r="I56" s="1" t="s">
        <v>285</v>
      </c>
      <c r="J56" s="1" t="s">
        <v>285</v>
      </c>
      <c r="K56" s="188"/>
      <c r="L56" s="1">
        <v>-13.0</v>
      </c>
      <c r="M56" s="188"/>
      <c r="N56" s="1">
        <v>10.25265</v>
      </c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 t="s">
        <v>146</v>
      </c>
      <c r="B57" s="1" t="s">
        <v>135</v>
      </c>
      <c r="C57" s="1">
        <v>299.0</v>
      </c>
      <c r="D57" s="1">
        <v>0.0</v>
      </c>
      <c r="E57" s="1" t="s">
        <v>104</v>
      </c>
      <c r="F57" s="1" t="s">
        <v>137</v>
      </c>
      <c r="G57" s="1" t="s">
        <v>138</v>
      </c>
      <c r="H57" s="1" t="s">
        <v>286</v>
      </c>
      <c r="I57" s="1" t="s">
        <v>287</v>
      </c>
      <c r="J57" s="1" t="s">
        <v>287</v>
      </c>
      <c r="K57" s="188"/>
      <c r="L57" s="1">
        <v>-7.0</v>
      </c>
      <c r="M57" s="188"/>
      <c r="N57" s="1">
        <v>7.3985666666666665</v>
      </c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 t="s">
        <v>149</v>
      </c>
      <c r="B58" s="1" t="s">
        <v>135</v>
      </c>
      <c r="C58" s="1">
        <v>428.0</v>
      </c>
      <c r="D58" s="1">
        <v>0.0</v>
      </c>
      <c r="E58" s="1" t="s">
        <v>104</v>
      </c>
      <c r="F58" s="1" t="s">
        <v>150</v>
      </c>
      <c r="G58" s="1" t="s">
        <v>138</v>
      </c>
      <c r="H58" s="1" t="s">
        <v>288</v>
      </c>
      <c r="I58" s="1" t="s">
        <v>289</v>
      </c>
      <c r="J58" s="1" t="s">
        <v>290</v>
      </c>
      <c r="K58" s="1" t="s">
        <v>291</v>
      </c>
      <c r="L58" s="1">
        <v>27.0</v>
      </c>
      <c r="M58" s="1">
        <v>11.229683333333334</v>
      </c>
      <c r="N58" s="1">
        <v>8.466083333333334</v>
      </c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 t="s">
        <v>165</v>
      </c>
      <c r="B59" s="1" t="s">
        <v>166</v>
      </c>
      <c r="C59" s="1">
        <v>264.0</v>
      </c>
      <c r="D59" s="1">
        <v>0.0</v>
      </c>
      <c r="E59" s="188"/>
      <c r="F59" s="1" t="s">
        <v>137</v>
      </c>
      <c r="G59" s="1" t="s">
        <v>143</v>
      </c>
      <c r="H59" s="1" t="s">
        <v>292</v>
      </c>
      <c r="I59" s="1" t="s">
        <v>293</v>
      </c>
      <c r="J59" s="1" t="s">
        <v>293</v>
      </c>
      <c r="K59" s="188"/>
      <c r="L59" s="1">
        <v>0.0</v>
      </c>
      <c r="M59" s="188"/>
      <c r="N59" s="1">
        <v>7.11205</v>
      </c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 t="s">
        <v>149</v>
      </c>
      <c r="B60" s="1" t="s">
        <v>135</v>
      </c>
      <c r="C60" s="1">
        <v>299.0</v>
      </c>
      <c r="D60" s="1">
        <v>75.0</v>
      </c>
      <c r="E60" s="188"/>
      <c r="F60" s="1" t="s">
        <v>142</v>
      </c>
      <c r="G60" s="1" t="s">
        <v>232</v>
      </c>
      <c r="H60" s="1" t="s">
        <v>294</v>
      </c>
      <c r="I60" s="1" t="s">
        <v>295</v>
      </c>
      <c r="J60" s="1" t="s">
        <v>295</v>
      </c>
      <c r="K60" s="188"/>
      <c r="L60" s="1">
        <v>-7.0</v>
      </c>
      <c r="M60" s="188"/>
      <c r="N60" s="1">
        <v>11.665233333333333</v>
      </c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 t="s">
        <v>149</v>
      </c>
      <c r="B61" s="1" t="s">
        <v>135</v>
      </c>
      <c r="C61" s="1">
        <v>395.0</v>
      </c>
      <c r="D61" s="1">
        <v>0.0</v>
      </c>
      <c r="E61" s="1" t="s">
        <v>104</v>
      </c>
      <c r="F61" s="1" t="s">
        <v>150</v>
      </c>
      <c r="G61" s="1" t="s">
        <v>138</v>
      </c>
      <c r="H61" s="1" t="s">
        <v>296</v>
      </c>
      <c r="I61" s="1" t="s">
        <v>297</v>
      </c>
      <c r="J61" s="1" t="s">
        <v>298</v>
      </c>
      <c r="K61" s="1" t="s">
        <v>299</v>
      </c>
      <c r="L61" s="1">
        <v>16.0</v>
      </c>
      <c r="M61" s="1">
        <v>8.765866666666666</v>
      </c>
      <c r="N61" s="1">
        <v>10.398516666666668</v>
      </c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 t="s">
        <v>146</v>
      </c>
      <c r="B62" s="1" t="s">
        <v>135</v>
      </c>
      <c r="C62" s="1">
        <v>618.0</v>
      </c>
      <c r="D62" s="1">
        <v>0.0</v>
      </c>
      <c r="E62" s="1" t="s">
        <v>104</v>
      </c>
      <c r="F62" s="1" t="s">
        <v>137</v>
      </c>
      <c r="G62" s="1" t="s">
        <v>138</v>
      </c>
      <c r="H62" s="1" t="s">
        <v>300</v>
      </c>
      <c r="I62" s="1" t="s">
        <v>301</v>
      </c>
      <c r="J62" s="1" t="s">
        <v>301</v>
      </c>
      <c r="K62" s="188"/>
      <c r="L62" s="1">
        <v>-9.0</v>
      </c>
      <c r="M62" s="188"/>
      <c r="N62" s="1">
        <v>10.2191</v>
      </c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 t="s">
        <v>149</v>
      </c>
      <c r="B63" s="1" t="s">
        <v>135</v>
      </c>
      <c r="C63" s="1">
        <v>558.0</v>
      </c>
      <c r="D63" s="1">
        <v>0.0</v>
      </c>
      <c r="E63" s="1" t="s">
        <v>160</v>
      </c>
      <c r="F63" s="1" t="s">
        <v>150</v>
      </c>
      <c r="G63" s="1" t="s">
        <v>138</v>
      </c>
      <c r="H63" s="1" t="s">
        <v>302</v>
      </c>
      <c r="I63" s="1" t="s">
        <v>303</v>
      </c>
      <c r="J63" s="1" t="s">
        <v>304</v>
      </c>
      <c r="K63" s="1" t="s">
        <v>305</v>
      </c>
      <c r="L63" s="1">
        <v>6.0</v>
      </c>
      <c r="M63" s="1">
        <v>0.009916666666666667</v>
      </c>
      <c r="N63" s="1">
        <v>13.7049</v>
      </c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 t="s">
        <v>165</v>
      </c>
      <c r="B64" s="1" t="s">
        <v>135</v>
      </c>
      <c r="C64" s="1">
        <v>321.0</v>
      </c>
      <c r="D64" s="1">
        <v>0.0</v>
      </c>
      <c r="E64" s="188"/>
      <c r="F64" s="1" t="s">
        <v>137</v>
      </c>
      <c r="G64" s="1" t="s">
        <v>138</v>
      </c>
      <c r="H64" s="1" t="s">
        <v>306</v>
      </c>
      <c r="I64" s="1" t="s">
        <v>307</v>
      </c>
      <c r="J64" s="1" t="s">
        <v>307</v>
      </c>
      <c r="K64" s="188"/>
      <c r="L64" s="1">
        <v>4.0</v>
      </c>
      <c r="M64" s="188"/>
      <c r="N64" s="1">
        <v>12.147333333333334</v>
      </c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 t="s">
        <v>165</v>
      </c>
      <c r="B65" s="1" t="s">
        <v>135</v>
      </c>
      <c r="C65" s="1">
        <v>571.0</v>
      </c>
      <c r="D65" s="1">
        <v>0.0</v>
      </c>
      <c r="E65" s="188"/>
      <c r="F65" s="1" t="s">
        <v>137</v>
      </c>
      <c r="G65" s="1" t="s">
        <v>138</v>
      </c>
      <c r="H65" s="1" t="s">
        <v>308</v>
      </c>
      <c r="I65" s="1" t="s">
        <v>309</v>
      </c>
      <c r="J65" s="1" t="s">
        <v>309</v>
      </c>
      <c r="K65" s="188"/>
      <c r="L65" s="1">
        <v>1.0</v>
      </c>
      <c r="M65" s="188"/>
      <c r="N65" s="1">
        <v>10.3062</v>
      </c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 t="s">
        <v>134</v>
      </c>
      <c r="B66" s="1" t="s">
        <v>135</v>
      </c>
      <c r="C66" s="1">
        <v>224.0</v>
      </c>
      <c r="D66" s="1">
        <v>0.0</v>
      </c>
      <c r="E66" s="1" t="s">
        <v>310</v>
      </c>
      <c r="F66" s="1" t="s">
        <v>137</v>
      </c>
      <c r="G66" s="1" t="s">
        <v>138</v>
      </c>
      <c r="H66" s="1" t="s">
        <v>311</v>
      </c>
      <c r="I66" s="1" t="s">
        <v>312</v>
      </c>
      <c r="J66" s="1" t="s">
        <v>312</v>
      </c>
      <c r="K66" s="188"/>
      <c r="L66" s="1">
        <v>-5.0</v>
      </c>
      <c r="M66" s="188"/>
      <c r="N66" s="1">
        <v>9.220216666666667</v>
      </c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 t="s">
        <v>165</v>
      </c>
      <c r="B67" s="1" t="s">
        <v>166</v>
      </c>
      <c r="C67" s="1">
        <v>264.0</v>
      </c>
      <c r="D67" s="1">
        <v>100.0</v>
      </c>
      <c r="E67" s="188"/>
      <c r="F67" s="1" t="s">
        <v>137</v>
      </c>
      <c r="G67" s="1" t="s">
        <v>143</v>
      </c>
      <c r="H67" s="1" t="s">
        <v>313</v>
      </c>
      <c r="I67" s="1" t="s">
        <v>314</v>
      </c>
      <c r="J67" s="1" t="s">
        <v>314</v>
      </c>
      <c r="K67" s="188"/>
      <c r="L67" s="1">
        <v>1.0</v>
      </c>
      <c r="M67" s="188"/>
      <c r="N67" s="1">
        <v>8.990283333333334</v>
      </c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 t="s">
        <v>146</v>
      </c>
      <c r="B68" s="1" t="s">
        <v>135</v>
      </c>
      <c r="C68" s="1">
        <v>386.0</v>
      </c>
      <c r="D68" s="1">
        <v>0.0</v>
      </c>
      <c r="E68" s="1" t="s">
        <v>104</v>
      </c>
      <c r="F68" s="1" t="s">
        <v>137</v>
      </c>
      <c r="G68" s="1" t="s">
        <v>138</v>
      </c>
      <c r="H68" s="1" t="s">
        <v>315</v>
      </c>
      <c r="I68" s="1" t="s">
        <v>316</v>
      </c>
      <c r="J68" s="1" t="s">
        <v>316</v>
      </c>
      <c r="K68" s="188"/>
      <c r="L68" s="1">
        <v>-4.0</v>
      </c>
      <c r="M68" s="188"/>
      <c r="N68" s="1">
        <v>10.69015</v>
      </c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 t="s">
        <v>146</v>
      </c>
      <c r="B69" s="1" t="s">
        <v>135</v>
      </c>
      <c r="C69" s="1">
        <v>476.0</v>
      </c>
      <c r="D69" s="1">
        <v>0.0</v>
      </c>
      <c r="E69" s="1" t="s">
        <v>104</v>
      </c>
      <c r="F69" s="1" t="s">
        <v>137</v>
      </c>
      <c r="G69" s="1" t="s">
        <v>138</v>
      </c>
      <c r="H69" s="1" t="s">
        <v>317</v>
      </c>
      <c r="I69" s="1" t="s">
        <v>318</v>
      </c>
      <c r="J69" s="1" t="s">
        <v>318</v>
      </c>
      <c r="K69" s="188"/>
      <c r="L69" s="1">
        <v>0.0</v>
      </c>
      <c r="M69" s="188"/>
      <c r="N69" s="1">
        <v>14.38415</v>
      </c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 t="s">
        <v>149</v>
      </c>
      <c r="B70" s="1" t="s">
        <v>135</v>
      </c>
      <c r="C70" s="1">
        <v>683.0</v>
      </c>
      <c r="D70" s="1">
        <v>0.0</v>
      </c>
      <c r="E70" s="1" t="s">
        <v>160</v>
      </c>
      <c r="F70" s="1" t="s">
        <v>150</v>
      </c>
      <c r="G70" s="1" t="s">
        <v>138</v>
      </c>
      <c r="H70" s="1" t="s">
        <v>319</v>
      </c>
      <c r="I70" s="1" t="s">
        <v>320</v>
      </c>
      <c r="J70" s="1" t="s">
        <v>321</v>
      </c>
      <c r="K70" s="1" t="s">
        <v>322</v>
      </c>
      <c r="L70" s="1">
        <v>-24.0</v>
      </c>
      <c r="M70" s="1">
        <v>0.011266666666666666</v>
      </c>
      <c r="N70" s="1">
        <v>13.927983333333334</v>
      </c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 t="s">
        <v>149</v>
      </c>
      <c r="B71" s="1" t="s">
        <v>135</v>
      </c>
      <c r="C71" s="1">
        <v>250.0</v>
      </c>
      <c r="D71" s="1">
        <v>0.0</v>
      </c>
      <c r="E71" s="1" t="s">
        <v>160</v>
      </c>
      <c r="F71" s="1" t="s">
        <v>150</v>
      </c>
      <c r="G71" s="1" t="s">
        <v>138</v>
      </c>
      <c r="H71" s="1" t="s">
        <v>323</v>
      </c>
      <c r="I71" s="1" t="s">
        <v>324</v>
      </c>
      <c r="J71" s="1" t="s">
        <v>325</v>
      </c>
      <c r="K71" s="1" t="s">
        <v>326</v>
      </c>
      <c r="L71" s="1">
        <v>-3.0</v>
      </c>
      <c r="M71" s="1">
        <v>0.0135</v>
      </c>
      <c r="N71" s="1">
        <v>8.670383333333334</v>
      </c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 t="s">
        <v>149</v>
      </c>
      <c r="B72" s="1" t="s">
        <v>135</v>
      </c>
      <c r="C72" s="1">
        <v>703.0</v>
      </c>
      <c r="D72" s="1">
        <v>0.0</v>
      </c>
      <c r="E72" s="1" t="s">
        <v>160</v>
      </c>
      <c r="F72" s="1" t="s">
        <v>150</v>
      </c>
      <c r="G72" s="1" t="s">
        <v>138</v>
      </c>
      <c r="H72" s="1" t="s">
        <v>327</v>
      </c>
      <c r="I72" s="1" t="s">
        <v>328</v>
      </c>
      <c r="J72" s="1" t="s">
        <v>329</v>
      </c>
      <c r="K72" s="1" t="s">
        <v>330</v>
      </c>
      <c r="L72" s="1">
        <v>3.0</v>
      </c>
      <c r="M72" s="1">
        <v>0.018033333333333332</v>
      </c>
      <c r="N72" s="1">
        <v>14.169033333333333</v>
      </c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 t="s">
        <v>141</v>
      </c>
      <c r="B73" s="1" t="s">
        <v>135</v>
      </c>
      <c r="C73" s="1">
        <v>309.0</v>
      </c>
      <c r="D73" s="1">
        <v>0.0</v>
      </c>
      <c r="E73" s="188"/>
      <c r="F73" s="1" t="s">
        <v>142</v>
      </c>
      <c r="G73" s="1" t="s">
        <v>143</v>
      </c>
      <c r="H73" s="1" t="s">
        <v>331</v>
      </c>
      <c r="I73" s="1" t="s">
        <v>332</v>
      </c>
      <c r="J73" s="1" t="s">
        <v>332</v>
      </c>
      <c r="K73" s="188"/>
      <c r="L73" s="1">
        <v>1.0</v>
      </c>
      <c r="M73" s="188"/>
      <c r="N73" s="1">
        <v>6.9672</v>
      </c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 t="s">
        <v>141</v>
      </c>
      <c r="B74" s="1" t="s">
        <v>135</v>
      </c>
      <c r="C74" s="1">
        <v>119.0</v>
      </c>
      <c r="D74" s="1">
        <v>0.0</v>
      </c>
      <c r="E74" s="188"/>
      <c r="F74" s="1" t="s">
        <v>142</v>
      </c>
      <c r="G74" s="1" t="s">
        <v>143</v>
      </c>
      <c r="H74" s="1" t="s">
        <v>333</v>
      </c>
      <c r="I74" s="1" t="s">
        <v>334</v>
      </c>
      <c r="J74" s="1" t="s">
        <v>334</v>
      </c>
      <c r="K74" s="188"/>
      <c r="L74" s="1">
        <v>2.0</v>
      </c>
      <c r="M74" s="188"/>
      <c r="N74" s="1">
        <v>7.001233333333333</v>
      </c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 t="s">
        <v>146</v>
      </c>
      <c r="B75" s="1" t="s">
        <v>135</v>
      </c>
      <c r="C75" s="1">
        <v>496.0</v>
      </c>
      <c r="D75" s="1">
        <v>0.0</v>
      </c>
      <c r="E75" s="1" t="s">
        <v>104</v>
      </c>
      <c r="F75" s="1" t="s">
        <v>137</v>
      </c>
      <c r="G75" s="1" t="s">
        <v>138</v>
      </c>
      <c r="H75" s="1" t="s">
        <v>335</v>
      </c>
      <c r="I75" s="1" t="s">
        <v>336</v>
      </c>
      <c r="J75" s="1" t="s">
        <v>336</v>
      </c>
      <c r="K75" s="188"/>
      <c r="L75" s="1">
        <v>-4.0</v>
      </c>
      <c r="M75" s="188"/>
      <c r="N75" s="1">
        <v>10.3286</v>
      </c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 t="s">
        <v>149</v>
      </c>
      <c r="B76" s="1" t="s">
        <v>135</v>
      </c>
      <c r="C76" s="1">
        <v>209.0</v>
      </c>
      <c r="D76" s="1">
        <v>50.0</v>
      </c>
      <c r="E76" s="188"/>
      <c r="F76" s="1" t="s">
        <v>142</v>
      </c>
      <c r="G76" s="1" t="s">
        <v>138</v>
      </c>
      <c r="H76" s="1" t="s">
        <v>337</v>
      </c>
      <c r="I76" s="1" t="s">
        <v>338</v>
      </c>
      <c r="J76" s="1" t="s">
        <v>338</v>
      </c>
      <c r="K76" s="188"/>
      <c r="L76" s="1">
        <v>-8.0</v>
      </c>
      <c r="M76" s="188"/>
      <c r="N76" s="1">
        <v>10.2598</v>
      </c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 t="s">
        <v>141</v>
      </c>
      <c r="B77" s="1" t="s">
        <v>135</v>
      </c>
      <c r="C77" s="1">
        <v>249.0</v>
      </c>
      <c r="D77" s="1">
        <v>0.0</v>
      </c>
      <c r="E77" s="188"/>
      <c r="F77" s="1" t="s">
        <v>142</v>
      </c>
      <c r="G77" s="1" t="s">
        <v>143</v>
      </c>
      <c r="H77" s="1" t="s">
        <v>339</v>
      </c>
      <c r="I77" s="1" t="s">
        <v>340</v>
      </c>
      <c r="J77" s="1" t="s">
        <v>340</v>
      </c>
      <c r="K77" s="188"/>
      <c r="L77" s="1">
        <v>3.0</v>
      </c>
      <c r="M77" s="188"/>
      <c r="N77" s="1">
        <v>8.423216666666667</v>
      </c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 t="s">
        <v>134</v>
      </c>
      <c r="B78" s="1" t="s">
        <v>166</v>
      </c>
      <c r="C78" s="1">
        <v>213.0</v>
      </c>
      <c r="D78" s="1">
        <v>0.0</v>
      </c>
      <c r="E78" s="1" t="s">
        <v>341</v>
      </c>
      <c r="F78" s="1" t="s">
        <v>137</v>
      </c>
      <c r="G78" s="1" t="s">
        <v>138</v>
      </c>
      <c r="H78" s="1" t="s">
        <v>342</v>
      </c>
      <c r="I78" s="1" t="s">
        <v>343</v>
      </c>
      <c r="J78" s="1" t="s">
        <v>343</v>
      </c>
      <c r="K78" s="188"/>
      <c r="L78" s="1">
        <v>-1.0</v>
      </c>
      <c r="M78" s="188"/>
      <c r="N78" s="1">
        <v>13.3861</v>
      </c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 t="s">
        <v>146</v>
      </c>
      <c r="B79" s="1" t="s">
        <v>135</v>
      </c>
      <c r="C79" s="1">
        <v>558.0</v>
      </c>
      <c r="D79" s="1">
        <v>0.0</v>
      </c>
      <c r="E79" s="1" t="s">
        <v>104</v>
      </c>
      <c r="F79" s="1" t="s">
        <v>137</v>
      </c>
      <c r="G79" s="1" t="s">
        <v>138</v>
      </c>
      <c r="H79" s="1" t="s">
        <v>344</v>
      </c>
      <c r="I79" s="1" t="s">
        <v>345</v>
      </c>
      <c r="J79" s="1" t="s">
        <v>345</v>
      </c>
      <c r="K79" s="188"/>
      <c r="L79" s="1">
        <v>-13.0</v>
      </c>
      <c r="M79" s="188"/>
      <c r="N79" s="1">
        <v>6.9196333333333335</v>
      </c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 t="s">
        <v>141</v>
      </c>
      <c r="B80" s="1" t="s">
        <v>135</v>
      </c>
      <c r="C80" s="1">
        <v>1120.5</v>
      </c>
      <c r="D80" s="1">
        <v>1120.5</v>
      </c>
      <c r="E80" s="188"/>
      <c r="F80" s="1" t="s">
        <v>142</v>
      </c>
      <c r="G80" s="1" t="s">
        <v>143</v>
      </c>
      <c r="H80" s="1" t="s">
        <v>346</v>
      </c>
      <c r="I80" s="1" t="s">
        <v>347</v>
      </c>
      <c r="J80" s="1" t="s">
        <v>347</v>
      </c>
      <c r="K80" s="188"/>
      <c r="L80" s="1">
        <v>18.0</v>
      </c>
      <c r="M80" s="188"/>
      <c r="N80" s="1">
        <v>28.078516666666665</v>
      </c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 t="s">
        <v>165</v>
      </c>
      <c r="B81" s="1" t="s">
        <v>135</v>
      </c>
      <c r="C81" s="1">
        <v>264.0</v>
      </c>
      <c r="D81" s="1">
        <v>0.0</v>
      </c>
      <c r="E81" s="188"/>
      <c r="F81" s="1" t="s">
        <v>137</v>
      </c>
      <c r="G81" s="1" t="s">
        <v>138</v>
      </c>
      <c r="H81" s="1" t="s">
        <v>348</v>
      </c>
      <c r="I81" s="1" t="s">
        <v>349</v>
      </c>
      <c r="J81" s="1" t="s">
        <v>349</v>
      </c>
      <c r="K81" s="188"/>
      <c r="L81" s="1">
        <v>2.0</v>
      </c>
      <c r="M81" s="188"/>
      <c r="N81" s="1">
        <v>9.356433333333333</v>
      </c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 t="s">
        <v>165</v>
      </c>
      <c r="B82" s="1" t="s">
        <v>135</v>
      </c>
      <c r="C82" s="1">
        <v>433.0</v>
      </c>
      <c r="D82" s="1">
        <v>0.0</v>
      </c>
      <c r="E82" s="188"/>
      <c r="F82" s="1" t="s">
        <v>137</v>
      </c>
      <c r="G82" s="1" t="s">
        <v>143</v>
      </c>
      <c r="H82" s="1" t="s">
        <v>350</v>
      </c>
      <c r="I82" s="1" t="s">
        <v>351</v>
      </c>
      <c r="J82" s="1" t="s">
        <v>351</v>
      </c>
      <c r="K82" s="188"/>
      <c r="L82" s="1">
        <v>0.0</v>
      </c>
      <c r="M82" s="188"/>
      <c r="N82" s="1">
        <v>8.785316666666667</v>
      </c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 t="s">
        <v>146</v>
      </c>
      <c r="B83" s="1" t="s">
        <v>135</v>
      </c>
      <c r="C83" s="1">
        <v>264.0</v>
      </c>
      <c r="D83" s="1">
        <v>0.0</v>
      </c>
      <c r="E83" s="1" t="s">
        <v>104</v>
      </c>
      <c r="F83" s="1" t="s">
        <v>137</v>
      </c>
      <c r="G83" s="1" t="s">
        <v>138</v>
      </c>
      <c r="H83" s="1" t="s">
        <v>352</v>
      </c>
      <c r="I83" s="1" t="s">
        <v>353</v>
      </c>
      <c r="J83" s="1" t="s">
        <v>353</v>
      </c>
      <c r="K83" s="188"/>
      <c r="L83" s="1">
        <v>-8.0</v>
      </c>
      <c r="M83" s="188"/>
      <c r="N83" s="1">
        <v>6.6499</v>
      </c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 t="s">
        <v>146</v>
      </c>
      <c r="B84" s="1" t="s">
        <v>135</v>
      </c>
      <c r="C84" s="1">
        <v>378.0</v>
      </c>
      <c r="D84" s="1">
        <v>0.0</v>
      </c>
      <c r="E84" s="1" t="s">
        <v>104</v>
      </c>
      <c r="F84" s="1" t="s">
        <v>137</v>
      </c>
      <c r="G84" s="1" t="s">
        <v>138</v>
      </c>
      <c r="H84" s="1" t="s">
        <v>354</v>
      </c>
      <c r="I84" s="1" t="s">
        <v>355</v>
      </c>
      <c r="J84" s="1" t="s">
        <v>355</v>
      </c>
      <c r="K84" s="188"/>
      <c r="L84" s="1">
        <v>-7.0</v>
      </c>
      <c r="M84" s="188"/>
      <c r="N84" s="1">
        <v>7.276016666666667</v>
      </c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 t="s">
        <v>165</v>
      </c>
      <c r="B85" s="1" t="s">
        <v>135</v>
      </c>
      <c r="C85" s="1">
        <v>478.0</v>
      </c>
      <c r="D85" s="1">
        <v>0.0</v>
      </c>
      <c r="E85" s="188"/>
      <c r="F85" s="1" t="s">
        <v>137</v>
      </c>
      <c r="G85" s="1" t="s">
        <v>143</v>
      </c>
      <c r="H85" s="1" t="s">
        <v>356</v>
      </c>
      <c r="I85" s="1" t="s">
        <v>357</v>
      </c>
      <c r="J85" s="1" t="s">
        <v>357</v>
      </c>
      <c r="K85" s="188"/>
      <c r="L85" s="1">
        <v>0.0</v>
      </c>
      <c r="M85" s="188"/>
      <c r="N85" s="1">
        <v>7.492633333333333</v>
      </c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 t="s">
        <v>149</v>
      </c>
      <c r="B86" s="1" t="s">
        <v>135</v>
      </c>
      <c r="C86" s="1">
        <v>367.0</v>
      </c>
      <c r="D86" s="1">
        <v>0.0</v>
      </c>
      <c r="E86" s="1" t="s">
        <v>358</v>
      </c>
      <c r="F86" s="1" t="s">
        <v>150</v>
      </c>
      <c r="G86" s="1" t="s">
        <v>138</v>
      </c>
      <c r="H86" s="1" t="s">
        <v>359</v>
      </c>
      <c r="I86" s="1" t="s">
        <v>360</v>
      </c>
      <c r="J86" s="1" t="s">
        <v>361</v>
      </c>
      <c r="K86" s="1" t="s">
        <v>362</v>
      </c>
      <c r="L86" s="1">
        <v>-23.0</v>
      </c>
      <c r="M86" s="1">
        <v>0.011416666666666667</v>
      </c>
      <c r="N86" s="1">
        <v>5.84145</v>
      </c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 t="s">
        <v>165</v>
      </c>
      <c r="B87" s="1" t="s">
        <v>135</v>
      </c>
      <c r="C87" s="1">
        <v>293.0</v>
      </c>
      <c r="D87" s="1">
        <v>50.0</v>
      </c>
      <c r="E87" s="188"/>
      <c r="F87" s="1" t="s">
        <v>137</v>
      </c>
      <c r="G87" s="1" t="s">
        <v>143</v>
      </c>
      <c r="H87" s="1" t="s">
        <v>363</v>
      </c>
      <c r="I87" s="1" t="s">
        <v>364</v>
      </c>
      <c r="J87" s="1" t="s">
        <v>364</v>
      </c>
      <c r="K87" s="188"/>
      <c r="L87" s="1">
        <v>0.0</v>
      </c>
      <c r="M87" s="188"/>
      <c r="N87" s="1">
        <v>7.059716666666667</v>
      </c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 t="s">
        <v>146</v>
      </c>
      <c r="B88" s="1" t="s">
        <v>135</v>
      </c>
      <c r="C88" s="1">
        <v>383.0</v>
      </c>
      <c r="D88" s="1">
        <v>0.0</v>
      </c>
      <c r="E88" s="1" t="s">
        <v>104</v>
      </c>
      <c r="F88" s="1" t="s">
        <v>137</v>
      </c>
      <c r="G88" s="1" t="s">
        <v>138</v>
      </c>
      <c r="H88" s="1" t="s">
        <v>365</v>
      </c>
      <c r="I88" s="1" t="s">
        <v>366</v>
      </c>
      <c r="J88" s="1" t="s">
        <v>366</v>
      </c>
      <c r="K88" s="188"/>
      <c r="L88" s="1">
        <v>-7.0</v>
      </c>
      <c r="M88" s="188"/>
      <c r="N88" s="1">
        <v>7.304466666666666</v>
      </c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 t="s">
        <v>149</v>
      </c>
      <c r="B89" s="1" t="s">
        <v>135</v>
      </c>
      <c r="C89" s="1">
        <v>279.0</v>
      </c>
      <c r="D89" s="1">
        <v>0.0</v>
      </c>
      <c r="E89" s="1" t="s">
        <v>358</v>
      </c>
      <c r="F89" s="1" t="s">
        <v>150</v>
      </c>
      <c r="G89" s="1" t="s">
        <v>138</v>
      </c>
      <c r="H89" s="1" t="s">
        <v>367</v>
      </c>
      <c r="I89" s="1" t="s">
        <v>368</v>
      </c>
      <c r="J89" s="1" t="s">
        <v>369</v>
      </c>
      <c r="K89" s="1" t="s">
        <v>370</v>
      </c>
      <c r="L89" s="1">
        <v>17.0</v>
      </c>
      <c r="M89" s="1">
        <v>0.010833333333333334</v>
      </c>
      <c r="N89" s="1">
        <v>6.890133333333333</v>
      </c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 t="s">
        <v>165</v>
      </c>
      <c r="B90" s="1" t="s">
        <v>135</v>
      </c>
      <c r="C90" s="189">
        <v>329.0</v>
      </c>
      <c r="D90" s="1">
        <v>0.0</v>
      </c>
      <c r="E90" s="188"/>
      <c r="F90" s="1" t="s">
        <v>137</v>
      </c>
      <c r="G90" s="1" t="s">
        <v>143</v>
      </c>
      <c r="H90" s="1" t="s">
        <v>371</v>
      </c>
      <c r="I90" s="1" t="s">
        <v>372</v>
      </c>
      <c r="J90" s="1" t="s">
        <v>372</v>
      </c>
      <c r="K90" s="188"/>
      <c r="L90" s="1">
        <v>0.0</v>
      </c>
      <c r="M90" s="188"/>
      <c r="N90" s="1">
        <v>7.023383333333333</v>
      </c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 t="s">
        <v>146</v>
      </c>
      <c r="B91" s="1" t="s">
        <v>135</v>
      </c>
      <c r="C91" s="1">
        <v>429.0</v>
      </c>
      <c r="D91" s="1">
        <v>0.0</v>
      </c>
      <c r="E91" s="1" t="s">
        <v>104</v>
      </c>
      <c r="F91" s="1" t="s">
        <v>137</v>
      </c>
      <c r="G91" s="1" t="s">
        <v>138</v>
      </c>
      <c r="H91" s="1" t="s">
        <v>373</v>
      </c>
      <c r="I91" s="1" t="s">
        <v>374</v>
      </c>
      <c r="J91" s="1" t="s">
        <v>374</v>
      </c>
      <c r="K91" s="188"/>
      <c r="L91" s="1">
        <v>0.0</v>
      </c>
      <c r="M91" s="188"/>
      <c r="N91" s="1">
        <v>14.59155</v>
      </c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 t="s">
        <v>149</v>
      </c>
      <c r="B92" s="1" t="s">
        <v>135</v>
      </c>
      <c r="C92" s="1">
        <v>443.0</v>
      </c>
      <c r="D92" s="1">
        <v>0.0</v>
      </c>
      <c r="E92" s="1" t="s">
        <v>358</v>
      </c>
      <c r="F92" s="1" t="s">
        <v>150</v>
      </c>
      <c r="G92" s="1" t="s">
        <v>138</v>
      </c>
      <c r="H92" s="1" t="s">
        <v>375</v>
      </c>
      <c r="I92" s="1" t="s">
        <v>376</v>
      </c>
      <c r="J92" s="1" t="s">
        <v>377</v>
      </c>
      <c r="K92" s="1" t="s">
        <v>378</v>
      </c>
      <c r="L92" s="1">
        <v>-6.0</v>
      </c>
      <c r="M92" s="1">
        <v>0.011583333333333333</v>
      </c>
      <c r="N92" s="1">
        <v>11.903833333333333</v>
      </c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 t="s">
        <v>149</v>
      </c>
      <c r="B93" s="1" t="s">
        <v>135</v>
      </c>
      <c r="C93" s="1">
        <v>299.0</v>
      </c>
      <c r="D93" s="1">
        <v>12.0</v>
      </c>
      <c r="E93" s="1" t="s">
        <v>358</v>
      </c>
      <c r="F93" s="1" t="s">
        <v>150</v>
      </c>
      <c r="G93" s="1" t="s">
        <v>138</v>
      </c>
      <c r="H93" s="1" t="s">
        <v>379</v>
      </c>
      <c r="I93" s="1" t="s">
        <v>380</v>
      </c>
      <c r="J93" s="1" t="s">
        <v>381</v>
      </c>
      <c r="K93" s="1" t="s">
        <v>382</v>
      </c>
      <c r="L93" s="1">
        <v>-6.0</v>
      </c>
      <c r="M93" s="1">
        <v>0.013</v>
      </c>
      <c r="N93" s="1">
        <v>7.849783333333333</v>
      </c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 t="s">
        <v>146</v>
      </c>
      <c r="B94" s="1" t="s">
        <v>135</v>
      </c>
      <c r="C94" s="1">
        <v>378.0</v>
      </c>
      <c r="D94" s="1">
        <v>0.0</v>
      </c>
      <c r="E94" s="1" t="s">
        <v>104</v>
      </c>
      <c r="F94" s="1" t="s">
        <v>137</v>
      </c>
      <c r="G94" s="1" t="s">
        <v>138</v>
      </c>
      <c r="H94" s="1" t="s">
        <v>383</v>
      </c>
      <c r="I94" s="1" t="s">
        <v>384</v>
      </c>
      <c r="J94" s="1" t="s">
        <v>384</v>
      </c>
      <c r="K94" s="188"/>
      <c r="L94" s="1">
        <v>-15.0</v>
      </c>
      <c r="M94" s="188"/>
      <c r="N94" s="1">
        <v>6.652066666666666</v>
      </c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 t="s">
        <v>149</v>
      </c>
      <c r="B95" s="1" t="s">
        <v>135</v>
      </c>
      <c r="C95" s="1">
        <v>421.0</v>
      </c>
      <c r="D95" s="1">
        <v>137.0</v>
      </c>
      <c r="E95" s="188"/>
      <c r="F95" s="1" t="s">
        <v>142</v>
      </c>
      <c r="G95" s="1" t="s">
        <v>143</v>
      </c>
      <c r="H95" s="1" t="s">
        <v>385</v>
      </c>
      <c r="I95" s="1" t="s">
        <v>386</v>
      </c>
      <c r="J95" s="1" t="s">
        <v>386</v>
      </c>
      <c r="K95" s="188"/>
      <c r="L95" s="1">
        <v>-1.0</v>
      </c>
      <c r="M95" s="188"/>
      <c r="N95" s="1">
        <v>18.2879</v>
      </c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 t="s">
        <v>165</v>
      </c>
      <c r="B96" s="1" t="s">
        <v>135</v>
      </c>
      <c r="C96" s="1">
        <v>394.0</v>
      </c>
      <c r="D96" s="1">
        <v>0.0</v>
      </c>
      <c r="E96" s="188"/>
      <c r="F96" s="1" t="s">
        <v>137</v>
      </c>
      <c r="G96" s="1" t="s">
        <v>138</v>
      </c>
      <c r="H96" s="1" t="s">
        <v>387</v>
      </c>
      <c r="I96" s="1" t="s">
        <v>388</v>
      </c>
      <c r="J96" s="1" t="s">
        <v>388</v>
      </c>
      <c r="K96" s="188"/>
      <c r="L96" s="1">
        <v>19.0</v>
      </c>
      <c r="M96" s="188"/>
      <c r="N96" s="1">
        <v>27.039383333333333</v>
      </c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 t="s">
        <v>146</v>
      </c>
      <c r="B97" s="1" t="s">
        <v>135</v>
      </c>
      <c r="C97" s="1">
        <v>677.0</v>
      </c>
      <c r="D97" s="1">
        <v>0.0</v>
      </c>
      <c r="E97" s="1" t="s">
        <v>104</v>
      </c>
      <c r="F97" s="1" t="s">
        <v>137</v>
      </c>
      <c r="G97" s="1" t="s">
        <v>138</v>
      </c>
      <c r="H97" s="1" t="s">
        <v>389</v>
      </c>
      <c r="I97" s="1" t="s">
        <v>390</v>
      </c>
      <c r="J97" s="1" t="s">
        <v>390</v>
      </c>
      <c r="K97" s="188"/>
      <c r="L97" s="1">
        <v>8.0</v>
      </c>
      <c r="M97" s="188"/>
      <c r="N97" s="1">
        <v>28.280566666666665</v>
      </c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 t="s">
        <v>141</v>
      </c>
      <c r="B98" s="1" t="s">
        <v>135</v>
      </c>
      <c r="C98" s="1">
        <v>306.0</v>
      </c>
      <c r="D98" s="1">
        <v>0.0</v>
      </c>
      <c r="E98" s="188"/>
      <c r="F98" s="1" t="s">
        <v>142</v>
      </c>
      <c r="G98" s="1" t="s">
        <v>143</v>
      </c>
      <c r="H98" s="1" t="s">
        <v>391</v>
      </c>
      <c r="I98" s="1" t="s">
        <v>392</v>
      </c>
      <c r="J98" s="1" t="s">
        <v>392</v>
      </c>
      <c r="K98" s="188"/>
      <c r="L98" s="1">
        <v>0.0</v>
      </c>
      <c r="M98" s="188"/>
      <c r="N98" s="1">
        <v>5.541516666666666</v>
      </c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 t="s">
        <v>165</v>
      </c>
      <c r="B99" s="1" t="s">
        <v>166</v>
      </c>
      <c r="C99" s="1">
        <v>1824.0</v>
      </c>
      <c r="D99" s="1">
        <v>150.0</v>
      </c>
      <c r="E99" s="188"/>
      <c r="F99" s="1" t="s">
        <v>137</v>
      </c>
      <c r="G99" s="1" t="s">
        <v>138</v>
      </c>
      <c r="H99" s="1" t="s">
        <v>393</v>
      </c>
      <c r="I99" s="1" t="s">
        <v>394</v>
      </c>
      <c r="J99" s="1" t="s">
        <v>394</v>
      </c>
      <c r="K99" s="188"/>
      <c r="L99" s="1">
        <v>0.0</v>
      </c>
      <c r="M99" s="188"/>
      <c r="N99" s="1">
        <v>18.606466666666666</v>
      </c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 t="s">
        <v>149</v>
      </c>
      <c r="B100" s="1" t="s">
        <v>135</v>
      </c>
      <c r="C100" s="189">
        <v>227.0</v>
      </c>
      <c r="D100" s="1">
        <v>82.0</v>
      </c>
      <c r="E100" s="188"/>
      <c r="F100" s="1" t="s">
        <v>142</v>
      </c>
      <c r="G100" s="1" t="s">
        <v>138</v>
      </c>
      <c r="H100" s="1" t="s">
        <v>395</v>
      </c>
      <c r="I100" s="1" t="s">
        <v>396</v>
      </c>
      <c r="J100" s="1" t="s">
        <v>396</v>
      </c>
      <c r="K100" s="188"/>
      <c r="L100" s="1">
        <v>5.0</v>
      </c>
      <c r="M100" s="188"/>
      <c r="N100" s="1">
        <v>70.2469</v>
      </c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 t="s">
        <v>146</v>
      </c>
      <c r="B101" s="1" t="s">
        <v>135</v>
      </c>
      <c r="C101" s="1">
        <v>3128.0</v>
      </c>
      <c r="D101" s="1">
        <v>0.0</v>
      </c>
      <c r="E101" s="1" t="s">
        <v>104</v>
      </c>
      <c r="F101" s="1" t="s">
        <v>137</v>
      </c>
      <c r="G101" s="1" t="s">
        <v>138</v>
      </c>
      <c r="H101" s="1" t="s">
        <v>397</v>
      </c>
      <c r="I101" s="1" t="s">
        <v>398</v>
      </c>
      <c r="J101" s="1" t="s">
        <v>398</v>
      </c>
      <c r="K101" s="188"/>
      <c r="L101" s="1">
        <v>5.0</v>
      </c>
      <c r="M101" s="188"/>
      <c r="N101" s="1">
        <v>92.79518333333333</v>
      </c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S114" s="188"/>
      <c r="T114" s="188"/>
      <c r="U114" s="188"/>
      <c r="V114" s="188"/>
      <c r="W114" s="188"/>
      <c r="X114" s="188"/>
      <c r="Y114" s="188"/>
      <c r="Z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S151" s="188"/>
      <c r="T151" s="188"/>
      <c r="U151" s="188"/>
      <c r="V151" s="188"/>
      <c r="W151" s="188"/>
      <c r="X151" s="188"/>
      <c r="Y151" s="188"/>
      <c r="Z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S152" s="188"/>
      <c r="T152" s="188"/>
      <c r="U152" s="188"/>
      <c r="V152" s="188"/>
      <c r="W152" s="188"/>
      <c r="X152" s="188"/>
      <c r="Y152" s="188"/>
      <c r="Z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S169" s="188"/>
      <c r="T169" s="188"/>
      <c r="U169" s="188"/>
      <c r="V169" s="188"/>
      <c r="W169" s="188"/>
      <c r="X169" s="188"/>
      <c r="Y169" s="188"/>
      <c r="Z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S178" s="188"/>
      <c r="T178" s="188"/>
      <c r="U178" s="188"/>
      <c r="V178" s="188"/>
      <c r="W178" s="188"/>
      <c r="X178" s="188"/>
      <c r="Y178" s="188"/>
      <c r="Z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S184" s="188"/>
      <c r="T184" s="188"/>
      <c r="U184" s="188"/>
      <c r="V184" s="188"/>
      <c r="W184" s="188"/>
      <c r="X184" s="188"/>
      <c r="Y184" s="188"/>
      <c r="Z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S196" s="188"/>
      <c r="T196" s="188"/>
      <c r="U196" s="188"/>
      <c r="V196" s="188"/>
      <c r="W196" s="188"/>
      <c r="X196" s="188"/>
      <c r="Y196" s="188"/>
      <c r="Z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S197" s="188"/>
      <c r="T197" s="188"/>
      <c r="U197" s="188"/>
      <c r="V197" s="188"/>
      <c r="W197" s="188"/>
      <c r="X197" s="188"/>
      <c r="Y197" s="188"/>
      <c r="Z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S203" s="188"/>
      <c r="T203" s="188"/>
      <c r="U203" s="188"/>
      <c r="V203" s="188"/>
      <c r="W203" s="188"/>
      <c r="X203" s="188"/>
      <c r="Y203" s="188"/>
      <c r="Z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S212" s="188"/>
      <c r="T212" s="188"/>
      <c r="U212" s="188"/>
      <c r="V212" s="188"/>
      <c r="W212" s="188"/>
      <c r="X212" s="188"/>
      <c r="Y212" s="188"/>
      <c r="Z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S216" s="188"/>
      <c r="T216" s="188"/>
      <c r="U216" s="188"/>
      <c r="V216" s="188"/>
      <c r="W216" s="188"/>
      <c r="X216" s="188"/>
      <c r="Y216" s="188"/>
      <c r="Z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S218" s="188"/>
      <c r="T218" s="188"/>
      <c r="U218" s="188"/>
      <c r="V218" s="188"/>
      <c r="W218" s="188"/>
      <c r="X218" s="188"/>
      <c r="Y218" s="188"/>
      <c r="Z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S221" s="188"/>
      <c r="T221" s="188"/>
      <c r="U221" s="188"/>
      <c r="V221" s="188"/>
      <c r="W221" s="188"/>
      <c r="X221" s="188"/>
      <c r="Y221" s="188"/>
      <c r="Z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O235" s="188"/>
      <c r="P235" s="188"/>
      <c r="Q235" s="188"/>
      <c r="S235" s="188"/>
      <c r="T235" s="188"/>
      <c r="U235" s="188"/>
      <c r="V235" s="188"/>
      <c r="W235" s="188"/>
      <c r="X235" s="188"/>
      <c r="Y235" s="188"/>
      <c r="Z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S245" s="188"/>
      <c r="T245" s="188"/>
      <c r="U245" s="188"/>
      <c r="V245" s="188"/>
      <c r="W245" s="188"/>
      <c r="X245" s="188"/>
      <c r="Y245" s="188"/>
      <c r="Z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S248" s="188"/>
      <c r="T248" s="188"/>
      <c r="U248" s="188"/>
      <c r="V248" s="188"/>
      <c r="W248" s="188"/>
      <c r="X248" s="188"/>
      <c r="Y248" s="188"/>
      <c r="Z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S252" s="188"/>
      <c r="T252" s="188"/>
      <c r="U252" s="188"/>
      <c r="V252" s="188"/>
      <c r="W252" s="188"/>
      <c r="X252" s="188"/>
      <c r="Y252" s="188"/>
      <c r="Z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S260" s="188"/>
      <c r="T260" s="188"/>
      <c r="U260" s="188"/>
      <c r="V260" s="188"/>
      <c r="W260" s="188"/>
      <c r="X260" s="188"/>
      <c r="Y260" s="188"/>
      <c r="Z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S265" s="188"/>
      <c r="T265" s="188"/>
      <c r="U265" s="188"/>
      <c r="V265" s="188"/>
      <c r="W265" s="188"/>
      <c r="X265" s="188"/>
      <c r="Y265" s="188"/>
      <c r="Z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O267" s="188"/>
      <c r="P267" s="188"/>
      <c r="Q267" s="188"/>
      <c r="S267" s="188"/>
      <c r="T267" s="188"/>
      <c r="U267" s="188"/>
      <c r="V267" s="188"/>
      <c r="W267" s="188"/>
      <c r="X267" s="188"/>
      <c r="Y267" s="188"/>
      <c r="Z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S272" s="188"/>
      <c r="T272" s="188"/>
      <c r="U272" s="188"/>
      <c r="V272" s="188"/>
      <c r="W272" s="188"/>
      <c r="X272" s="188"/>
      <c r="Y272" s="188"/>
      <c r="Z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S273" s="188"/>
      <c r="T273" s="188"/>
      <c r="U273" s="188"/>
      <c r="V273" s="188"/>
      <c r="W273" s="188"/>
      <c r="X273" s="188"/>
      <c r="Y273" s="188"/>
      <c r="Z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S274" s="188"/>
      <c r="T274" s="188"/>
      <c r="U274" s="188"/>
      <c r="V274" s="188"/>
      <c r="W274" s="188"/>
      <c r="X274" s="188"/>
      <c r="Y274" s="188"/>
      <c r="Z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S276" s="188"/>
      <c r="T276" s="188"/>
      <c r="U276" s="188"/>
      <c r="V276" s="188"/>
      <c r="W276" s="188"/>
      <c r="X276" s="188"/>
      <c r="Y276" s="188"/>
      <c r="Z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S277" s="188"/>
      <c r="T277" s="188"/>
      <c r="U277" s="188"/>
      <c r="V277" s="188"/>
      <c r="W277" s="188"/>
      <c r="X277" s="188"/>
      <c r="Y277" s="188"/>
      <c r="Z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S281" s="188"/>
      <c r="T281" s="188"/>
      <c r="U281" s="188"/>
      <c r="V281" s="188"/>
      <c r="W281" s="188"/>
      <c r="X281" s="188"/>
      <c r="Y281" s="188"/>
      <c r="Z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S289" s="188"/>
      <c r="T289" s="188"/>
      <c r="U289" s="188"/>
      <c r="V289" s="188"/>
      <c r="W289" s="188"/>
      <c r="X289" s="188"/>
      <c r="Y289" s="188"/>
      <c r="Z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S290" s="188"/>
      <c r="T290" s="188"/>
      <c r="U290" s="188"/>
      <c r="V290" s="188"/>
      <c r="W290" s="188"/>
      <c r="X290" s="188"/>
      <c r="Y290" s="188"/>
      <c r="Z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S298" s="188"/>
      <c r="T298" s="188"/>
      <c r="U298" s="188"/>
      <c r="V298" s="188"/>
      <c r="W298" s="188"/>
      <c r="X298" s="188"/>
      <c r="Y298" s="188"/>
      <c r="Z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S299" s="188"/>
      <c r="T299" s="188"/>
      <c r="U299" s="188"/>
      <c r="V299" s="188"/>
      <c r="W299" s="188"/>
      <c r="X299" s="188"/>
      <c r="Y299" s="188"/>
      <c r="Z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S302" s="188"/>
      <c r="T302" s="188"/>
      <c r="U302" s="188"/>
      <c r="V302" s="188"/>
      <c r="W302" s="188"/>
      <c r="X302" s="188"/>
      <c r="Y302" s="188"/>
      <c r="Z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S303" s="188"/>
      <c r="T303" s="188"/>
      <c r="U303" s="188"/>
      <c r="V303" s="188"/>
      <c r="W303" s="188"/>
      <c r="X303" s="188"/>
      <c r="Y303" s="188"/>
      <c r="Z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S304" s="188"/>
      <c r="T304" s="188"/>
      <c r="U304" s="188"/>
      <c r="V304" s="188"/>
      <c r="W304" s="188"/>
      <c r="X304" s="188"/>
      <c r="Y304" s="188"/>
      <c r="Z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S306" s="188"/>
      <c r="T306" s="188"/>
      <c r="U306" s="188"/>
      <c r="V306" s="188"/>
      <c r="W306" s="188"/>
      <c r="X306" s="188"/>
      <c r="Y306" s="188"/>
      <c r="Z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O308" s="188"/>
      <c r="P308" s="188"/>
      <c r="Q308" s="188"/>
      <c r="S308" s="188"/>
      <c r="T308" s="188"/>
      <c r="U308" s="188"/>
      <c r="V308" s="188"/>
      <c r="W308" s="188"/>
      <c r="X308" s="188"/>
      <c r="Y308" s="188"/>
      <c r="Z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S310" s="188"/>
      <c r="T310" s="188"/>
      <c r="U310" s="188"/>
      <c r="V310" s="188"/>
      <c r="W310" s="188"/>
      <c r="X310" s="188"/>
      <c r="Y310" s="188"/>
      <c r="Z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S311" s="188"/>
      <c r="T311" s="188"/>
      <c r="U311" s="188"/>
      <c r="V311" s="188"/>
      <c r="W311" s="188"/>
      <c r="X311" s="188"/>
      <c r="Y311" s="188"/>
      <c r="Z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O312" s="188"/>
      <c r="P312" s="188"/>
      <c r="Q312" s="188"/>
      <c r="S312" s="188"/>
      <c r="T312" s="188"/>
      <c r="U312" s="188"/>
      <c r="V312" s="188"/>
      <c r="W312" s="188"/>
      <c r="X312" s="188"/>
      <c r="Y312" s="188"/>
      <c r="Z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S313" s="188"/>
      <c r="T313" s="188"/>
      <c r="U313" s="188"/>
      <c r="V313" s="188"/>
      <c r="W313" s="188"/>
      <c r="X313" s="188"/>
      <c r="Y313" s="188"/>
      <c r="Z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S314" s="188"/>
      <c r="T314" s="188"/>
      <c r="U314" s="188"/>
      <c r="V314" s="188"/>
      <c r="W314" s="188"/>
      <c r="X314" s="188"/>
      <c r="Y314" s="188"/>
      <c r="Z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O315" s="188"/>
      <c r="P315" s="188"/>
      <c r="Q315" s="188"/>
      <c r="S315" s="188"/>
      <c r="T315" s="188"/>
      <c r="U315" s="188"/>
      <c r="V315" s="188"/>
      <c r="W315" s="188"/>
      <c r="X315" s="188"/>
      <c r="Y315" s="188"/>
      <c r="Z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S317" s="188"/>
      <c r="T317" s="188"/>
      <c r="U317" s="188"/>
      <c r="V317" s="188"/>
      <c r="W317" s="188"/>
      <c r="X317" s="188"/>
      <c r="Y317" s="188"/>
      <c r="Z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O318" s="188"/>
      <c r="P318" s="188"/>
      <c r="Q318" s="188"/>
      <c r="S318" s="188"/>
      <c r="T318" s="188"/>
      <c r="U318" s="188"/>
      <c r="V318" s="188"/>
      <c r="W318" s="188"/>
      <c r="X318" s="188"/>
      <c r="Y318" s="188"/>
      <c r="Z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O319" s="188"/>
      <c r="P319" s="188"/>
      <c r="Q319" s="188"/>
      <c r="S319" s="188"/>
      <c r="T319" s="188"/>
      <c r="U319" s="188"/>
      <c r="V319" s="188"/>
      <c r="W319" s="188"/>
      <c r="X319" s="188"/>
      <c r="Y319" s="188"/>
      <c r="Z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S321" s="188"/>
      <c r="T321" s="188"/>
      <c r="U321" s="188"/>
      <c r="V321" s="188"/>
      <c r="W321" s="188"/>
      <c r="X321" s="188"/>
      <c r="Y321" s="188"/>
      <c r="Z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S323" s="188"/>
      <c r="T323" s="188"/>
      <c r="U323" s="188"/>
      <c r="V323" s="188"/>
      <c r="W323" s="188"/>
      <c r="X323" s="188"/>
      <c r="Y323" s="188"/>
      <c r="Z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S325" s="188"/>
      <c r="T325" s="188"/>
      <c r="U325" s="188"/>
      <c r="V325" s="188"/>
      <c r="W325" s="188"/>
      <c r="X325" s="188"/>
      <c r="Y325" s="188"/>
      <c r="Z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O332" s="188"/>
      <c r="P332" s="188"/>
      <c r="Q332" s="188"/>
      <c r="S332" s="188"/>
      <c r="T332" s="188"/>
      <c r="U332" s="188"/>
      <c r="V332" s="188"/>
      <c r="W332" s="188"/>
      <c r="X332" s="188"/>
      <c r="Y332" s="188"/>
      <c r="Z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S337" s="188"/>
      <c r="T337" s="188"/>
      <c r="U337" s="188"/>
      <c r="V337" s="188"/>
      <c r="W337" s="188"/>
      <c r="X337" s="188"/>
      <c r="Y337" s="188"/>
      <c r="Z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S339" s="188"/>
      <c r="T339" s="188"/>
      <c r="U339" s="188"/>
      <c r="V339" s="188"/>
      <c r="W339" s="188"/>
      <c r="X339" s="188"/>
      <c r="Y339" s="188"/>
      <c r="Z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S340" s="188"/>
      <c r="T340" s="188"/>
      <c r="U340" s="188"/>
      <c r="V340" s="188"/>
      <c r="W340" s="188"/>
      <c r="X340" s="188"/>
      <c r="Y340" s="188"/>
      <c r="Z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O341" s="188"/>
      <c r="P341" s="188"/>
      <c r="Q341" s="188"/>
      <c r="S341" s="188"/>
      <c r="T341" s="188"/>
      <c r="U341" s="188"/>
      <c r="V341" s="188"/>
      <c r="W341" s="188"/>
      <c r="X341" s="188"/>
      <c r="Y341" s="188"/>
      <c r="Z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S344" s="188"/>
      <c r="T344" s="188"/>
      <c r="U344" s="188"/>
      <c r="V344" s="188"/>
      <c r="W344" s="188"/>
      <c r="X344" s="188"/>
      <c r="Y344" s="188"/>
      <c r="Z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S345" s="188"/>
      <c r="T345" s="188"/>
      <c r="U345" s="188"/>
      <c r="V345" s="188"/>
      <c r="W345" s="188"/>
      <c r="X345" s="188"/>
      <c r="Y345" s="188"/>
      <c r="Z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S346" s="188"/>
      <c r="T346" s="188"/>
      <c r="U346" s="188"/>
      <c r="V346" s="188"/>
      <c r="W346" s="188"/>
      <c r="X346" s="188"/>
      <c r="Y346" s="188"/>
      <c r="Z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S347" s="188"/>
      <c r="T347" s="188"/>
      <c r="U347" s="188"/>
      <c r="V347" s="188"/>
      <c r="W347" s="188"/>
      <c r="X347" s="188"/>
      <c r="Y347" s="188"/>
      <c r="Z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S352" s="188"/>
      <c r="T352" s="188"/>
      <c r="U352" s="188"/>
      <c r="V352" s="188"/>
      <c r="W352" s="188"/>
      <c r="X352" s="188"/>
      <c r="Y352" s="188"/>
      <c r="Z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S358" s="188"/>
      <c r="T358" s="188"/>
      <c r="U358" s="188"/>
      <c r="V358" s="188"/>
      <c r="W358" s="188"/>
      <c r="X358" s="188"/>
      <c r="Y358" s="188"/>
      <c r="Z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S362" s="188"/>
      <c r="T362" s="188"/>
      <c r="U362" s="188"/>
      <c r="V362" s="188"/>
      <c r="W362" s="188"/>
      <c r="X362" s="188"/>
      <c r="Y362" s="188"/>
      <c r="Z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S363" s="188"/>
      <c r="T363" s="188"/>
      <c r="U363" s="188"/>
      <c r="V363" s="188"/>
      <c r="W363" s="188"/>
      <c r="X363" s="188"/>
      <c r="Y363" s="188"/>
      <c r="Z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S366" s="188"/>
      <c r="T366" s="188"/>
      <c r="U366" s="188"/>
      <c r="V366" s="188"/>
      <c r="W366" s="188"/>
      <c r="X366" s="188"/>
      <c r="Y366" s="188"/>
      <c r="Z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S368" s="188"/>
      <c r="T368" s="188"/>
      <c r="U368" s="188"/>
      <c r="V368" s="188"/>
      <c r="W368" s="188"/>
      <c r="X368" s="188"/>
      <c r="Y368" s="188"/>
      <c r="Z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S369" s="188"/>
      <c r="T369" s="188"/>
      <c r="U369" s="188"/>
      <c r="V369" s="188"/>
      <c r="W369" s="188"/>
      <c r="X369" s="188"/>
      <c r="Y369" s="188"/>
      <c r="Z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S373" s="188"/>
      <c r="T373" s="188"/>
      <c r="U373" s="188"/>
      <c r="V373" s="188"/>
      <c r="W373" s="188"/>
      <c r="X373" s="188"/>
      <c r="Y373" s="188"/>
      <c r="Z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S378" s="188"/>
      <c r="T378" s="188"/>
      <c r="U378" s="188"/>
      <c r="V378" s="188"/>
      <c r="W378" s="188"/>
      <c r="X378" s="188"/>
      <c r="Y378" s="188"/>
      <c r="Z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S386" s="188"/>
      <c r="T386" s="188"/>
      <c r="U386" s="188"/>
      <c r="V386" s="188"/>
      <c r="W386" s="188"/>
      <c r="X386" s="188"/>
      <c r="Y386" s="188"/>
      <c r="Z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  <c r="AA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90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92</v>
      </c>
      <c r="G1" s="1" t="s">
        <v>125</v>
      </c>
      <c r="H1" s="1" t="s">
        <v>126</v>
      </c>
      <c r="I1" s="1" t="s">
        <v>127</v>
      </c>
      <c r="J1" s="1" t="s">
        <v>128</v>
      </c>
      <c r="K1" s="1" t="s">
        <v>129</v>
      </c>
      <c r="L1" s="1" t="s">
        <v>130</v>
      </c>
      <c r="M1" s="1" t="s">
        <v>131</v>
      </c>
      <c r="N1" s="1" t="s">
        <v>132</v>
      </c>
      <c r="O1" s="1" t="s">
        <v>133</v>
      </c>
    </row>
    <row r="2">
      <c r="A2" s="191">
        <v>45526.0</v>
      </c>
      <c r="B2" s="1" t="s">
        <v>149</v>
      </c>
      <c r="C2" s="1" t="s">
        <v>135</v>
      </c>
      <c r="D2" s="4">
        <v>359.0</v>
      </c>
      <c r="E2" s="4">
        <v>0.0</v>
      </c>
      <c r="F2" s="1" t="s">
        <v>160</v>
      </c>
      <c r="G2" s="1" t="s">
        <v>150</v>
      </c>
      <c r="H2" s="1" t="s">
        <v>138</v>
      </c>
      <c r="I2" s="1" t="s">
        <v>399</v>
      </c>
      <c r="J2" s="1" t="s">
        <v>400</v>
      </c>
      <c r="K2" s="1" t="s">
        <v>401</v>
      </c>
      <c r="L2" s="1" t="s">
        <v>402</v>
      </c>
      <c r="M2" s="4">
        <v>1.0</v>
      </c>
      <c r="N2" s="4">
        <v>0.009616666666666667</v>
      </c>
      <c r="O2" s="4">
        <v>19.8371</v>
      </c>
    </row>
    <row r="3">
      <c r="A3" s="191">
        <v>45526.0</v>
      </c>
      <c r="B3" s="1" t="s">
        <v>149</v>
      </c>
      <c r="C3" s="1" t="s">
        <v>135</v>
      </c>
      <c r="D3" s="4">
        <v>407.0</v>
      </c>
      <c r="E3" s="4">
        <v>0.0</v>
      </c>
      <c r="F3" s="1" t="s">
        <v>160</v>
      </c>
      <c r="G3" s="1" t="s">
        <v>150</v>
      </c>
      <c r="H3" s="1" t="s">
        <v>138</v>
      </c>
      <c r="I3" s="1" t="s">
        <v>403</v>
      </c>
      <c r="J3" s="1" t="s">
        <v>404</v>
      </c>
      <c r="K3" s="1" t="s">
        <v>405</v>
      </c>
      <c r="L3" s="1" t="s">
        <v>406</v>
      </c>
      <c r="M3" s="4">
        <v>-2.0</v>
      </c>
      <c r="N3" s="4">
        <v>0.013783333333333333</v>
      </c>
      <c r="O3" s="4">
        <v>14.15185</v>
      </c>
    </row>
    <row r="4">
      <c r="A4" s="191">
        <v>45526.0</v>
      </c>
      <c r="B4" s="1" t="s">
        <v>149</v>
      </c>
      <c r="C4" s="1" t="s">
        <v>135</v>
      </c>
      <c r="D4" s="4">
        <v>393.0</v>
      </c>
      <c r="E4" s="4">
        <v>0.0</v>
      </c>
      <c r="F4" s="1" t="s">
        <v>160</v>
      </c>
      <c r="G4" s="1" t="s">
        <v>150</v>
      </c>
      <c r="H4" s="1" t="s">
        <v>143</v>
      </c>
      <c r="I4" s="1" t="s">
        <v>407</v>
      </c>
      <c r="J4" s="1" t="s">
        <v>408</v>
      </c>
      <c r="K4" s="1" t="s">
        <v>409</v>
      </c>
      <c r="L4" s="1" t="s">
        <v>410</v>
      </c>
      <c r="M4" s="4">
        <v>-13.0</v>
      </c>
      <c r="N4" s="4">
        <v>0.014966666666666666</v>
      </c>
      <c r="O4" s="4">
        <v>20.348133333333333</v>
      </c>
    </row>
    <row r="5">
      <c r="A5" s="191">
        <v>45526.0</v>
      </c>
      <c r="B5" s="1" t="s">
        <v>149</v>
      </c>
      <c r="C5" s="1" t="s">
        <v>135</v>
      </c>
      <c r="D5" s="4">
        <v>266.0</v>
      </c>
      <c r="E5" s="4">
        <v>0.0</v>
      </c>
      <c r="F5" s="1" t="s">
        <v>160</v>
      </c>
      <c r="G5" s="1" t="s">
        <v>150</v>
      </c>
      <c r="H5" s="1" t="s">
        <v>138</v>
      </c>
      <c r="I5" s="1" t="s">
        <v>411</v>
      </c>
      <c r="J5" s="1" t="s">
        <v>412</v>
      </c>
      <c r="K5" s="1" t="s">
        <v>413</v>
      </c>
      <c r="L5" s="1" t="s">
        <v>414</v>
      </c>
      <c r="M5" s="4">
        <v>0.0</v>
      </c>
      <c r="N5" s="4">
        <v>0.008666666666666666</v>
      </c>
      <c r="O5" s="4">
        <v>12.345516666666667</v>
      </c>
    </row>
    <row r="6">
      <c r="A6" s="191">
        <v>45526.0</v>
      </c>
      <c r="B6" s="1" t="s">
        <v>149</v>
      </c>
      <c r="C6" s="1" t="s">
        <v>135</v>
      </c>
      <c r="D6" s="4">
        <v>396.0</v>
      </c>
      <c r="E6" s="4">
        <v>0.0</v>
      </c>
      <c r="F6" s="1" t="s">
        <v>160</v>
      </c>
      <c r="G6" s="1" t="s">
        <v>150</v>
      </c>
      <c r="H6" s="1" t="s">
        <v>143</v>
      </c>
      <c r="I6" s="1" t="s">
        <v>415</v>
      </c>
      <c r="J6" s="1" t="s">
        <v>416</v>
      </c>
      <c r="K6" s="1" t="s">
        <v>417</v>
      </c>
      <c r="L6" s="1" t="s">
        <v>418</v>
      </c>
      <c r="M6" s="4">
        <v>11.0</v>
      </c>
      <c r="N6" s="4">
        <v>0.011066666666666667</v>
      </c>
      <c r="O6" s="4">
        <v>17.385016666666665</v>
      </c>
    </row>
    <row r="7">
      <c r="A7" s="191">
        <v>45526.0</v>
      </c>
      <c r="B7" s="1" t="s">
        <v>149</v>
      </c>
      <c r="C7" s="1" t="s">
        <v>135</v>
      </c>
      <c r="D7" s="4">
        <v>651.0</v>
      </c>
      <c r="E7" s="4">
        <v>30.0</v>
      </c>
      <c r="F7" s="1" t="s">
        <v>160</v>
      </c>
      <c r="G7" s="1" t="s">
        <v>150</v>
      </c>
      <c r="H7" s="1" t="s">
        <v>138</v>
      </c>
      <c r="I7" s="1" t="s">
        <v>419</v>
      </c>
      <c r="J7" s="1" t="s">
        <v>420</v>
      </c>
      <c r="K7" s="1" t="s">
        <v>421</v>
      </c>
      <c r="L7" s="1" t="s">
        <v>422</v>
      </c>
      <c r="M7" s="4">
        <v>0.0</v>
      </c>
      <c r="N7" s="4">
        <v>0.01355</v>
      </c>
      <c r="O7" s="4">
        <v>11.090183333333334</v>
      </c>
    </row>
    <row r="8">
      <c r="A8" s="191">
        <v>45526.0</v>
      </c>
      <c r="B8" s="1" t="s">
        <v>149</v>
      </c>
      <c r="C8" s="1" t="s">
        <v>135</v>
      </c>
      <c r="D8" s="4">
        <v>344.0</v>
      </c>
      <c r="E8" s="4">
        <v>0.0</v>
      </c>
      <c r="F8" s="1" t="s">
        <v>160</v>
      </c>
      <c r="G8" s="1" t="s">
        <v>150</v>
      </c>
      <c r="H8" s="1" t="s">
        <v>143</v>
      </c>
      <c r="I8" s="1" t="s">
        <v>423</v>
      </c>
      <c r="J8" s="1" t="s">
        <v>424</v>
      </c>
      <c r="K8" s="1" t="s">
        <v>425</v>
      </c>
      <c r="L8" s="1" t="s">
        <v>426</v>
      </c>
      <c r="M8" s="4">
        <v>0.0</v>
      </c>
      <c r="N8" s="4">
        <v>0.00785</v>
      </c>
      <c r="O8" s="4">
        <v>21.534183333333335</v>
      </c>
    </row>
    <row r="9">
      <c r="A9" s="191">
        <v>45526.0</v>
      </c>
      <c r="B9" s="1" t="s">
        <v>149</v>
      </c>
      <c r="C9" s="1" t="s">
        <v>135</v>
      </c>
      <c r="D9" s="4">
        <v>553.0</v>
      </c>
      <c r="E9" s="4">
        <v>0.0</v>
      </c>
      <c r="F9" s="1" t="s">
        <v>160</v>
      </c>
      <c r="G9" s="1" t="s">
        <v>150</v>
      </c>
      <c r="H9" s="1" t="s">
        <v>143</v>
      </c>
      <c r="I9" s="1" t="s">
        <v>427</v>
      </c>
      <c r="J9" s="1" t="s">
        <v>428</v>
      </c>
      <c r="K9" s="1" t="s">
        <v>429</v>
      </c>
      <c r="L9" s="1" t="s">
        <v>430</v>
      </c>
      <c r="M9" s="4">
        <v>15.0</v>
      </c>
      <c r="N9" s="4">
        <v>0.0117</v>
      </c>
      <c r="O9" s="4">
        <v>39.47345</v>
      </c>
    </row>
    <row r="10">
      <c r="A10" s="191">
        <v>45526.0</v>
      </c>
      <c r="B10" s="1" t="s">
        <v>141</v>
      </c>
      <c r="C10" s="1" t="s">
        <v>135</v>
      </c>
      <c r="D10" s="4">
        <v>1122.0</v>
      </c>
      <c r="E10" s="4">
        <v>0.0</v>
      </c>
      <c r="F10" s="1" t="s">
        <v>160</v>
      </c>
      <c r="G10" s="1" t="s">
        <v>150</v>
      </c>
      <c r="H10" s="1" t="s">
        <v>143</v>
      </c>
      <c r="I10" s="1" t="s">
        <v>431</v>
      </c>
      <c r="J10" s="1" t="s">
        <v>432</v>
      </c>
      <c r="K10" s="1" t="s">
        <v>433</v>
      </c>
      <c r="L10" s="1" t="s">
        <v>434</v>
      </c>
      <c r="M10" s="4">
        <v>2.0</v>
      </c>
      <c r="N10" s="4">
        <v>0.0123</v>
      </c>
      <c r="O10" s="4">
        <v>15.842183333333333</v>
      </c>
    </row>
    <row r="11">
      <c r="A11" s="191">
        <v>45527.0</v>
      </c>
      <c r="B11" s="1" t="s">
        <v>149</v>
      </c>
      <c r="C11" s="1" t="s">
        <v>435</v>
      </c>
      <c r="D11" s="4">
        <v>488.0</v>
      </c>
      <c r="E11" s="4">
        <v>0.0</v>
      </c>
      <c r="F11" s="1" t="s">
        <v>104</v>
      </c>
      <c r="G11" s="1" t="s">
        <v>150</v>
      </c>
      <c r="H11" s="1" t="s">
        <v>138</v>
      </c>
      <c r="I11" s="1" t="s">
        <v>436</v>
      </c>
      <c r="L11" s="1" t="s">
        <v>437</v>
      </c>
      <c r="M11" s="4">
        <v>0.0</v>
      </c>
      <c r="N11" s="4">
        <v>9.357066666666666</v>
      </c>
    </row>
    <row r="12">
      <c r="A12" s="191">
        <v>45527.0</v>
      </c>
      <c r="B12" s="1" t="s">
        <v>146</v>
      </c>
      <c r="C12" s="1" t="s">
        <v>166</v>
      </c>
      <c r="D12" s="4">
        <v>500.0</v>
      </c>
      <c r="E12" s="4">
        <v>0.0</v>
      </c>
      <c r="F12" s="1" t="s">
        <v>104</v>
      </c>
      <c r="G12" s="1" t="s">
        <v>137</v>
      </c>
      <c r="H12" s="1" t="s">
        <v>138</v>
      </c>
      <c r="I12" s="1" t="s">
        <v>438</v>
      </c>
      <c r="J12" s="1" t="s">
        <v>439</v>
      </c>
      <c r="K12" s="1" t="s">
        <v>439</v>
      </c>
      <c r="M12" s="4">
        <v>-11.0</v>
      </c>
      <c r="O12" s="4">
        <v>8.425416666666667</v>
      </c>
    </row>
    <row r="13">
      <c r="A13" s="191">
        <v>45527.0</v>
      </c>
      <c r="B13" s="1" t="s">
        <v>165</v>
      </c>
      <c r="C13" s="1" t="s">
        <v>166</v>
      </c>
      <c r="D13" s="4">
        <v>264.0</v>
      </c>
      <c r="E13" s="4">
        <v>0.0</v>
      </c>
      <c r="G13" s="1" t="s">
        <v>137</v>
      </c>
      <c r="H13" s="1" t="s">
        <v>138</v>
      </c>
      <c r="I13" s="1" t="s">
        <v>440</v>
      </c>
      <c r="J13" s="1" t="s">
        <v>441</v>
      </c>
      <c r="K13" s="1" t="s">
        <v>441</v>
      </c>
      <c r="M13" s="4">
        <v>1.0</v>
      </c>
      <c r="O13" s="4">
        <v>8.55365</v>
      </c>
    </row>
    <row r="14">
      <c r="A14" s="191">
        <v>45527.0</v>
      </c>
      <c r="B14" s="1" t="s">
        <v>141</v>
      </c>
      <c r="C14" s="1" t="s">
        <v>166</v>
      </c>
      <c r="D14" s="4">
        <v>119.0</v>
      </c>
      <c r="E14" s="4">
        <v>0.0</v>
      </c>
      <c r="G14" s="1" t="s">
        <v>142</v>
      </c>
      <c r="H14" s="1" t="s">
        <v>143</v>
      </c>
      <c r="I14" s="1" t="s">
        <v>442</v>
      </c>
      <c r="J14" s="1" t="s">
        <v>443</v>
      </c>
      <c r="K14" s="1" t="s">
        <v>443</v>
      </c>
      <c r="M14" s="4">
        <v>-4.0</v>
      </c>
      <c r="O14" s="4">
        <v>0.7371</v>
      </c>
    </row>
    <row r="15">
      <c r="A15" s="191">
        <v>45527.0</v>
      </c>
      <c r="B15" s="1" t="s">
        <v>141</v>
      </c>
      <c r="C15" s="1" t="s">
        <v>435</v>
      </c>
      <c r="D15" s="4">
        <v>249.0</v>
      </c>
      <c r="E15" s="4">
        <v>0.0</v>
      </c>
      <c r="G15" s="1" t="s">
        <v>150</v>
      </c>
      <c r="H15" s="1" t="s">
        <v>143</v>
      </c>
      <c r="I15" s="1" t="s">
        <v>444</v>
      </c>
      <c r="L15" s="1" t="s">
        <v>445</v>
      </c>
      <c r="M15" s="4">
        <v>0.0</v>
      </c>
      <c r="N15" s="4">
        <v>0.010983333333333333</v>
      </c>
    </row>
    <row r="16">
      <c r="A16" s="191">
        <v>45527.0</v>
      </c>
      <c r="B16" s="1" t="s">
        <v>149</v>
      </c>
      <c r="C16" s="1" t="s">
        <v>166</v>
      </c>
      <c r="D16" s="4">
        <v>247.0</v>
      </c>
      <c r="E16" s="4">
        <v>62.0</v>
      </c>
      <c r="G16" s="1" t="s">
        <v>142</v>
      </c>
      <c r="H16" s="1" t="s">
        <v>232</v>
      </c>
      <c r="I16" s="1" t="s">
        <v>446</v>
      </c>
      <c r="J16" s="1" t="s">
        <v>447</v>
      </c>
      <c r="K16" s="1" t="s">
        <v>447</v>
      </c>
      <c r="M16" s="4">
        <v>-15.0</v>
      </c>
      <c r="O16" s="4">
        <v>4.72265</v>
      </c>
    </row>
    <row r="17">
      <c r="A17" s="191">
        <v>45527.0</v>
      </c>
      <c r="B17" s="1" t="s">
        <v>134</v>
      </c>
      <c r="C17" s="1" t="s">
        <v>166</v>
      </c>
      <c r="D17" s="4">
        <v>450.0</v>
      </c>
      <c r="E17" s="4">
        <v>0.0</v>
      </c>
      <c r="F17" s="1" t="s">
        <v>448</v>
      </c>
      <c r="G17" s="1" t="s">
        <v>137</v>
      </c>
      <c r="H17" s="1" t="s">
        <v>138</v>
      </c>
      <c r="I17" s="1" t="s">
        <v>449</v>
      </c>
      <c r="J17" s="1" t="s">
        <v>450</v>
      </c>
      <c r="K17" s="1" t="s">
        <v>450</v>
      </c>
      <c r="M17" s="4">
        <v>-4.0</v>
      </c>
      <c r="O17" s="4">
        <v>10.7798</v>
      </c>
    </row>
    <row r="18">
      <c r="A18" s="191">
        <v>45527.0</v>
      </c>
      <c r="B18" s="1" t="s">
        <v>146</v>
      </c>
      <c r="C18" s="1" t="s">
        <v>135</v>
      </c>
      <c r="D18" s="4">
        <v>168.0</v>
      </c>
      <c r="E18" s="4">
        <v>0.0</v>
      </c>
      <c r="F18" s="1" t="s">
        <v>104</v>
      </c>
      <c r="G18" s="1" t="s">
        <v>137</v>
      </c>
      <c r="H18" s="1" t="s">
        <v>138</v>
      </c>
      <c r="I18" s="1" t="s">
        <v>451</v>
      </c>
      <c r="J18" s="1" t="s">
        <v>452</v>
      </c>
      <c r="K18" s="1" t="s">
        <v>452</v>
      </c>
      <c r="M18" s="4">
        <v>-7.0</v>
      </c>
      <c r="O18" s="4">
        <v>7.8761833333333335</v>
      </c>
    </row>
    <row r="19">
      <c r="A19" s="191">
        <v>45527.0</v>
      </c>
      <c r="B19" s="1" t="s">
        <v>165</v>
      </c>
      <c r="C19" s="1" t="s">
        <v>166</v>
      </c>
      <c r="D19" s="4">
        <v>354.0</v>
      </c>
      <c r="E19" s="4">
        <v>150.0</v>
      </c>
      <c r="G19" s="1" t="s">
        <v>137</v>
      </c>
      <c r="H19" s="1" t="s">
        <v>138</v>
      </c>
      <c r="I19" s="1" t="s">
        <v>453</v>
      </c>
      <c r="J19" s="1" t="s">
        <v>454</v>
      </c>
      <c r="K19" s="1" t="s">
        <v>454</v>
      </c>
      <c r="O19" s="4">
        <v>16.840116666666667</v>
      </c>
    </row>
    <row r="20">
      <c r="A20" s="191">
        <v>45527.0</v>
      </c>
      <c r="B20" s="1" t="s">
        <v>149</v>
      </c>
      <c r="C20" s="1" t="s">
        <v>166</v>
      </c>
      <c r="D20" s="4">
        <v>247.0</v>
      </c>
      <c r="E20" s="4">
        <v>62.0</v>
      </c>
      <c r="G20" s="1" t="s">
        <v>142</v>
      </c>
      <c r="H20" s="1" t="s">
        <v>232</v>
      </c>
      <c r="I20" s="1" t="s">
        <v>455</v>
      </c>
      <c r="J20" s="1" t="s">
        <v>456</v>
      </c>
      <c r="K20" s="1" t="s">
        <v>456</v>
      </c>
      <c r="M20" s="4">
        <v>-12.0</v>
      </c>
      <c r="O20" s="4">
        <v>7.465166666666667</v>
      </c>
    </row>
    <row r="21">
      <c r="A21" s="191">
        <v>45527.0</v>
      </c>
      <c r="B21" s="1" t="s">
        <v>165</v>
      </c>
      <c r="C21" s="1" t="s">
        <v>135</v>
      </c>
      <c r="D21" s="4">
        <v>369.0</v>
      </c>
      <c r="E21" s="4">
        <v>0.0</v>
      </c>
      <c r="G21" s="1" t="s">
        <v>137</v>
      </c>
      <c r="H21" s="1" t="s">
        <v>143</v>
      </c>
      <c r="I21" s="1" t="s">
        <v>457</v>
      </c>
      <c r="J21" s="1" t="s">
        <v>458</v>
      </c>
      <c r="K21" s="1" t="s">
        <v>458</v>
      </c>
      <c r="M21" s="4">
        <v>0.0</v>
      </c>
      <c r="O21" s="4">
        <v>6.96555</v>
      </c>
    </row>
    <row r="22">
      <c r="A22" s="191">
        <v>45527.0</v>
      </c>
      <c r="B22" s="1" t="s">
        <v>146</v>
      </c>
      <c r="C22" s="1" t="s">
        <v>135</v>
      </c>
      <c r="D22" s="4">
        <v>593.0</v>
      </c>
      <c r="E22" s="4">
        <v>0.0</v>
      </c>
      <c r="F22" s="1" t="s">
        <v>104</v>
      </c>
      <c r="G22" s="1" t="s">
        <v>137</v>
      </c>
      <c r="H22" s="1" t="s">
        <v>138</v>
      </c>
      <c r="I22" s="1" t="s">
        <v>459</v>
      </c>
      <c r="J22" s="1" t="s">
        <v>460</v>
      </c>
      <c r="K22" s="1" t="s">
        <v>460</v>
      </c>
      <c r="M22" s="4">
        <v>-4.0</v>
      </c>
      <c r="O22" s="4">
        <v>15.161783333333334</v>
      </c>
    </row>
    <row r="23">
      <c r="A23" s="191">
        <v>45527.0</v>
      </c>
      <c r="B23" s="1" t="s">
        <v>165</v>
      </c>
      <c r="C23" s="1" t="s">
        <v>135</v>
      </c>
      <c r="D23" s="4">
        <v>378.0</v>
      </c>
      <c r="E23" s="4">
        <v>0.0</v>
      </c>
      <c r="G23" s="1" t="s">
        <v>137</v>
      </c>
      <c r="H23" s="1" t="s">
        <v>138</v>
      </c>
      <c r="I23" s="1" t="s">
        <v>461</v>
      </c>
      <c r="J23" s="1" t="s">
        <v>462</v>
      </c>
      <c r="K23" s="1" t="s">
        <v>462</v>
      </c>
      <c r="M23" s="4">
        <v>-2.0</v>
      </c>
      <c r="O23" s="4">
        <v>5.419316666666667</v>
      </c>
    </row>
    <row r="24">
      <c r="A24" s="191">
        <v>45527.0</v>
      </c>
      <c r="B24" s="1" t="s">
        <v>149</v>
      </c>
      <c r="C24" s="1" t="s">
        <v>135</v>
      </c>
      <c r="D24" s="4">
        <v>250.0</v>
      </c>
      <c r="E24" s="4">
        <v>0.0</v>
      </c>
      <c r="F24" s="1" t="s">
        <v>104</v>
      </c>
      <c r="G24" s="1" t="s">
        <v>150</v>
      </c>
      <c r="H24" s="1" t="s">
        <v>143</v>
      </c>
      <c r="I24" s="1" t="s">
        <v>463</v>
      </c>
      <c r="J24" s="1" t="s">
        <v>464</v>
      </c>
      <c r="K24" s="1" t="s">
        <v>465</v>
      </c>
      <c r="L24" s="1" t="s">
        <v>466</v>
      </c>
      <c r="M24" s="4">
        <v>-8.0</v>
      </c>
      <c r="N24" s="4">
        <v>6.477016666666667</v>
      </c>
      <c r="O24" s="4">
        <v>7.927716666666667</v>
      </c>
    </row>
    <row r="25">
      <c r="A25" s="191">
        <v>45527.0</v>
      </c>
      <c r="B25" s="1" t="s">
        <v>149</v>
      </c>
      <c r="C25" s="1" t="s">
        <v>135</v>
      </c>
      <c r="D25" s="4">
        <v>199.0</v>
      </c>
      <c r="E25" s="4">
        <v>50.0</v>
      </c>
      <c r="G25" s="1" t="s">
        <v>142</v>
      </c>
      <c r="H25" s="1" t="s">
        <v>143</v>
      </c>
      <c r="I25" s="1" t="s">
        <v>467</v>
      </c>
      <c r="J25" s="1" t="s">
        <v>468</v>
      </c>
      <c r="K25" s="1" t="s">
        <v>468</v>
      </c>
      <c r="M25" s="4">
        <v>-11.0</v>
      </c>
      <c r="O25" s="4">
        <v>7.2126</v>
      </c>
    </row>
    <row r="26">
      <c r="A26" s="191">
        <v>45527.0</v>
      </c>
      <c r="B26" s="1" t="s">
        <v>149</v>
      </c>
      <c r="C26" s="1" t="s">
        <v>135</v>
      </c>
      <c r="D26" s="4">
        <v>395.0</v>
      </c>
      <c r="E26" s="4">
        <v>0.0</v>
      </c>
      <c r="F26" s="1" t="s">
        <v>469</v>
      </c>
      <c r="G26" s="1" t="s">
        <v>150</v>
      </c>
      <c r="H26" s="1" t="s">
        <v>138</v>
      </c>
      <c r="I26" s="1" t="s">
        <v>470</v>
      </c>
      <c r="J26" s="1" t="s">
        <v>471</v>
      </c>
      <c r="K26" s="1" t="s">
        <v>472</v>
      </c>
      <c r="L26" s="1" t="s">
        <v>473</v>
      </c>
      <c r="M26" s="4">
        <v>-14.0</v>
      </c>
      <c r="N26" s="4">
        <v>0.0159</v>
      </c>
      <c r="O26" s="4">
        <v>5.320133333333334</v>
      </c>
    </row>
    <row r="27">
      <c r="A27" s="191">
        <v>45527.0</v>
      </c>
      <c r="B27" s="1" t="s">
        <v>149</v>
      </c>
      <c r="C27" s="1" t="s">
        <v>135</v>
      </c>
      <c r="D27" s="4">
        <v>414.0</v>
      </c>
      <c r="E27" s="4">
        <v>0.0</v>
      </c>
      <c r="F27" s="1" t="s">
        <v>469</v>
      </c>
      <c r="G27" s="1" t="s">
        <v>150</v>
      </c>
      <c r="H27" s="1" t="s">
        <v>143</v>
      </c>
      <c r="I27" s="1" t="s">
        <v>474</v>
      </c>
      <c r="J27" s="1" t="s">
        <v>475</v>
      </c>
      <c r="K27" s="1" t="s">
        <v>476</v>
      </c>
      <c r="L27" s="1" t="s">
        <v>477</v>
      </c>
      <c r="M27" s="4">
        <v>-10.0</v>
      </c>
      <c r="N27" s="4">
        <v>0.01065</v>
      </c>
      <c r="O27" s="4">
        <v>8.080083333333333</v>
      </c>
    </row>
    <row r="28">
      <c r="A28" s="191">
        <v>45527.0</v>
      </c>
      <c r="B28" s="1" t="s">
        <v>165</v>
      </c>
      <c r="C28" s="1" t="s">
        <v>135</v>
      </c>
      <c r="D28" s="4">
        <v>299.0</v>
      </c>
      <c r="E28" s="4">
        <v>0.0</v>
      </c>
      <c r="G28" s="1" t="s">
        <v>137</v>
      </c>
      <c r="H28" s="1" t="s">
        <v>138</v>
      </c>
      <c r="I28" s="1" t="s">
        <v>478</v>
      </c>
      <c r="J28" s="1" t="s">
        <v>479</v>
      </c>
      <c r="K28" s="1" t="s">
        <v>479</v>
      </c>
      <c r="M28" s="4">
        <v>2.0</v>
      </c>
      <c r="O28" s="4">
        <v>9.92945</v>
      </c>
    </row>
    <row r="29">
      <c r="A29" s="191">
        <v>45527.0</v>
      </c>
      <c r="B29" s="1" t="s">
        <v>165</v>
      </c>
      <c r="C29" s="1" t="s">
        <v>135</v>
      </c>
      <c r="D29" s="4">
        <v>508.0</v>
      </c>
      <c r="E29" s="4">
        <v>150.0</v>
      </c>
      <c r="G29" s="1" t="s">
        <v>137</v>
      </c>
      <c r="H29" s="1" t="s">
        <v>138</v>
      </c>
      <c r="I29" s="1" t="s">
        <v>480</v>
      </c>
      <c r="J29" s="1" t="s">
        <v>481</v>
      </c>
      <c r="K29" s="1" t="s">
        <v>481</v>
      </c>
      <c r="M29" s="4">
        <v>0.0</v>
      </c>
      <c r="O29" s="4">
        <v>9.034333333333333</v>
      </c>
    </row>
    <row r="30">
      <c r="A30" s="191">
        <v>45527.0</v>
      </c>
      <c r="B30" s="1" t="s">
        <v>165</v>
      </c>
      <c r="C30" s="1" t="s">
        <v>135</v>
      </c>
      <c r="D30" s="4">
        <v>313.0</v>
      </c>
      <c r="E30" s="4">
        <v>0.0</v>
      </c>
      <c r="G30" s="1" t="s">
        <v>137</v>
      </c>
      <c r="H30" s="1" t="s">
        <v>138</v>
      </c>
      <c r="I30" s="1" t="s">
        <v>482</v>
      </c>
      <c r="J30" s="1" t="s">
        <v>483</v>
      </c>
      <c r="K30" s="1" t="s">
        <v>483</v>
      </c>
      <c r="M30" s="4">
        <v>0.0</v>
      </c>
      <c r="O30" s="4">
        <v>7.600966666666666</v>
      </c>
    </row>
    <row r="31">
      <c r="A31" s="191">
        <v>45527.0</v>
      </c>
      <c r="B31" s="1" t="s">
        <v>165</v>
      </c>
      <c r="C31" s="1" t="s">
        <v>135</v>
      </c>
      <c r="D31" s="4">
        <v>271.0</v>
      </c>
      <c r="E31" s="4">
        <v>50.0</v>
      </c>
      <c r="G31" s="1" t="s">
        <v>137</v>
      </c>
      <c r="H31" s="1" t="s">
        <v>138</v>
      </c>
      <c r="I31" s="1" t="s">
        <v>484</v>
      </c>
      <c r="J31" s="1" t="s">
        <v>485</v>
      </c>
      <c r="K31" s="1" t="s">
        <v>485</v>
      </c>
      <c r="M31" s="4">
        <v>3.0</v>
      </c>
      <c r="O31" s="4">
        <v>10.549866666666667</v>
      </c>
    </row>
    <row r="32">
      <c r="A32" s="191">
        <v>45527.0</v>
      </c>
      <c r="B32" s="1" t="s">
        <v>146</v>
      </c>
      <c r="C32" s="1" t="s">
        <v>135</v>
      </c>
      <c r="D32" s="4">
        <v>370.0</v>
      </c>
      <c r="E32" s="4">
        <v>0.0</v>
      </c>
      <c r="F32" s="1" t="s">
        <v>104</v>
      </c>
      <c r="G32" s="1" t="s">
        <v>137</v>
      </c>
      <c r="H32" s="1" t="s">
        <v>138</v>
      </c>
      <c r="I32" s="1" t="s">
        <v>486</v>
      </c>
      <c r="J32" s="1" t="s">
        <v>487</v>
      </c>
      <c r="K32" s="1" t="s">
        <v>487</v>
      </c>
      <c r="M32" s="4">
        <v>-4.0</v>
      </c>
      <c r="O32" s="4">
        <v>10.44875</v>
      </c>
    </row>
    <row r="33">
      <c r="A33" s="191">
        <v>45527.0</v>
      </c>
      <c r="B33" s="1" t="s">
        <v>134</v>
      </c>
      <c r="C33" s="1" t="s">
        <v>135</v>
      </c>
      <c r="D33" s="4">
        <v>658.0</v>
      </c>
      <c r="E33" s="4">
        <v>0.0</v>
      </c>
      <c r="F33" s="1" t="s">
        <v>488</v>
      </c>
      <c r="G33" s="1" t="s">
        <v>137</v>
      </c>
      <c r="H33" s="1" t="s">
        <v>138</v>
      </c>
      <c r="I33" s="1" t="s">
        <v>489</v>
      </c>
      <c r="J33" s="1" t="s">
        <v>490</v>
      </c>
      <c r="K33" s="1" t="s">
        <v>490</v>
      </c>
      <c r="M33" s="4">
        <v>-8.0</v>
      </c>
      <c r="O33" s="4">
        <v>11.36635</v>
      </c>
    </row>
    <row r="34">
      <c r="A34" s="191">
        <v>45527.0</v>
      </c>
      <c r="B34" s="1" t="s">
        <v>165</v>
      </c>
      <c r="C34" s="1" t="s">
        <v>135</v>
      </c>
      <c r="D34" s="4">
        <v>329.0</v>
      </c>
      <c r="E34" s="4">
        <v>0.0</v>
      </c>
      <c r="G34" s="1" t="s">
        <v>137</v>
      </c>
      <c r="H34" s="1" t="s">
        <v>143</v>
      </c>
      <c r="I34" s="1" t="s">
        <v>491</v>
      </c>
      <c r="J34" s="1" t="s">
        <v>492</v>
      </c>
      <c r="K34" s="1" t="s">
        <v>492</v>
      </c>
      <c r="M34" s="4">
        <v>0.0</v>
      </c>
      <c r="O34" s="4">
        <v>7.567266666666667</v>
      </c>
    </row>
    <row r="35">
      <c r="A35" s="191">
        <v>45527.0</v>
      </c>
      <c r="B35" s="1" t="s">
        <v>149</v>
      </c>
      <c r="C35" s="1" t="s">
        <v>135</v>
      </c>
      <c r="D35" s="4">
        <v>289.0</v>
      </c>
      <c r="E35" s="4">
        <v>0.0</v>
      </c>
      <c r="F35" s="1" t="s">
        <v>469</v>
      </c>
      <c r="G35" s="1" t="s">
        <v>150</v>
      </c>
      <c r="H35" s="1" t="s">
        <v>138</v>
      </c>
      <c r="I35" s="1" t="s">
        <v>493</v>
      </c>
      <c r="J35" s="1" t="s">
        <v>494</v>
      </c>
      <c r="K35" s="1" t="s">
        <v>495</v>
      </c>
      <c r="L35" s="1" t="s">
        <v>496</v>
      </c>
      <c r="M35" s="4">
        <v>-11.0</v>
      </c>
      <c r="N35" s="4">
        <v>0.014583333333333334</v>
      </c>
      <c r="O35" s="4">
        <v>6.42075</v>
      </c>
    </row>
    <row r="36">
      <c r="A36" s="191">
        <v>45527.0</v>
      </c>
      <c r="B36" s="1" t="s">
        <v>141</v>
      </c>
      <c r="C36" s="1" t="s">
        <v>135</v>
      </c>
      <c r="D36" s="4">
        <v>129.0</v>
      </c>
      <c r="E36" s="4">
        <v>0.0</v>
      </c>
      <c r="G36" s="1" t="s">
        <v>142</v>
      </c>
      <c r="H36" s="1" t="s">
        <v>143</v>
      </c>
      <c r="I36" s="1" t="s">
        <v>497</v>
      </c>
      <c r="J36" s="1" t="s">
        <v>498</v>
      </c>
      <c r="K36" s="1" t="s">
        <v>498</v>
      </c>
      <c r="M36" s="4">
        <v>-2.0</v>
      </c>
      <c r="O36" s="4">
        <v>2.0557166666666666</v>
      </c>
    </row>
    <row r="37">
      <c r="A37" s="191">
        <v>45527.0</v>
      </c>
      <c r="B37" s="1" t="s">
        <v>165</v>
      </c>
      <c r="C37" s="1" t="s">
        <v>135</v>
      </c>
      <c r="D37" s="4">
        <v>403.0</v>
      </c>
      <c r="E37" s="4">
        <v>150.0</v>
      </c>
      <c r="G37" s="1" t="s">
        <v>137</v>
      </c>
      <c r="H37" s="1" t="s">
        <v>138</v>
      </c>
      <c r="I37" s="1" t="s">
        <v>499</v>
      </c>
      <c r="J37" s="1" t="s">
        <v>500</v>
      </c>
      <c r="K37" s="1" t="s">
        <v>500</v>
      </c>
      <c r="M37" s="4">
        <v>0.0</v>
      </c>
      <c r="O37" s="4">
        <v>8.268216666666667</v>
      </c>
    </row>
    <row r="38">
      <c r="A38" s="191">
        <v>45527.0</v>
      </c>
      <c r="B38" s="1" t="s">
        <v>149</v>
      </c>
      <c r="C38" s="1" t="s">
        <v>135</v>
      </c>
      <c r="D38" s="4">
        <v>199.0</v>
      </c>
      <c r="E38" s="4">
        <v>50.0</v>
      </c>
      <c r="G38" s="1" t="s">
        <v>142</v>
      </c>
      <c r="H38" s="1" t="s">
        <v>232</v>
      </c>
      <c r="I38" s="1" t="s">
        <v>501</v>
      </c>
      <c r="J38" s="1" t="s">
        <v>502</v>
      </c>
      <c r="K38" s="1" t="s">
        <v>502</v>
      </c>
      <c r="M38" s="4">
        <v>-12.0</v>
      </c>
      <c r="O38" s="4">
        <v>6.9692</v>
      </c>
    </row>
    <row r="39">
      <c r="A39" s="191">
        <v>45527.0</v>
      </c>
      <c r="B39" s="1" t="s">
        <v>141</v>
      </c>
      <c r="C39" s="1" t="s">
        <v>135</v>
      </c>
      <c r="D39" s="4">
        <v>249.0</v>
      </c>
      <c r="E39" s="4">
        <v>0.0</v>
      </c>
      <c r="G39" s="1" t="s">
        <v>142</v>
      </c>
      <c r="H39" s="1" t="s">
        <v>143</v>
      </c>
      <c r="I39" s="1" t="s">
        <v>503</v>
      </c>
      <c r="J39" s="1" t="s">
        <v>504</v>
      </c>
      <c r="K39" s="1" t="s">
        <v>504</v>
      </c>
      <c r="M39" s="4">
        <v>2.0</v>
      </c>
      <c r="O39" s="4">
        <v>7.018716666666666</v>
      </c>
    </row>
    <row r="40">
      <c r="A40" s="191">
        <v>45527.0</v>
      </c>
      <c r="B40" s="1" t="s">
        <v>165</v>
      </c>
      <c r="C40" s="1" t="s">
        <v>135</v>
      </c>
      <c r="D40" s="4">
        <v>251.0</v>
      </c>
      <c r="E40" s="4">
        <v>100.0</v>
      </c>
      <c r="G40" s="1" t="s">
        <v>137</v>
      </c>
      <c r="H40" s="1" t="s">
        <v>138</v>
      </c>
      <c r="I40" s="1" t="s">
        <v>505</v>
      </c>
      <c r="J40" s="1" t="s">
        <v>506</v>
      </c>
      <c r="K40" s="1" t="s">
        <v>506</v>
      </c>
      <c r="M40" s="4">
        <v>0.0</v>
      </c>
      <c r="O40" s="4">
        <v>8.663966666666667</v>
      </c>
    </row>
    <row r="41">
      <c r="A41" s="191">
        <v>45527.0</v>
      </c>
      <c r="B41" s="1" t="s">
        <v>134</v>
      </c>
      <c r="C41" s="1" t="s">
        <v>135</v>
      </c>
      <c r="D41" s="4">
        <v>369.0</v>
      </c>
      <c r="E41" s="4">
        <v>0.0</v>
      </c>
      <c r="F41" s="1" t="s">
        <v>507</v>
      </c>
      <c r="G41" s="1" t="s">
        <v>137</v>
      </c>
      <c r="H41" s="1" t="s">
        <v>138</v>
      </c>
      <c r="I41" s="1" t="s">
        <v>508</v>
      </c>
      <c r="J41" s="1" t="s">
        <v>509</v>
      </c>
      <c r="K41" s="1" t="s">
        <v>509</v>
      </c>
      <c r="M41" s="4">
        <v>-8.0</v>
      </c>
      <c r="O41" s="4">
        <v>6.672466666666667</v>
      </c>
    </row>
    <row r="42">
      <c r="A42" s="191">
        <v>45527.0</v>
      </c>
      <c r="B42" s="1" t="s">
        <v>149</v>
      </c>
      <c r="C42" s="1" t="s">
        <v>135</v>
      </c>
      <c r="D42" s="4">
        <v>199.0</v>
      </c>
      <c r="E42" s="4">
        <v>50.0</v>
      </c>
      <c r="G42" s="1" t="s">
        <v>142</v>
      </c>
      <c r="H42" s="1" t="s">
        <v>232</v>
      </c>
      <c r="I42" s="1" t="s">
        <v>510</v>
      </c>
      <c r="J42" s="1" t="s">
        <v>511</v>
      </c>
      <c r="K42" s="1" t="s">
        <v>511</v>
      </c>
      <c r="M42" s="4">
        <v>-12.0</v>
      </c>
      <c r="O42" s="4">
        <v>7.252166666666667</v>
      </c>
    </row>
    <row r="43">
      <c r="A43" s="191">
        <v>45527.0</v>
      </c>
      <c r="B43" s="1" t="s">
        <v>149</v>
      </c>
      <c r="C43" s="1" t="s">
        <v>135</v>
      </c>
      <c r="D43" s="4">
        <v>269.0</v>
      </c>
      <c r="E43" s="4">
        <v>0.0</v>
      </c>
      <c r="F43" s="1" t="s">
        <v>104</v>
      </c>
      <c r="G43" s="1" t="s">
        <v>150</v>
      </c>
      <c r="H43" s="1" t="s">
        <v>138</v>
      </c>
      <c r="I43" s="1" t="s">
        <v>512</v>
      </c>
      <c r="J43" s="1" t="s">
        <v>513</v>
      </c>
      <c r="K43" s="1" t="s">
        <v>514</v>
      </c>
      <c r="L43" s="1" t="s">
        <v>515</v>
      </c>
      <c r="N43" s="4">
        <v>17.541533333333334</v>
      </c>
      <c r="O43" s="4">
        <v>10.212233333333334</v>
      </c>
    </row>
    <row r="44">
      <c r="A44" s="191">
        <v>45527.0</v>
      </c>
      <c r="B44" s="1" t="s">
        <v>149</v>
      </c>
      <c r="C44" s="1" t="s">
        <v>135</v>
      </c>
      <c r="D44" s="4">
        <v>358.0</v>
      </c>
      <c r="E44" s="4">
        <v>0.0</v>
      </c>
      <c r="F44" s="1" t="s">
        <v>469</v>
      </c>
      <c r="G44" s="1" t="s">
        <v>150</v>
      </c>
      <c r="H44" s="1" t="s">
        <v>143</v>
      </c>
      <c r="I44" s="1" t="s">
        <v>516</v>
      </c>
      <c r="J44" s="1" t="s">
        <v>517</v>
      </c>
      <c r="K44" s="1" t="s">
        <v>518</v>
      </c>
      <c r="L44" s="1" t="s">
        <v>519</v>
      </c>
      <c r="M44" s="4">
        <v>-2.0</v>
      </c>
      <c r="N44" s="4">
        <v>0.01495</v>
      </c>
      <c r="O44" s="4">
        <v>20.406716666666668</v>
      </c>
    </row>
    <row r="45">
      <c r="A45" s="191">
        <v>45527.0</v>
      </c>
      <c r="B45" s="1" t="s">
        <v>149</v>
      </c>
      <c r="C45" s="1" t="s">
        <v>135</v>
      </c>
      <c r="D45" s="4">
        <v>219.0</v>
      </c>
      <c r="E45" s="4">
        <v>55.0</v>
      </c>
      <c r="G45" s="1" t="s">
        <v>142</v>
      </c>
      <c r="H45" s="1" t="s">
        <v>138</v>
      </c>
      <c r="I45" s="1" t="s">
        <v>520</v>
      </c>
      <c r="J45" s="1" t="s">
        <v>521</v>
      </c>
      <c r="K45" s="1" t="s">
        <v>521</v>
      </c>
      <c r="M45" s="4">
        <v>-33.0</v>
      </c>
      <c r="O45" s="4">
        <v>31.810083333333335</v>
      </c>
    </row>
    <row r="46">
      <c r="A46" s="191">
        <v>45527.0</v>
      </c>
      <c r="B46" s="1" t="s">
        <v>149</v>
      </c>
      <c r="C46" s="1" t="s">
        <v>135</v>
      </c>
      <c r="D46" s="4">
        <v>598.0</v>
      </c>
      <c r="E46" s="4">
        <v>0.0</v>
      </c>
      <c r="F46" s="1" t="s">
        <v>469</v>
      </c>
      <c r="G46" s="1" t="s">
        <v>150</v>
      </c>
      <c r="H46" s="1" t="s">
        <v>138</v>
      </c>
      <c r="I46" s="1" t="s">
        <v>522</v>
      </c>
      <c r="J46" s="1" t="s">
        <v>523</v>
      </c>
      <c r="K46" s="1" t="s">
        <v>524</v>
      </c>
      <c r="L46" s="1" t="s">
        <v>525</v>
      </c>
      <c r="M46" s="4">
        <v>-17.0</v>
      </c>
      <c r="N46" s="4">
        <v>0.015566666666666666</v>
      </c>
      <c r="O46" s="4">
        <v>28.434933333333333</v>
      </c>
    </row>
    <row r="47">
      <c r="A47" s="191">
        <v>45529.0</v>
      </c>
      <c r="B47" s="1" t="s">
        <v>165</v>
      </c>
      <c r="C47" s="1" t="s">
        <v>166</v>
      </c>
      <c r="D47" s="4">
        <v>278.0</v>
      </c>
      <c r="E47" s="4">
        <v>100.0</v>
      </c>
      <c r="G47" s="1" t="s">
        <v>137</v>
      </c>
      <c r="H47" s="1" t="s">
        <v>138</v>
      </c>
      <c r="I47" s="1" t="s">
        <v>526</v>
      </c>
      <c r="J47" s="1" t="s">
        <v>527</v>
      </c>
      <c r="K47" s="1" t="s">
        <v>527</v>
      </c>
      <c r="M47" s="4">
        <v>11.0</v>
      </c>
      <c r="O47" s="4">
        <v>19.6344</v>
      </c>
    </row>
    <row r="48">
      <c r="A48" s="191">
        <v>45529.0</v>
      </c>
      <c r="B48" s="1" t="s">
        <v>165</v>
      </c>
      <c r="C48" s="1" t="s">
        <v>166</v>
      </c>
      <c r="D48" s="4">
        <v>394.0</v>
      </c>
      <c r="E48" s="4">
        <v>0.0</v>
      </c>
      <c r="G48" s="1" t="s">
        <v>137</v>
      </c>
      <c r="H48" s="1" t="s">
        <v>138</v>
      </c>
      <c r="I48" s="1" t="s">
        <v>528</v>
      </c>
      <c r="J48" s="1" t="s">
        <v>529</v>
      </c>
      <c r="K48" s="1" t="s">
        <v>529</v>
      </c>
      <c r="M48" s="4">
        <v>18.0</v>
      </c>
      <c r="O48" s="4">
        <v>26.045533333333335</v>
      </c>
    </row>
    <row r="49">
      <c r="A49" s="191">
        <v>45529.0</v>
      </c>
      <c r="B49" s="1" t="s">
        <v>165</v>
      </c>
      <c r="C49" s="1" t="s">
        <v>166</v>
      </c>
      <c r="D49" s="4">
        <v>429.0</v>
      </c>
      <c r="E49" s="4">
        <v>0.0</v>
      </c>
      <c r="G49" s="1" t="s">
        <v>137</v>
      </c>
      <c r="H49" s="1" t="s">
        <v>138</v>
      </c>
      <c r="I49" s="1" t="s">
        <v>530</v>
      </c>
      <c r="J49" s="1" t="s">
        <v>531</v>
      </c>
      <c r="K49" s="1" t="s">
        <v>531</v>
      </c>
      <c r="M49" s="4">
        <v>4.0</v>
      </c>
      <c r="O49" s="4">
        <v>12.445583333333333</v>
      </c>
    </row>
    <row r="50">
      <c r="A50" s="191">
        <v>45529.0</v>
      </c>
      <c r="B50" s="1" t="s">
        <v>165</v>
      </c>
      <c r="C50" s="1" t="s">
        <v>166</v>
      </c>
      <c r="D50" s="4">
        <v>264.0</v>
      </c>
      <c r="E50" s="4">
        <v>0.0</v>
      </c>
      <c r="G50" s="1" t="s">
        <v>137</v>
      </c>
      <c r="H50" s="1" t="s">
        <v>138</v>
      </c>
      <c r="I50" s="1" t="s">
        <v>532</v>
      </c>
      <c r="J50" s="1" t="s">
        <v>533</v>
      </c>
      <c r="K50" s="1" t="s">
        <v>533</v>
      </c>
      <c r="M50" s="4">
        <v>1.0</v>
      </c>
      <c r="O50" s="4">
        <v>8.528066666666666</v>
      </c>
    </row>
    <row r="51">
      <c r="A51" s="191">
        <v>45529.0</v>
      </c>
      <c r="B51" s="1" t="s">
        <v>134</v>
      </c>
      <c r="C51" s="1" t="s">
        <v>166</v>
      </c>
      <c r="D51" s="4">
        <v>364.0</v>
      </c>
      <c r="E51" s="4">
        <v>0.0</v>
      </c>
      <c r="F51" s="1" t="s">
        <v>534</v>
      </c>
      <c r="G51" s="1" t="s">
        <v>137</v>
      </c>
      <c r="H51" s="1" t="s">
        <v>138</v>
      </c>
      <c r="I51" s="1" t="s">
        <v>535</v>
      </c>
      <c r="J51" s="1" t="s">
        <v>536</v>
      </c>
      <c r="K51" s="1" t="s">
        <v>536</v>
      </c>
      <c r="M51" s="4">
        <v>-7.0</v>
      </c>
      <c r="O51" s="4">
        <v>7.9052</v>
      </c>
    </row>
    <row r="52">
      <c r="A52" s="191">
        <v>45529.0</v>
      </c>
      <c r="B52" s="1" t="s">
        <v>165</v>
      </c>
      <c r="C52" s="1" t="s">
        <v>166</v>
      </c>
      <c r="D52" s="4">
        <v>313.0</v>
      </c>
      <c r="E52" s="4">
        <v>0.0</v>
      </c>
      <c r="G52" s="1" t="s">
        <v>137</v>
      </c>
      <c r="H52" s="1" t="s">
        <v>138</v>
      </c>
      <c r="I52" s="1" t="s">
        <v>537</v>
      </c>
      <c r="J52" s="1" t="s">
        <v>538</v>
      </c>
      <c r="K52" s="1" t="s">
        <v>538</v>
      </c>
      <c r="M52" s="4">
        <v>-1.0</v>
      </c>
      <c r="O52" s="4">
        <v>5.818516666666667</v>
      </c>
    </row>
    <row r="53">
      <c r="A53" s="191">
        <v>45529.0</v>
      </c>
      <c r="B53" s="1" t="s">
        <v>134</v>
      </c>
      <c r="C53" s="1" t="s">
        <v>166</v>
      </c>
      <c r="D53" s="4">
        <v>329.0</v>
      </c>
      <c r="E53" s="4">
        <v>0.0</v>
      </c>
      <c r="F53" s="1" t="s">
        <v>539</v>
      </c>
      <c r="G53" s="1" t="s">
        <v>137</v>
      </c>
      <c r="H53" s="1" t="s">
        <v>138</v>
      </c>
      <c r="I53" s="1" t="s">
        <v>540</v>
      </c>
      <c r="J53" s="1" t="s">
        <v>541</v>
      </c>
      <c r="K53" s="1" t="s">
        <v>541</v>
      </c>
      <c r="M53" s="4">
        <v>-7.0</v>
      </c>
      <c r="O53" s="4">
        <v>7.1699166666666665</v>
      </c>
    </row>
    <row r="54">
      <c r="A54" s="191">
        <v>45529.0</v>
      </c>
      <c r="B54" s="1" t="s">
        <v>134</v>
      </c>
      <c r="C54" s="1" t="s">
        <v>166</v>
      </c>
      <c r="D54" s="4">
        <v>548.0</v>
      </c>
      <c r="E54" s="4">
        <v>0.0</v>
      </c>
      <c r="F54" s="1" t="s">
        <v>534</v>
      </c>
      <c r="G54" s="1" t="s">
        <v>137</v>
      </c>
      <c r="H54" s="1" t="s">
        <v>138</v>
      </c>
      <c r="I54" s="1" t="s">
        <v>542</v>
      </c>
      <c r="J54" s="1" t="s">
        <v>543</v>
      </c>
      <c r="K54" s="1" t="s">
        <v>543</v>
      </c>
      <c r="M54" s="4">
        <v>-4.0</v>
      </c>
      <c r="O54" s="4">
        <v>15.724516666666666</v>
      </c>
    </row>
    <row r="55">
      <c r="A55" s="191">
        <v>45529.0</v>
      </c>
      <c r="B55" s="1" t="s">
        <v>149</v>
      </c>
      <c r="C55" s="1" t="s">
        <v>135</v>
      </c>
      <c r="D55" s="4">
        <v>194.0</v>
      </c>
      <c r="E55" s="4">
        <v>0.0</v>
      </c>
      <c r="G55" s="1" t="s">
        <v>142</v>
      </c>
      <c r="H55" s="1" t="s">
        <v>143</v>
      </c>
      <c r="I55" s="1" t="s">
        <v>544</v>
      </c>
      <c r="J55" s="1" t="s">
        <v>545</v>
      </c>
      <c r="K55" s="1" t="s">
        <v>545</v>
      </c>
      <c r="M55" s="4">
        <v>-11.0</v>
      </c>
      <c r="O55" s="4">
        <v>7.700916666666667</v>
      </c>
    </row>
    <row r="56">
      <c r="A56" s="191">
        <v>45529.0</v>
      </c>
      <c r="B56" s="1" t="s">
        <v>146</v>
      </c>
      <c r="C56" s="1" t="s">
        <v>135</v>
      </c>
      <c r="D56" s="4">
        <v>294.0</v>
      </c>
      <c r="E56" s="4">
        <v>0.0</v>
      </c>
      <c r="F56" s="1" t="s">
        <v>104</v>
      </c>
      <c r="G56" s="1" t="s">
        <v>137</v>
      </c>
      <c r="H56" s="1" t="s">
        <v>138</v>
      </c>
      <c r="I56" s="1" t="s">
        <v>546</v>
      </c>
      <c r="J56" s="1" t="s">
        <v>547</v>
      </c>
      <c r="K56" s="1" t="s">
        <v>547</v>
      </c>
      <c r="M56" s="4">
        <v>-7.0</v>
      </c>
      <c r="O56" s="4">
        <v>7.435783333333333</v>
      </c>
    </row>
    <row r="57">
      <c r="A57" s="191">
        <v>45529.0</v>
      </c>
      <c r="B57" s="1" t="s">
        <v>149</v>
      </c>
      <c r="C57" s="1" t="s">
        <v>135</v>
      </c>
      <c r="D57" s="4">
        <v>494.0</v>
      </c>
      <c r="E57" s="4">
        <v>124.0</v>
      </c>
      <c r="G57" s="1" t="s">
        <v>142</v>
      </c>
      <c r="H57" s="1" t="s">
        <v>138</v>
      </c>
      <c r="I57" s="1" t="s">
        <v>548</v>
      </c>
      <c r="J57" s="1" t="s">
        <v>549</v>
      </c>
      <c r="K57" s="1" t="s">
        <v>549</v>
      </c>
      <c r="M57" s="4">
        <v>-13.0</v>
      </c>
      <c r="O57" s="4">
        <v>14.962166666666667</v>
      </c>
    </row>
    <row r="58">
      <c r="A58" s="191">
        <v>45529.0</v>
      </c>
      <c r="B58" s="1" t="s">
        <v>165</v>
      </c>
      <c r="C58" s="1" t="s">
        <v>166</v>
      </c>
      <c r="D58" s="4">
        <v>658.0</v>
      </c>
      <c r="E58" s="4">
        <v>0.0</v>
      </c>
      <c r="G58" s="1" t="s">
        <v>137</v>
      </c>
      <c r="H58" s="1" t="s">
        <v>138</v>
      </c>
      <c r="I58" s="1" t="s">
        <v>550</v>
      </c>
      <c r="J58" s="1" t="s">
        <v>551</v>
      </c>
      <c r="K58" s="1" t="s">
        <v>551</v>
      </c>
      <c r="M58" s="4">
        <v>0.0</v>
      </c>
      <c r="O58" s="4">
        <v>9.9678</v>
      </c>
    </row>
    <row r="59">
      <c r="A59" s="191">
        <v>45529.0</v>
      </c>
      <c r="B59" s="1" t="s">
        <v>165</v>
      </c>
      <c r="C59" s="1" t="s">
        <v>166</v>
      </c>
      <c r="D59" s="4">
        <v>314.0</v>
      </c>
      <c r="E59" s="4">
        <v>0.0</v>
      </c>
      <c r="G59" s="1" t="s">
        <v>137</v>
      </c>
      <c r="H59" s="1" t="s">
        <v>138</v>
      </c>
      <c r="I59" s="1" t="s">
        <v>552</v>
      </c>
      <c r="J59" s="1" t="s">
        <v>553</v>
      </c>
      <c r="K59" s="1" t="s">
        <v>553</v>
      </c>
      <c r="M59" s="4">
        <v>0.0</v>
      </c>
      <c r="O59" s="4">
        <v>7.423916666666667</v>
      </c>
    </row>
    <row r="60">
      <c r="A60" s="191">
        <v>45529.0</v>
      </c>
      <c r="B60" s="1" t="s">
        <v>149</v>
      </c>
      <c r="C60" s="1" t="s">
        <v>135</v>
      </c>
      <c r="D60" s="4">
        <v>643.0</v>
      </c>
      <c r="E60" s="4">
        <v>30.0</v>
      </c>
      <c r="F60" s="1" t="s">
        <v>104</v>
      </c>
      <c r="G60" s="1" t="s">
        <v>150</v>
      </c>
      <c r="H60" s="1" t="s">
        <v>138</v>
      </c>
      <c r="I60" s="1" t="s">
        <v>554</v>
      </c>
      <c r="J60" s="1" t="s">
        <v>555</v>
      </c>
      <c r="K60" s="1" t="s">
        <v>556</v>
      </c>
      <c r="L60" s="1" t="s">
        <v>557</v>
      </c>
      <c r="M60" s="4">
        <v>-10.0</v>
      </c>
      <c r="N60" s="4">
        <v>7.2167666666666666</v>
      </c>
      <c r="O60" s="4">
        <v>9.10335</v>
      </c>
    </row>
    <row r="61">
      <c r="A61" s="191">
        <v>45529.0</v>
      </c>
      <c r="B61" s="1" t="s">
        <v>165</v>
      </c>
      <c r="C61" s="1" t="s">
        <v>166</v>
      </c>
      <c r="D61" s="4">
        <v>313.0</v>
      </c>
      <c r="E61" s="4">
        <v>0.0</v>
      </c>
      <c r="G61" s="1" t="s">
        <v>137</v>
      </c>
      <c r="H61" s="1" t="s">
        <v>138</v>
      </c>
      <c r="I61" s="1" t="s">
        <v>558</v>
      </c>
      <c r="J61" s="1" t="s">
        <v>559</v>
      </c>
      <c r="K61" s="1" t="s">
        <v>559</v>
      </c>
      <c r="M61" s="4">
        <v>0.0</v>
      </c>
      <c r="O61" s="4">
        <v>8.77175</v>
      </c>
    </row>
    <row r="62">
      <c r="A62" s="191">
        <v>45529.0</v>
      </c>
      <c r="B62" s="1" t="s">
        <v>165</v>
      </c>
      <c r="C62" s="1" t="s">
        <v>166</v>
      </c>
      <c r="D62" s="4">
        <v>690.0</v>
      </c>
      <c r="E62" s="4">
        <v>0.0</v>
      </c>
      <c r="G62" s="1" t="s">
        <v>137</v>
      </c>
      <c r="H62" s="1" t="s">
        <v>138</v>
      </c>
      <c r="I62" s="1" t="s">
        <v>560</v>
      </c>
      <c r="J62" s="1" t="s">
        <v>561</v>
      </c>
      <c r="K62" s="1" t="s">
        <v>561</v>
      </c>
      <c r="M62" s="4">
        <v>0.0</v>
      </c>
      <c r="O62" s="4">
        <v>9.0191</v>
      </c>
    </row>
    <row r="63">
      <c r="A63" s="191">
        <v>45529.0</v>
      </c>
      <c r="B63" s="1" t="s">
        <v>165</v>
      </c>
      <c r="C63" s="1" t="s">
        <v>166</v>
      </c>
      <c r="D63" s="4">
        <v>289.0</v>
      </c>
      <c r="E63" s="4">
        <v>0.0</v>
      </c>
      <c r="G63" s="1" t="s">
        <v>137</v>
      </c>
      <c r="H63" s="1" t="s">
        <v>138</v>
      </c>
      <c r="I63" s="1" t="s">
        <v>562</v>
      </c>
      <c r="J63" s="1" t="s">
        <v>563</v>
      </c>
      <c r="K63" s="1" t="s">
        <v>563</v>
      </c>
      <c r="M63" s="4">
        <v>9.0</v>
      </c>
      <c r="O63" s="4">
        <v>15.5641</v>
      </c>
    </row>
    <row r="64">
      <c r="A64" s="191">
        <v>45529.0</v>
      </c>
      <c r="B64" s="1" t="s">
        <v>165</v>
      </c>
      <c r="C64" s="1" t="s">
        <v>166</v>
      </c>
      <c r="D64" s="4">
        <v>1136.0</v>
      </c>
      <c r="E64" s="4">
        <v>0.0</v>
      </c>
      <c r="G64" s="1" t="s">
        <v>137</v>
      </c>
      <c r="H64" s="1" t="s">
        <v>138</v>
      </c>
      <c r="I64" s="1" t="s">
        <v>564</v>
      </c>
      <c r="J64" s="1" t="s">
        <v>565</v>
      </c>
      <c r="K64" s="1" t="s">
        <v>565</v>
      </c>
      <c r="M64" s="4">
        <v>5.0</v>
      </c>
      <c r="O64" s="4">
        <v>16.360116666666666</v>
      </c>
    </row>
    <row r="65">
      <c r="A65" s="191">
        <v>45529.0</v>
      </c>
      <c r="B65" s="1" t="s">
        <v>146</v>
      </c>
      <c r="C65" s="1" t="s">
        <v>135</v>
      </c>
      <c r="D65" s="4">
        <v>329.0</v>
      </c>
      <c r="E65" s="4">
        <v>0.0</v>
      </c>
      <c r="F65" s="1" t="s">
        <v>104</v>
      </c>
      <c r="G65" s="1" t="s">
        <v>137</v>
      </c>
      <c r="H65" s="1" t="s">
        <v>138</v>
      </c>
      <c r="I65" s="1" t="s">
        <v>566</v>
      </c>
      <c r="J65" s="1" t="s">
        <v>567</v>
      </c>
      <c r="K65" s="1" t="s">
        <v>567</v>
      </c>
      <c r="M65" s="4">
        <v>-7.0</v>
      </c>
      <c r="O65" s="4">
        <v>7.9191666666666665</v>
      </c>
    </row>
    <row r="66">
      <c r="A66" s="191">
        <v>45529.0</v>
      </c>
      <c r="B66" s="1" t="s">
        <v>146</v>
      </c>
      <c r="C66" s="1" t="s">
        <v>135</v>
      </c>
      <c r="D66" s="4">
        <v>658.0</v>
      </c>
      <c r="E66" s="4">
        <v>0.0</v>
      </c>
      <c r="F66" s="1" t="s">
        <v>104</v>
      </c>
      <c r="G66" s="1" t="s">
        <v>137</v>
      </c>
      <c r="H66" s="1" t="s">
        <v>138</v>
      </c>
      <c r="I66" s="1" t="s">
        <v>568</v>
      </c>
      <c r="J66" s="1" t="s">
        <v>569</v>
      </c>
      <c r="K66" s="1" t="s">
        <v>569</v>
      </c>
      <c r="M66" s="4">
        <v>-7.0</v>
      </c>
      <c r="O66" s="4">
        <v>12.036783333333334</v>
      </c>
    </row>
    <row r="67">
      <c r="A67" s="191">
        <v>45529.0</v>
      </c>
      <c r="B67" s="1" t="s">
        <v>165</v>
      </c>
      <c r="C67" s="1" t="s">
        <v>166</v>
      </c>
      <c r="D67" s="4">
        <v>404.0</v>
      </c>
      <c r="E67" s="4">
        <v>0.0</v>
      </c>
      <c r="G67" s="1" t="s">
        <v>137</v>
      </c>
      <c r="H67" s="1" t="s">
        <v>138</v>
      </c>
      <c r="I67" s="1" t="s">
        <v>570</v>
      </c>
      <c r="J67" s="1" t="s">
        <v>571</v>
      </c>
      <c r="K67" s="1" t="s">
        <v>571</v>
      </c>
      <c r="M67" s="4">
        <v>0.0</v>
      </c>
      <c r="O67" s="4">
        <v>7.0974</v>
      </c>
    </row>
    <row r="68">
      <c r="A68" s="191">
        <v>45529.0</v>
      </c>
      <c r="B68" s="1" t="s">
        <v>165</v>
      </c>
      <c r="C68" s="1" t="s">
        <v>166</v>
      </c>
      <c r="D68" s="4">
        <v>467.0</v>
      </c>
      <c r="E68" s="4">
        <v>0.0</v>
      </c>
      <c r="G68" s="1" t="s">
        <v>137</v>
      </c>
      <c r="H68" s="1" t="s">
        <v>138</v>
      </c>
      <c r="I68" s="1" t="s">
        <v>572</v>
      </c>
      <c r="J68" s="1" t="s">
        <v>573</v>
      </c>
      <c r="K68" s="1" t="s">
        <v>573</v>
      </c>
      <c r="M68" s="4">
        <v>0.0</v>
      </c>
      <c r="O68" s="4">
        <v>8.815516666666667</v>
      </c>
    </row>
    <row r="69">
      <c r="A69" s="191">
        <v>45529.0</v>
      </c>
      <c r="B69" s="1" t="s">
        <v>165</v>
      </c>
      <c r="C69" s="1" t="s">
        <v>166</v>
      </c>
      <c r="D69" s="4">
        <v>528.0</v>
      </c>
      <c r="E69" s="4">
        <v>0.0</v>
      </c>
      <c r="G69" s="1" t="s">
        <v>137</v>
      </c>
      <c r="H69" s="1" t="s">
        <v>138</v>
      </c>
      <c r="I69" s="1" t="s">
        <v>574</v>
      </c>
      <c r="J69" s="1" t="s">
        <v>575</v>
      </c>
      <c r="K69" s="1" t="s">
        <v>575</v>
      </c>
      <c r="M69" s="4">
        <v>3.0</v>
      </c>
      <c r="O69" s="4">
        <v>11.697</v>
      </c>
    </row>
    <row r="70">
      <c r="A70" s="191">
        <v>45529.0</v>
      </c>
      <c r="B70" s="1" t="s">
        <v>165</v>
      </c>
      <c r="C70" s="1" t="s">
        <v>166</v>
      </c>
      <c r="D70" s="4">
        <v>338.0</v>
      </c>
      <c r="E70" s="4">
        <v>0.0</v>
      </c>
      <c r="G70" s="1" t="s">
        <v>137</v>
      </c>
      <c r="H70" s="1" t="s">
        <v>138</v>
      </c>
      <c r="I70" s="1" t="s">
        <v>576</v>
      </c>
      <c r="J70" s="1" t="s">
        <v>577</v>
      </c>
      <c r="K70" s="1" t="s">
        <v>577</v>
      </c>
      <c r="M70" s="4">
        <v>0.0</v>
      </c>
      <c r="O70" s="4">
        <v>7.196483333333333</v>
      </c>
    </row>
    <row r="71">
      <c r="A71" s="191">
        <v>45529.0</v>
      </c>
      <c r="B71" s="1" t="s">
        <v>165</v>
      </c>
      <c r="C71" s="1" t="s">
        <v>166</v>
      </c>
      <c r="D71" s="4">
        <v>329.0</v>
      </c>
      <c r="E71" s="4">
        <v>0.0</v>
      </c>
      <c r="G71" s="1" t="s">
        <v>137</v>
      </c>
      <c r="H71" s="1" t="s">
        <v>138</v>
      </c>
      <c r="I71" s="1" t="s">
        <v>578</v>
      </c>
      <c r="J71" s="1" t="s">
        <v>579</v>
      </c>
      <c r="K71" s="1" t="s">
        <v>579</v>
      </c>
      <c r="M71" s="4">
        <v>3.0</v>
      </c>
      <c r="O71" s="4">
        <v>10.134016666666666</v>
      </c>
    </row>
    <row r="72">
      <c r="A72" s="191">
        <v>45529.0</v>
      </c>
      <c r="B72" s="1" t="s">
        <v>141</v>
      </c>
      <c r="C72" s="1" t="s">
        <v>135</v>
      </c>
      <c r="D72" s="4">
        <v>158.0</v>
      </c>
      <c r="E72" s="4">
        <v>0.0</v>
      </c>
      <c r="G72" s="1" t="s">
        <v>142</v>
      </c>
      <c r="H72" s="1" t="s">
        <v>143</v>
      </c>
      <c r="I72" s="1" t="s">
        <v>580</v>
      </c>
      <c r="J72" s="1" t="s">
        <v>581</v>
      </c>
      <c r="K72" s="1" t="s">
        <v>581</v>
      </c>
      <c r="M72" s="4">
        <v>-2.0</v>
      </c>
      <c r="O72" s="4">
        <v>2.90425</v>
      </c>
    </row>
    <row r="73">
      <c r="A73" s="191">
        <v>45529.0</v>
      </c>
      <c r="B73" s="1" t="s">
        <v>149</v>
      </c>
      <c r="C73" s="1" t="s">
        <v>135</v>
      </c>
      <c r="D73" s="4">
        <v>447.0</v>
      </c>
      <c r="E73" s="4">
        <v>0.0</v>
      </c>
      <c r="F73" s="1" t="s">
        <v>55</v>
      </c>
      <c r="G73" s="1" t="s">
        <v>150</v>
      </c>
      <c r="H73" s="1" t="s">
        <v>143</v>
      </c>
      <c r="I73" s="1" t="s">
        <v>582</v>
      </c>
      <c r="J73" s="1" t="s">
        <v>583</v>
      </c>
      <c r="K73" s="1" t="s">
        <v>584</v>
      </c>
      <c r="L73" s="1" t="s">
        <v>585</v>
      </c>
      <c r="M73" s="4">
        <v>-9.0</v>
      </c>
      <c r="N73" s="4">
        <v>0.011216666666666666</v>
      </c>
      <c r="O73" s="4">
        <v>5.53465</v>
      </c>
    </row>
    <row r="74">
      <c r="A74" s="191">
        <v>45529.0</v>
      </c>
      <c r="B74" s="1" t="s">
        <v>149</v>
      </c>
      <c r="C74" s="1" t="s">
        <v>135</v>
      </c>
      <c r="D74" s="4">
        <v>498.0</v>
      </c>
      <c r="E74" s="4">
        <v>0.0</v>
      </c>
      <c r="F74" s="1" t="s">
        <v>55</v>
      </c>
      <c r="G74" s="1" t="s">
        <v>150</v>
      </c>
      <c r="H74" s="1" t="s">
        <v>138</v>
      </c>
      <c r="I74" s="1" t="s">
        <v>586</v>
      </c>
      <c r="J74" s="1" t="s">
        <v>587</v>
      </c>
      <c r="K74" s="1" t="s">
        <v>588</v>
      </c>
      <c r="L74" s="1" t="s">
        <v>589</v>
      </c>
      <c r="M74" s="4">
        <v>-8.0</v>
      </c>
      <c r="N74" s="4">
        <v>0.008533333333333334</v>
      </c>
      <c r="O74" s="4">
        <v>10.666283333333332</v>
      </c>
    </row>
    <row r="75">
      <c r="A75" s="191">
        <v>45529.0</v>
      </c>
      <c r="B75" s="1" t="s">
        <v>146</v>
      </c>
      <c r="C75" s="1" t="s">
        <v>135</v>
      </c>
      <c r="D75" s="4">
        <v>836.0</v>
      </c>
      <c r="E75" s="4">
        <v>0.0</v>
      </c>
      <c r="F75" s="1" t="s">
        <v>104</v>
      </c>
      <c r="G75" s="1" t="s">
        <v>137</v>
      </c>
      <c r="H75" s="1" t="s">
        <v>138</v>
      </c>
      <c r="I75" s="1" t="s">
        <v>590</v>
      </c>
      <c r="J75" s="1" t="s">
        <v>591</v>
      </c>
      <c r="K75" s="1" t="s">
        <v>591</v>
      </c>
      <c r="M75" s="4">
        <v>-13.0</v>
      </c>
      <c r="O75" s="4">
        <v>6.1754</v>
      </c>
    </row>
    <row r="76">
      <c r="A76" s="191">
        <v>45529.0</v>
      </c>
      <c r="B76" s="1" t="s">
        <v>149</v>
      </c>
      <c r="C76" s="1" t="s">
        <v>135</v>
      </c>
      <c r="D76" s="4">
        <v>247.0</v>
      </c>
      <c r="E76" s="4">
        <v>62.0</v>
      </c>
      <c r="G76" s="1" t="s">
        <v>142</v>
      </c>
      <c r="H76" s="1" t="s">
        <v>232</v>
      </c>
      <c r="I76" s="1" t="s">
        <v>592</v>
      </c>
      <c r="J76" s="1" t="s">
        <v>593</v>
      </c>
      <c r="K76" s="1" t="s">
        <v>593</v>
      </c>
      <c r="M76" s="4">
        <v>-17.0</v>
      </c>
      <c r="O76" s="4">
        <v>18.969183333333334</v>
      </c>
    </row>
    <row r="77">
      <c r="A77" s="191">
        <v>45529.0</v>
      </c>
      <c r="B77" s="1" t="s">
        <v>149</v>
      </c>
      <c r="C77" s="1" t="s">
        <v>135</v>
      </c>
      <c r="D77" s="4">
        <v>457.0</v>
      </c>
      <c r="E77" s="4">
        <v>105.0</v>
      </c>
      <c r="G77" s="1" t="s">
        <v>142</v>
      </c>
      <c r="H77" s="1" t="s">
        <v>143</v>
      </c>
      <c r="I77" s="1" t="s">
        <v>594</v>
      </c>
      <c r="J77" s="1" t="s">
        <v>595</v>
      </c>
      <c r="K77" s="1" t="s">
        <v>595</v>
      </c>
      <c r="M77" s="4">
        <v>-14.0</v>
      </c>
      <c r="O77" s="4">
        <v>5.184366666666667</v>
      </c>
    </row>
    <row r="78">
      <c r="A78" s="191">
        <v>45529.0</v>
      </c>
      <c r="B78" s="1" t="s">
        <v>149</v>
      </c>
      <c r="C78" s="1" t="s">
        <v>135</v>
      </c>
      <c r="D78" s="4">
        <v>199.0</v>
      </c>
      <c r="E78" s="4">
        <v>50.0</v>
      </c>
      <c r="G78" s="1" t="s">
        <v>142</v>
      </c>
      <c r="H78" s="1" t="s">
        <v>232</v>
      </c>
      <c r="I78" s="1" t="s">
        <v>596</v>
      </c>
      <c r="J78" s="1" t="s">
        <v>597</v>
      </c>
      <c r="K78" s="1" t="s">
        <v>597</v>
      </c>
      <c r="M78" s="4">
        <v>-13.0</v>
      </c>
      <c r="O78" s="4">
        <v>6.393483333333333</v>
      </c>
    </row>
    <row r="79">
      <c r="A79" s="191">
        <v>45529.0</v>
      </c>
      <c r="B79" s="1" t="s">
        <v>165</v>
      </c>
      <c r="C79" s="1" t="s">
        <v>166</v>
      </c>
      <c r="D79" s="4">
        <v>313.0</v>
      </c>
      <c r="E79" s="4">
        <v>0.0</v>
      </c>
      <c r="G79" s="1" t="s">
        <v>137</v>
      </c>
      <c r="H79" s="1" t="s">
        <v>138</v>
      </c>
      <c r="I79" s="1" t="s">
        <v>598</v>
      </c>
      <c r="J79" s="1" t="s">
        <v>599</v>
      </c>
      <c r="K79" s="1" t="s">
        <v>599</v>
      </c>
      <c r="M79" s="4">
        <v>-1.0</v>
      </c>
      <c r="O79" s="4">
        <v>6.770983333333334</v>
      </c>
    </row>
    <row r="80">
      <c r="A80" s="191">
        <v>45529.0</v>
      </c>
      <c r="B80" s="1" t="s">
        <v>165</v>
      </c>
      <c r="C80" s="1" t="s">
        <v>166</v>
      </c>
      <c r="D80" s="4">
        <v>443.0</v>
      </c>
      <c r="E80" s="4">
        <v>0.0</v>
      </c>
      <c r="G80" s="1" t="s">
        <v>137</v>
      </c>
      <c r="H80" s="1" t="s">
        <v>138</v>
      </c>
      <c r="I80" s="1" t="s">
        <v>600</v>
      </c>
      <c r="J80" s="1" t="s">
        <v>601</v>
      </c>
      <c r="K80" s="1" t="s">
        <v>601</v>
      </c>
      <c r="M80" s="4">
        <v>0.0</v>
      </c>
      <c r="O80" s="4">
        <v>8.850783333333334</v>
      </c>
    </row>
    <row r="81">
      <c r="A81" s="191">
        <v>45529.0</v>
      </c>
      <c r="B81" s="1" t="s">
        <v>146</v>
      </c>
      <c r="C81" s="1" t="s">
        <v>135</v>
      </c>
      <c r="D81" s="4">
        <v>602.0</v>
      </c>
      <c r="E81" s="4">
        <v>0.0</v>
      </c>
      <c r="F81" s="1" t="s">
        <v>104</v>
      </c>
      <c r="G81" s="1" t="s">
        <v>137</v>
      </c>
      <c r="H81" s="1" t="s">
        <v>138</v>
      </c>
      <c r="I81" s="1" t="s">
        <v>602</v>
      </c>
      <c r="J81" s="1" t="s">
        <v>603</v>
      </c>
      <c r="K81" s="1" t="s">
        <v>603</v>
      </c>
      <c r="M81" s="4">
        <v>-10.0</v>
      </c>
      <c r="O81" s="4">
        <v>9.3245</v>
      </c>
    </row>
    <row r="82">
      <c r="A82" s="191">
        <v>45529.0</v>
      </c>
      <c r="B82" s="1" t="s">
        <v>134</v>
      </c>
      <c r="C82" s="1" t="s">
        <v>166</v>
      </c>
      <c r="D82" s="4">
        <v>264.0</v>
      </c>
      <c r="E82" s="4">
        <v>0.0</v>
      </c>
      <c r="F82" s="1" t="s">
        <v>44</v>
      </c>
      <c r="G82" s="1" t="s">
        <v>137</v>
      </c>
      <c r="H82" s="1" t="s">
        <v>138</v>
      </c>
      <c r="I82" s="1" t="s">
        <v>604</v>
      </c>
      <c r="J82" s="1" t="s">
        <v>605</v>
      </c>
      <c r="K82" s="1" t="s">
        <v>605</v>
      </c>
      <c r="M82" s="4">
        <v>-7.0</v>
      </c>
      <c r="O82" s="4">
        <v>7.7932</v>
      </c>
    </row>
    <row r="83">
      <c r="A83" s="191">
        <v>45529.0</v>
      </c>
      <c r="B83" s="1" t="s">
        <v>149</v>
      </c>
      <c r="C83" s="1" t="s">
        <v>135</v>
      </c>
      <c r="D83" s="4">
        <v>309.0</v>
      </c>
      <c r="E83" s="4">
        <v>0.0</v>
      </c>
      <c r="F83" s="1" t="s">
        <v>55</v>
      </c>
      <c r="G83" s="1" t="s">
        <v>150</v>
      </c>
      <c r="H83" s="1" t="s">
        <v>138</v>
      </c>
      <c r="I83" s="1" t="s">
        <v>606</v>
      </c>
      <c r="J83" s="1" t="s">
        <v>607</v>
      </c>
      <c r="K83" s="1" t="s">
        <v>608</v>
      </c>
      <c r="L83" s="1" t="s">
        <v>609</v>
      </c>
      <c r="M83" s="4">
        <v>-4.0</v>
      </c>
      <c r="N83" s="4">
        <v>0.007933333333333334</v>
      </c>
      <c r="O83" s="4">
        <v>14.477516666666666</v>
      </c>
    </row>
    <row r="84">
      <c r="A84" s="191">
        <v>45529.0</v>
      </c>
      <c r="B84" s="1" t="s">
        <v>165</v>
      </c>
      <c r="C84" s="1" t="s">
        <v>166</v>
      </c>
      <c r="D84" s="4">
        <v>364.0</v>
      </c>
      <c r="E84" s="4">
        <v>0.0</v>
      </c>
      <c r="G84" s="1" t="s">
        <v>137</v>
      </c>
      <c r="H84" s="1" t="s">
        <v>138</v>
      </c>
      <c r="I84" s="1" t="s">
        <v>610</v>
      </c>
      <c r="J84" s="1" t="s">
        <v>611</v>
      </c>
      <c r="K84" s="1" t="s">
        <v>611</v>
      </c>
      <c r="M84" s="4">
        <v>2.0</v>
      </c>
      <c r="O84" s="4">
        <v>9.1587</v>
      </c>
    </row>
    <row r="85">
      <c r="A85" s="191">
        <v>45529.0</v>
      </c>
      <c r="B85" s="1" t="s">
        <v>165</v>
      </c>
      <c r="C85" s="1" t="s">
        <v>166</v>
      </c>
      <c r="D85" s="4">
        <v>488.0</v>
      </c>
      <c r="E85" s="4">
        <v>0.0</v>
      </c>
      <c r="G85" s="1" t="s">
        <v>137</v>
      </c>
      <c r="H85" s="1" t="s">
        <v>138</v>
      </c>
      <c r="I85" s="1" t="s">
        <v>612</v>
      </c>
      <c r="J85" s="1" t="s">
        <v>613</v>
      </c>
      <c r="K85" s="1" t="s">
        <v>613</v>
      </c>
      <c r="M85" s="4">
        <v>-1.0</v>
      </c>
      <c r="O85" s="4">
        <v>6.2142333333333335</v>
      </c>
    </row>
    <row r="86">
      <c r="A86" s="191">
        <v>45529.0</v>
      </c>
      <c r="B86" s="1" t="s">
        <v>146</v>
      </c>
      <c r="C86" s="1" t="s">
        <v>135</v>
      </c>
      <c r="D86" s="4">
        <v>469.0</v>
      </c>
      <c r="E86" s="4">
        <v>0.0</v>
      </c>
      <c r="F86" s="1" t="s">
        <v>104</v>
      </c>
      <c r="G86" s="1" t="s">
        <v>137</v>
      </c>
      <c r="H86" s="1" t="s">
        <v>138</v>
      </c>
      <c r="I86" s="1" t="s">
        <v>614</v>
      </c>
      <c r="J86" s="1" t="s">
        <v>615</v>
      </c>
      <c r="K86" s="1" t="s">
        <v>615</v>
      </c>
      <c r="M86" s="4">
        <v>-8.0</v>
      </c>
      <c r="O86" s="4">
        <v>8.603416666666666</v>
      </c>
    </row>
    <row r="87">
      <c r="A87" s="191">
        <v>45529.0</v>
      </c>
      <c r="B87" s="1" t="s">
        <v>149</v>
      </c>
      <c r="C87" s="1" t="s">
        <v>135</v>
      </c>
      <c r="D87" s="4">
        <v>247.0</v>
      </c>
      <c r="E87" s="4">
        <v>62.0</v>
      </c>
      <c r="G87" s="1" t="s">
        <v>142</v>
      </c>
      <c r="H87" s="1" t="s">
        <v>138</v>
      </c>
      <c r="I87" s="1" t="s">
        <v>616</v>
      </c>
      <c r="J87" s="1" t="s">
        <v>617</v>
      </c>
      <c r="K87" s="1" t="s">
        <v>617</v>
      </c>
      <c r="M87" s="4">
        <v>-13.0</v>
      </c>
      <c r="O87" s="4">
        <v>5.859333333333334</v>
      </c>
    </row>
    <row r="88">
      <c r="A88" s="191">
        <v>45529.0</v>
      </c>
      <c r="B88" s="1" t="s">
        <v>165</v>
      </c>
      <c r="C88" s="1" t="s">
        <v>166</v>
      </c>
      <c r="D88" s="4">
        <v>437.0</v>
      </c>
      <c r="E88" s="4">
        <v>0.0</v>
      </c>
      <c r="G88" s="1" t="s">
        <v>137</v>
      </c>
      <c r="H88" s="1" t="s">
        <v>138</v>
      </c>
      <c r="I88" s="1" t="s">
        <v>618</v>
      </c>
      <c r="J88" s="1" t="s">
        <v>619</v>
      </c>
      <c r="K88" s="1" t="s">
        <v>619</v>
      </c>
      <c r="M88" s="4">
        <v>-2.0</v>
      </c>
      <c r="O88" s="4">
        <v>6.2782333333333336</v>
      </c>
    </row>
    <row r="89">
      <c r="A89" s="191">
        <v>45529.0</v>
      </c>
      <c r="B89" s="1" t="s">
        <v>134</v>
      </c>
      <c r="C89" s="1" t="s">
        <v>166</v>
      </c>
      <c r="D89" s="4">
        <v>434.0</v>
      </c>
      <c r="E89" s="4">
        <v>0.0</v>
      </c>
      <c r="F89" s="1" t="s">
        <v>620</v>
      </c>
      <c r="G89" s="1" t="s">
        <v>137</v>
      </c>
      <c r="H89" s="1" t="s">
        <v>138</v>
      </c>
      <c r="I89" s="1" t="s">
        <v>621</v>
      </c>
      <c r="J89" s="1" t="s">
        <v>622</v>
      </c>
      <c r="K89" s="1" t="s">
        <v>622</v>
      </c>
      <c r="M89" s="4">
        <v>-5.0</v>
      </c>
      <c r="O89" s="4">
        <v>9.418616666666667</v>
      </c>
    </row>
    <row r="90">
      <c r="A90" s="191">
        <v>45529.0</v>
      </c>
      <c r="B90" s="1" t="s">
        <v>149</v>
      </c>
      <c r="C90" s="1" t="s">
        <v>135</v>
      </c>
      <c r="D90" s="4">
        <v>472.0</v>
      </c>
      <c r="E90" s="4">
        <v>0.0</v>
      </c>
      <c r="F90" s="1" t="s">
        <v>55</v>
      </c>
      <c r="G90" s="1" t="s">
        <v>150</v>
      </c>
      <c r="H90" s="1" t="s">
        <v>138</v>
      </c>
      <c r="I90" s="1" t="s">
        <v>623</v>
      </c>
      <c r="J90" s="1" t="s">
        <v>624</v>
      </c>
      <c r="K90" s="1" t="s">
        <v>625</v>
      </c>
      <c r="L90" s="1" t="s">
        <v>626</v>
      </c>
      <c r="M90" s="4">
        <v>3.0</v>
      </c>
      <c r="N90" s="4">
        <v>0.009766666666666667</v>
      </c>
      <c r="O90" s="4">
        <v>8.576116666666667</v>
      </c>
    </row>
    <row r="91">
      <c r="A91" s="191">
        <v>45529.0</v>
      </c>
      <c r="B91" s="1" t="s">
        <v>165</v>
      </c>
      <c r="C91" s="1" t="s">
        <v>166</v>
      </c>
      <c r="D91" s="4">
        <v>364.0</v>
      </c>
      <c r="E91" s="4">
        <v>0.0</v>
      </c>
      <c r="G91" s="1" t="s">
        <v>137</v>
      </c>
      <c r="H91" s="1" t="s">
        <v>138</v>
      </c>
      <c r="I91" s="1" t="s">
        <v>627</v>
      </c>
      <c r="J91" s="1" t="s">
        <v>628</v>
      </c>
      <c r="K91" s="1" t="s">
        <v>628</v>
      </c>
      <c r="M91" s="4">
        <v>0.0</v>
      </c>
      <c r="O91" s="4">
        <v>8.987283333333334</v>
      </c>
    </row>
    <row r="92">
      <c r="A92" s="191">
        <v>45529.0</v>
      </c>
      <c r="B92" s="1" t="s">
        <v>141</v>
      </c>
      <c r="C92" s="1" t="s">
        <v>135</v>
      </c>
      <c r="D92" s="4">
        <v>249.0</v>
      </c>
      <c r="E92" s="4">
        <v>249.0</v>
      </c>
      <c r="G92" s="1" t="s">
        <v>142</v>
      </c>
      <c r="H92" s="1" t="s">
        <v>143</v>
      </c>
      <c r="I92" s="1" t="s">
        <v>629</v>
      </c>
      <c r="J92" s="1" t="s">
        <v>630</v>
      </c>
      <c r="K92" s="1" t="s">
        <v>630</v>
      </c>
      <c r="M92" s="4">
        <v>7.0</v>
      </c>
      <c r="O92" s="4">
        <v>12.617716666666666</v>
      </c>
    </row>
    <row r="93">
      <c r="A93" s="191">
        <v>45529.0</v>
      </c>
      <c r="B93" s="1" t="s">
        <v>165</v>
      </c>
      <c r="C93" s="1" t="s">
        <v>166</v>
      </c>
      <c r="D93" s="4">
        <v>264.0</v>
      </c>
      <c r="E93" s="4">
        <v>0.0</v>
      </c>
      <c r="G93" s="1" t="s">
        <v>137</v>
      </c>
      <c r="H93" s="1" t="s">
        <v>138</v>
      </c>
      <c r="I93" s="1" t="s">
        <v>631</v>
      </c>
      <c r="J93" s="1" t="s">
        <v>632</v>
      </c>
      <c r="K93" s="1" t="s">
        <v>632</v>
      </c>
      <c r="M93" s="4">
        <v>3.0</v>
      </c>
      <c r="O93" s="4">
        <v>10.337033333333334</v>
      </c>
    </row>
    <row r="94">
      <c r="A94" s="191">
        <v>45529.0</v>
      </c>
      <c r="B94" s="1" t="s">
        <v>165</v>
      </c>
      <c r="C94" s="1" t="s">
        <v>166</v>
      </c>
      <c r="D94" s="4">
        <v>685.0</v>
      </c>
      <c r="E94" s="4">
        <v>0.0</v>
      </c>
      <c r="G94" s="1" t="s">
        <v>137</v>
      </c>
      <c r="H94" s="1" t="s">
        <v>138</v>
      </c>
      <c r="I94" s="1" t="s">
        <v>633</v>
      </c>
      <c r="J94" s="1" t="s">
        <v>634</v>
      </c>
      <c r="K94" s="1" t="s">
        <v>634</v>
      </c>
      <c r="M94" s="4">
        <v>1.0</v>
      </c>
      <c r="O94" s="4">
        <v>11.90215</v>
      </c>
    </row>
    <row r="95">
      <c r="A95" s="191">
        <v>45529.0</v>
      </c>
      <c r="B95" s="1" t="s">
        <v>165</v>
      </c>
      <c r="C95" s="1" t="s">
        <v>166</v>
      </c>
      <c r="D95" s="4">
        <v>702.0</v>
      </c>
      <c r="E95" s="4">
        <v>0.0</v>
      </c>
      <c r="G95" s="1" t="s">
        <v>137</v>
      </c>
      <c r="H95" s="1" t="s">
        <v>143</v>
      </c>
      <c r="I95" s="1" t="s">
        <v>635</v>
      </c>
      <c r="J95" s="1" t="s">
        <v>636</v>
      </c>
      <c r="K95" s="1" t="s">
        <v>636</v>
      </c>
      <c r="M95" s="4">
        <v>3.0</v>
      </c>
      <c r="O95" s="4">
        <v>12.696033333333334</v>
      </c>
    </row>
    <row r="96">
      <c r="A96" s="191">
        <v>45529.0</v>
      </c>
      <c r="B96" s="1" t="s">
        <v>149</v>
      </c>
      <c r="C96" s="1" t="s">
        <v>135</v>
      </c>
      <c r="D96" s="4">
        <v>414.0</v>
      </c>
      <c r="E96" s="4">
        <v>104.0</v>
      </c>
      <c r="G96" s="1" t="s">
        <v>142</v>
      </c>
      <c r="H96" s="1" t="s">
        <v>138</v>
      </c>
      <c r="I96" s="1" t="s">
        <v>637</v>
      </c>
      <c r="J96" s="1" t="s">
        <v>638</v>
      </c>
      <c r="K96" s="1" t="s">
        <v>638</v>
      </c>
      <c r="M96" s="4">
        <v>-16.0</v>
      </c>
      <c r="O96" s="4">
        <v>36.98205</v>
      </c>
    </row>
    <row r="97">
      <c r="A97" s="191">
        <v>45529.0</v>
      </c>
      <c r="B97" s="1" t="s">
        <v>149</v>
      </c>
      <c r="C97" s="1" t="s">
        <v>135</v>
      </c>
      <c r="D97" s="4">
        <v>479.0</v>
      </c>
      <c r="E97" s="4">
        <v>0.0</v>
      </c>
      <c r="F97" s="1" t="s">
        <v>55</v>
      </c>
      <c r="G97" s="1" t="s">
        <v>150</v>
      </c>
      <c r="H97" s="1" t="s">
        <v>138</v>
      </c>
      <c r="I97" s="1" t="s">
        <v>639</v>
      </c>
      <c r="J97" s="1" t="s">
        <v>640</v>
      </c>
      <c r="K97" s="1" t="s">
        <v>641</v>
      </c>
      <c r="L97" s="1" t="s">
        <v>642</v>
      </c>
      <c r="M97" s="4">
        <v>-1.0</v>
      </c>
      <c r="N97" s="4">
        <v>0.010333333333333333</v>
      </c>
      <c r="O97" s="4">
        <v>8.92065</v>
      </c>
    </row>
    <row r="98">
      <c r="A98" s="191">
        <v>45529.0</v>
      </c>
      <c r="B98" s="1" t="s">
        <v>149</v>
      </c>
      <c r="C98" s="1" t="s">
        <v>135</v>
      </c>
      <c r="D98" s="4">
        <v>394.0</v>
      </c>
      <c r="E98" s="4">
        <v>0.0</v>
      </c>
      <c r="F98" s="1" t="s">
        <v>55</v>
      </c>
      <c r="G98" s="1" t="s">
        <v>150</v>
      </c>
      <c r="H98" s="1" t="s">
        <v>143</v>
      </c>
      <c r="I98" s="1" t="s">
        <v>643</v>
      </c>
      <c r="J98" s="1" t="s">
        <v>644</v>
      </c>
      <c r="K98" s="1" t="s">
        <v>645</v>
      </c>
      <c r="L98" s="1" t="s">
        <v>646</v>
      </c>
      <c r="M98" s="4">
        <v>-7.0</v>
      </c>
      <c r="N98" s="4">
        <v>0.0095</v>
      </c>
      <c r="O98" s="4">
        <v>9.9006</v>
      </c>
    </row>
    <row r="99">
      <c r="A99" s="191">
        <v>45529.0</v>
      </c>
      <c r="B99" s="1" t="s">
        <v>146</v>
      </c>
      <c r="C99" s="1" t="s">
        <v>135</v>
      </c>
      <c r="D99" s="4">
        <v>364.0</v>
      </c>
      <c r="E99" s="4">
        <v>0.0</v>
      </c>
      <c r="F99" s="1" t="s">
        <v>104</v>
      </c>
      <c r="G99" s="1" t="s">
        <v>137</v>
      </c>
      <c r="H99" s="1" t="s">
        <v>138</v>
      </c>
      <c r="I99" s="1" t="s">
        <v>647</v>
      </c>
      <c r="J99" s="1" t="s">
        <v>648</v>
      </c>
      <c r="K99" s="1" t="s">
        <v>648</v>
      </c>
      <c r="M99" s="4">
        <v>-7.0</v>
      </c>
      <c r="O99" s="4">
        <v>7.74665</v>
      </c>
    </row>
    <row r="100">
      <c r="A100" s="191">
        <v>45529.0</v>
      </c>
      <c r="B100" s="1" t="s">
        <v>146</v>
      </c>
      <c r="C100" s="1" t="s">
        <v>135</v>
      </c>
      <c r="D100" s="4">
        <v>1057.0</v>
      </c>
      <c r="E100" s="4">
        <v>0.0</v>
      </c>
      <c r="F100" s="1" t="s">
        <v>104</v>
      </c>
      <c r="G100" s="1" t="s">
        <v>137</v>
      </c>
      <c r="H100" s="1" t="s">
        <v>138</v>
      </c>
      <c r="I100" s="1" t="s">
        <v>649</v>
      </c>
      <c r="J100" s="1" t="s">
        <v>650</v>
      </c>
      <c r="K100" s="1" t="s">
        <v>650</v>
      </c>
      <c r="M100" s="4">
        <v>-11.0</v>
      </c>
      <c r="O100" s="4">
        <v>8.430583333333333</v>
      </c>
    </row>
    <row r="101">
      <c r="A101" s="191">
        <v>45529.0</v>
      </c>
      <c r="B101" s="1" t="s">
        <v>149</v>
      </c>
      <c r="C101" s="1" t="s">
        <v>135</v>
      </c>
      <c r="D101" s="4">
        <v>588.0</v>
      </c>
      <c r="E101" s="4">
        <v>0.0</v>
      </c>
      <c r="F101" s="1" t="s">
        <v>55</v>
      </c>
      <c r="G101" s="1" t="s">
        <v>150</v>
      </c>
      <c r="H101" s="1" t="s">
        <v>143</v>
      </c>
      <c r="I101" s="1" t="s">
        <v>651</v>
      </c>
      <c r="J101" s="1" t="s">
        <v>652</v>
      </c>
      <c r="K101" s="1" t="s">
        <v>653</v>
      </c>
      <c r="L101" s="1" t="s">
        <v>654</v>
      </c>
      <c r="M101" s="4">
        <v>-6.0</v>
      </c>
      <c r="N101" s="4">
        <v>0.00955</v>
      </c>
      <c r="O101" s="4">
        <v>8.17705</v>
      </c>
    </row>
    <row r="102">
      <c r="A102" s="191">
        <v>45529.0</v>
      </c>
      <c r="B102" s="1" t="s">
        <v>165</v>
      </c>
      <c r="C102" s="1" t="s">
        <v>166</v>
      </c>
      <c r="D102" s="4">
        <v>383.0</v>
      </c>
      <c r="E102" s="4">
        <v>0.0</v>
      </c>
      <c r="G102" s="1" t="s">
        <v>137</v>
      </c>
      <c r="H102" s="1" t="s">
        <v>138</v>
      </c>
      <c r="I102" s="1" t="s">
        <v>655</v>
      </c>
      <c r="J102" s="1" t="s">
        <v>656</v>
      </c>
      <c r="K102" s="1" t="s">
        <v>656</v>
      </c>
      <c r="M102" s="4">
        <v>-1.0</v>
      </c>
      <c r="O102" s="4">
        <v>6.390033333333333</v>
      </c>
    </row>
    <row r="103">
      <c r="A103" s="191">
        <v>45529.0</v>
      </c>
      <c r="B103" s="1" t="s">
        <v>149</v>
      </c>
      <c r="C103" s="1" t="s">
        <v>135</v>
      </c>
      <c r="D103" s="4">
        <v>753.0</v>
      </c>
      <c r="E103" s="4">
        <v>0.0</v>
      </c>
      <c r="F103" s="1" t="s">
        <v>55</v>
      </c>
      <c r="G103" s="1" t="s">
        <v>150</v>
      </c>
      <c r="H103" s="1" t="s">
        <v>138</v>
      </c>
      <c r="I103" s="1" t="s">
        <v>657</v>
      </c>
      <c r="J103" s="1" t="s">
        <v>658</v>
      </c>
      <c r="K103" s="1" t="s">
        <v>659</v>
      </c>
      <c r="L103" s="1" t="s">
        <v>660</v>
      </c>
      <c r="M103" s="4">
        <v>-21.0</v>
      </c>
      <c r="N103" s="4">
        <v>0.011933333333333334</v>
      </c>
      <c r="O103" s="4">
        <v>7.9619333333333335</v>
      </c>
    </row>
    <row r="104">
      <c r="A104" s="191">
        <v>45529.0</v>
      </c>
      <c r="B104" s="1" t="s">
        <v>134</v>
      </c>
      <c r="C104" s="1" t="s">
        <v>166</v>
      </c>
      <c r="D104" s="4">
        <v>321.0</v>
      </c>
      <c r="E104" s="4">
        <v>0.0</v>
      </c>
      <c r="F104" s="1" t="s">
        <v>539</v>
      </c>
      <c r="G104" s="1" t="s">
        <v>137</v>
      </c>
      <c r="H104" s="1" t="s">
        <v>138</v>
      </c>
      <c r="I104" s="1" t="s">
        <v>661</v>
      </c>
      <c r="J104" s="1" t="s">
        <v>662</v>
      </c>
      <c r="K104" s="1" t="s">
        <v>662</v>
      </c>
      <c r="M104" s="4">
        <v>-8.0</v>
      </c>
      <c r="O104" s="4">
        <v>6.999433333333333</v>
      </c>
    </row>
    <row r="105">
      <c r="A105" s="191">
        <v>45529.0</v>
      </c>
      <c r="B105" s="1" t="s">
        <v>165</v>
      </c>
      <c r="C105" s="1" t="s">
        <v>166</v>
      </c>
      <c r="D105" s="4">
        <v>394.0</v>
      </c>
      <c r="E105" s="4">
        <v>0.0</v>
      </c>
      <c r="G105" s="1" t="s">
        <v>137</v>
      </c>
      <c r="H105" s="1" t="s">
        <v>138</v>
      </c>
      <c r="I105" s="1" t="s">
        <v>663</v>
      </c>
      <c r="J105" s="1" t="s">
        <v>664</v>
      </c>
      <c r="K105" s="1" t="s">
        <v>664</v>
      </c>
      <c r="M105" s="4">
        <v>4.0</v>
      </c>
      <c r="O105" s="4">
        <v>11.0933</v>
      </c>
    </row>
    <row r="106">
      <c r="A106" s="191">
        <v>45529.0</v>
      </c>
      <c r="B106" s="1" t="s">
        <v>146</v>
      </c>
      <c r="C106" s="1" t="s">
        <v>135</v>
      </c>
      <c r="D106" s="4">
        <v>329.0</v>
      </c>
      <c r="E106" s="4">
        <v>0.0</v>
      </c>
      <c r="F106" s="1" t="s">
        <v>104</v>
      </c>
      <c r="G106" s="1" t="s">
        <v>137</v>
      </c>
      <c r="H106" s="1" t="s">
        <v>138</v>
      </c>
      <c r="I106" s="1" t="s">
        <v>665</v>
      </c>
      <c r="J106" s="1" t="s">
        <v>666</v>
      </c>
      <c r="K106" s="1" t="s">
        <v>666</v>
      </c>
      <c r="M106" s="4">
        <v>-8.0</v>
      </c>
      <c r="O106" s="4">
        <v>6.6026</v>
      </c>
    </row>
    <row r="107">
      <c r="A107" s="191">
        <v>45529.0</v>
      </c>
      <c r="B107" s="1" t="s">
        <v>149</v>
      </c>
      <c r="C107" s="1" t="s">
        <v>135</v>
      </c>
      <c r="D107" s="4">
        <v>354.0</v>
      </c>
      <c r="E107" s="4">
        <v>84.0</v>
      </c>
      <c r="G107" s="1" t="s">
        <v>142</v>
      </c>
      <c r="H107" s="1" t="s">
        <v>138</v>
      </c>
      <c r="I107" s="1" t="s">
        <v>667</v>
      </c>
      <c r="J107" s="1" t="s">
        <v>668</v>
      </c>
      <c r="K107" s="1" t="s">
        <v>668</v>
      </c>
      <c r="M107" s="4">
        <v>-13.0</v>
      </c>
      <c r="O107" s="4">
        <v>5.354833333333334</v>
      </c>
    </row>
    <row r="108">
      <c r="A108" s="191">
        <v>45529.0</v>
      </c>
      <c r="B108" s="1" t="s">
        <v>146</v>
      </c>
      <c r="C108" s="1" t="s">
        <v>135</v>
      </c>
      <c r="D108" s="4">
        <v>716.0</v>
      </c>
      <c r="E108" s="4">
        <v>0.0</v>
      </c>
      <c r="F108" s="1" t="s">
        <v>104</v>
      </c>
      <c r="G108" s="1" t="s">
        <v>137</v>
      </c>
      <c r="H108" s="1" t="s">
        <v>138</v>
      </c>
      <c r="I108" s="1" t="s">
        <v>669</v>
      </c>
      <c r="J108" s="1" t="s">
        <v>670</v>
      </c>
      <c r="K108" s="1" t="s">
        <v>670</v>
      </c>
      <c r="M108" s="4">
        <v>-12.0</v>
      </c>
      <c r="O108" s="4">
        <v>7.605016666666667</v>
      </c>
    </row>
    <row r="109">
      <c r="A109" s="191">
        <v>45529.0</v>
      </c>
      <c r="B109" s="1" t="s">
        <v>149</v>
      </c>
      <c r="C109" s="1" t="s">
        <v>135</v>
      </c>
      <c r="D109" s="4">
        <v>223.0</v>
      </c>
      <c r="E109" s="4">
        <v>86.0</v>
      </c>
      <c r="G109" s="1" t="s">
        <v>142</v>
      </c>
      <c r="H109" s="1" t="s">
        <v>138</v>
      </c>
      <c r="I109" s="1" t="s">
        <v>671</v>
      </c>
      <c r="J109" s="1" t="s">
        <v>672</v>
      </c>
      <c r="K109" s="1" t="s">
        <v>672</v>
      </c>
      <c r="M109" s="4">
        <v>-11.0</v>
      </c>
      <c r="O109" s="4">
        <v>6.7835833333333335</v>
      </c>
    </row>
    <row r="110">
      <c r="A110" s="191">
        <v>45529.0</v>
      </c>
      <c r="B110" s="1" t="s">
        <v>149</v>
      </c>
      <c r="C110" s="1" t="s">
        <v>135</v>
      </c>
      <c r="D110" s="4">
        <v>507.0</v>
      </c>
      <c r="E110" s="4">
        <v>0.0</v>
      </c>
      <c r="F110" s="1" t="s">
        <v>55</v>
      </c>
      <c r="G110" s="1" t="s">
        <v>150</v>
      </c>
      <c r="H110" s="1" t="s">
        <v>138</v>
      </c>
      <c r="I110" s="1" t="s">
        <v>673</v>
      </c>
      <c r="J110" s="1" t="s">
        <v>674</v>
      </c>
      <c r="K110" s="1" t="s">
        <v>675</v>
      </c>
      <c r="L110" s="1" t="s">
        <v>676</v>
      </c>
      <c r="M110" s="4">
        <v>-19.0</v>
      </c>
      <c r="N110" s="4">
        <v>0.012716666666666666</v>
      </c>
      <c r="O110" s="4">
        <v>6.6817</v>
      </c>
    </row>
    <row r="111">
      <c r="A111" s="191">
        <v>45529.0</v>
      </c>
      <c r="B111" s="1" t="s">
        <v>134</v>
      </c>
      <c r="C111" s="1" t="s">
        <v>166</v>
      </c>
      <c r="D111" s="4">
        <v>499.0</v>
      </c>
      <c r="E111" s="4">
        <v>0.0</v>
      </c>
      <c r="F111" s="1" t="s">
        <v>677</v>
      </c>
      <c r="G111" s="1" t="s">
        <v>137</v>
      </c>
      <c r="H111" s="1" t="s">
        <v>138</v>
      </c>
      <c r="I111" s="1" t="s">
        <v>678</v>
      </c>
      <c r="J111" s="1" t="s">
        <v>679</v>
      </c>
      <c r="K111" s="1" t="s">
        <v>679</v>
      </c>
      <c r="M111" s="4">
        <v>-6.0</v>
      </c>
      <c r="O111" s="4">
        <v>8.443916666666667</v>
      </c>
    </row>
    <row r="112">
      <c r="A112" s="191">
        <v>45529.0</v>
      </c>
      <c r="B112" s="1" t="s">
        <v>146</v>
      </c>
      <c r="C112" s="1" t="s">
        <v>135</v>
      </c>
      <c r="D112" s="4">
        <v>553.0</v>
      </c>
      <c r="E112" s="4">
        <v>0.0</v>
      </c>
      <c r="F112" s="1" t="s">
        <v>104</v>
      </c>
      <c r="G112" s="1" t="s">
        <v>137</v>
      </c>
      <c r="H112" s="1" t="s">
        <v>138</v>
      </c>
      <c r="I112" s="1" t="s">
        <v>680</v>
      </c>
      <c r="J112" s="1" t="s">
        <v>681</v>
      </c>
      <c r="K112" s="1" t="s">
        <v>681</v>
      </c>
      <c r="M112" s="4">
        <v>-13.0</v>
      </c>
      <c r="O112" s="4">
        <v>6.243733333333333</v>
      </c>
    </row>
    <row r="113">
      <c r="A113" s="191">
        <v>45529.0</v>
      </c>
      <c r="B113" s="1" t="s">
        <v>134</v>
      </c>
      <c r="C113" s="1" t="s">
        <v>166</v>
      </c>
      <c r="D113" s="4">
        <v>348.0</v>
      </c>
      <c r="E113" s="4">
        <v>0.0</v>
      </c>
      <c r="F113" s="1" t="s">
        <v>682</v>
      </c>
      <c r="G113" s="1" t="s">
        <v>137</v>
      </c>
      <c r="H113" s="1" t="s">
        <v>138</v>
      </c>
      <c r="I113" s="1" t="s">
        <v>683</v>
      </c>
      <c r="J113" s="1" t="s">
        <v>684</v>
      </c>
      <c r="K113" s="1" t="s">
        <v>684</v>
      </c>
      <c r="M113" s="4">
        <v>-7.0</v>
      </c>
      <c r="O113" s="4">
        <v>7.2093</v>
      </c>
    </row>
    <row r="114">
      <c r="A114" s="191">
        <v>45529.0</v>
      </c>
      <c r="B114" s="1" t="s">
        <v>134</v>
      </c>
      <c r="C114" s="1" t="s">
        <v>166</v>
      </c>
      <c r="D114" s="4">
        <v>427.0</v>
      </c>
      <c r="E114" s="4">
        <v>0.0</v>
      </c>
      <c r="F114" s="1" t="s">
        <v>685</v>
      </c>
      <c r="G114" s="1" t="s">
        <v>137</v>
      </c>
      <c r="H114" s="1" t="s">
        <v>138</v>
      </c>
      <c r="I114" s="1" t="s">
        <v>686</v>
      </c>
      <c r="J114" s="1" t="s">
        <v>687</v>
      </c>
      <c r="K114" s="1" t="s">
        <v>687</v>
      </c>
      <c r="M114" s="4">
        <v>-10.0</v>
      </c>
      <c r="O114" s="4">
        <v>4.89385</v>
      </c>
    </row>
    <row r="115">
      <c r="A115" s="191">
        <v>45529.0</v>
      </c>
      <c r="B115" s="1" t="s">
        <v>146</v>
      </c>
      <c r="C115" s="1" t="s">
        <v>135</v>
      </c>
      <c r="D115" s="4">
        <v>224.0</v>
      </c>
      <c r="E115" s="4">
        <v>0.0</v>
      </c>
      <c r="F115" s="1" t="s">
        <v>104</v>
      </c>
      <c r="G115" s="1" t="s">
        <v>137</v>
      </c>
      <c r="H115" s="1" t="s">
        <v>138</v>
      </c>
      <c r="I115" s="1" t="s">
        <v>688</v>
      </c>
      <c r="J115" s="1" t="s">
        <v>689</v>
      </c>
      <c r="K115" s="1" t="s">
        <v>689</v>
      </c>
      <c r="M115" s="4">
        <v>-11.0</v>
      </c>
      <c r="O115" s="4">
        <v>3.7498666666666667</v>
      </c>
    </row>
    <row r="116">
      <c r="A116" s="191">
        <v>45529.0</v>
      </c>
      <c r="B116" s="1" t="s">
        <v>146</v>
      </c>
      <c r="C116" s="1" t="s">
        <v>135</v>
      </c>
      <c r="D116" s="4">
        <v>423.0</v>
      </c>
      <c r="E116" s="4">
        <v>0.0</v>
      </c>
      <c r="F116" s="1" t="s">
        <v>104</v>
      </c>
      <c r="G116" s="1" t="s">
        <v>137</v>
      </c>
      <c r="H116" s="1" t="s">
        <v>138</v>
      </c>
      <c r="I116" s="1" t="s">
        <v>690</v>
      </c>
      <c r="J116" s="1" t="s">
        <v>691</v>
      </c>
      <c r="K116" s="1" t="s">
        <v>691</v>
      </c>
      <c r="M116" s="4">
        <v>-11.0</v>
      </c>
      <c r="O116" s="4">
        <v>5.783333333333333</v>
      </c>
    </row>
    <row r="117">
      <c r="A117" s="191">
        <v>45529.0</v>
      </c>
      <c r="B117" s="1" t="s">
        <v>149</v>
      </c>
      <c r="C117" s="1" t="s">
        <v>135</v>
      </c>
      <c r="D117" s="4">
        <v>316.0</v>
      </c>
      <c r="E117" s="4">
        <v>62.0</v>
      </c>
      <c r="G117" s="1" t="s">
        <v>142</v>
      </c>
      <c r="H117" s="1" t="s">
        <v>138</v>
      </c>
      <c r="I117" s="1" t="s">
        <v>692</v>
      </c>
      <c r="J117" s="1" t="s">
        <v>693</v>
      </c>
      <c r="K117" s="1" t="s">
        <v>693</v>
      </c>
      <c r="M117" s="4">
        <v>-11.0</v>
      </c>
      <c r="O117" s="4">
        <v>7.325916666666667</v>
      </c>
    </row>
    <row r="118">
      <c r="A118" s="191">
        <v>45529.0</v>
      </c>
      <c r="B118" s="1" t="s">
        <v>165</v>
      </c>
      <c r="C118" s="1" t="s">
        <v>166</v>
      </c>
      <c r="D118" s="4">
        <v>499.0</v>
      </c>
      <c r="E118" s="4">
        <v>0.0</v>
      </c>
      <c r="G118" s="1" t="s">
        <v>137</v>
      </c>
      <c r="H118" s="1" t="s">
        <v>138</v>
      </c>
      <c r="I118" s="1" t="s">
        <v>694</v>
      </c>
      <c r="J118" s="1" t="s">
        <v>695</v>
      </c>
      <c r="K118" s="1" t="s">
        <v>695</v>
      </c>
      <c r="M118" s="4">
        <v>-1.0</v>
      </c>
      <c r="O118" s="4">
        <v>6.804733333333333</v>
      </c>
    </row>
    <row r="119">
      <c r="A119" s="191">
        <v>45529.0</v>
      </c>
      <c r="B119" s="1" t="s">
        <v>165</v>
      </c>
      <c r="C119" s="1" t="s">
        <v>166</v>
      </c>
      <c r="D119" s="4">
        <v>378.0</v>
      </c>
      <c r="E119" s="4">
        <v>0.0</v>
      </c>
      <c r="G119" s="1" t="s">
        <v>137</v>
      </c>
      <c r="H119" s="1" t="s">
        <v>138</v>
      </c>
      <c r="I119" s="1" t="s">
        <v>696</v>
      </c>
      <c r="J119" s="1" t="s">
        <v>697</v>
      </c>
      <c r="K119" s="1" t="s">
        <v>697</v>
      </c>
      <c r="M119" s="4">
        <v>0.0</v>
      </c>
      <c r="O119" s="4">
        <v>7.433416666666667</v>
      </c>
    </row>
    <row r="120">
      <c r="A120" s="191">
        <v>45529.0</v>
      </c>
      <c r="B120" s="1" t="s">
        <v>149</v>
      </c>
      <c r="C120" s="1" t="s">
        <v>135</v>
      </c>
      <c r="D120" s="4">
        <v>513.0</v>
      </c>
      <c r="E120" s="4">
        <v>0.0</v>
      </c>
      <c r="F120" s="1" t="s">
        <v>55</v>
      </c>
      <c r="G120" s="1" t="s">
        <v>150</v>
      </c>
      <c r="H120" s="1" t="s">
        <v>138</v>
      </c>
      <c r="I120" s="1" t="s">
        <v>698</v>
      </c>
      <c r="J120" s="1" t="s">
        <v>699</v>
      </c>
      <c r="K120" s="1" t="s">
        <v>700</v>
      </c>
      <c r="L120" s="1" t="s">
        <v>701</v>
      </c>
      <c r="M120" s="4">
        <v>-20.0</v>
      </c>
      <c r="N120" s="4">
        <v>0.010183333333333334</v>
      </c>
      <c r="O120" s="4">
        <v>6.8354333333333335</v>
      </c>
    </row>
    <row r="121">
      <c r="A121" s="191">
        <v>45529.0</v>
      </c>
      <c r="B121" s="1" t="s">
        <v>149</v>
      </c>
      <c r="C121" s="1" t="s">
        <v>135</v>
      </c>
      <c r="D121" s="4">
        <v>598.0</v>
      </c>
      <c r="E121" s="4">
        <v>149.0</v>
      </c>
      <c r="G121" s="1" t="s">
        <v>142</v>
      </c>
      <c r="H121" s="1" t="s">
        <v>232</v>
      </c>
      <c r="I121" s="1" t="s">
        <v>702</v>
      </c>
      <c r="J121" s="1" t="s">
        <v>703</v>
      </c>
      <c r="K121" s="1" t="s">
        <v>703</v>
      </c>
      <c r="M121" s="4">
        <v>-17.0</v>
      </c>
      <c r="O121" s="4">
        <v>7.0849</v>
      </c>
    </row>
    <row r="122">
      <c r="A122" s="191">
        <v>45529.0</v>
      </c>
      <c r="B122" s="1" t="s">
        <v>149</v>
      </c>
      <c r="C122" s="1" t="s">
        <v>135</v>
      </c>
      <c r="D122" s="4">
        <v>638.0</v>
      </c>
      <c r="E122" s="4">
        <v>0.0</v>
      </c>
      <c r="F122" s="1" t="s">
        <v>55</v>
      </c>
      <c r="G122" s="1" t="s">
        <v>150</v>
      </c>
      <c r="H122" s="1" t="s">
        <v>138</v>
      </c>
      <c r="I122" s="1" t="s">
        <v>704</v>
      </c>
      <c r="J122" s="1" t="s">
        <v>705</v>
      </c>
      <c r="K122" s="1" t="s">
        <v>706</v>
      </c>
      <c r="L122" s="1" t="s">
        <v>707</v>
      </c>
      <c r="M122" s="4">
        <v>-19.0</v>
      </c>
      <c r="N122" s="4">
        <v>0.01145</v>
      </c>
      <c r="O122" s="4">
        <v>6.89525</v>
      </c>
    </row>
    <row r="123">
      <c r="A123" s="191">
        <v>45529.0</v>
      </c>
      <c r="B123" s="1" t="s">
        <v>146</v>
      </c>
      <c r="C123" s="1" t="s">
        <v>135</v>
      </c>
      <c r="D123" s="4">
        <v>307.0</v>
      </c>
      <c r="E123" s="4">
        <v>0.0</v>
      </c>
      <c r="F123" s="1" t="s">
        <v>104</v>
      </c>
      <c r="G123" s="1" t="s">
        <v>137</v>
      </c>
      <c r="H123" s="1" t="s">
        <v>138</v>
      </c>
      <c r="I123" s="1" t="s">
        <v>708</v>
      </c>
      <c r="J123" s="1" t="s">
        <v>709</v>
      </c>
      <c r="K123" s="1" t="s">
        <v>709</v>
      </c>
      <c r="M123" s="4">
        <v>-7.0</v>
      </c>
      <c r="O123" s="4">
        <v>7.440633333333333</v>
      </c>
    </row>
    <row r="124">
      <c r="A124" s="191">
        <v>45529.0</v>
      </c>
      <c r="B124" s="1" t="s">
        <v>149</v>
      </c>
      <c r="C124" s="1" t="s">
        <v>135</v>
      </c>
      <c r="D124" s="4">
        <v>309.0</v>
      </c>
      <c r="E124" s="4">
        <v>0.0</v>
      </c>
      <c r="F124" s="1" t="s">
        <v>55</v>
      </c>
      <c r="G124" s="1" t="s">
        <v>150</v>
      </c>
      <c r="H124" s="1" t="s">
        <v>138</v>
      </c>
      <c r="I124" s="1" t="s">
        <v>710</v>
      </c>
      <c r="J124" s="1" t="s">
        <v>711</v>
      </c>
      <c r="K124" s="1" t="s">
        <v>712</v>
      </c>
      <c r="L124" s="1" t="s">
        <v>713</v>
      </c>
      <c r="M124" s="4">
        <v>-9.0</v>
      </c>
      <c r="N124" s="4">
        <v>0.007833333333333333</v>
      </c>
      <c r="O124" s="4">
        <v>12.561933333333334</v>
      </c>
    </row>
    <row r="125">
      <c r="A125" s="191">
        <v>45529.0</v>
      </c>
      <c r="B125" s="1" t="s">
        <v>134</v>
      </c>
      <c r="C125" s="1" t="s">
        <v>166</v>
      </c>
      <c r="D125" s="4">
        <v>294.0</v>
      </c>
      <c r="E125" s="4">
        <v>0.0</v>
      </c>
      <c r="F125" s="1" t="s">
        <v>44</v>
      </c>
      <c r="G125" s="1" t="s">
        <v>137</v>
      </c>
      <c r="H125" s="1" t="s">
        <v>138</v>
      </c>
      <c r="I125" s="1" t="s">
        <v>714</v>
      </c>
      <c r="J125" s="1" t="s">
        <v>715</v>
      </c>
      <c r="K125" s="1" t="s">
        <v>715</v>
      </c>
      <c r="M125" s="4">
        <v>0.0</v>
      </c>
      <c r="O125" s="4">
        <v>14.882583333333333</v>
      </c>
    </row>
    <row r="126">
      <c r="A126" s="191">
        <v>45529.0</v>
      </c>
      <c r="B126" s="1" t="s">
        <v>149</v>
      </c>
      <c r="C126" s="1" t="s">
        <v>135</v>
      </c>
      <c r="D126" s="4">
        <v>393.0</v>
      </c>
      <c r="E126" s="4">
        <v>0.0</v>
      </c>
      <c r="F126" s="1" t="s">
        <v>55</v>
      </c>
      <c r="G126" s="1" t="s">
        <v>150</v>
      </c>
      <c r="H126" s="1" t="s">
        <v>138</v>
      </c>
      <c r="I126" s="1" t="s">
        <v>716</v>
      </c>
      <c r="J126" s="1" t="s">
        <v>717</v>
      </c>
      <c r="K126" s="1" t="s">
        <v>718</v>
      </c>
      <c r="L126" s="1" t="s">
        <v>719</v>
      </c>
      <c r="M126" s="4">
        <v>-16.0</v>
      </c>
      <c r="N126" s="4">
        <v>0.014083333333333333</v>
      </c>
      <c r="O126" s="4">
        <v>5.887966666666666</v>
      </c>
    </row>
    <row r="127">
      <c r="A127" s="191">
        <v>45529.0</v>
      </c>
      <c r="B127" s="1" t="s">
        <v>146</v>
      </c>
      <c r="C127" s="1" t="s">
        <v>135</v>
      </c>
      <c r="D127" s="4">
        <v>264.0</v>
      </c>
      <c r="E127" s="4">
        <v>0.0</v>
      </c>
      <c r="F127" s="1" t="s">
        <v>104</v>
      </c>
      <c r="G127" s="1" t="s">
        <v>137</v>
      </c>
      <c r="H127" s="1" t="s">
        <v>138</v>
      </c>
      <c r="I127" s="1" t="s">
        <v>720</v>
      </c>
      <c r="J127" s="1" t="s">
        <v>721</v>
      </c>
      <c r="K127" s="1" t="s">
        <v>721</v>
      </c>
      <c r="M127" s="4">
        <v>-10.0</v>
      </c>
      <c r="O127" s="4">
        <v>4.808683333333334</v>
      </c>
    </row>
    <row r="128">
      <c r="A128" s="191">
        <v>45529.0</v>
      </c>
      <c r="B128" s="1" t="s">
        <v>134</v>
      </c>
      <c r="C128" s="1" t="s">
        <v>166</v>
      </c>
      <c r="D128" s="4">
        <v>321.0</v>
      </c>
      <c r="E128" s="4">
        <v>0.0</v>
      </c>
      <c r="F128" s="1" t="s">
        <v>677</v>
      </c>
      <c r="G128" s="1" t="s">
        <v>137</v>
      </c>
      <c r="H128" s="1" t="s">
        <v>138</v>
      </c>
      <c r="I128" s="1" t="s">
        <v>722</v>
      </c>
      <c r="J128" s="1" t="s">
        <v>723</v>
      </c>
      <c r="K128" s="1" t="s">
        <v>723</v>
      </c>
      <c r="M128" s="4">
        <v>-5.0</v>
      </c>
      <c r="O128" s="4">
        <v>9.69875</v>
      </c>
    </row>
    <row r="129">
      <c r="A129" s="191">
        <v>45529.0</v>
      </c>
      <c r="B129" s="1" t="s">
        <v>149</v>
      </c>
      <c r="C129" s="1" t="s">
        <v>135</v>
      </c>
      <c r="D129" s="4">
        <v>494.0</v>
      </c>
      <c r="E129" s="4">
        <v>124.0</v>
      </c>
      <c r="G129" s="1" t="s">
        <v>142</v>
      </c>
      <c r="H129" s="1" t="s">
        <v>232</v>
      </c>
      <c r="I129" s="1" t="s">
        <v>724</v>
      </c>
      <c r="J129" s="1" t="s">
        <v>725</v>
      </c>
      <c r="K129" s="1" t="s">
        <v>725</v>
      </c>
      <c r="M129" s="4">
        <v>-25.0</v>
      </c>
      <c r="O129" s="4">
        <v>6.8313</v>
      </c>
    </row>
    <row r="130">
      <c r="A130" s="191">
        <v>45529.0</v>
      </c>
      <c r="B130" s="1" t="s">
        <v>165</v>
      </c>
      <c r="C130" s="1" t="s">
        <v>166</v>
      </c>
      <c r="D130" s="4">
        <v>429.0</v>
      </c>
      <c r="E130" s="4">
        <v>0.0</v>
      </c>
      <c r="G130" s="1" t="s">
        <v>137</v>
      </c>
      <c r="H130" s="1" t="s">
        <v>143</v>
      </c>
      <c r="I130" s="1" t="s">
        <v>726</v>
      </c>
      <c r="J130" s="1" t="s">
        <v>727</v>
      </c>
      <c r="K130" s="1" t="s">
        <v>727</v>
      </c>
      <c r="M130" s="4">
        <v>0.0</v>
      </c>
      <c r="O130" s="4">
        <v>7.308883333333333</v>
      </c>
    </row>
    <row r="131">
      <c r="A131" s="191">
        <v>45529.0</v>
      </c>
      <c r="B131" s="1" t="s">
        <v>134</v>
      </c>
      <c r="C131" s="1" t="s">
        <v>166</v>
      </c>
      <c r="D131" s="4">
        <v>329.0</v>
      </c>
      <c r="E131" s="4">
        <v>0.0</v>
      </c>
      <c r="F131" s="1" t="s">
        <v>677</v>
      </c>
      <c r="G131" s="1" t="s">
        <v>137</v>
      </c>
      <c r="H131" s="1" t="s">
        <v>138</v>
      </c>
      <c r="I131" s="1" t="s">
        <v>728</v>
      </c>
      <c r="J131" s="1" t="s">
        <v>729</v>
      </c>
      <c r="K131" s="1" t="s">
        <v>729</v>
      </c>
      <c r="M131" s="4">
        <v>-7.0</v>
      </c>
      <c r="O131" s="4">
        <v>7.23195</v>
      </c>
    </row>
    <row r="132">
      <c r="A132" s="191">
        <v>45529.0</v>
      </c>
      <c r="B132" s="1" t="s">
        <v>146</v>
      </c>
      <c r="C132" s="1" t="s">
        <v>135</v>
      </c>
      <c r="D132" s="4">
        <v>698.0</v>
      </c>
      <c r="E132" s="4">
        <v>0.0</v>
      </c>
      <c r="F132" s="1" t="s">
        <v>104</v>
      </c>
      <c r="G132" s="1" t="s">
        <v>137</v>
      </c>
      <c r="H132" s="1" t="s">
        <v>138</v>
      </c>
      <c r="I132" s="1" t="s">
        <v>730</v>
      </c>
      <c r="J132" s="1" t="s">
        <v>731</v>
      </c>
      <c r="K132" s="1" t="s">
        <v>731</v>
      </c>
      <c r="M132" s="4">
        <v>-7.0</v>
      </c>
      <c r="O132" s="4">
        <v>12.31975</v>
      </c>
    </row>
    <row r="133">
      <c r="A133" s="191">
        <v>45529.0</v>
      </c>
      <c r="B133" s="1" t="s">
        <v>149</v>
      </c>
      <c r="C133" s="1" t="s">
        <v>135</v>
      </c>
      <c r="D133" s="4">
        <v>400.0</v>
      </c>
      <c r="E133" s="4">
        <v>87.0</v>
      </c>
      <c r="G133" s="1" t="s">
        <v>142</v>
      </c>
      <c r="H133" s="1" t="s">
        <v>143</v>
      </c>
      <c r="I133" s="1" t="s">
        <v>732</v>
      </c>
      <c r="J133" s="1" t="s">
        <v>733</v>
      </c>
      <c r="K133" s="1" t="s">
        <v>733</v>
      </c>
      <c r="M133" s="4">
        <v>-13.0</v>
      </c>
      <c r="O133" s="4">
        <v>15.421033333333334</v>
      </c>
    </row>
    <row r="134">
      <c r="A134" s="191">
        <v>45529.0</v>
      </c>
      <c r="B134" s="1" t="s">
        <v>149</v>
      </c>
      <c r="C134" s="1" t="s">
        <v>135</v>
      </c>
      <c r="D134" s="4">
        <v>547.0</v>
      </c>
      <c r="E134" s="4">
        <v>0.0</v>
      </c>
      <c r="F134" s="1" t="s">
        <v>55</v>
      </c>
      <c r="G134" s="1" t="s">
        <v>150</v>
      </c>
      <c r="H134" s="1" t="s">
        <v>138</v>
      </c>
      <c r="I134" s="1" t="s">
        <v>734</v>
      </c>
      <c r="J134" s="1" t="s">
        <v>735</v>
      </c>
      <c r="K134" s="1" t="s">
        <v>736</v>
      </c>
      <c r="L134" s="1" t="s">
        <v>737</v>
      </c>
      <c r="M134" s="4">
        <v>-16.0</v>
      </c>
      <c r="N134" s="4">
        <v>0.015333333333333332</v>
      </c>
      <c r="O134" s="4">
        <v>7.7781666666666665</v>
      </c>
    </row>
    <row r="135">
      <c r="A135" s="191">
        <v>45529.0</v>
      </c>
      <c r="B135" s="1" t="s">
        <v>134</v>
      </c>
      <c r="C135" s="1" t="s">
        <v>166</v>
      </c>
      <c r="D135" s="4">
        <v>429.0</v>
      </c>
      <c r="E135" s="4">
        <v>0.0</v>
      </c>
      <c r="F135" s="1" t="s">
        <v>738</v>
      </c>
      <c r="G135" s="1" t="s">
        <v>137</v>
      </c>
      <c r="H135" s="1" t="s">
        <v>138</v>
      </c>
      <c r="I135" s="1" t="s">
        <v>739</v>
      </c>
      <c r="J135" s="1" t="s">
        <v>740</v>
      </c>
      <c r="K135" s="1" t="s">
        <v>740</v>
      </c>
      <c r="M135" s="4">
        <v>-4.0</v>
      </c>
      <c r="O135" s="4">
        <v>10.4264</v>
      </c>
    </row>
    <row r="136">
      <c r="A136" s="191">
        <v>45529.0</v>
      </c>
      <c r="B136" s="1" t="s">
        <v>134</v>
      </c>
      <c r="C136" s="1" t="s">
        <v>166</v>
      </c>
      <c r="D136" s="4">
        <v>264.0</v>
      </c>
      <c r="E136" s="4">
        <v>0.0</v>
      </c>
      <c r="F136" s="1" t="s">
        <v>738</v>
      </c>
      <c r="G136" s="1" t="s">
        <v>137</v>
      </c>
      <c r="H136" s="1" t="s">
        <v>138</v>
      </c>
      <c r="I136" s="1" t="s">
        <v>741</v>
      </c>
      <c r="J136" s="1" t="s">
        <v>742</v>
      </c>
      <c r="K136" s="1" t="s">
        <v>742</v>
      </c>
      <c r="M136" s="4">
        <v>-8.0</v>
      </c>
      <c r="O136" s="4">
        <v>6.2398</v>
      </c>
    </row>
    <row r="137">
      <c r="A137" s="191">
        <v>45529.0</v>
      </c>
      <c r="B137" s="1" t="s">
        <v>149</v>
      </c>
      <c r="C137" s="1" t="s">
        <v>135</v>
      </c>
      <c r="D137" s="4">
        <v>309.0</v>
      </c>
      <c r="E137" s="4">
        <v>0.0</v>
      </c>
      <c r="F137" s="1" t="s">
        <v>55</v>
      </c>
      <c r="G137" s="1" t="s">
        <v>150</v>
      </c>
      <c r="H137" s="1" t="s">
        <v>138</v>
      </c>
      <c r="I137" s="1" t="s">
        <v>743</v>
      </c>
      <c r="J137" s="1" t="s">
        <v>744</v>
      </c>
      <c r="K137" s="1" t="s">
        <v>745</v>
      </c>
      <c r="L137" s="1" t="s">
        <v>746</v>
      </c>
      <c r="M137" s="4">
        <v>-10.0</v>
      </c>
      <c r="N137" s="4">
        <v>0.007216666666666666</v>
      </c>
      <c r="O137" s="4">
        <v>11.320066666666667</v>
      </c>
    </row>
    <row r="138">
      <c r="A138" s="191">
        <v>45529.0</v>
      </c>
      <c r="B138" s="1" t="s">
        <v>165</v>
      </c>
      <c r="C138" s="1" t="s">
        <v>166</v>
      </c>
      <c r="D138" s="4">
        <v>419.0</v>
      </c>
      <c r="E138" s="4">
        <v>0.0</v>
      </c>
      <c r="G138" s="1" t="s">
        <v>137</v>
      </c>
      <c r="H138" s="1" t="s">
        <v>138</v>
      </c>
      <c r="I138" s="1" t="s">
        <v>747</v>
      </c>
      <c r="J138" s="1" t="s">
        <v>748</v>
      </c>
      <c r="K138" s="1" t="s">
        <v>748</v>
      </c>
      <c r="M138" s="4">
        <v>5.0</v>
      </c>
      <c r="O138" s="4">
        <v>12.390166666666667</v>
      </c>
    </row>
    <row r="139">
      <c r="A139" s="191">
        <v>45529.0</v>
      </c>
      <c r="B139" s="1" t="s">
        <v>134</v>
      </c>
      <c r="C139" s="1" t="s">
        <v>166</v>
      </c>
      <c r="D139" s="4">
        <v>528.0</v>
      </c>
      <c r="E139" s="4">
        <v>0.0</v>
      </c>
      <c r="F139" s="1" t="s">
        <v>738</v>
      </c>
      <c r="G139" s="1" t="s">
        <v>137</v>
      </c>
      <c r="H139" s="1" t="s">
        <v>138</v>
      </c>
      <c r="I139" s="1" t="s">
        <v>749</v>
      </c>
      <c r="J139" s="1" t="s">
        <v>750</v>
      </c>
      <c r="K139" s="1" t="s">
        <v>750</v>
      </c>
      <c r="M139" s="4">
        <v>-6.0</v>
      </c>
      <c r="O139" s="4">
        <v>13.7343</v>
      </c>
    </row>
    <row r="140">
      <c r="A140" s="191">
        <v>45529.0</v>
      </c>
      <c r="B140" s="1" t="s">
        <v>165</v>
      </c>
      <c r="C140" s="1" t="s">
        <v>166</v>
      </c>
      <c r="D140" s="4">
        <v>379.0</v>
      </c>
      <c r="E140" s="4">
        <v>0.0</v>
      </c>
      <c r="G140" s="1" t="s">
        <v>137</v>
      </c>
      <c r="H140" s="1" t="s">
        <v>138</v>
      </c>
      <c r="I140" s="1" t="s">
        <v>751</v>
      </c>
      <c r="J140" s="1" t="s">
        <v>752</v>
      </c>
      <c r="K140" s="1" t="s">
        <v>752</v>
      </c>
      <c r="M140" s="4">
        <v>0.0</v>
      </c>
      <c r="O140" s="4">
        <v>7.3336</v>
      </c>
    </row>
    <row r="141">
      <c r="A141" s="191">
        <v>45529.0</v>
      </c>
      <c r="B141" s="1" t="s">
        <v>165</v>
      </c>
      <c r="C141" s="1" t="s">
        <v>166</v>
      </c>
      <c r="D141" s="4">
        <v>329.0</v>
      </c>
      <c r="E141" s="4">
        <v>100.0</v>
      </c>
      <c r="G141" s="1" t="s">
        <v>137</v>
      </c>
      <c r="H141" s="1" t="s">
        <v>138</v>
      </c>
      <c r="I141" s="1" t="s">
        <v>753</v>
      </c>
      <c r="J141" s="1" t="s">
        <v>754</v>
      </c>
      <c r="K141" s="1" t="s">
        <v>754</v>
      </c>
      <c r="M141" s="4">
        <v>0.0</v>
      </c>
      <c r="O141" s="4">
        <v>7.932733333333333</v>
      </c>
    </row>
    <row r="142">
      <c r="A142" s="191">
        <v>45529.0</v>
      </c>
      <c r="B142" s="1" t="s">
        <v>165</v>
      </c>
      <c r="C142" s="1" t="s">
        <v>166</v>
      </c>
      <c r="D142" s="4">
        <v>713.0</v>
      </c>
      <c r="E142" s="4">
        <v>150.0</v>
      </c>
      <c r="G142" s="1" t="s">
        <v>137</v>
      </c>
      <c r="H142" s="1" t="s">
        <v>138</v>
      </c>
      <c r="I142" s="1" t="s">
        <v>755</v>
      </c>
      <c r="J142" s="1" t="s">
        <v>756</v>
      </c>
      <c r="K142" s="1" t="s">
        <v>756</v>
      </c>
      <c r="M142" s="4">
        <v>-1.0</v>
      </c>
      <c r="O142" s="4">
        <v>8.69495</v>
      </c>
    </row>
    <row r="143">
      <c r="A143" s="191">
        <v>45529.0</v>
      </c>
      <c r="B143" s="1" t="s">
        <v>165</v>
      </c>
      <c r="C143" s="1" t="s">
        <v>166</v>
      </c>
      <c r="D143" s="4">
        <v>947.0</v>
      </c>
      <c r="E143" s="4">
        <v>0.0</v>
      </c>
      <c r="G143" s="1" t="s">
        <v>137</v>
      </c>
      <c r="H143" s="1" t="s">
        <v>138</v>
      </c>
      <c r="I143" s="1" t="s">
        <v>757</v>
      </c>
      <c r="J143" s="1" t="s">
        <v>758</v>
      </c>
      <c r="K143" s="1" t="s">
        <v>758</v>
      </c>
      <c r="M143" s="4">
        <v>-1.0</v>
      </c>
      <c r="O143" s="4">
        <v>8.212633333333333</v>
      </c>
    </row>
    <row r="144">
      <c r="A144" s="191">
        <v>45529.0</v>
      </c>
      <c r="B144" s="1" t="s">
        <v>134</v>
      </c>
      <c r="C144" s="1" t="s">
        <v>166</v>
      </c>
      <c r="D144" s="4">
        <v>394.0</v>
      </c>
      <c r="E144" s="4">
        <v>0.0</v>
      </c>
      <c r="F144" s="1" t="s">
        <v>759</v>
      </c>
      <c r="G144" s="1" t="s">
        <v>137</v>
      </c>
      <c r="H144" s="1" t="s">
        <v>138</v>
      </c>
      <c r="I144" s="1" t="s">
        <v>760</v>
      </c>
      <c r="J144" s="1" t="s">
        <v>761</v>
      </c>
      <c r="K144" s="1" t="s">
        <v>761</v>
      </c>
      <c r="M144" s="4">
        <v>-5.0</v>
      </c>
      <c r="O144" s="4">
        <v>9.678333333333333</v>
      </c>
    </row>
    <row r="145">
      <c r="A145" s="191">
        <v>45529.0</v>
      </c>
      <c r="B145" s="1" t="s">
        <v>165</v>
      </c>
      <c r="C145" s="1" t="s">
        <v>166</v>
      </c>
      <c r="D145" s="4">
        <v>528.0</v>
      </c>
      <c r="E145" s="4">
        <v>0.0</v>
      </c>
      <c r="G145" s="1" t="s">
        <v>137</v>
      </c>
      <c r="H145" s="1" t="s">
        <v>138</v>
      </c>
      <c r="I145" s="1" t="s">
        <v>762</v>
      </c>
      <c r="J145" s="1" t="s">
        <v>763</v>
      </c>
      <c r="K145" s="1" t="s">
        <v>763</v>
      </c>
      <c r="M145" s="4">
        <v>-1.0</v>
      </c>
      <c r="O145" s="4">
        <v>6.06435</v>
      </c>
    </row>
    <row r="146">
      <c r="A146" s="191">
        <v>45529.0</v>
      </c>
      <c r="B146" s="1" t="s">
        <v>165</v>
      </c>
      <c r="C146" s="1" t="s">
        <v>166</v>
      </c>
      <c r="D146" s="4">
        <v>676.0</v>
      </c>
      <c r="E146" s="4">
        <v>0.0</v>
      </c>
      <c r="G146" s="1" t="s">
        <v>137</v>
      </c>
      <c r="H146" s="1" t="s">
        <v>138</v>
      </c>
      <c r="I146" s="1" t="s">
        <v>764</v>
      </c>
      <c r="J146" s="1" t="s">
        <v>765</v>
      </c>
      <c r="K146" s="1" t="s">
        <v>765</v>
      </c>
      <c r="M146" s="4">
        <v>0.0</v>
      </c>
      <c r="O146" s="4">
        <v>9.1631</v>
      </c>
    </row>
    <row r="147">
      <c r="A147" s="191">
        <v>45529.0</v>
      </c>
      <c r="B147" s="1" t="s">
        <v>134</v>
      </c>
      <c r="C147" s="1" t="s">
        <v>166</v>
      </c>
      <c r="D147" s="4">
        <v>129.0</v>
      </c>
      <c r="E147" s="4">
        <v>0.0</v>
      </c>
      <c r="F147" s="1" t="s">
        <v>677</v>
      </c>
      <c r="G147" s="1" t="s">
        <v>137</v>
      </c>
      <c r="H147" s="1" t="s">
        <v>138</v>
      </c>
      <c r="I147" s="1" t="s">
        <v>766</v>
      </c>
      <c r="J147" s="1" t="s">
        <v>767</v>
      </c>
      <c r="K147" s="1" t="s">
        <v>767</v>
      </c>
      <c r="M147" s="4">
        <v>-8.0</v>
      </c>
      <c r="O147" s="4">
        <v>6.99845</v>
      </c>
    </row>
    <row r="148">
      <c r="A148" s="191">
        <v>45529.0</v>
      </c>
      <c r="B148" s="1" t="s">
        <v>149</v>
      </c>
      <c r="C148" s="1" t="s">
        <v>135</v>
      </c>
      <c r="D148" s="4">
        <v>550.0</v>
      </c>
      <c r="E148" s="4">
        <v>17.0</v>
      </c>
      <c r="F148" s="1" t="s">
        <v>55</v>
      </c>
      <c r="G148" s="1" t="s">
        <v>150</v>
      </c>
      <c r="H148" s="1" t="s">
        <v>138</v>
      </c>
      <c r="I148" s="1" t="s">
        <v>768</v>
      </c>
      <c r="J148" s="1" t="s">
        <v>769</v>
      </c>
      <c r="K148" s="1" t="s">
        <v>770</v>
      </c>
      <c r="L148" s="1" t="s">
        <v>771</v>
      </c>
      <c r="M148" s="4">
        <v>-12.0</v>
      </c>
      <c r="N148" s="4">
        <v>0.011116666666666667</v>
      </c>
      <c r="O148" s="4">
        <v>10.3567</v>
      </c>
    </row>
    <row r="149">
      <c r="A149" s="191">
        <v>45529.0</v>
      </c>
      <c r="B149" s="1" t="s">
        <v>165</v>
      </c>
      <c r="C149" s="1" t="s">
        <v>166</v>
      </c>
      <c r="D149" s="4">
        <v>364.0</v>
      </c>
      <c r="E149" s="4">
        <v>0.0</v>
      </c>
      <c r="G149" s="1" t="s">
        <v>137</v>
      </c>
      <c r="H149" s="1" t="s">
        <v>138</v>
      </c>
      <c r="I149" s="1" t="s">
        <v>772</v>
      </c>
      <c r="J149" s="1" t="s">
        <v>773</v>
      </c>
      <c r="K149" s="1" t="s">
        <v>773</v>
      </c>
      <c r="M149" s="4">
        <v>0.0</v>
      </c>
      <c r="O149" s="4">
        <v>7.2854833333333335</v>
      </c>
    </row>
    <row r="150">
      <c r="A150" s="191">
        <v>45529.0</v>
      </c>
      <c r="B150" s="1" t="s">
        <v>134</v>
      </c>
      <c r="C150" s="1" t="s">
        <v>166</v>
      </c>
      <c r="D150" s="4">
        <v>693.0</v>
      </c>
      <c r="E150" s="4">
        <v>0.0</v>
      </c>
      <c r="F150" s="1" t="s">
        <v>677</v>
      </c>
      <c r="G150" s="1" t="s">
        <v>137</v>
      </c>
      <c r="H150" s="1" t="s">
        <v>138</v>
      </c>
      <c r="I150" s="1" t="s">
        <v>774</v>
      </c>
      <c r="J150" s="1" t="s">
        <v>775</v>
      </c>
      <c r="K150" s="1" t="s">
        <v>775</v>
      </c>
      <c r="M150" s="4">
        <v>-6.0</v>
      </c>
      <c r="O150" s="4">
        <v>13.590483333333333</v>
      </c>
    </row>
    <row r="151">
      <c r="A151" s="191">
        <v>45529.0</v>
      </c>
      <c r="B151" s="1" t="s">
        <v>149</v>
      </c>
      <c r="C151" s="1" t="s">
        <v>135</v>
      </c>
      <c r="D151" s="4">
        <v>199.0</v>
      </c>
      <c r="E151" s="4">
        <v>50.0</v>
      </c>
      <c r="G151" s="1" t="s">
        <v>142</v>
      </c>
      <c r="H151" s="1" t="s">
        <v>232</v>
      </c>
      <c r="I151" s="1" t="s">
        <v>776</v>
      </c>
      <c r="J151" s="1" t="s">
        <v>777</v>
      </c>
      <c r="K151" s="1" t="s">
        <v>777</v>
      </c>
      <c r="M151" s="4">
        <v>-11.0</v>
      </c>
      <c r="O151" s="4">
        <v>8.397933333333333</v>
      </c>
    </row>
    <row r="152">
      <c r="A152" s="191">
        <v>45529.0</v>
      </c>
      <c r="B152" s="1" t="s">
        <v>149</v>
      </c>
      <c r="C152" s="1" t="s">
        <v>135</v>
      </c>
      <c r="D152" s="4">
        <v>309.0</v>
      </c>
      <c r="E152" s="4">
        <v>0.0</v>
      </c>
      <c r="F152" s="1" t="s">
        <v>54</v>
      </c>
      <c r="G152" s="1" t="s">
        <v>150</v>
      </c>
      <c r="H152" s="1" t="s">
        <v>138</v>
      </c>
      <c r="I152" s="1" t="s">
        <v>778</v>
      </c>
      <c r="J152" s="1" t="s">
        <v>779</v>
      </c>
      <c r="K152" s="1" t="s">
        <v>780</v>
      </c>
      <c r="L152" s="1" t="s">
        <v>781</v>
      </c>
      <c r="M152" s="4">
        <v>-10.0</v>
      </c>
      <c r="N152" s="4">
        <v>0.0111</v>
      </c>
      <c r="O152" s="4">
        <v>7.196183333333333</v>
      </c>
    </row>
    <row r="153">
      <c r="A153" s="191">
        <v>45529.0</v>
      </c>
      <c r="B153" s="1" t="s">
        <v>149</v>
      </c>
      <c r="C153" s="1" t="s">
        <v>135</v>
      </c>
      <c r="D153" s="4">
        <v>215.0</v>
      </c>
      <c r="E153" s="4">
        <v>54.0</v>
      </c>
      <c r="G153" s="1" t="s">
        <v>142</v>
      </c>
      <c r="H153" s="1" t="s">
        <v>138</v>
      </c>
      <c r="I153" s="1" t="s">
        <v>782</v>
      </c>
      <c r="J153" s="1" t="s">
        <v>783</v>
      </c>
      <c r="K153" s="1" t="s">
        <v>783</v>
      </c>
      <c r="M153" s="4">
        <v>-11.0</v>
      </c>
      <c r="O153" s="4">
        <v>7.3835</v>
      </c>
    </row>
    <row r="154">
      <c r="A154" s="191">
        <v>45529.0</v>
      </c>
      <c r="B154" s="1" t="s">
        <v>149</v>
      </c>
      <c r="C154" s="1" t="s">
        <v>135</v>
      </c>
      <c r="D154" s="4">
        <v>375.0</v>
      </c>
      <c r="E154" s="4">
        <v>0.0</v>
      </c>
      <c r="F154" s="1" t="s">
        <v>104</v>
      </c>
      <c r="G154" s="1" t="s">
        <v>150</v>
      </c>
      <c r="H154" s="1" t="s">
        <v>138</v>
      </c>
      <c r="I154" s="1" t="s">
        <v>784</v>
      </c>
      <c r="J154" s="1" t="s">
        <v>785</v>
      </c>
      <c r="K154" s="1" t="s">
        <v>786</v>
      </c>
      <c r="L154" s="1" t="s">
        <v>787</v>
      </c>
      <c r="M154" s="4">
        <v>3.0</v>
      </c>
      <c r="N154" s="4">
        <v>5.699866666666667</v>
      </c>
      <c r="O154" s="4">
        <v>6.887483333333333</v>
      </c>
    </row>
    <row r="155">
      <c r="A155" s="191">
        <v>45529.0</v>
      </c>
      <c r="B155" s="1" t="s">
        <v>141</v>
      </c>
      <c r="C155" s="1" t="s">
        <v>135</v>
      </c>
      <c r="D155" s="4">
        <v>498.0</v>
      </c>
      <c r="E155" s="4">
        <v>0.0</v>
      </c>
      <c r="G155" s="1" t="s">
        <v>142</v>
      </c>
      <c r="H155" s="1" t="s">
        <v>143</v>
      </c>
      <c r="I155" s="1" t="s">
        <v>788</v>
      </c>
      <c r="J155" s="1" t="s">
        <v>789</v>
      </c>
      <c r="K155" s="1" t="s">
        <v>789</v>
      </c>
      <c r="M155" s="4">
        <v>1.0</v>
      </c>
      <c r="O155" s="4">
        <v>6.621033333333333</v>
      </c>
    </row>
    <row r="156">
      <c r="A156" s="191">
        <v>45529.0</v>
      </c>
      <c r="B156" s="1" t="s">
        <v>165</v>
      </c>
      <c r="C156" s="1" t="s">
        <v>166</v>
      </c>
      <c r="D156" s="4">
        <v>351.0</v>
      </c>
      <c r="E156" s="4">
        <v>0.0</v>
      </c>
      <c r="G156" s="1" t="s">
        <v>137</v>
      </c>
      <c r="H156" s="1" t="s">
        <v>138</v>
      </c>
      <c r="I156" s="1" t="s">
        <v>790</v>
      </c>
      <c r="J156" s="1" t="s">
        <v>791</v>
      </c>
      <c r="K156" s="1" t="s">
        <v>791</v>
      </c>
      <c r="M156" s="4">
        <v>3.0</v>
      </c>
      <c r="O156" s="4">
        <v>10.094733333333334</v>
      </c>
    </row>
    <row r="157">
      <c r="A157" s="191">
        <v>45529.0</v>
      </c>
      <c r="B157" s="1" t="s">
        <v>165</v>
      </c>
      <c r="C157" s="1" t="s">
        <v>166</v>
      </c>
      <c r="D157" s="4">
        <v>319.0</v>
      </c>
      <c r="E157" s="4">
        <v>0.0</v>
      </c>
      <c r="G157" s="1" t="s">
        <v>137</v>
      </c>
      <c r="H157" s="1" t="s">
        <v>138</v>
      </c>
      <c r="I157" s="1" t="s">
        <v>792</v>
      </c>
      <c r="J157" s="1" t="s">
        <v>793</v>
      </c>
      <c r="K157" s="1" t="s">
        <v>793</v>
      </c>
      <c r="M157" s="4">
        <v>1.0</v>
      </c>
      <c r="O157" s="4">
        <v>8.834916666666667</v>
      </c>
    </row>
    <row r="158">
      <c r="A158" s="191">
        <v>45529.0</v>
      </c>
      <c r="B158" s="1" t="s">
        <v>165</v>
      </c>
      <c r="C158" s="1" t="s">
        <v>166</v>
      </c>
      <c r="D158" s="4">
        <v>364.0</v>
      </c>
      <c r="E158" s="4">
        <v>0.0</v>
      </c>
      <c r="G158" s="1" t="s">
        <v>137</v>
      </c>
      <c r="H158" s="1" t="s">
        <v>138</v>
      </c>
      <c r="I158" s="1" t="s">
        <v>794</v>
      </c>
      <c r="J158" s="1" t="s">
        <v>795</v>
      </c>
      <c r="K158" s="1" t="s">
        <v>795</v>
      </c>
      <c r="M158" s="4">
        <v>1.0</v>
      </c>
      <c r="O158" s="4">
        <v>8.103933333333334</v>
      </c>
    </row>
    <row r="159">
      <c r="A159" s="191">
        <v>45529.0</v>
      </c>
      <c r="B159" s="1" t="s">
        <v>146</v>
      </c>
      <c r="C159" s="1" t="s">
        <v>135</v>
      </c>
      <c r="D159" s="4">
        <v>418.0</v>
      </c>
      <c r="E159" s="4">
        <v>0.0</v>
      </c>
      <c r="F159" s="1" t="s">
        <v>104</v>
      </c>
      <c r="G159" s="1" t="s">
        <v>137</v>
      </c>
      <c r="H159" s="1" t="s">
        <v>138</v>
      </c>
      <c r="I159" s="1" t="s">
        <v>796</v>
      </c>
      <c r="J159" s="1" t="s">
        <v>797</v>
      </c>
      <c r="K159" s="1" t="s">
        <v>797</v>
      </c>
      <c r="M159" s="4">
        <v>-7.0</v>
      </c>
      <c r="O159" s="4">
        <v>7.1531666666666665</v>
      </c>
    </row>
    <row r="160">
      <c r="A160" s="191">
        <v>45529.0</v>
      </c>
      <c r="B160" s="1" t="s">
        <v>165</v>
      </c>
      <c r="C160" s="1" t="s">
        <v>166</v>
      </c>
      <c r="D160" s="4">
        <v>268.0</v>
      </c>
      <c r="E160" s="4">
        <v>100.0</v>
      </c>
      <c r="G160" s="1" t="s">
        <v>137</v>
      </c>
      <c r="H160" s="1" t="s">
        <v>138</v>
      </c>
      <c r="I160" s="1" t="s">
        <v>798</v>
      </c>
      <c r="J160" s="1" t="s">
        <v>799</v>
      </c>
      <c r="K160" s="1" t="s">
        <v>799</v>
      </c>
      <c r="M160" s="4">
        <v>1.0</v>
      </c>
      <c r="O160" s="4">
        <v>8.195916666666667</v>
      </c>
    </row>
    <row r="161">
      <c r="A161" s="191">
        <v>45529.0</v>
      </c>
      <c r="B161" s="1" t="s">
        <v>165</v>
      </c>
      <c r="C161" s="1" t="s">
        <v>166</v>
      </c>
      <c r="D161" s="4">
        <v>264.0</v>
      </c>
      <c r="E161" s="4">
        <v>0.0</v>
      </c>
      <c r="G161" s="1" t="s">
        <v>137</v>
      </c>
      <c r="H161" s="1" t="s">
        <v>138</v>
      </c>
      <c r="I161" s="1" t="s">
        <v>800</v>
      </c>
      <c r="J161" s="1" t="s">
        <v>801</v>
      </c>
      <c r="K161" s="1" t="s">
        <v>801</v>
      </c>
      <c r="M161" s="4">
        <v>0.0</v>
      </c>
      <c r="O161" s="4">
        <v>7.167883333333333</v>
      </c>
    </row>
    <row r="162">
      <c r="A162" s="191">
        <v>45529.0</v>
      </c>
      <c r="B162" s="1" t="s">
        <v>165</v>
      </c>
      <c r="C162" s="1" t="s">
        <v>166</v>
      </c>
      <c r="D162" s="4">
        <v>408.0</v>
      </c>
      <c r="E162" s="4">
        <v>150.0</v>
      </c>
      <c r="G162" s="1" t="s">
        <v>137</v>
      </c>
      <c r="H162" s="1" t="s">
        <v>138</v>
      </c>
      <c r="I162" s="1" t="s">
        <v>802</v>
      </c>
      <c r="J162" s="1" t="s">
        <v>803</v>
      </c>
      <c r="K162" s="1" t="s">
        <v>803</v>
      </c>
      <c r="M162" s="4">
        <v>-1.0</v>
      </c>
      <c r="O162" s="4">
        <v>7.694016666666666</v>
      </c>
    </row>
    <row r="163">
      <c r="A163" s="191">
        <v>45529.0</v>
      </c>
      <c r="B163" s="1" t="s">
        <v>149</v>
      </c>
      <c r="C163" s="1" t="s">
        <v>135</v>
      </c>
      <c r="D163" s="4">
        <v>245.0</v>
      </c>
      <c r="E163" s="4">
        <v>61.0</v>
      </c>
      <c r="G163" s="1" t="s">
        <v>142</v>
      </c>
      <c r="H163" s="1" t="s">
        <v>138</v>
      </c>
      <c r="I163" s="1" t="s">
        <v>804</v>
      </c>
      <c r="J163" s="1" t="s">
        <v>805</v>
      </c>
      <c r="K163" s="1" t="s">
        <v>805</v>
      </c>
      <c r="M163" s="4">
        <v>-8.0</v>
      </c>
      <c r="O163" s="4">
        <v>10.495133333333333</v>
      </c>
    </row>
    <row r="164">
      <c r="A164" s="191">
        <v>45529.0</v>
      </c>
      <c r="B164" s="1" t="s">
        <v>149</v>
      </c>
      <c r="C164" s="1" t="s">
        <v>135</v>
      </c>
      <c r="D164" s="4">
        <v>547.0</v>
      </c>
      <c r="E164" s="4">
        <v>0.0</v>
      </c>
      <c r="F164" s="1" t="s">
        <v>54</v>
      </c>
      <c r="G164" s="1" t="s">
        <v>150</v>
      </c>
      <c r="H164" s="1" t="s">
        <v>143</v>
      </c>
      <c r="I164" s="1" t="s">
        <v>806</v>
      </c>
      <c r="J164" s="1" t="s">
        <v>807</v>
      </c>
      <c r="K164" s="1" t="s">
        <v>808</v>
      </c>
      <c r="L164" s="1" t="s">
        <v>809</v>
      </c>
      <c r="M164" s="4">
        <v>-11.0</v>
      </c>
      <c r="N164" s="4">
        <v>0.0113</v>
      </c>
      <c r="O164" s="4">
        <v>7.8432</v>
      </c>
    </row>
    <row r="165">
      <c r="A165" s="191">
        <v>45529.0</v>
      </c>
      <c r="B165" s="1" t="s">
        <v>146</v>
      </c>
      <c r="C165" s="1" t="s">
        <v>135</v>
      </c>
      <c r="D165" s="4">
        <v>303.0</v>
      </c>
      <c r="E165" s="4">
        <v>0.0</v>
      </c>
      <c r="F165" s="1" t="s">
        <v>104</v>
      </c>
      <c r="G165" s="1" t="s">
        <v>137</v>
      </c>
      <c r="H165" s="1" t="s">
        <v>138</v>
      </c>
      <c r="I165" s="1" t="s">
        <v>810</v>
      </c>
      <c r="J165" s="1" t="s">
        <v>811</v>
      </c>
      <c r="K165" s="1" t="s">
        <v>811</v>
      </c>
      <c r="M165" s="4">
        <v>-9.0</v>
      </c>
      <c r="O165" s="4">
        <v>5.666</v>
      </c>
    </row>
    <row r="166">
      <c r="A166" s="191">
        <v>45529.0</v>
      </c>
      <c r="B166" s="1" t="s">
        <v>165</v>
      </c>
      <c r="C166" s="1" t="s">
        <v>166</v>
      </c>
      <c r="D166" s="4">
        <v>922.0</v>
      </c>
      <c r="E166" s="4">
        <v>0.0</v>
      </c>
      <c r="G166" s="1" t="s">
        <v>137</v>
      </c>
      <c r="H166" s="1" t="s">
        <v>138</v>
      </c>
      <c r="I166" s="1" t="s">
        <v>812</v>
      </c>
      <c r="J166" s="1" t="s">
        <v>813</v>
      </c>
      <c r="K166" s="1" t="s">
        <v>813</v>
      </c>
      <c r="M166" s="4">
        <v>-1.0</v>
      </c>
      <c r="O166" s="4">
        <v>8.224833333333333</v>
      </c>
    </row>
    <row r="167">
      <c r="A167" s="191">
        <v>45529.0</v>
      </c>
      <c r="B167" s="1" t="s">
        <v>149</v>
      </c>
      <c r="C167" s="1" t="s">
        <v>135</v>
      </c>
      <c r="D167" s="4">
        <v>354.0</v>
      </c>
      <c r="E167" s="4">
        <v>0.0</v>
      </c>
      <c r="F167" s="1" t="s">
        <v>54</v>
      </c>
      <c r="G167" s="1" t="s">
        <v>150</v>
      </c>
      <c r="H167" s="1" t="s">
        <v>138</v>
      </c>
      <c r="I167" s="1" t="s">
        <v>814</v>
      </c>
      <c r="J167" s="1" t="s">
        <v>815</v>
      </c>
      <c r="K167" s="1" t="s">
        <v>816</v>
      </c>
      <c r="L167" s="1" t="s">
        <v>817</v>
      </c>
      <c r="M167" s="4">
        <v>-16.0</v>
      </c>
      <c r="N167" s="4">
        <v>0.0119</v>
      </c>
      <c r="O167" s="4">
        <v>6.897316666666667</v>
      </c>
    </row>
    <row r="168">
      <c r="A168" s="191">
        <v>45529.0</v>
      </c>
      <c r="B168" s="1" t="s">
        <v>149</v>
      </c>
      <c r="C168" s="1" t="s">
        <v>135</v>
      </c>
      <c r="D168" s="4">
        <v>522.0</v>
      </c>
      <c r="E168" s="4">
        <v>0.0</v>
      </c>
      <c r="F168" s="1" t="s">
        <v>54</v>
      </c>
      <c r="G168" s="1" t="s">
        <v>150</v>
      </c>
      <c r="H168" s="1" t="s">
        <v>138</v>
      </c>
      <c r="I168" s="1" t="s">
        <v>818</v>
      </c>
      <c r="J168" s="1" t="s">
        <v>819</v>
      </c>
      <c r="K168" s="1" t="s">
        <v>820</v>
      </c>
      <c r="L168" s="1" t="s">
        <v>821</v>
      </c>
      <c r="M168" s="4">
        <v>-7.0</v>
      </c>
      <c r="N168" s="4">
        <v>0.013366666666666667</v>
      </c>
      <c r="O168" s="4">
        <v>10.712966666666667</v>
      </c>
    </row>
    <row r="169">
      <c r="A169" s="191">
        <v>45529.0</v>
      </c>
      <c r="B169" s="1" t="s">
        <v>149</v>
      </c>
      <c r="C169" s="1" t="s">
        <v>135</v>
      </c>
      <c r="D169" s="4">
        <v>533.0</v>
      </c>
      <c r="E169" s="4">
        <v>0.0</v>
      </c>
      <c r="F169" s="1" t="s">
        <v>104</v>
      </c>
      <c r="G169" s="1" t="s">
        <v>150</v>
      </c>
      <c r="H169" s="1" t="s">
        <v>143</v>
      </c>
      <c r="I169" s="1" t="s">
        <v>822</v>
      </c>
      <c r="J169" s="1" t="s">
        <v>823</v>
      </c>
      <c r="K169" s="1" t="s">
        <v>824</v>
      </c>
      <c r="L169" s="1" t="s">
        <v>825</v>
      </c>
      <c r="M169" s="4">
        <v>-7.0</v>
      </c>
      <c r="N169" s="4">
        <v>5.688666666666666</v>
      </c>
      <c r="O169" s="4">
        <v>11.8608</v>
      </c>
    </row>
    <row r="170">
      <c r="A170" s="191">
        <v>45529.0</v>
      </c>
      <c r="B170" s="1" t="s">
        <v>165</v>
      </c>
      <c r="C170" s="1" t="s">
        <v>166</v>
      </c>
      <c r="D170" s="4">
        <v>387.0</v>
      </c>
      <c r="E170" s="4">
        <v>0.0</v>
      </c>
      <c r="G170" s="1" t="s">
        <v>137</v>
      </c>
      <c r="H170" s="1" t="s">
        <v>138</v>
      </c>
      <c r="I170" s="1" t="s">
        <v>826</v>
      </c>
      <c r="J170" s="1" t="s">
        <v>827</v>
      </c>
      <c r="K170" s="1" t="s">
        <v>827</v>
      </c>
      <c r="M170" s="4">
        <v>0.0</v>
      </c>
      <c r="O170" s="4">
        <v>7.42385</v>
      </c>
    </row>
    <row r="171">
      <c r="A171" s="191">
        <v>45529.0</v>
      </c>
      <c r="B171" s="1" t="s">
        <v>146</v>
      </c>
      <c r="C171" s="1" t="s">
        <v>135</v>
      </c>
      <c r="D171" s="4">
        <v>657.0</v>
      </c>
      <c r="E171" s="4">
        <v>0.0</v>
      </c>
      <c r="F171" s="1" t="s">
        <v>104</v>
      </c>
      <c r="G171" s="1" t="s">
        <v>137</v>
      </c>
      <c r="H171" s="1" t="s">
        <v>138</v>
      </c>
      <c r="I171" s="1" t="s">
        <v>828</v>
      </c>
      <c r="J171" s="1" t="s">
        <v>829</v>
      </c>
      <c r="K171" s="1" t="s">
        <v>829</v>
      </c>
      <c r="M171" s="4">
        <v>-12.0</v>
      </c>
      <c r="O171" s="4">
        <v>7.0929</v>
      </c>
    </row>
    <row r="172">
      <c r="A172" s="191">
        <v>45529.0</v>
      </c>
      <c r="B172" s="1" t="s">
        <v>165</v>
      </c>
      <c r="C172" s="1" t="s">
        <v>166</v>
      </c>
      <c r="D172" s="4">
        <v>214.0</v>
      </c>
      <c r="E172" s="4">
        <v>50.0</v>
      </c>
      <c r="G172" s="1" t="s">
        <v>137</v>
      </c>
      <c r="H172" s="1" t="s">
        <v>138</v>
      </c>
      <c r="I172" s="1" t="s">
        <v>830</v>
      </c>
      <c r="J172" s="1" t="s">
        <v>831</v>
      </c>
      <c r="K172" s="1" t="s">
        <v>831</v>
      </c>
      <c r="M172" s="4">
        <v>0.0</v>
      </c>
      <c r="O172" s="4">
        <v>6.16905</v>
      </c>
    </row>
    <row r="173">
      <c r="A173" s="191">
        <v>45529.0</v>
      </c>
      <c r="B173" s="1" t="s">
        <v>134</v>
      </c>
      <c r="C173" s="1" t="s">
        <v>166</v>
      </c>
      <c r="D173" s="4">
        <v>313.0</v>
      </c>
      <c r="E173" s="4">
        <v>0.0</v>
      </c>
      <c r="F173" s="1" t="s">
        <v>832</v>
      </c>
      <c r="G173" s="1" t="s">
        <v>137</v>
      </c>
      <c r="H173" s="1" t="s">
        <v>138</v>
      </c>
      <c r="I173" s="1" t="s">
        <v>833</v>
      </c>
      <c r="J173" s="1" t="s">
        <v>834</v>
      </c>
      <c r="K173" s="1" t="s">
        <v>834</v>
      </c>
      <c r="M173" s="4">
        <v>-6.0</v>
      </c>
      <c r="O173" s="4">
        <v>8.674433333333333</v>
      </c>
    </row>
    <row r="174">
      <c r="A174" s="191">
        <v>45529.0</v>
      </c>
      <c r="B174" s="1" t="s">
        <v>165</v>
      </c>
      <c r="C174" s="1" t="s">
        <v>166</v>
      </c>
      <c r="D174" s="4">
        <v>786.0</v>
      </c>
      <c r="E174" s="4">
        <v>0.0</v>
      </c>
      <c r="G174" s="1" t="s">
        <v>137</v>
      </c>
      <c r="H174" s="1" t="s">
        <v>143</v>
      </c>
      <c r="I174" s="1" t="s">
        <v>835</v>
      </c>
      <c r="J174" s="1" t="s">
        <v>836</v>
      </c>
      <c r="K174" s="1" t="s">
        <v>836</v>
      </c>
      <c r="M174" s="4">
        <v>-1.0</v>
      </c>
      <c r="O174" s="4">
        <v>8.618233333333333</v>
      </c>
    </row>
    <row r="175">
      <c r="A175" s="191">
        <v>45529.0</v>
      </c>
      <c r="B175" s="1" t="s">
        <v>149</v>
      </c>
      <c r="C175" s="1" t="s">
        <v>135</v>
      </c>
      <c r="D175" s="4">
        <v>329.0</v>
      </c>
      <c r="E175" s="4">
        <v>0.0</v>
      </c>
      <c r="F175" s="1" t="s">
        <v>54</v>
      </c>
      <c r="G175" s="1" t="s">
        <v>150</v>
      </c>
      <c r="H175" s="1" t="s">
        <v>138</v>
      </c>
      <c r="I175" s="1" t="s">
        <v>837</v>
      </c>
      <c r="J175" s="1" t="s">
        <v>838</v>
      </c>
      <c r="K175" s="1" t="s">
        <v>839</v>
      </c>
      <c r="L175" s="1" t="s">
        <v>840</v>
      </c>
      <c r="M175" s="4">
        <v>-7.0</v>
      </c>
      <c r="N175" s="4">
        <v>0.011333333333333334</v>
      </c>
      <c r="O175" s="4">
        <v>11.64095</v>
      </c>
    </row>
    <row r="176">
      <c r="A176" s="191">
        <v>45529.0</v>
      </c>
      <c r="B176" s="1" t="s">
        <v>165</v>
      </c>
      <c r="C176" s="1" t="s">
        <v>166</v>
      </c>
      <c r="D176" s="4">
        <v>443.0</v>
      </c>
      <c r="E176" s="4">
        <v>0.0</v>
      </c>
      <c r="G176" s="1" t="s">
        <v>137</v>
      </c>
      <c r="H176" s="1" t="s">
        <v>138</v>
      </c>
      <c r="I176" s="1" t="s">
        <v>841</v>
      </c>
      <c r="J176" s="1" t="s">
        <v>842</v>
      </c>
      <c r="K176" s="1" t="s">
        <v>842</v>
      </c>
      <c r="M176" s="4">
        <v>3.0</v>
      </c>
      <c r="O176" s="4">
        <v>11.762483333333334</v>
      </c>
    </row>
    <row r="177">
      <c r="A177" s="191">
        <v>45529.0</v>
      </c>
      <c r="B177" s="1" t="s">
        <v>165</v>
      </c>
      <c r="C177" s="1" t="s">
        <v>166</v>
      </c>
      <c r="D177" s="4">
        <v>507.0</v>
      </c>
      <c r="E177" s="4">
        <v>0.0</v>
      </c>
      <c r="G177" s="1" t="s">
        <v>137</v>
      </c>
      <c r="H177" s="1" t="s">
        <v>138</v>
      </c>
      <c r="I177" s="1" t="s">
        <v>843</v>
      </c>
      <c r="J177" s="1" t="s">
        <v>844</v>
      </c>
      <c r="K177" s="1" t="s">
        <v>844</v>
      </c>
      <c r="M177" s="4">
        <v>0.0</v>
      </c>
      <c r="O177" s="4">
        <v>8.8061</v>
      </c>
    </row>
    <row r="178">
      <c r="A178" s="191">
        <v>45529.0</v>
      </c>
      <c r="B178" s="1" t="s">
        <v>146</v>
      </c>
      <c r="C178" s="1" t="s">
        <v>135</v>
      </c>
      <c r="D178" s="4">
        <v>321.0</v>
      </c>
      <c r="E178" s="4">
        <v>0.0</v>
      </c>
      <c r="F178" s="1" t="s">
        <v>104</v>
      </c>
      <c r="G178" s="1" t="s">
        <v>137</v>
      </c>
      <c r="H178" s="1" t="s">
        <v>138</v>
      </c>
      <c r="I178" s="1" t="s">
        <v>845</v>
      </c>
      <c r="J178" s="1" t="s">
        <v>846</v>
      </c>
      <c r="K178" s="1" t="s">
        <v>846</v>
      </c>
      <c r="M178" s="4">
        <v>-7.0</v>
      </c>
      <c r="O178" s="4">
        <v>7.129783333333333</v>
      </c>
    </row>
    <row r="179">
      <c r="A179" s="191">
        <v>45529.0</v>
      </c>
      <c r="B179" s="1" t="s">
        <v>149</v>
      </c>
      <c r="C179" s="1" t="s">
        <v>135</v>
      </c>
      <c r="D179" s="4">
        <v>239.0</v>
      </c>
      <c r="E179" s="4">
        <v>11.0</v>
      </c>
      <c r="F179" s="1" t="s">
        <v>54</v>
      </c>
      <c r="G179" s="1" t="s">
        <v>150</v>
      </c>
      <c r="H179" s="1" t="s">
        <v>138</v>
      </c>
      <c r="I179" s="1" t="s">
        <v>847</v>
      </c>
      <c r="J179" s="1" t="s">
        <v>848</v>
      </c>
      <c r="K179" s="1" t="s">
        <v>849</v>
      </c>
      <c r="L179" s="1" t="s">
        <v>850</v>
      </c>
      <c r="M179" s="4">
        <v>-12.0</v>
      </c>
      <c r="N179" s="4">
        <v>0.010933333333333333</v>
      </c>
      <c r="O179" s="4">
        <v>54.25051666666667</v>
      </c>
    </row>
    <row r="180">
      <c r="A180" s="191">
        <v>45529.0</v>
      </c>
      <c r="B180" s="1" t="s">
        <v>165</v>
      </c>
      <c r="C180" s="1" t="s">
        <v>166</v>
      </c>
      <c r="D180" s="4">
        <v>278.0</v>
      </c>
      <c r="E180" s="4">
        <v>100.0</v>
      </c>
      <c r="G180" s="1" t="s">
        <v>137</v>
      </c>
      <c r="H180" s="1" t="s">
        <v>138</v>
      </c>
      <c r="I180" s="1" t="s">
        <v>526</v>
      </c>
      <c r="J180" s="1" t="s">
        <v>527</v>
      </c>
      <c r="K180" s="1" t="s">
        <v>527</v>
      </c>
      <c r="M180" s="4">
        <v>11.0</v>
      </c>
      <c r="O180" s="4">
        <v>19.6344</v>
      </c>
    </row>
    <row r="181">
      <c r="A181" s="191">
        <v>45529.0</v>
      </c>
      <c r="B181" s="1" t="s">
        <v>165</v>
      </c>
      <c r="C181" s="1" t="s">
        <v>166</v>
      </c>
      <c r="D181" s="4">
        <v>394.0</v>
      </c>
      <c r="E181" s="4">
        <v>0.0</v>
      </c>
      <c r="G181" s="1" t="s">
        <v>137</v>
      </c>
      <c r="H181" s="1" t="s">
        <v>138</v>
      </c>
      <c r="I181" s="1" t="s">
        <v>528</v>
      </c>
      <c r="J181" s="1" t="s">
        <v>529</v>
      </c>
      <c r="K181" s="1" t="s">
        <v>529</v>
      </c>
      <c r="M181" s="4">
        <v>18.0</v>
      </c>
      <c r="O181" s="4">
        <v>26.045533333333335</v>
      </c>
    </row>
    <row r="182">
      <c r="A182" s="191">
        <v>45529.0</v>
      </c>
      <c r="B182" s="1" t="s">
        <v>165</v>
      </c>
      <c r="C182" s="1" t="s">
        <v>166</v>
      </c>
      <c r="D182" s="4">
        <v>429.0</v>
      </c>
      <c r="E182" s="4">
        <v>0.0</v>
      </c>
      <c r="G182" s="1" t="s">
        <v>137</v>
      </c>
      <c r="H182" s="1" t="s">
        <v>138</v>
      </c>
      <c r="I182" s="1" t="s">
        <v>530</v>
      </c>
      <c r="J182" s="1" t="s">
        <v>531</v>
      </c>
      <c r="K182" s="1" t="s">
        <v>531</v>
      </c>
      <c r="M182" s="4">
        <v>4.0</v>
      </c>
      <c r="O182" s="4">
        <v>12.445583333333333</v>
      </c>
    </row>
    <row r="183">
      <c r="A183" s="191">
        <v>45529.0</v>
      </c>
      <c r="B183" s="1" t="s">
        <v>165</v>
      </c>
      <c r="C183" s="1" t="s">
        <v>166</v>
      </c>
      <c r="D183" s="4">
        <v>264.0</v>
      </c>
      <c r="E183" s="4">
        <v>0.0</v>
      </c>
      <c r="G183" s="1" t="s">
        <v>137</v>
      </c>
      <c r="H183" s="1" t="s">
        <v>138</v>
      </c>
      <c r="I183" s="1" t="s">
        <v>532</v>
      </c>
      <c r="J183" s="1" t="s">
        <v>533</v>
      </c>
      <c r="K183" s="1" t="s">
        <v>533</v>
      </c>
      <c r="M183" s="4">
        <v>1.0</v>
      </c>
      <c r="O183" s="4">
        <v>8.528066666666666</v>
      </c>
    </row>
    <row r="184">
      <c r="A184" s="191">
        <v>45529.0</v>
      </c>
      <c r="B184" s="1" t="s">
        <v>134</v>
      </c>
      <c r="C184" s="1" t="s">
        <v>166</v>
      </c>
      <c r="D184" s="4">
        <v>364.0</v>
      </c>
      <c r="E184" s="4">
        <v>0.0</v>
      </c>
      <c r="F184" s="1" t="s">
        <v>534</v>
      </c>
      <c r="G184" s="1" t="s">
        <v>137</v>
      </c>
      <c r="H184" s="1" t="s">
        <v>138</v>
      </c>
      <c r="I184" s="1" t="s">
        <v>535</v>
      </c>
      <c r="J184" s="1" t="s">
        <v>536</v>
      </c>
      <c r="K184" s="1" t="s">
        <v>536</v>
      </c>
      <c r="M184" s="4">
        <v>-7.0</v>
      </c>
      <c r="O184" s="4">
        <v>7.9052</v>
      </c>
    </row>
    <row r="185">
      <c r="A185" s="191">
        <v>45529.0</v>
      </c>
      <c r="B185" s="1" t="s">
        <v>165</v>
      </c>
      <c r="C185" s="1" t="s">
        <v>166</v>
      </c>
      <c r="D185" s="4">
        <v>313.0</v>
      </c>
      <c r="E185" s="4">
        <v>0.0</v>
      </c>
      <c r="G185" s="1" t="s">
        <v>137</v>
      </c>
      <c r="H185" s="1" t="s">
        <v>138</v>
      </c>
      <c r="I185" s="1" t="s">
        <v>537</v>
      </c>
      <c r="J185" s="1" t="s">
        <v>538</v>
      </c>
      <c r="K185" s="1" t="s">
        <v>538</v>
      </c>
      <c r="M185" s="4">
        <v>-1.0</v>
      </c>
      <c r="O185" s="4">
        <v>5.818516666666667</v>
      </c>
    </row>
    <row r="186">
      <c r="A186" s="191">
        <v>45529.0</v>
      </c>
      <c r="B186" s="1" t="s">
        <v>134</v>
      </c>
      <c r="C186" s="1" t="s">
        <v>166</v>
      </c>
      <c r="D186" s="4">
        <v>329.0</v>
      </c>
      <c r="E186" s="4">
        <v>0.0</v>
      </c>
      <c r="F186" s="1" t="s">
        <v>539</v>
      </c>
      <c r="G186" s="1" t="s">
        <v>137</v>
      </c>
      <c r="H186" s="1" t="s">
        <v>138</v>
      </c>
      <c r="I186" s="1" t="s">
        <v>540</v>
      </c>
      <c r="J186" s="1" t="s">
        <v>541</v>
      </c>
      <c r="K186" s="1" t="s">
        <v>541</v>
      </c>
      <c r="M186" s="4">
        <v>-7.0</v>
      </c>
      <c r="O186" s="4">
        <v>7.1699166666666665</v>
      </c>
    </row>
    <row r="187">
      <c r="A187" s="191">
        <v>45529.0</v>
      </c>
      <c r="B187" s="1" t="s">
        <v>134</v>
      </c>
      <c r="C187" s="1" t="s">
        <v>166</v>
      </c>
      <c r="D187" s="4">
        <v>548.0</v>
      </c>
      <c r="E187" s="4">
        <v>0.0</v>
      </c>
      <c r="F187" s="1" t="s">
        <v>534</v>
      </c>
      <c r="G187" s="1" t="s">
        <v>137</v>
      </c>
      <c r="H187" s="1" t="s">
        <v>138</v>
      </c>
      <c r="I187" s="1" t="s">
        <v>542</v>
      </c>
      <c r="J187" s="1" t="s">
        <v>543</v>
      </c>
      <c r="K187" s="1" t="s">
        <v>543</v>
      </c>
      <c r="M187" s="4">
        <v>-4.0</v>
      </c>
      <c r="O187" s="4">
        <v>15.724516666666666</v>
      </c>
    </row>
    <row r="188">
      <c r="A188" s="191">
        <v>45529.0</v>
      </c>
      <c r="B188" s="1" t="s">
        <v>149</v>
      </c>
      <c r="C188" s="1" t="s">
        <v>135</v>
      </c>
      <c r="D188" s="4">
        <v>194.0</v>
      </c>
      <c r="E188" s="4">
        <v>0.0</v>
      </c>
      <c r="G188" s="1" t="s">
        <v>142</v>
      </c>
      <c r="H188" s="1" t="s">
        <v>143</v>
      </c>
      <c r="I188" s="1" t="s">
        <v>544</v>
      </c>
      <c r="J188" s="1" t="s">
        <v>545</v>
      </c>
      <c r="K188" s="1" t="s">
        <v>545</v>
      </c>
      <c r="M188" s="4">
        <v>-11.0</v>
      </c>
      <c r="O188" s="4">
        <v>7.700916666666667</v>
      </c>
    </row>
    <row r="189">
      <c r="A189" s="191">
        <v>45529.0</v>
      </c>
      <c r="B189" s="1" t="s">
        <v>146</v>
      </c>
      <c r="C189" s="1" t="s">
        <v>135</v>
      </c>
      <c r="D189" s="4">
        <v>294.0</v>
      </c>
      <c r="E189" s="4">
        <v>0.0</v>
      </c>
      <c r="F189" s="1" t="s">
        <v>104</v>
      </c>
      <c r="G189" s="1" t="s">
        <v>137</v>
      </c>
      <c r="H189" s="1" t="s">
        <v>138</v>
      </c>
      <c r="I189" s="1" t="s">
        <v>546</v>
      </c>
      <c r="J189" s="1" t="s">
        <v>547</v>
      </c>
      <c r="K189" s="1" t="s">
        <v>547</v>
      </c>
      <c r="M189" s="4">
        <v>-7.0</v>
      </c>
      <c r="O189" s="4">
        <v>7.435783333333333</v>
      </c>
    </row>
    <row r="190">
      <c r="A190" s="191">
        <v>45529.0</v>
      </c>
      <c r="B190" s="1" t="s">
        <v>149</v>
      </c>
      <c r="C190" s="1" t="s">
        <v>135</v>
      </c>
      <c r="D190" s="4">
        <v>494.0</v>
      </c>
      <c r="E190" s="4">
        <v>124.0</v>
      </c>
      <c r="G190" s="1" t="s">
        <v>142</v>
      </c>
      <c r="H190" s="1" t="s">
        <v>138</v>
      </c>
      <c r="I190" s="1" t="s">
        <v>548</v>
      </c>
      <c r="J190" s="1" t="s">
        <v>549</v>
      </c>
      <c r="K190" s="1" t="s">
        <v>549</v>
      </c>
      <c r="M190" s="4">
        <v>-13.0</v>
      </c>
      <c r="O190" s="4">
        <v>14.962166666666667</v>
      </c>
    </row>
    <row r="191">
      <c r="A191" s="191">
        <v>45529.0</v>
      </c>
      <c r="B191" s="1" t="s">
        <v>165</v>
      </c>
      <c r="C191" s="1" t="s">
        <v>166</v>
      </c>
      <c r="D191" s="4">
        <v>658.0</v>
      </c>
      <c r="E191" s="4">
        <v>0.0</v>
      </c>
      <c r="G191" s="1" t="s">
        <v>137</v>
      </c>
      <c r="H191" s="1" t="s">
        <v>138</v>
      </c>
      <c r="I191" s="1" t="s">
        <v>550</v>
      </c>
      <c r="J191" s="1" t="s">
        <v>551</v>
      </c>
      <c r="K191" s="1" t="s">
        <v>551</v>
      </c>
      <c r="M191" s="4">
        <v>0.0</v>
      </c>
      <c r="O191" s="4">
        <v>9.9678</v>
      </c>
    </row>
    <row r="192">
      <c r="A192" s="191">
        <v>45529.0</v>
      </c>
      <c r="B192" s="1" t="s">
        <v>165</v>
      </c>
      <c r="C192" s="1" t="s">
        <v>166</v>
      </c>
      <c r="D192" s="4">
        <v>314.0</v>
      </c>
      <c r="E192" s="4">
        <v>0.0</v>
      </c>
      <c r="G192" s="1" t="s">
        <v>137</v>
      </c>
      <c r="H192" s="1" t="s">
        <v>138</v>
      </c>
      <c r="I192" s="1" t="s">
        <v>552</v>
      </c>
      <c r="J192" s="1" t="s">
        <v>553</v>
      </c>
      <c r="K192" s="1" t="s">
        <v>553</v>
      </c>
      <c r="M192" s="4">
        <v>0.0</v>
      </c>
      <c r="O192" s="4">
        <v>7.423916666666667</v>
      </c>
    </row>
    <row r="193">
      <c r="A193" s="191">
        <v>45529.0</v>
      </c>
      <c r="B193" s="1" t="s">
        <v>149</v>
      </c>
      <c r="C193" s="1" t="s">
        <v>135</v>
      </c>
      <c r="D193" s="4">
        <v>643.0</v>
      </c>
      <c r="E193" s="4">
        <v>30.0</v>
      </c>
      <c r="F193" s="1" t="s">
        <v>104</v>
      </c>
      <c r="G193" s="1" t="s">
        <v>150</v>
      </c>
      <c r="H193" s="1" t="s">
        <v>138</v>
      </c>
      <c r="I193" s="1" t="s">
        <v>554</v>
      </c>
      <c r="J193" s="1" t="s">
        <v>555</v>
      </c>
      <c r="K193" s="1" t="s">
        <v>556</v>
      </c>
      <c r="L193" s="1" t="s">
        <v>557</v>
      </c>
      <c r="M193" s="4">
        <v>-10.0</v>
      </c>
      <c r="N193" s="4">
        <v>7.2167666666666666</v>
      </c>
      <c r="O193" s="4">
        <v>9.10335</v>
      </c>
    </row>
    <row r="194">
      <c r="A194" s="191">
        <v>45529.0</v>
      </c>
      <c r="B194" s="1" t="s">
        <v>165</v>
      </c>
      <c r="C194" s="1" t="s">
        <v>166</v>
      </c>
      <c r="D194" s="4">
        <v>313.0</v>
      </c>
      <c r="E194" s="4">
        <v>0.0</v>
      </c>
      <c r="G194" s="1" t="s">
        <v>137</v>
      </c>
      <c r="H194" s="1" t="s">
        <v>138</v>
      </c>
      <c r="I194" s="1" t="s">
        <v>558</v>
      </c>
      <c r="J194" s="1" t="s">
        <v>559</v>
      </c>
      <c r="K194" s="1" t="s">
        <v>559</v>
      </c>
      <c r="M194" s="4">
        <v>0.0</v>
      </c>
      <c r="O194" s="4">
        <v>8.77175</v>
      </c>
    </row>
    <row r="195">
      <c r="A195" s="191">
        <v>45529.0</v>
      </c>
      <c r="B195" s="1" t="s">
        <v>165</v>
      </c>
      <c r="C195" s="1" t="s">
        <v>166</v>
      </c>
      <c r="D195" s="4">
        <v>690.0</v>
      </c>
      <c r="E195" s="4">
        <v>0.0</v>
      </c>
      <c r="G195" s="1" t="s">
        <v>137</v>
      </c>
      <c r="H195" s="1" t="s">
        <v>138</v>
      </c>
      <c r="I195" s="1" t="s">
        <v>560</v>
      </c>
      <c r="J195" s="1" t="s">
        <v>561</v>
      </c>
      <c r="K195" s="1" t="s">
        <v>561</v>
      </c>
      <c r="M195" s="4">
        <v>0.0</v>
      </c>
      <c r="O195" s="4">
        <v>9.0191</v>
      </c>
    </row>
    <row r="196">
      <c r="A196" s="191">
        <v>45529.0</v>
      </c>
      <c r="B196" s="1" t="s">
        <v>165</v>
      </c>
      <c r="C196" s="1" t="s">
        <v>166</v>
      </c>
      <c r="D196" s="4">
        <v>289.0</v>
      </c>
      <c r="E196" s="4">
        <v>0.0</v>
      </c>
      <c r="G196" s="1" t="s">
        <v>137</v>
      </c>
      <c r="H196" s="1" t="s">
        <v>138</v>
      </c>
      <c r="I196" s="1" t="s">
        <v>562</v>
      </c>
      <c r="J196" s="1" t="s">
        <v>563</v>
      </c>
      <c r="K196" s="1" t="s">
        <v>563</v>
      </c>
      <c r="M196" s="4">
        <v>9.0</v>
      </c>
      <c r="O196" s="4">
        <v>15.5641</v>
      </c>
    </row>
    <row r="197">
      <c r="A197" s="191">
        <v>45529.0</v>
      </c>
      <c r="B197" s="1" t="s">
        <v>165</v>
      </c>
      <c r="C197" s="1" t="s">
        <v>166</v>
      </c>
      <c r="D197" s="4">
        <v>1136.0</v>
      </c>
      <c r="E197" s="4">
        <v>0.0</v>
      </c>
      <c r="G197" s="1" t="s">
        <v>137</v>
      </c>
      <c r="H197" s="1" t="s">
        <v>138</v>
      </c>
      <c r="I197" s="1" t="s">
        <v>564</v>
      </c>
      <c r="J197" s="1" t="s">
        <v>565</v>
      </c>
      <c r="K197" s="1" t="s">
        <v>565</v>
      </c>
      <c r="M197" s="4">
        <v>5.0</v>
      </c>
      <c r="O197" s="4">
        <v>16.360116666666666</v>
      </c>
    </row>
    <row r="198">
      <c r="A198" s="191">
        <v>45529.0</v>
      </c>
      <c r="B198" s="1" t="s">
        <v>146</v>
      </c>
      <c r="C198" s="1" t="s">
        <v>135</v>
      </c>
      <c r="D198" s="4">
        <v>329.0</v>
      </c>
      <c r="E198" s="4">
        <v>0.0</v>
      </c>
      <c r="F198" s="1" t="s">
        <v>104</v>
      </c>
      <c r="G198" s="1" t="s">
        <v>137</v>
      </c>
      <c r="H198" s="1" t="s">
        <v>138</v>
      </c>
      <c r="I198" s="1" t="s">
        <v>566</v>
      </c>
      <c r="J198" s="1" t="s">
        <v>567</v>
      </c>
      <c r="K198" s="1" t="s">
        <v>567</v>
      </c>
      <c r="M198" s="4">
        <v>-7.0</v>
      </c>
      <c r="O198" s="4">
        <v>7.9191666666666665</v>
      </c>
    </row>
    <row r="199">
      <c r="A199" s="191">
        <v>45529.0</v>
      </c>
      <c r="B199" s="1" t="s">
        <v>146</v>
      </c>
      <c r="C199" s="1" t="s">
        <v>135</v>
      </c>
      <c r="D199" s="4">
        <v>658.0</v>
      </c>
      <c r="E199" s="4">
        <v>0.0</v>
      </c>
      <c r="F199" s="1" t="s">
        <v>104</v>
      </c>
      <c r="G199" s="1" t="s">
        <v>137</v>
      </c>
      <c r="H199" s="1" t="s">
        <v>138</v>
      </c>
      <c r="I199" s="1" t="s">
        <v>568</v>
      </c>
      <c r="J199" s="1" t="s">
        <v>569</v>
      </c>
      <c r="K199" s="1" t="s">
        <v>569</v>
      </c>
      <c r="M199" s="4">
        <v>-7.0</v>
      </c>
      <c r="O199" s="4">
        <v>12.036783333333334</v>
      </c>
    </row>
    <row r="200">
      <c r="A200" s="191">
        <v>45529.0</v>
      </c>
      <c r="B200" s="1" t="s">
        <v>165</v>
      </c>
      <c r="C200" s="1" t="s">
        <v>166</v>
      </c>
      <c r="D200" s="4">
        <v>404.0</v>
      </c>
      <c r="E200" s="4">
        <v>0.0</v>
      </c>
      <c r="G200" s="1" t="s">
        <v>137</v>
      </c>
      <c r="H200" s="1" t="s">
        <v>138</v>
      </c>
      <c r="I200" s="1" t="s">
        <v>570</v>
      </c>
      <c r="J200" s="1" t="s">
        <v>571</v>
      </c>
      <c r="K200" s="1" t="s">
        <v>571</v>
      </c>
      <c r="M200" s="4">
        <v>0.0</v>
      </c>
      <c r="O200" s="4">
        <v>7.0974</v>
      </c>
    </row>
    <row r="201">
      <c r="A201" s="191">
        <v>45529.0</v>
      </c>
      <c r="B201" s="1" t="s">
        <v>165</v>
      </c>
      <c r="C201" s="1" t="s">
        <v>166</v>
      </c>
      <c r="D201" s="4">
        <v>467.0</v>
      </c>
      <c r="E201" s="4">
        <v>0.0</v>
      </c>
      <c r="G201" s="1" t="s">
        <v>137</v>
      </c>
      <c r="H201" s="1" t="s">
        <v>138</v>
      </c>
      <c r="I201" s="1" t="s">
        <v>572</v>
      </c>
      <c r="J201" s="1" t="s">
        <v>573</v>
      </c>
      <c r="K201" s="1" t="s">
        <v>573</v>
      </c>
      <c r="M201" s="4">
        <v>0.0</v>
      </c>
      <c r="O201" s="4">
        <v>8.815516666666667</v>
      </c>
    </row>
    <row r="202">
      <c r="A202" s="191">
        <v>45529.0</v>
      </c>
      <c r="B202" s="1" t="s">
        <v>165</v>
      </c>
      <c r="C202" s="1" t="s">
        <v>166</v>
      </c>
      <c r="D202" s="4">
        <v>528.0</v>
      </c>
      <c r="E202" s="4">
        <v>0.0</v>
      </c>
      <c r="G202" s="1" t="s">
        <v>137</v>
      </c>
      <c r="H202" s="1" t="s">
        <v>138</v>
      </c>
      <c r="I202" s="1" t="s">
        <v>574</v>
      </c>
      <c r="J202" s="1" t="s">
        <v>575</v>
      </c>
      <c r="K202" s="1" t="s">
        <v>575</v>
      </c>
      <c r="M202" s="4">
        <v>3.0</v>
      </c>
      <c r="O202" s="4">
        <v>11.697</v>
      </c>
    </row>
    <row r="203">
      <c r="A203" s="191">
        <v>45529.0</v>
      </c>
      <c r="B203" s="1" t="s">
        <v>165</v>
      </c>
      <c r="C203" s="1" t="s">
        <v>166</v>
      </c>
      <c r="D203" s="4">
        <v>338.0</v>
      </c>
      <c r="E203" s="4">
        <v>0.0</v>
      </c>
      <c r="G203" s="1" t="s">
        <v>137</v>
      </c>
      <c r="H203" s="1" t="s">
        <v>138</v>
      </c>
      <c r="I203" s="1" t="s">
        <v>576</v>
      </c>
      <c r="J203" s="1" t="s">
        <v>577</v>
      </c>
      <c r="K203" s="1" t="s">
        <v>577</v>
      </c>
      <c r="M203" s="4">
        <v>0.0</v>
      </c>
      <c r="O203" s="4">
        <v>7.196483333333333</v>
      </c>
    </row>
    <row r="204">
      <c r="A204" s="191">
        <v>45529.0</v>
      </c>
      <c r="B204" s="1" t="s">
        <v>165</v>
      </c>
      <c r="C204" s="1" t="s">
        <v>166</v>
      </c>
      <c r="D204" s="4">
        <v>329.0</v>
      </c>
      <c r="E204" s="4">
        <v>0.0</v>
      </c>
      <c r="G204" s="1" t="s">
        <v>137</v>
      </c>
      <c r="H204" s="1" t="s">
        <v>138</v>
      </c>
      <c r="I204" s="1" t="s">
        <v>578</v>
      </c>
      <c r="J204" s="1" t="s">
        <v>579</v>
      </c>
      <c r="K204" s="1" t="s">
        <v>579</v>
      </c>
      <c r="M204" s="4">
        <v>3.0</v>
      </c>
      <c r="O204" s="4">
        <v>10.134016666666666</v>
      </c>
    </row>
    <row r="205">
      <c r="A205" s="191">
        <v>45529.0</v>
      </c>
      <c r="B205" s="1" t="s">
        <v>141</v>
      </c>
      <c r="C205" s="1" t="s">
        <v>135</v>
      </c>
      <c r="D205" s="4">
        <v>158.0</v>
      </c>
      <c r="E205" s="4">
        <v>0.0</v>
      </c>
      <c r="G205" s="1" t="s">
        <v>142</v>
      </c>
      <c r="H205" s="1" t="s">
        <v>143</v>
      </c>
      <c r="I205" s="1" t="s">
        <v>580</v>
      </c>
      <c r="J205" s="1" t="s">
        <v>581</v>
      </c>
      <c r="K205" s="1" t="s">
        <v>581</v>
      </c>
      <c r="M205" s="4">
        <v>-2.0</v>
      </c>
      <c r="O205" s="4">
        <v>2.90425</v>
      </c>
    </row>
    <row r="206">
      <c r="A206" s="191">
        <v>45529.0</v>
      </c>
      <c r="B206" s="1" t="s">
        <v>149</v>
      </c>
      <c r="C206" s="1" t="s">
        <v>135</v>
      </c>
      <c r="D206" s="4">
        <v>447.0</v>
      </c>
      <c r="E206" s="4">
        <v>0.0</v>
      </c>
      <c r="F206" s="1" t="s">
        <v>55</v>
      </c>
      <c r="G206" s="1" t="s">
        <v>150</v>
      </c>
      <c r="H206" s="1" t="s">
        <v>143</v>
      </c>
      <c r="I206" s="1" t="s">
        <v>582</v>
      </c>
      <c r="J206" s="1" t="s">
        <v>583</v>
      </c>
      <c r="K206" s="1" t="s">
        <v>584</v>
      </c>
      <c r="L206" s="1" t="s">
        <v>585</v>
      </c>
      <c r="M206" s="4">
        <v>-9.0</v>
      </c>
      <c r="N206" s="4">
        <v>0.011216666666666666</v>
      </c>
      <c r="O206" s="4">
        <v>5.53465</v>
      </c>
    </row>
    <row r="207">
      <c r="A207" s="191">
        <v>45529.0</v>
      </c>
      <c r="B207" s="1" t="s">
        <v>149</v>
      </c>
      <c r="C207" s="1" t="s">
        <v>135</v>
      </c>
      <c r="D207" s="4">
        <v>498.0</v>
      </c>
      <c r="E207" s="4">
        <v>0.0</v>
      </c>
      <c r="F207" s="1" t="s">
        <v>55</v>
      </c>
      <c r="G207" s="1" t="s">
        <v>150</v>
      </c>
      <c r="H207" s="1" t="s">
        <v>138</v>
      </c>
      <c r="I207" s="1" t="s">
        <v>586</v>
      </c>
      <c r="J207" s="1" t="s">
        <v>587</v>
      </c>
      <c r="K207" s="1" t="s">
        <v>588</v>
      </c>
      <c r="L207" s="1" t="s">
        <v>589</v>
      </c>
      <c r="M207" s="4">
        <v>-8.0</v>
      </c>
      <c r="N207" s="4">
        <v>0.008533333333333334</v>
      </c>
      <c r="O207" s="4">
        <v>10.666283333333332</v>
      </c>
    </row>
    <row r="208">
      <c r="A208" s="191">
        <v>45529.0</v>
      </c>
      <c r="B208" s="1" t="s">
        <v>146</v>
      </c>
      <c r="C208" s="1" t="s">
        <v>135</v>
      </c>
      <c r="D208" s="4">
        <v>836.0</v>
      </c>
      <c r="E208" s="4">
        <v>0.0</v>
      </c>
      <c r="F208" s="1" t="s">
        <v>104</v>
      </c>
      <c r="G208" s="1" t="s">
        <v>137</v>
      </c>
      <c r="H208" s="1" t="s">
        <v>138</v>
      </c>
      <c r="I208" s="1" t="s">
        <v>590</v>
      </c>
      <c r="J208" s="1" t="s">
        <v>591</v>
      </c>
      <c r="K208" s="1" t="s">
        <v>591</v>
      </c>
      <c r="M208" s="4">
        <v>-13.0</v>
      </c>
      <c r="O208" s="4">
        <v>6.1754</v>
      </c>
    </row>
    <row r="209">
      <c r="A209" s="191">
        <v>45529.0</v>
      </c>
      <c r="B209" s="1" t="s">
        <v>149</v>
      </c>
      <c r="C209" s="1" t="s">
        <v>135</v>
      </c>
      <c r="D209" s="4">
        <v>247.0</v>
      </c>
      <c r="E209" s="4">
        <v>62.0</v>
      </c>
      <c r="G209" s="1" t="s">
        <v>142</v>
      </c>
      <c r="H209" s="1" t="s">
        <v>232</v>
      </c>
      <c r="I209" s="1" t="s">
        <v>592</v>
      </c>
      <c r="J209" s="1" t="s">
        <v>593</v>
      </c>
      <c r="K209" s="1" t="s">
        <v>593</v>
      </c>
      <c r="M209" s="4">
        <v>-17.0</v>
      </c>
      <c r="O209" s="4">
        <v>18.969183333333334</v>
      </c>
    </row>
    <row r="210">
      <c r="A210" s="191">
        <v>45529.0</v>
      </c>
      <c r="B210" s="1" t="s">
        <v>149</v>
      </c>
      <c r="C210" s="1" t="s">
        <v>135</v>
      </c>
      <c r="D210" s="4">
        <v>457.0</v>
      </c>
      <c r="E210" s="4">
        <v>105.0</v>
      </c>
      <c r="G210" s="1" t="s">
        <v>142</v>
      </c>
      <c r="H210" s="1" t="s">
        <v>143</v>
      </c>
      <c r="I210" s="1" t="s">
        <v>594</v>
      </c>
      <c r="J210" s="1" t="s">
        <v>595</v>
      </c>
      <c r="K210" s="1" t="s">
        <v>595</v>
      </c>
      <c r="M210" s="4">
        <v>-14.0</v>
      </c>
      <c r="O210" s="4">
        <v>5.184366666666667</v>
      </c>
    </row>
    <row r="211">
      <c r="A211" s="191">
        <v>45529.0</v>
      </c>
      <c r="B211" s="1" t="s">
        <v>149</v>
      </c>
      <c r="C211" s="1" t="s">
        <v>135</v>
      </c>
      <c r="D211" s="4">
        <v>199.0</v>
      </c>
      <c r="E211" s="4">
        <v>50.0</v>
      </c>
      <c r="G211" s="1" t="s">
        <v>142</v>
      </c>
      <c r="H211" s="1" t="s">
        <v>232</v>
      </c>
      <c r="I211" s="1" t="s">
        <v>596</v>
      </c>
      <c r="J211" s="1" t="s">
        <v>597</v>
      </c>
      <c r="K211" s="1" t="s">
        <v>597</v>
      </c>
      <c r="M211" s="4">
        <v>-13.0</v>
      </c>
      <c r="O211" s="4">
        <v>6.393483333333333</v>
      </c>
    </row>
    <row r="212">
      <c r="A212" s="191">
        <v>45529.0</v>
      </c>
      <c r="B212" s="1" t="s">
        <v>165</v>
      </c>
      <c r="C212" s="1" t="s">
        <v>166</v>
      </c>
      <c r="D212" s="4">
        <v>313.0</v>
      </c>
      <c r="E212" s="4">
        <v>0.0</v>
      </c>
      <c r="G212" s="1" t="s">
        <v>137</v>
      </c>
      <c r="H212" s="1" t="s">
        <v>138</v>
      </c>
      <c r="I212" s="1" t="s">
        <v>598</v>
      </c>
      <c r="J212" s="1" t="s">
        <v>599</v>
      </c>
      <c r="K212" s="1" t="s">
        <v>599</v>
      </c>
      <c r="M212" s="4">
        <v>-1.0</v>
      </c>
      <c r="O212" s="4">
        <v>6.770983333333334</v>
      </c>
    </row>
    <row r="213">
      <c r="A213" s="191">
        <v>45529.0</v>
      </c>
      <c r="B213" s="1" t="s">
        <v>165</v>
      </c>
      <c r="C213" s="1" t="s">
        <v>166</v>
      </c>
      <c r="D213" s="4">
        <v>443.0</v>
      </c>
      <c r="E213" s="4">
        <v>0.0</v>
      </c>
      <c r="G213" s="1" t="s">
        <v>137</v>
      </c>
      <c r="H213" s="1" t="s">
        <v>138</v>
      </c>
      <c r="I213" s="1" t="s">
        <v>600</v>
      </c>
      <c r="J213" s="1" t="s">
        <v>601</v>
      </c>
      <c r="K213" s="1" t="s">
        <v>601</v>
      </c>
      <c r="M213" s="4">
        <v>0.0</v>
      </c>
      <c r="O213" s="4">
        <v>8.850783333333334</v>
      </c>
    </row>
    <row r="214">
      <c r="A214" s="191">
        <v>45529.0</v>
      </c>
      <c r="B214" s="1" t="s">
        <v>146</v>
      </c>
      <c r="C214" s="1" t="s">
        <v>135</v>
      </c>
      <c r="D214" s="4">
        <v>602.0</v>
      </c>
      <c r="E214" s="4">
        <v>0.0</v>
      </c>
      <c r="F214" s="1" t="s">
        <v>104</v>
      </c>
      <c r="G214" s="1" t="s">
        <v>137</v>
      </c>
      <c r="H214" s="1" t="s">
        <v>138</v>
      </c>
      <c r="I214" s="1" t="s">
        <v>602</v>
      </c>
      <c r="J214" s="1" t="s">
        <v>603</v>
      </c>
      <c r="K214" s="1" t="s">
        <v>603</v>
      </c>
      <c r="M214" s="4">
        <v>-10.0</v>
      </c>
      <c r="O214" s="4">
        <v>9.3245</v>
      </c>
    </row>
    <row r="215">
      <c r="A215" s="191">
        <v>45529.0</v>
      </c>
      <c r="B215" s="1" t="s">
        <v>134</v>
      </c>
      <c r="C215" s="1" t="s">
        <v>166</v>
      </c>
      <c r="D215" s="4">
        <v>264.0</v>
      </c>
      <c r="E215" s="4">
        <v>0.0</v>
      </c>
      <c r="F215" s="1" t="s">
        <v>44</v>
      </c>
      <c r="G215" s="1" t="s">
        <v>137</v>
      </c>
      <c r="H215" s="1" t="s">
        <v>138</v>
      </c>
      <c r="I215" s="1" t="s">
        <v>604</v>
      </c>
      <c r="J215" s="1" t="s">
        <v>605</v>
      </c>
      <c r="K215" s="1" t="s">
        <v>605</v>
      </c>
      <c r="M215" s="4">
        <v>-7.0</v>
      </c>
      <c r="O215" s="4">
        <v>7.7932</v>
      </c>
    </row>
    <row r="216">
      <c r="A216" s="191">
        <v>45529.0</v>
      </c>
      <c r="B216" s="1" t="s">
        <v>149</v>
      </c>
      <c r="C216" s="1" t="s">
        <v>135</v>
      </c>
      <c r="D216" s="4">
        <v>309.0</v>
      </c>
      <c r="E216" s="4">
        <v>0.0</v>
      </c>
      <c r="F216" s="1" t="s">
        <v>55</v>
      </c>
      <c r="G216" s="1" t="s">
        <v>150</v>
      </c>
      <c r="H216" s="1" t="s">
        <v>138</v>
      </c>
      <c r="I216" s="1" t="s">
        <v>606</v>
      </c>
      <c r="J216" s="1" t="s">
        <v>607</v>
      </c>
      <c r="K216" s="1" t="s">
        <v>608</v>
      </c>
      <c r="L216" s="1" t="s">
        <v>609</v>
      </c>
      <c r="M216" s="4">
        <v>-4.0</v>
      </c>
      <c r="N216" s="4">
        <v>0.007933333333333334</v>
      </c>
      <c r="O216" s="4">
        <v>14.477516666666666</v>
      </c>
    </row>
    <row r="217">
      <c r="A217" s="191">
        <v>45529.0</v>
      </c>
      <c r="B217" s="1" t="s">
        <v>165</v>
      </c>
      <c r="C217" s="1" t="s">
        <v>166</v>
      </c>
      <c r="D217" s="4">
        <v>364.0</v>
      </c>
      <c r="E217" s="4">
        <v>0.0</v>
      </c>
      <c r="G217" s="1" t="s">
        <v>137</v>
      </c>
      <c r="H217" s="1" t="s">
        <v>138</v>
      </c>
      <c r="I217" s="1" t="s">
        <v>610</v>
      </c>
      <c r="J217" s="1" t="s">
        <v>611</v>
      </c>
      <c r="K217" s="1" t="s">
        <v>611</v>
      </c>
      <c r="M217" s="4">
        <v>2.0</v>
      </c>
      <c r="O217" s="4">
        <v>9.1587</v>
      </c>
    </row>
    <row r="218">
      <c r="A218" s="191">
        <v>45529.0</v>
      </c>
      <c r="B218" s="1" t="s">
        <v>165</v>
      </c>
      <c r="C218" s="1" t="s">
        <v>166</v>
      </c>
      <c r="D218" s="4">
        <v>488.0</v>
      </c>
      <c r="E218" s="4">
        <v>0.0</v>
      </c>
      <c r="G218" s="1" t="s">
        <v>137</v>
      </c>
      <c r="H218" s="1" t="s">
        <v>138</v>
      </c>
      <c r="I218" s="1" t="s">
        <v>612</v>
      </c>
      <c r="J218" s="1" t="s">
        <v>613</v>
      </c>
      <c r="K218" s="1" t="s">
        <v>613</v>
      </c>
      <c r="M218" s="4">
        <v>-1.0</v>
      </c>
      <c r="O218" s="4">
        <v>6.2142333333333335</v>
      </c>
    </row>
    <row r="219">
      <c r="A219" s="191">
        <v>45529.0</v>
      </c>
      <c r="B219" s="1" t="s">
        <v>146</v>
      </c>
      <c r="C219" s="1" t="s">
        <v>135</v>
      </c>
      <c r="D219" s="4">
        <v>469.0</v>
      </c>
      <c r="E219" s="4">
        <v>0.0</v>
      </c>
      <c r="F219" s="1" t="s">
        <v>104</v>
      </c>
      <c r="G219" s="1" t="s">
        <v>137</v>
      </c>
      <c r="H219" s="1" t="s">
        <v>138</v>
      </c>
      <c r="I219" s="1" t="s">
        <v>614</v>
      </c>
      <c r="J219" s="1" t="s">
        <v>615</v>
      </c>
      <c r="K219" s="1" t="s">
        <v>615</v>
      </c>
      <c r="M219" s="4">
        <v>-8.0</v>
      </c>
      <c r="O219" s="4">
        <v>8.603416666666666</v>
      </c>
    </row>
    <row r="220">
      <c r="A220" s="191">
        <v>45529.0</v>
      </c>
      <c r="B220" s="1" t="s">
        <v>149</v>
      </c>
      <c r="C220" s="1" t="s">
        <v>135</v>
      </c>
      <c r="D220" s="4">
        <v>247.0</v>
      </c>
      <c r="E220" s="4">
        <v>62.0</v>
      </c>
      <c r="G220" s="1" t="s">
        <v>142</v>
      </c>
      <c r="H220" s="1" t="s">
        <v>138</v>
      </c>
      <c r="I220" s="1" t="s">
        <v>616</v>
      </c>
      <c r="J220" s="1" t="s">
        <v>617</v>
      </c>
      <c r="K220" s="1" t="s">
        <v>617</v>
      </c>
      <c r="M220" s="4">
        <v>-13.0</v>
      </c>
      <c r="O220" s="4">
        <v>5.859333333333334</v>
      </c>
    </row>
    <row r="221">
      <c r="A221" s="191">
        <v>45529.0</v>
      </c>
      <c r="B221" s="1" t="s">
        <v>165</v>
      </c>
      <c r="C221" s="1" t="s">
        <v>166</v>
      </c>
      <c r="D221" s="4">
        <v>437.0</v>
      </c>
      <c r="E221" s="4">
        <v>0.0</v>
      </c>
      <c r="G221" s="1" t="s">
        <v>137</v>
      </c>
      <c r="H221" s="1" t="s">
        <v>138</v>
      </c>
      <c r="I221" s="1" t="s">
        <v>618</v>
      </c>
      <c r="J221" s="1" t="s">
        <v>619</v>
      </c>
      <c r="K221" s="1" t="s">
        <v>619</v>
      </c>
      <c r="M221" s="4">
        <v>-2.0</v>
      </c>
      <c r="O221" s="4">
        <v>6.2782333333333336</v>
      </c>
    </row>
    <row r="222">
      <c r="A222" s="191">
        <v>45529.0</v>
      </c>
      <c r="B222" s="1" t="s">
        <v>134</v>
      </c>
      <c r="C222" s="1" t="s">
        <v>166</v>
      </c>
      <c r="D222" s="4">
        <v>434.0</v>
      </c>
      <c r="E222" s="4">
        <v>0.0</v>
      </c>
      <c r="F222" s="1" t="s">
        <v>620</v>
      </c>
      <c r="G222" s="1" t="s">
        <v>137</v>
      </c>
      <c r="H222" s="1" t="s">
        <v>138</v>
      </c>
      <c r="I222" s="1" t="s">
        <v>621</v>
      </c>
      <c r="J222" s="1" t="s">
        <v>622</v>
      </c>
      <c r="K222" s="1" t="s">
        <v>622</v>
      </c>
      <c r="M222" s="4">
        <v>-5.0</v>
      </c>
      <c r="O222" s="4">
        <v>9.418616666666667</v>
      </c>
    </row>
    <row r="223">
      <c r="A223" s="191">
        <v>45529.0</v>
      </c>
      <c r="B223" s="1" t="s">
        <v>149</v>
      </c>
      <c r="C223" s="1" t="s">
        <v>135</v>
      </c>
      <c r="D223" s="4">
        <v>472.0</v>
      </c>
      <c r="E223" s="4">
        <v>0.0</v>
      </c>
      <c r="F223" s="1" t="s">
        <v>55</v>
      </c>
      <c r="G223" s="1" t="s">
        <v>150</v>
      </c>
      <c r="H223" s="1" t="s">
        <v>138</v>
      </c>
      <c r="I223" s="1" t="s">
        <v>623</v>
      </c>
      <c r="J223" s="1" t="s">
        <v>624</v>
      </c>
      <c r="K223" s="1" t="s">
        <v>625</v>
      </c>
      <c r="L223" s="1" t="s">
        <v>626</v>
      </c>
      <c r="M223" s="4">
        <v>3.0</v>
      </c>
      <c r="N223" s="4">
        <v>0.009766666666666667</v>
      </c>
      <c r="O223" s="4">
        <v>8.576116666666667</v>
      </c>
    </row>
    <row r="224">
      <c r="A224" s="191">
        <v>45529.0</v>
      </c>
      <c r="B224" s="1" t="s">
        <v>165</v>
      </c>
      <c r="C224" s="1" t="s">
        <v>166</v>
      </c>
      <c r="D224" s="4">
        <v>364.0</v>
      </c>
      <c r="E224" s="4">
        <v>0.0</v>
      </c>
      <c r="G224" s="1" t="s">
        <v>137</v>
      </c>
      <c r="H224" s="1" t="s">
        <v>138</v>
      </c>
      <c r="I224" s="1" t="s">
        <v>627</v>
      </c>
      <c r="J224" s="1" t="s">
        <v>628</v>
      </c>
      <c r="K224" s="1" t="s">
        <v>628</v>
      </c>
      <c r="M224" s="4">
        <v>0.0</v>
      </c>
      <c r="O224" s="4">
        <v>8.987283333333334</v>
      </c>
    </row>
    <row r="225">
      <c r="A225" s="191">
        <v>45529.0</v>
      </c>
      <c r="B225" s="1" t="s">
        <v>141</v>
      </c>
      <c r="C225" s="1" t="s">
        <v>135</v>
      </c>
      <c r="D225" s="4">
        <v>249.0</v>
      </c>
      <c r="E225" s="4">
        <v>249.0</v>
      </c>
      <c r="G225" s="1" t="s">
        <v>142</v>
      </c>
      <c r="H225" s="1" t="s">
        <v>143</v>
      </c>
      <c r="I225" s="1" t="s">
        <v>629</v>
      </c>
      <c r="J225" s="1" t="s">
        <v>630</v>
      </c>
      <c r="K225" s="1" t="s">
        <v>630</v>
      </c>
      <c r="M225" s="4">
        <v>7.0</v>
      </c>
      <c r="O225" s="4">
        <v>12.617716666666666</v>
      </c>
    </row>
    <row r="226">
      <c r="A226" s="191">
        <v>45529.0</v>
      </c>
      <c r="B226" s="1" t="s">
        <v>165</v>
      </c>
      <c r="C226" s="1" t="s">
        <v>166</v>
      </c>
      <c r="D226" s="4">
        <v>264.0</v>
      </c>
      <c r="E226" s="4">
        <v>0.0</v>
      </c>
      <c r="G226" s="1" t="s">
        <v>137</v>
      </c>
      <c r="H226" s="1" t="s">
        <v>138</v>
      </c>
      <c r="I226" s="1" t="s">
        <v>631</v>
      </c>
      <c r="J226" s="1" t="s">
        <v>632</v>
      </c>
      <c r="K226" s="1" t="s">
        <v>632</v>
      </c>
      <c r="M226" s="4">
        <v>3.0</v>
      </c>
      <c r="O226" s="4">
        <v>10.337033333333334</v>
      </c>
    </row>
    <row r="227">
      <c r="A227" s="191">
        <v>45529.0</v>
      </c>
      <c r="B227" s="1" t="s">
        <v>165</v>
      </c>
      <c r="C227" s="1" t="s">
        <v>166</v>
      </c>
      <c r="D227" s="4">
        <v>685.0</v>
      </c>
      <c r="E227" s="4">
        <v>0.0</v>
      </c>
      <c r="G227" s="1" t="s">
        <v>137</v>
      </c>
      <c r="H227" s="1" t="s">
        <v>138</v>
      </c>
      <c r="I227" s="1" t="s">
        <v>633</v>
      </c>
      <c r="J227" s="1" t="s">
        <v>634</v>
      </c>
      <c r="K227" s="1" t="s">
        <v>634</v>
      </c>
      <c r="M227" s="4">
        <v>1.0</v>
      </c>
      <c r="O227" s="4">
        <v>11.90215</v>
      </c>
    </row>
    <row r="228">
      <c r="A228" s="191">
        <v>45529.0</v>
      </c>
      <c r="B228" s="1" t="s">
        <v>165</v>
      </c>
      <c r="C228" s="1" t="s">
        <v>166</v>
      </c>
      <c r="D228" s="4">
        <v>702.0</v>
      </c>
      <c r="E228" s="4">
        <v>0.0</v>
      </c>
      <c r="G228" s="1" t="s">
        <v>137</v>
      </c>
      <c r="H228" s="1" t="s">
        <v>143</v>
      </c>
      <c r="I228" s="1" t="s">
        <v>635</v>
      </c>
      <c r="J228" s="1" t="s">
        <v>636</v>
      </c>
      <c r="K228" s="1" t="s">
        <v>636</v>
      </c>
      <c r="M228" s="4">
        <v>3.0</v>
      </c>
      <c r="O228" s="4">
        <v>12.696033333333334</v>
      </c>
    </row>
    <row r="229">
      <c r="A229" s="191">
        <v>45529.0</v>
      </c>
      <c r="B229" s="1" t="s">
        <v>149</v>
      </c>
      <c r="C229" s="1" t="s">
        <v>135</v>
      </c>
      <c r="D229" s="4">
        <v>414.0</v>
      </c>
      <c r="E229" s="4">
        <v>104.0</v>
      </c>
      <c r="G229" s="1" t="s">
        <v>142</v>
      </c>
      <c r="H229" s="1" t="s">
        <v>138</v>
      </c>
      <c r="I229" s="1" t="s">
        <v>637</v>
      </c>
      <c r="J229" s="1" t="s">
        <v>638</v>
      </c>
      <c r="K229" s="1" t="s">
        <v>638</v>
      </c>
      <c r="M229" s="4">
        <v>-16.0</v>
      </c>
      <c r="O229" s="4">
        <v>36.98205</v>
      </c>
    </row>
    <row r="230">
      <c r="A230" s="191">
        <v>45529.0</v>
      </c>
      <c r="B230" s="1" t="s">
        <v>149</v>
      </c>
      <c r="C230" s="1" t="s">
        <v>135</v>
      </c>
      <c r="D230" s="4">
        <v>479.0</v>
      </c>
      <c r="E230" s="4">
        <v>0.0</v>
      </c>
      <c r="F230" s="1" t="s">
        <v>55</v>
      </c>
      <c r="G230" s="1" t="s">
        <v>150</v>
      </c>
      <c r="H230" s="1" t="s">
        <v>138</v>
      </c>
      <c r="I230" s="1" t="s">
        <v>639</v>
      </c>
      <c r="J230" s="1" t="s">
        <v>640</v>
      </c>
      <c r="K230" s="1" t="s">
        <v>641</v>
      </c>
      <c r="L230" s="1" t="s">
        <v>642</v>
      </c>
      <c r="M230" s="4">
        <v>-1.0</v>
      </c>
      <c r="N230" s="4">
        <v>0.010333333333333333</v>
      </c>
      <c r="O230" s="4">
        <v>8.92065</v>
      </c>
    </row>
    <row r="231">
      <c r="A231" s="191">
        <v>45529.0</v>
      </c>
      <c r="B231" s="1" t="s">
        <v>149</v>
      </c>
      <c r="C231" s="1" t="s">
        <v>135</v>
      </c>
      <c r="D231" s="4">
        <v>394.0</v>
      </c>
      <c r="E231" s="4">
        <v>0.0</v>
      </c>
      <c r="F231" s="1" t="s">
        <v>55</v>
      </c>
      <c r="G231" s="1" t="s">
        <v>150</v>
      </c>
      <c r="H231" s="1" t="s">
        <v>143</v>
      </c>
      <c r="I231" s="1" t="s">
        <v>643</v>
      </c>
      <c r="J231" s="1" t="s">
        <v>644</v>
      </c>
      <c r="K231" s="1" t="s">
        <v>645</v>
      </c>
      <c r="L231" s="1" t="s">
        <v>646</v>
      </c>
      <c r="M231" s="4">
        <v>-7.0</v>
      </c>
      <c r="N231" s="4">
        <v>0.0095</v>
      </c>
      <c r="O231" s="4">
        <v>9.9006</v>
      </c>
    </row>
    <row r="232">
      <c r="A232" s="191">
        <v>45529.0</v>
      </c>
      <c r="B232" s="1" t="s">
        <v>146</v>
      </c>
      <c r="C232" s="1" t="s">
        <v>135</v>
      </c>
      <c r="D232" s="4">
        <v>364.0</v>
      </c>
      <c r="E232" s="4">
        <v>0.0</v>
      </c>
      <c r="F232" s="1" t="s">
        <v>104</v>
      </c>
      <c r="G232" s="1" t="s">
        <v>137</v>
      </c>
      <c r="H232" s="1" t="s">
        <v>138</v>
      </c>
      <c r="I232" s="1" t="s">
        <v>647</v>
      </c>
      <c r="J232" s="1" t="s">
        <v>648</v>
      </c>
      <c r="K232" s="1" t="s">
        <v>648</v>
      </c>
      <c r="M232" s="4">
        <v>-7.0</v>
      </c>
      <c r="O232" s="4">
        <v>7.74665</v>
      </c>
    </row>
    <row r="233">
      <c r="A233" s="191">
        <v>45529.0</v>
      </c>
      <c r="B233" s="1" t="s">
        <v>146</v>
      </c>
      <c r="C233" s="1" t="s">
        <v>135</v>
      </c>
      <c r="D233" s="4">
        <v>1057.0</v>
      </c>
      <c r="E233" s="4">
        <v>0.0</v>
      </c>
      <c r="F233" s="1" t="s">
        <v>104</v>
      </c>
      <c r="G233" s="1" t="s">
        <v>137</v>
      </c>
      <c r="H233" s="1" t="s">
        <v>138</v>
      </c>
      <c r="I233" s="1" t="s">
        <v>649</v>
      </c>
      <c r="J233" s="1" t="s">
        <v>650</v>
      </c>
      <c r="K233" s="1" t="s">
        <v>650</v>
      </c>
      <c r="M233" s="4">
        <v>-11.0</v>
      </c>
      <c r="O233" s="4">
        <v>8.430583333333333</v>
      </c>
    </row>
    <row r="234">
      <c r="A234" s="191">
        <v>45529.0</v>
      </c>
      <c r="B234" s="1" t="s">
        <v>149</v>
      </c>
      <c r="C234" s="1" t="s">
        <v>135</v>
      </c>
      <c r="D234" s="4">
        <v>588.0</v>
      </c>
      <c r="E234" s="4">
        <v>0.0</v>
      </c>
      <c r="F234" s="1" t="s">
        <v>55</v>
      </c>
      <c r="G234" s="1" t="s">
        <v>150</v>
      </c>
      <c r="H234" s="1" t="s">
        <v>143</v>
      </c>
      <c r="I234" s="1" t="s">
        <v>651</v>
      </c>
      <c r="J234" s="1" t="s">
        <v>652</v>
      </c>
      <c r="K234" s="1" t="s">
        <v>653</v>
      </c>
      <c r="L234" s="1" t="s">
        <v>654</v>
      </c>
      <c r="M234" s="4">
        <v>-6.0</v>
      </c>
      <c r="N234" s="4">
        <v>0.00955</v>
      </c>
      <c r="O234" s="4">
        <v>8.17705</v>
      </c>
    </row>
    <row r="235">
      <c r="A235" s="191">
        <v>45529.0</v>
      </c>
      <c r="B235" s="1" t="s">
        <v>165</v>
      </c>
      <c r="C235" s="1" t="s">
        <v>166</v>
      </c>
      <c r="D235" s="4">
        <v>383.0</v>
      </c>
      <c r="E235" s="4">
        <v>0.0</v>
      </c>
      <c r="G235" s="1" t="s">
        <v>137</v>
      </c>
      <c r="H235" s="1" t="s">
        <v>138</v>
      </c>
      <c r="I235" s="1" t="s">
        <v>655</v>
      </c>
      <c r="J235" s="1" t="s">
        <v>656</v>
      </c>
      <c r="K235" s="1" t="s">
        <v>656</v>
      </c>
      <c r="M235" s="4">
        <v>-1.0</v>
      </c>
      <c r="O235" s="4">
        <v>6.390033333333333</v>
      </c>
    </row>
    <row r="236">
      <c r="A236" s="191">
        <v>45529.0</v>
      </c>
      <c r="B236" s="1" t="s">
        <v>149</v>
      </c>
      <c r="C236" s="1" t="s">
        <v>135</v>
      </c>
      <c r="D236" s="4">
        <v>753.0</v>
      </c>
      <c r="E236" s="4">
        <v>0.0</v>
      </c>
      <c r="F236" s="1" t="s">
        <v>55</v>
      </c>
      <c r="G236" s="1" t="s">
        <v>150</v>
      </c>
      <c r="H236" s="1" t="s">
        <v>138</v>
      </c>
      <c r="I236" s="1" t="s">
        <v>657</v>
      </c>
      <c r="J236" s="1" t="s">
        <v>658</v>
      </c>
      <c r="K236" s="1" t="s">
        <v>659</v>
      </c>
      <c r="L236" s="1" t="s">
        <v>660</v>
      </c>
      <c r="M236" s="4">
        <v>-21.0</v>
      </c>
      <c r="N236" s="4">
        <v>0.011933333333333334</v>
      </c>
      <c r="O236" s="4">
        <v>7.9619333333333335</v>
      </c>
    </row>
    <row r="237">
      <c r="A237" s="191">
        <v>45529.0</v>
      </c>
      <c r="B237" s="1" t="s">
        <v>134</v>
      </c>
      <c r="C237" s="1" t="s">
        <v>166</v>
      </c>
      <c r="D237" s="4">
        <v>321.0</v>
      </c>
      <c r="E237" s="4">
        <v>0.0</v>
      </c>
      <c r="F237" s="1" t="s">
        <v>539</v>
      </c>
      <c r="G237" s="1" t="s">
        <v>137</v>
      </c>
      <c r="H237" s="1" t="s">
        <v>138</v>
      </c>
      <c r="I237" s="1" t="s">
        <v>661</v>
      </c>
      <c r="J237" s="1" t="s">
        <v>662</v>
      </c>
      <c r="K237" s="1" t="s">
        <v>662</v>
      </c>
      <c r="M237" s="4">
        <v>-8.0</v>
      </c>
      <c r="O237" s="4">
        <v>6.999433333333333</v>
      </c>
    </row>
    <row r="238">
      <c r="A238" s="191">
        <v>45529.0</v>
      </c>
      <c r="B238" s="1" t="s">
        <v>165</v>
      </c>
      <c r="C238" s="1" t="s">
        <v>166</v>
      </c>
      <c r="D238" s="4">
        <v>394.0</v>
      </c>
      <c r="E238" s="4">
        <v>0.0</v>
      </c>
      <c r="G238" s="1" t="s">
        <v>137</v>
      </c>
      <c r="H238" s="1" t="s">
        <v>138</v>
      </c>
      <c r="I238" s="1" t="s">
        <v>663</v>
      </c>
      <c r="J238" s="1" t="s">
        <v>664</v>
      </c>
      <c r="K238" s="1" t="s">
        <v>664</v>
      </c>
      <c r="M238" s="4">
        <v>4.0</v>
      </c>
      <c r="O238" s="4">
        <v>11.0933</v>
      </c>
    </row>
    <row r="239">
      <c r="A239" s="191">
        <v>45529.0</v>
      </c>
      <c r="B239" s="1" t="s">
        <v>146</v>
      </c>
      <c r="C239" s="1" t="s">
        <v>135</v>
      </c>
      <c r="D239" s="4">
        <v>329.0</v>
      </c>
      <c r="E239" s="4">
        <v>0.0</v>
      </c>
      <c r="F239" s="1" t="s">
        <v>104</v>
      </c>
      <c r="G239" s="1" t="s">
        <v>137</v>
      </c>
      <c r="H239" s="1" t="s">
        <v>138</v>
      </c>
      <c r="I239" s="1" t="s">
        <v>665</v>
      </c>
      <c r="J239" s="1" t="s">
        <v>666</v>
      </c>
      <c r="K239" s="1" t="s">
        <v>666</v>
      </c>
      <c r="M239" s="4">
        <v>-8.0</v>
      </c>
      <c r="O239" s="4">
        <v>6.6026</v>
      </c>
    </row>
    <row r="240">
      <c r="A240" s="191">
        <v>45529.0</v>
      </c>
      <c r="B240" s="1" t="s">
        <v>149</v>
      </c>
      <c r="C240" s="1" t="s">
        <v>135</v>
      </c>
      <c r="D240" s="4">
        <v>354.0</v>
      </c>
      <c r="E240" s="4">
        <v>84.0</v>
      </c>
      <c r="G240" s="1" t="s">
        <v>142</v>
      </c>
      <c r="H240" s="1" t="s">
        <v>138</v>
      </c>
      <c r="I240" s="1" t="s">
        <v>667</v>
      </c>
      <c r="J240" s="1" t="s">
        <v>668</v>
      </c>
      <c r="K240" s="1" t="s">
        <v>668</v>
      </c>
      <c r="M240" s="4">
        <v>-13.0</v>
      </c>
      <c r="O240" s="4">
        <v>5.354833333333334</v>
      </c>
    </row>
    <row r="241">
      <c r="A241" s="191">
        <v>45529.0</v>
      </c>
      <c r="B241" s="1" t="s">
        <v>146</v>
      </c>
      <c r="C241" s="1" t="s">
        <v>135</v>
      </c>
      <c r="D241" s="4">
        <v>716.0</v>
      </c>
      <c r="E241" s="4">
        <v>0.0</v>
      </c>
      <c r="F241" s="1" t="s">
        <v>104</v>
      </c>
      <c r="G241" s="1" t="s">
        <v>137</v>
      </c>
      <c r="H241" s="1" t="s">
        <v>138</v>
      </c>
      <c r="I241" s="1" t="s">
        <v>669</v>
      </c>
      <c r="J241" s="1" t="s">
        <v>670</v>
      </c>
      <c r="K241" s="1" t="s">
        <v>670</v>
      </c>
      <c r="M241" s="4">
        <v>-12.0</v>
      </c>
      <c r="O241" s="4">
        <v>7.605016666666667</v>
      </c>
    </row>
    <row r="242">
      <c r="A242" s="191">
        <v>45529.0</v>
      </c>
      <c r="B242" s="1" t="s">
        <v>149</v>
      </c>
      <c r="C242" s="1" t="s">
        <v>135</v>
      </c>
      <c r="D242" s="4">
        <v>223.0</v>
      </c>
      <c r="E242" s="4">
        <v>86.0</v>
      </c>
      <c r="G242" s="1" t="s">
        <v>142</v>
      </c>
      <c r="H242" s="1" t="s">
        <v>138</v>
      </c>
      <c r="I242" s="1" t="s">
        <v>671</v>
      </c>
      <c r="J242" s="1" t="s">
        <v>672</v>
      </c>
      <c r="K242" s="1" t="s">
        <v>672</v>
      </c>
      <c r="M242" s="4">
        <v>-11.0</v>
      </c>
      <c r="O242" s="4">
        <v>6.7835833333333335</v>
      </c>
    </row>
    <row r="243">
      <c r="A243" s="191">
        <v>45529.0</v>
      </c>
      <c r="B243" s="1" t="s">
        <v>149</v>
      </c>
      <c r="C243" s="1" t="s">
        <v>135</v>
      </c>
      <c r="D243" s="4">
        <v>507.0</v>
      </c>
      <c r="E243" s="4">
        <v>0.0</v>
      </c>
      <c r="F243" s="1" t="s">
        <v>55</v>
      </c>
      <c r="G243" s="1" t="s">
        <v>150</v>
      </c>
      <c r="H243" s="1" t="s">
        <v>138</v>
      </c>
      <c r="I243" s="1" t="s">
        <v>673</v>
      </c>
      <c r="J243" s="1" t="s">
        <v>674</v>
      </c>
      <c r="K243" s="1" t="s">
        <v>675</v>
      </c>
      <c r="L243" s="1" t="s">
        <v>676</v>
      </c>
      <c r="M243" s="4">
        <v>-19.0</v>
      </c>
      <c r="N243" s="4">
        <v>0.012716666666666666</v>
      </c>
      <c r="O243" s="4">
        <v>6.6817</v>
      </c>
    </row>
    <row r="244">
      <c r="A244" s="191">
        <v>45529.0</v>
      </c>
      <c r="B244" s="1" t="s">
        <v>134</v>
      </c>
      <c r="C244" s="1" t="s">
        <v>166</v>
      </c>
      <c r="D244" s="4">
        <v>499.0</v>
      </c>
      <c r="E244" s="4">
        <v>0.0</v>
      </c>
      <c r="F244" s="1" t="s">
        <v>677</v>
      </c>
      <c r="G244" s="1" t="s">
        <v>137</v>
      </c>
      <c r="H244" s="1" t="s">
        <v>138</v>
      </c>
      <c r="I244" s="1" t="s">
        <v>678</v>
      </c>
      <c r="J244" s="1" t="s">
        <v>679</v>
      </c>
      <c r="K244" s="1" t="s">
        <v>679</v>
      </c>
      <c r="M244" s="4">
        <v>-6.0</v>
      </c>
      <c r="O244" s="4">
        <v>8.443916666666667</v>
      </c>
    </row>
    <row r="245">
      <c r="A245" s="191">
        <v>45529.0</v>
      </c>
      <c r="B245" s="1" t="s">
        <v>146</v>
      </c>
      <c r="C245" s="1" t="s">
        <v>135</v>
      </c>
      <c r="D245" s="4">
        <v>553.0</v>
      </c>
      <c r="E245" s="4">
        <v>0.0</v>
      </c>
      <c r="F245" s="1" t="s">
        <v>104</v>
      </c>
      <c r="G245" s="1" t="s">
        <v>137</v>
      </c>
      <c r="H245" s="1" t="s">
        <v>138</v>
      </c>
      <c r="I245" s="1" t="s">
        <v>680</v>
      </c>
      <c r="J245" s="1" t="s">
        <v>681</v>
      </c>
      <c r="K245" s="1" t="s">
        <v>681</v>
      </c>
      <c r="M245" s="4">
        <v>-13.0</v>
      </c>
      <c r="O245" s="4">
        <v>6.243733333333333</v>
      </c>
    </row>
    <row r="246">
      <c r="A246" s="191">
        <v>45529.0</v>
      </c>
      <c r="B246" s="1" t="s">
        <v>134</v>
      </c>
      <c r="C246" s="1" t="s">
        <v>166</v>
      </c>
      <c r="D246" s="4">
        <v>348.0</v>
      </c>
      <c r="E246" s="4">
        <v>0.0</v>
      </c>
      <c r="F246" s="1" t="s">
        <v>682</v>
      </c>
      <c r="G246" s="1" t="s">
        <v>137</v>
      </c>
      <c r="H246" s="1" t="s">
        <v>138</v>
      </c>
      <c r="I246" s="1" t="s">
        <v>683</v>
      </c>
      <c r="J246" s="1" t="s">
        <v>684</v>
      </c>
      <c r="K246" s="1" t="s">
        <v>684</v>
      </c>
      <c r="M246" s="4">
        <v>-7.0</v>
      </c>
      <c r="O246" s="4">
        <v>7.2093</v>
      </c>
    </row>
    <row r="247">
      <c r="A247" s="191">
        <v>45529.0</v>
      </c>
      <c r="B247" s="1" t="s">
        <v>134</v>
      </c>
      <c r="C247" s="1" t="s">
        <v>166</v>
      </c>
      <c r="D247" s="4">
        <v>427.0</v>
      </c>
      <c r="E247" s="4">
        <v>0.0</v>
      </c>
      <c r="F247" s="1" t="s">
        <v>685</v>
      </c>
      <c r="G247" s="1" t="s">
        <v>137</v>
      </c>
      <c r="H247" s="1" t="s">
        <v>138</v>
      </c>
      <c r="I247" s="1" t="s">
        <v>686</v>
      </c>
      <c r="J247" s="1" t="s">
        <v>687</v>
      </c>
      <c r="K247" s="1" t="s">
        <v>687</v>
      </c>
      <c r="M247" s="4">
        <v>-10.0</v>
      </c>
      <c r="O247" s="4">
        <v>4.89385</v>
      </c>
    </row>
    <row r="248">
      <c r="A248" s="191">
        <v>45529.0</v>
      </c>
      <c r="B248" s="1" t="s">
        <v>146</v>
      </c>
      <c r="C248" s="1" t="s">
        <v>135</v>
      </c>
      <c r="D248" s="4">
        <v>224.0</v>
      </c>
      <c r="E248" s="4">
        <v>0.0</v>
      </c>
      <c r="F248" s="1" t="s">
        <v>104</v>
      </c>
      <c r="G248" s="1" t="s">
        <v>137</v>
      </c>
      <c r="H248" s="1" t="s">
        <v>138</v>
      </c>
      <c r="I248" s="1" t="s">
        <v>688</v>
      </c>
      <c r="J248" s="1" t="s">
        <v>689</v>
      </c>
      <c r="K248" s="1" t="s">
        <v>689</v>
      </c>
      <c r="M248" s="4">
        <v>-11.0</v>
      </c>
      <c r="O248" s="4">
        <v>3.7498666666666667</v>
      </c>
    </row>
    <row r="249">
      <c r="A249" s="191">
        <v>45529.0</v>
      </c>
      <c r="B249" s="1" t="s">
        <v>146</v>
      </c>
      <c r="C249" s="1" t="s">
        <v>135</v>
      </c>
      <c r="D249" s="4">
        <v>423.0</v>
      </c>
      <c r="E249" s="4">
        <v>0.0</v>
      </c>
      <c r="F249" s="1" t="s">
        <v>104</v>
      </c>
      <c r="G249" s="1" t="s">
        <v>137</v>
      </c>
      <c r="H249" s="1" t="s">
        <v>138</v>
      </c>
      <c r="I249" s="1" t="s">
        <v>690</v>
      </c>
      <c r="J249" s="1" t="s">
        <v>691</v>
      </c>
      <c r="K249" s="1" t="s">
        <v>691</v>
      </c>
      <c r="M249" s="4">
        <v>-11.0</v>
      </c>
      <c r="O249" s="4">
        <v>5.783333333333333</v>
      </c>
    </row>
    <row r="250">
      <c r="A250" s="191">
        <v>45529.0</v>
      </c>
      <c r="B250" s="1" t="s">
        <v>149</v>
      </c>
      <c r="C250" s="1" t="s">
        <v>135</v>
      </c>
      <c r="D250" s="4">
        <v>316.0</v>
      </c>
      <c r="E250" s="4">
        <v>62.0</v>
      </c>
      <c r="G250" s="1" t="s">
        <v>142</v>
      </c>
      <c r="H250" s="1" t="s">
        <v>138</v>
      </c>
      <c r="I250" s="1" t="s">
        <v>692</v>
      </c>
      <c r="J250" s="1" t="s">
        <v>693</v>
      </c>
      <c r="K250" s="1" t="s">
        <v>693</v>
      </c>
      <c r="M250" s="4">
        <v>-11.0</v>
      </c>
      <c r="O250" s="4">
        <v>7.325916666666667</v>
      </c>
    </row>
    <row r="251">
      <c r="A251" s="191">
        <v>45529.0</v>
      </c>
      <c r="B251" s="1" t="s">
        <v>165</v>
      </c>
      <c r="C251" s="1" t="s">
        <v>166</v>
      </c>
      <c r="D251" s="4">
        <v>499.0</v>
      </c>
      <c r="E251" s="4">
        <v>0.0</v>
      </c>
      <c r="G251" s="1" t="s">
        <v>137</v>
      </c>
      <c r="H251" s="1" t="s">
        <v>138</v>
      </c>
      <c r="I251" s="1" t="s">
        <v>694</v>
      </c>
      <c r="J251" s="1" t="s">
        <v>695</v>
      </c>
      <c r="K251" s="1" t="s">
        <v>695</v>
      </c>
      <c r="M251" s="4">
        <v>-1.0</v>
      </c>
      <c r="O251" s="4">
        <v>6.804733333333333</v>
      </c>
    </row>
    <row r="252">
      <c r="A252" s="191">
        <v>45529.0</v>
      </c>
      <c r="B252" s="1" t="s">
        <v>165</v>
      </c>
      <c r="C252" s="1" t="s">
        <v>166</v>
      </c>
      <c r="D252" s="4">
        <v>378.0</v>
      </c>
      <c r="E252" s="4">
        <v>0.0</v>
      </c>
      <c r="G252" s="1" t="s">
        <v>137</v>
      </c>
      <c r="H252" s="1" t="s">
        <v>138</v>
      </c>
      <c r="I252" s="1" t="s">
        <v>696</v>
      </c>
      <c r="J252" s="1" t="s">
        <v>697</v>
      </c>
      <c r="K252" s="1" t="s">
        <v>697</v>
      </c>
      <c r="M252" s="4">
        <v>0.0</v>
      </c>
      <c r="O252" s="4">
        <v>7.433416666666667</v>
      </c>
    </row>
    <row r="253">
      <c r="A253" s="191">
        <v>45529.0</v>
      </c>
      <c r="B253" s="1" t="s">
        <v>149</v>
      </c>
      <c r="C253" s="1" t="s">
        <v>135</v>
      </c>
      <c r="D253" s="4">
        <v>513.0</v>
      </c>
      <c r="E253" s="4">
        <v>0.0</v>
      </c>
      <c r="F253" s="1" t="s">
        <v>55</v>
      </c>
      <c r="G253" s="1" t="s">
        <v>150</v>
      </c>
      <c r="H253" s="1" t="s">
        <v>138</v>
      </c>
      <c r="I253" s="1" t="s">
        <v>698</v>
      </c>
      <c r="J253" s="1" t="s">
        <v>699</v>
      </c>
      <c r="K253" s="1" t="s">
        <v>700</v>
      </c>
      <c r="L253" s="1" t="s">
        <v>701</v>
      </c>
      <c r="M253" s="4">
        <v>-20.0</v>
      </c>
      <c r="N253" s="4">
        <v>0.010183333333333334</v>
      </c>
      <c r="O253" s="4">
        <v>6.8354333333333335</v>
      </c>
    </row>
    <row r="254">
      <c r="A254" s="191">
        <v>45529.0</v>
      </c>
      <c r="B254" s="1" t="s">
        <v>149</v>
      </c>
      <c r="C254" s="1" t="s">
        <v>135</v>
      </c>
      <c r="D254" s="4">
        <v>598.0</v>
      </c>
      <c r="E254" s="4">
        <v>149.0</v>
      </c>
      <c r="G254" s="1" t="s">
        <v>142</v>
      </c>
      <c r="H254" s="1" t="s">
        <v>232</v>
      </c>
      <c r="I254" s="1" t="s">
        <v>702</v>
      </c>
      <c r="J254" s="1" t="s">
        <v>703</v>
      </c>
      <c r="K254" s="1" t="s">
        <v>703</v>
      </c>
      <c r="M254" s="4">
        <v>-17.0</v>
      </c>
      <c r="O254" s="4">
        <v>7.0849</v>
      </c>
    </row>
    <row r="255">
      <c r="A255" s="191">
        <v>45529.0</v>
      </c>
      <c r="B255" s="1" t="s">
        <v>149</v>
      </c>
      <c r="C255" s="1" t="s">
        <v>135</v>
      </c>
      <c r="D255" s="4">
        <v>638.0</v>
      </c>
      <c r="E255" s="4">
        <v>0.0</v>
      </c>
      <c r="F255" s="1" t="s">
        <v>55</v>
      </c>
      <c r="G255" s="1" t="s">
        <v>150</v>
      </c>
      <c r="H255" s="1" t="s">
        <v>138</v>
      </c>
      <c r="I255" s="1" t="s">
        <v>704</v>
      </c>
      <c r="J255" s="1" t="s">
        <v>705</v>
      </c>
      <c r="K255" s="1" t="s">
        <v>706</v>
      </c>
      <c r="L255" s="1" t="s">
        <v>707</v>
      </c>
      <c r="M255" s="4">
        <v>-19.0</v>
      </c>
      <c r="N255" s="4">
        <v>0.01145</v>
      </c>
      <c r="O255" s="4">
        <v>6.89525</v>
      </c>
    </row>
    <row r="256">
      <c r="A256" s="191">
        <v>45529.0</v>
      </c>
      <c r="B256" s="1" t="s">
        <v>146</v>
      </c>
      <c r="C256" s="1" t="s">
        <v>135</v>
      </c>
      <c r="D256" s="4">
        <v>307.0</v>
      </c>
      <c r="E256" s="4">
        <v>0.0</v>
      </c>
      <c r="F256" s="1" t="s">
        <v>104</v>
      </c>
      <c r="G256" s="1" t="s">
        <v>137</v>
      </c>
      <c r="H256" s="1" t="s">
        <v>138</v>
      </c>
      <c r="I256" s="1" t="s">
        <v>708</v>
      </c>
      <c r="J256" s="1" t="s">
        <v>709</v>
      </c>
      <c r="K256" s="1" t="s">
        <v>709</v>
      </c>
      <c r="M256" s="4">
        <v>-7.0</v>
      </c>
      <c r="O256" s="4">
        <v>7.440633333333333</v>
      </c>
    </row>
    <row r="257">
      <c r="A257" s="191">
        <v>45529.0</v>
      </c>
      <c r="B257" s="1" t="s">
        <v>149</v>
      </c>
      <c r="C257" s="1" t="s">
        <v>135</v>
      </c>
      <c r="D257" s="4">
        <v>309.0</v>
      </c>
      <c r="E257" s="4">
        <v>0.0</v>
      </c>
      <c r="F257" s="1" t="s">
        <v>55</v>
      </c>
      <c r="G257" s="1" t="s">
        <v>150</v>
      </c>
      <c r="H257" s="1" t="s">
        <v>138</v>
      </c>
      <c r="I257" s="1" t="s">
        <v>710</v>
      </c>
      <c r="J257" s="1" t="s">
        <v>711</v>
      </c>
      <c r="K257" s="1" t="s">
        <v>712</v>
      </c>
      <c r="L257" s="1" t="s">
        <v>713</v>
      </c>
      <c r="M257" s="4">
        <v>-9.0</v>
      </c>
      <c r="N257" s="4">
        <v>0.007833333333333333</v>
      </c>
      <c r="O257" s="4">
        <v>12.561933333333334</v>
      </c>
    </row>
    <row r="258">
      <c r="A258" s="191">
        <v>45529.0</v>
      </c>
      <c r="B258" s="1" t="s">
        <v>134</v>
      </c>
      <c r="C258" s="1" t="s">
        <v>166</v>
      </c>
      <c r="D258" s="4">
        <v>294.0</v>
      </c>
      <c r="E258" s="4">
        <v>0.0</v>
      </c>
      <c r="F258" s="1" t="s">
        <v>44</v>
      </c>
      <c r="G258" s="1" t="s">
        <v>137</v>
      </c>
      <c r="H258" s="1" t="s">
        <v>138</v>
      </c>
      <c r="I258" s="1" t="s">
        <v>714</v>
      </c>
      <c r="J258" s="1" t="s">
        <v>715</v>
      </c>
      <c r="K258" s="1" t="s">
        <v>715</v>
      </c>
      <c r="M258" s="4">
        <v>0.0</v>
      </c>
      <c r="O258" s="4">
        <v>14.882583333333333</v>
      </c>
    </row>
    <row r="259">
      <c r="A259" s="191">
        <v>45529.0</v>
      </c>
      <c r="B259" s="1" t="s">
        <v>149</v>
      </c>
      <c r="C259" s="1" t="s">
        <v>135</v>
      </c>
      <c r="D259" s="4">
        <v>393.0</v>
      </c>
      <c r="E259" s="4">
        <v>0.0</v>
      </c>
      <c r="F259" s="1" t="s">
        <v>55</v>
      </c>
      <c r="G259" s="1" t="s">
        <v>150</v>
      </c>
      <c r="H259" s="1" t="s">
        <v>138</v>
      </c>
      <c r="I259" s="1" t="s">
        <v>716</v>
      </c>
      <c r="J259" s="1" t="s">
        <v>717</v>
      </c>
      <c r="K259" s="1" t="s">
        <v>718</v>
      </c>
      <c r="L259" s="1" t="s">
        <v>719</v>
      </c>
      <c r="M259" s="4">
        <v>-16.0</v>
      </c>
      <c r="N259" s="4">
        <v>0.014083333333333333</v>
      </c>
      <c r="O259" s="4">
        <v>5.887966666666666</v>
      </c>
    </row>
    <row r="260">
      <c r="A260" s="191">
        <v>45529.0</v>
      </c>
      <c r="B260" s="1" t="s">
        <v>146</v>
      </c>
      <c r="C260" s="1" t="s">
        <v>135</v>
      </c>
      <c r="D260" s="4">
        <v>264.0</v>
      </c>
      <c r="E260" s="4">
        <v>0.0</v>
      </c>
      <c r="F260" s="1" t="s">
        <v>104</v>
      </c>
      <c r="G260" s="1" t="s">
        <v>137</v>
      </c>
      <c r="H260" s="1" t="s">
        <v>138</v>
      </c>
      <c r="I260" s="1" t="s">
        <v>720</v>
      </c>
      <c r="J260" s="1" t="s">
        <v>721</v>
      </c>
      <c r="K260" s="1" t="s">
        <v>721</v>
      </c>
      <c r="M260" s="4">
        <v>-10.0</v>
      </c>
      <c r="O260" s="4">
        <v>4.808683333333334</v>
      </c>
    </row>
    <row r="261">
      <c r="A261" s="191">
        <v>45529.0</v>
      </c>
      <c r="B261" s="1" t="s">
        <v>134</v>
      </c>
      <c r="C261" s="1" t="s">
        <v>166</v>
      </c>
      <c r="D261" s="4">
        <v>321.0</v>
      </c>
      <c r="E261" s="4">
        <v>0.0</v>
      </c>
      <c r="F261" s="1" t="s">
        <v>677</v>
      </c>
      <c r="G261" s="1" t="s">
        <v>137</v>
      </c>
      <c r="H261" s="1" t="s">
        <v>138</v>
      </c>
      <c r="I261" s="1" t="s">
        <v>722</v>
      </c>
      <c r="J261" s="1" t="s">
        <v>723</v>
      </c>
      <c r="K261" s="1" t="s">
        <v>723</v>
      </c>
      <c r="M261" s="4">
        <v>-5.0</v>
      </c>
      <c r="O261" s="4">
        <v>9.69875</v>
      </c>
    </row>
    <row r="262">
      <c r="A262" s="191">
        <v>45529.0</v>
      </c>
      <c r="B262" s="1" t="s">
        <v>149</v>
      </c>
      <c r="C262" s="1" t="s">
        <v>135</v>
      </c>
      <c r="D262" s="4">
        <v>494.0</v>
      </c>
      <c r="E262" s="4">
        <v>124.0</v>
      </c>
      <c r="G262" s="1" t="s">
        <v>142</v>
      </c>
      <c r="H262" s="1" t="s">
        <v>232</v>
      </c>
      <c r="I262" s="1" t="s">
        <v>724</v>
      </c>
      <c r="J262" s="1" t="s">
        <v>725</v>
      </c>
      <c r="K262" s="1" t="s">
        <v>725</v>
      </c>
      <c r="M262" s="4">
        <v>-25.0</v>
      </c>
      <c r="O262" s="4">
        <v>6.8313</v>
      </c>
    </row>
    <row r="263">
      <c r="A263" s="191">
        <v>45529.0</v>
      </c>
      <c r="B263" s="1" t="s">
        <v>165</v>
      </c>
      <c r="C263" s="1" t="s">
        <v>166</v>
      </c>
      <c r="D263" s="4">
        <v>429.0</v>
      </c>
      <c r="E263" s="4">
        <v>0.0</v>
      </c>
      <c r="G263" s="1" t="s">
        <v>137</v>
      </c>
      <c r="H263" s="1" t="s">
        <v>143</v>
      </c>
      <c r="I263" s="1" t="s">
        <v>726</v>
      </c>
      <c r="J263" s="1" t="s">
        <v>727</v>
      </c>
      <c r="K263" s="1" t="s">
        <v>727</v>
      </c>
      <c r="M263" s="4">
        <v>0.0</v>
      </c>
      <c r="O263" s="4">
        <v>7.308883333333333</v>
      </c>
    </row>
    <row r="264">
      <c r="A264" s="191">
        <v>45529.0</v>
      </c>
      <c r="B264" s="1" t="s">
        <v>134</v>
      </c>
      <c r="C264" s="1" t="s">
        <v>166</v>
      </c>
      <c r="D264" s="4">
        <v>329.0</v>
      </c>
      <c r="E264" s="4">
        <v>0.0</v>
      </c>
      <c r="F264" s="1" t="s">
        <v>677</v>
      </c>
      <c r="G264" s="1" t="s">
        <v>137</v>
      </c>
      <c r="H264" s="1" t="s">
        <v>138</v>
      </c>
      <c r="I264" s="1" t="s">
        <v>728</v>
      </c>
      <c r="J264" s="1" t="s">
        <v>729</v>
      </c>
      <c r="K264" s="1" t="s">
        <v>729</v>
      </c>
      <c r="M264" s="4">
        <v>-7.0</v>
      </c>
      <c r="O264" s="4">
        <v>7.23195</v>
      </c>
    </row>
    <row r="265">
      <c r="A265" s="191">
        <v>45529.0</v>
      </c>
      <c r="B265" s="1" t="s">
        <v>146</v>
      </c>
      <c r="C265" s="1" t="s">
        <v>135</v>
      </c>
      <c r="D265" s="4">
        <v>698.0</v>
      </c>
      <c r="E265" s="4">
        <v>0.0</v>
      </c>
      <c r="F265" s="1" t="s">
        <v>104</v>
      </c>
      <c r="G265" s="1" t="s">
        <v>137</v>
      </c>
      <c r="H265" s="1" t="s">
        <v>138</v>
      </c>
      <c r="I265" s="1" t="s">
        <v>730</v>
      </c>
      <c r="J265" s="1" t="s">
        <v>731</v>
      </c>
      <c r="K265" s="1" t="s">
        <v>731</v>
      </c>
      <c r="M265" s="4">
        <v>-7.0</v>
      </c>
      <c r="O265" s="4">
        <v>12.31975</v>
      </c>
    </row>
    <row r="266">
      <c r="A266" s="191">
        <v>45529.0</v>
      </c>
      <c r="B266" s="1" t="s">
        <v>149</v>
      </c>
      <c r="C266" s="1" t="s">
        <v>135</v>
      </c>
      <c r="D266" s="4">
        <v>400.0</v>
      </c>
      <c r="E266" s="4">
        <v>87.0</v>
      </c>
      <c r="G266" s="1" t="s">
        <v>142</v>
      </c>
      <c r="H266" s="1" t="s">
        <v>143</v>
      </c>
      <c r="I266" s="1" t="s">
        <v>732</v>
      </c>
      <c r="J266" s="1" t="s">
        <v>733</v>
      </c>
      <c r="K266" s="1" t="s">
        <v>733</v>
      </c>
      <c r="M266" s="4">
        <v>-13.0</v>
      </c>
      <c r="O266" s="4">
        <v>15.421033333333334</v>
      </c>
    </row>
    <row r="267">
      <c r="A267" s="191">
        <v>45529.0</v>
      </c>
      <c r="B267" s="1" t="s">
        <v>149</v>
      </c>
      <c r="C267" s="1" t="s">
        <v>135</v>
      </c>
      <c r="D267" s="4">
        <v>547.0</v>
      </c>
      <c r="E267" s="4">
        <v>0.0</v>
      </c>
      <c r="F267" s="1" t="s">
        <v>55</v>
      </c>
      <c r="G267" s="1" t="s">
        <v>150</v>
      </c>
      <c r="H267" s="1" t="s">
        <v>138</v>
      </c>
      <c r="I267" s="1" t="s">
        <v>734</v>
      </c>
      <c r="J267" s="1" t="s">
        <v>735</v>
      </c>
      <c r="K267" s="1" t="s">
        <v>736</v>
      </c>
      <c r="L267" s="1" t="s">
        <v>737</v>
      </c>
      <c r="M267" s="4">
        <v>-16.0</v>
      </c>
      <c r="N267" s="4">
        <v>0.015333333333333332</v>
      </c>
      <c r="O267" s="4">
        <v>7.7781666666666665</v>
      </c>
    </row>
    <row r="268">
      <c r="A268" s="191">
        <v>45529.0</v>
      </c>
      <c r="B268" s="1" t="s">
        <v>134</v>
      </c>
      <c r="C268" s="1" t="s">
        <v>166</v>
      </c>
      <c r="D268" s="4">
        <v>429.0</v>
      </c>
      <c r="E268" s="4">
        <v>0.0</v>
      </c>
      <c r="F268" s="1" t="s">
        <v>738</v>
      </c>
      <c r="G268" s="1" t="s">
        <v>137</v>
      </c>
      <c r="H268" s="1" t="s">
        <v>138</v>
      </c>
      <c r="I268" s="1" t="s">
        <v>739</v>
      </c>
      <c r="J268" s="1" t="s">
        <v>740</v>
      </c>
      <c r="K268" s="1" t="s">
        <v>740</v>
      </c>
      <c r="M268" s="4">
        <v>-4.0</v>
      </c>
      <c r="O268" s="4">
        <v>10.4264</v>
      </c>
    </row>
    <row r="269">
      <c r="A269" s="191">
        <v>45529.0</v>
      </c>
      <c r="B269" s="1" t="s">
        <v>134</v>
      </c>
      <c r="C269" s="1" t="s">
        <v>166</v>
      </c>
      <c r="D269" s="4">
        <v>264.0</v>
      </c>
      <c r="E269" s="4">
        <v>0.0</v>
      </c>
      <c r="F269" s="1" t="s">
        <v>738</v>
      </c>
      <c r="G269" s="1" t="s">
        <v>137</v>
      </c>
      <c r="H269" s="1" t="s">
        <v>138</v>
      </c>
      <c r="I269" s="1" t="s">
        <v>741</v>
      </c>
      <c r="J269" s="1" t="s">
        <v>742</v>
      </c>
      <c r="K269" s="1" t="s">
        <v>742</v>
      </c>
      <c r="M269" s="4">
        <v>-8.0</v>
      </c>
      <c r="O269" s="4">
        <v>6.2398</v>
      </c>
    </row>
    <row r="270">
      <c r="A270" s="191">
        <v>45529.0</v>
      </c>
      <c r="B270" s="1" t="s">
        <v>149</v>
      </c>
      <c r="C270" s="1" t="s">
        <v>135</v>
      </c>
      <c r="D270" s="4">
        <v>309.0</v>
      </c>
      <c r="E270" s="4">
        <v>0.0</v>
      </c>
      <c r="F270" s="1" t="s">
        <v>55</v>
      </c>
      <c r="G270" s="1" t="s">
        <v>150</v>
      </c>
      <c r="H270" s="1" t="s">
        <v>138</v>
      </c>
      <c r="I270" s="1" t="s">
        <v>743</v>
      </c>
      <c r="J270" s="1" t="s">
        <v>744</v>
      </c>
      <c r="K270" s="1" t="s">
        <v>745</v>
      </c>
      <c r="L270" s="1" t="s">
        <v>746</v>
      </c>
      <c r="M270" s="4">
        <v>-10.0</v>
      </c>
      <c r="N270" s="4">
        <v>0.007216666666666666</v>
      </c>
      <c r="O270" s="4">
        <v>11.320066666666667</v>
      </c>
    </row>
    <row r="271">
      <c r="A271" s="191">
        <v>45529.0</v>
      </c>
      <c r="B271" s="1" t="s">
        <v>165</v>
      </c>
      <c r="C271" s="1" t="s">
        <v>166</v>
      </c>
      <c r="D271" s="4">
        <v>419.0</v>
      </c>
      <c r="E271" s="4">
        <v>0.0</v>
      </c>
      <c r="G271" s="1" t="s">
        <v>137</v>
      </c>
      <c r="H271" s="1" t="s">
        <v>138</v>
      </c>
      <c r="I271" s="1" t="s">
        <v>747</v>
      </c>
      <c r="J271" s="1" t="s">
        <v>748</v>
      </c>
      <c r="K271" s="1" t="s">
        <v>748</v>
      </c>
      <c r="M271" s="4">
        <v>5.0</v>
      </c>
      <c r="O271" s="4">
        <v>12.390166666666667</v>
      </c>
    </row>
    <row r="272">
      <c r="A272" s="191">
        <v>45529.0</v>
      </c>
      <c r="B272" s="1" t="s">
        <v>134</v>
      </c>
      <c r="C272" s="1" t="s">
        <v>166</v>
      </c>
      <c r="D272" s="4">
        <v>528.0</v>
      </c>
      <c r="E272" s="4">
        <v>0.0</v>
      </c>
      <c r="F272" s="1" t="s">
        <v>738</v>
      </c>
      <c r="G272" s="1" t="s">
        <v>137</v>
      </c>
      <c r="H272" s="1" t="s">
        <v>138</v>
      </c>
      <c r="I272" s="1" t="s">
        <v>749</v>
      </c>
      <c r="J272" s="1" t="s">
        <v>750</v>
      </c>
      <c r="K272" s="1" t="s">
        <v>750</v>
      </c>
      <c r="M272" s="4">
        <v>-6.0</v>
      </c>
      <c r="O272" s="4">
        <v>13.7343</v>
      </c>
    </row>
    <row r="273">
      <c r="A273" s="191">
        <v>45529.0</v>
      </c>
      <c r="B273" s="1" t="s">
        <v>165</v>
      </c>
      <c r="C273" s="1" t="s">
        <v>166</v>
      </c>
      <c r="D273" s="4">
        <v>379.0</v>
      </c>
      <c r="E273" s="4">
        <v>0.0</v>
      </c>
      <c r="G273" s="1" t="s">
        <v>137</v>
      </c>
      <c r="H273" s="1" t="s">
        <v>138</v>
      </c>
      <c r="I273" s="1" t="s">
        <v>751</v>
      </c>
      <c r="J273" s="1" t="s">
        <v>752</v>
      </c>
      <c r="K273" s="1" t="s">
        <v>752</v>
      </c>
      <c r="M273" s="4">
        <v>0.0</v>
      </c>
      <c r="O273" s="4">
        <v>7.3336</v>
      </c>
    </row>
    <row r="274">
      <c r="A274" s="191">
        <v>45529.0</v>
      </c>
      <c r="B274" s="1" t="s">
        <v>165</v>
      </c>
      <c r="C274" s="1" t="s">
        <v>166</v>
      </c>
      <c r="D274" s="4">
        <v>329.0</v>
      </c>
      <c r="E274" s="4">
        <v>100.0</v>
      </c>
      <c r="G274" s="1" t="s">
        <v>137</v>
      </c>
      <c r="H274" s="1" t="s">
        <v>138</v>
      </c>
      <c r="I274" s="1" t="s">
        <v>753</v>
      </c>
      <c r="J274" s="1" t="s">
        <v>754</v>
      </c>
      <c r="K274" s="1" t="s">
        <v>754</v>
      </c>
      <c r="M274" s="4">
        <v>0.0</v>
      </c>
      <c r="O274" s="4">
        <v>7.932733333333333</v>
      </c>
    </row>
    <row r="275">
      <c r="A275" s="191">
        <v>45529.0</v>
      </c>
      <c r="B275" s="1" t="s">
        <v>165</v>
      </c>
      <c r="C275" s="1" t="s">
        <v>166</v>
      </c>
      <c r="D275" s="4">
        <v>713.0</v>
      </c>
      <c r="E275" s="4">
        <v>150.0</v>
      </c>
      <c r="G275" s="1" t="s">
        <v>137</v>
      </c>
      <c r="H275" s="1" t="s">
        <v>138</v>
      </c>
      <c r="I275" s="1" t="s">
        <v>755</v>
      </c>
      <c r="J275" s="1" t="s">
        <v>756</v>
      </c>
      <c r="K275" s="1" t="s">
        <v>756</v>
      </c>
      <c r="M275" s="4">
        <v>-1.0</v>
      </c>
      <c r="O275" s="4">
        <v>8.69495</v>
      </c>
    </row>
    <row r="276">
      <c r="A276" s="191">
        <v>45529.0</v>
      </c>
      <c r="B276" s="1" t="s">
        <v>165</v>
      </c>
      <c r="C276" s="1" t="s">
        <v>166</v>
      </c>
      <c r="D276" s="4">
        <v>947.0</v>
      </c>
      <c r="E276" s="4">
        <v>0.0</v>
      </c>
      <c r="G276" s="1" t="s">
        <v>137</v>
      </c>
      <c r="H276" s="1" t="s">
        <v>138</v>
      </c>
      <c r="I276" s="1" t="s">
        <v>757</v>
      </c>
      <c r="J276" s="1" t="s">
        <v>758</v>
      </c>
      <c r="K276" s="1" t="s">
        <v>758</v>
      </c>
      <c r="M276" s="4">
        <v>-1.0</v>
      </c>
      <c r="O276" s="4">
        <v>8.212633333333333</v>
      </c>
    </row>
    <row r="277">
      <c r="A277" s="191">
        <v>45529.0</v>
      </c>
      <c r="B277" s="1" t="s">
        <v>134</v>
      </c>
      <c r="C277" s="1" t="s">
        <v>166</v>
      </c>
      <c r="D277" s="4">
        <v>394.0</v>
      </c>
      <c r="E277" s="4">
        <v>0.0</v>
      </c>
      <c r="F277" s="1" t="s">
        <v>759</v>
      </c>
      <c r="G277" s="1" t="s">
        <v>137</v>
      </c>
      <c r="H277" s="1" t="s">
        <v>138</v>
      </c>
      <c r="I277" s="1" t="s">
        <v>760</v>
      </c>
      <c r="J277" s="1" t="s">
        <v>761</v>
      </c>
      <c r="K277" s="1" t="s">
        <v>761</v>
      </c>
      <c r="M277" s="4">
        <v>-5.0</v>
      </c>
      <c r="O277" s="4">
        <v>9.678333333333333</v>
      </c>
    </row>
    <row r="278">
      <c r="A278" s="191">
        <v>45529.0</v>
      </c>
      <c r="B278" s="1" t="s">
        <v>165</v>
      </c>
      <c r="C278" s="1" t="s">
        <v>166</v>
      </c>
      <c r="D278" s="4">
        <v>528.0</v>
      </c>
      <c r="E278" s="4">
        <v>0.0</v>
      </c>
      <c r="G278" s="1" t="s">
        <v>137</v>
      </c>
      <c r="H278" s="1" t="s">
        <v>138</v>
      </c>
      <c r="I278" s="1" t="s">
        <v>762</v>
      </c>
      <c r="J278" s="1" t="s">
        <v>763</v>
      </c>
      <c r="K278" s="1" t="s">
        <v>763</v>
      </c>
      <c r="M278" s="4">
        <v>-1.0</v>
      </c>
      <c r="O278" s="4">
        <v>6.06435</v>
      </c>
    </row>
    <row r="279">
      <c r="A279" s="191">
        <v>45529.0</v>
      </c>
      <c r="B279" s="1" t="s">
        <v>165</v>
      </c>
      <c r="C279" s="1" t="s">
        <v>166</v>
      </c>
      <c r="D279" s="4">
        <v>676.0</v>
      </c>
      <c r="E279" s="4">
        <v>0.0</v>
      </c>
      <c r="G279" s="1" t="s">
        <v>137</v>
      </c>
      <c r="H279" s="1" t="s">
        <v>138</v>
      </c>
      <c r="I279" s="1" t="s">
        <v>764</v>
      </c>
      <c r="J279" s="1" t="s">
        <v>765</v>
      </c>
      <c r="K279" s="1" t="s">
        <v>765</v>
      </c>
      <c r="M279" s="4">
        <v>0.0</v>
      </c>
      <c r="O279" s="4">
        <v>9.1631</v>
      </c>
    </row>
    <row r="280">
      <c r="A280" s="191">
        <v>45529.0</v>
      </c>
      <c r="B280" s="1" t="s">
        <v>134</v>
      </c>
      <c r="C280" s="1" t="s">
        <v>166</v>
      </c>
      <c r="D280" s="4">
        <v>129.0</v>
      </c>
      <c r="E280" s="4">
        <v>0.0</v>
      </c>
      <c r="F280" s="1" t="s">
        <v>677</v>
      </c>
      <c r="G280" s="1" t="s">
        <v>137</v>
      </c>
      <c r="H280" s="1" t="s">
        <v>138</v>
      </c>
      <c r="I280" s="1" t="s">
        <v>766</v>
      </c>
      <c r="J280" s="1" t="s">
        <v>767</v>
      </c>
      <c r="K280" s="1" t="s">
        <v>767</v>
      </c>
      <c r="M280" s="4">
        <v>-8.0</v>
      </c>
      <c r="O280" s="4">
        <v>6.99845</v>
      </c>
    </row>
    <row r="281">
      <c r="A281" s="191">
        <v>45529.0</v>
      </c>
      <c r="B281" s="1" t="s">
        <v>149</v>
      </c>
      <c r="C281" s="1" t="s">
        <v>135</v>
      </c>
      <c r="D281" s="4">
        <v>550.0</v>
      </c>
      <c r="E281" s="4">
        <v>17.0</v>
      </c>
      <c r="F281" s="1" t="s">
        <v>55</v>
      </c>
      <c r="G281" s="1" t="s">
        <v>150</v>
      </c>
      <c r="H281" s="1" t="s">
        <v>138</v>
      </c>
      <c r="I281" s="1" t="s">
        <v>768</v>
      </c>
      <c r="J281" s="1" t="s">
        <v>769</v>
      </c>
      <c r="K281" s="1" t="s">
        <v>770</v>
      </c>
      <c r="L281" s="1" t="s">
        <v>771</v>
      </c>
      <c r="M281" s="4">
        <v>-12.0</v>
      </c>
      <c r="N281" s="4">
        <v>0.011116666666666667</v>
      </c>
      <c r="O281" s="4">
        <v>10.3567</v>
      </c>
    </row>
    <row r="282">
      <c r="A282" s="191">
        <v>45529.0</v>
      </c>
      <c r="B282" s="1" t="s">
        <v>165</v>
      </c>
      <c r="C282" s="1" t="s">
        <v>166</v>
      </c>
      <c r="D282" s="4">
        <v>364.0</v>
      </c>
      <c r="E282" s="4">
        <v>0.0</v>
      </c>
      <c r="G282" s="1" t="s">
        <v>137</v>
      </c>
      <c r="H282" s="1" t="s">
        <v>138</v>
      </c>
      <c r="I282" s="1" t="s">
        <v>772</v>
      </c>
      <c r="J282" s="1" t="s">
        <v>773</v>
      </c>
      <c r="K282" s="1" t="s">
        <v>773</v>
      </c>
      <c r="M282" s="4">
        <v>0.0</v>
      </c>
      <c r="O282" s="4">
        <v>7.2854833333333335</v>
      </c>
    </row>
    <row r="283">
      <c r="A283" s="191">
        <v>45529.0</v>
      </c>
      <c r="B283" s="1" t="s">
        <v>134</v>
      </c>
      <c r="C283" s="1" t="s">
        <v>166</v>
      </c>
      <c r="D283" s="4">
        <v>693.0</v>
      </c>
      <c r="E283" s="4">
        <v>0.0</v>
      </c>
      <c r="F283" s="1" t="s">
        <v>677</v>
      </c>
      <c r="G283" s="1" t="s">
        <v>137</v>
      </c>
      <c r="H283" s="1" t="s">
        <v>138</v>
      </c>
      <c r="I283" s="1" t="s">
        <v>774</v>
      </c>
      <c r="J283" s="1" t="s">
        <v>775</v>
      </c>
      <c r="K283" s="1" t="s">
        <v>775</v>
      </c>
      <c r="M283" s="4">
        <v>-6.0</v>
      </c>
      <c r="O283" s="4">
        <v>13.590483333333333</v>
      </c>
    </row>
    <row r="284">
      <c r="A284" s="191">
        <v>45529.0</v>
      </c>
      <c r="B284" s="1" t="s">
        <v>149</v>
      </c>
      <c r="C284" s="1" t="s">
        <v>135</v>
      </c>
      <c r="D284" s="4">
        <v>199.0</v>
      </c>
      <c r="E284" s="4">
        <v>50.0</v>
      </c>
      <c r="G284" s="1" t="s">
        <v>142</v>
      </c>
      <c r="H284" s="1" t="s">
        <v>232</v>
      </c>
      <c r="I284" s="1" t="s">
        <v>776</v>
      </c>
      <c r="J284" s="1" t="s">
        <v>777</v>
      </c>
      <c r="K284" s="1" t="s">
        <v>777</v>
      </c>
      <c r="M284" s="4">
        <v>-11.0</v>
      </c>
      <c r="O284" s="4">
        <v>8.397933333333333</v>
      </c>
    </row>
    <row r="285">
      <c r="A285" s="191">
        <v>45529.0</v>
      </c>
      <c r="B285" s="1" t="s">
        <v>149</v>
      </c>
      <c r="C285" s="1" t="s">
        <v>135</v>
      </c>
      <c r="D285" s="4">
        <v>309.0</v>
      </c>
      <c r="E285" s="4">
        <v>0.0</v>
      </c>
      <c r="F285" s="1" t="s">
        <v>54</v>
      </c>
      <c r="G285" s="1" t="s">
        <v>150</v>
      </c>
      <c r="H285" s="1" t="s">
        <v>138</v>
      </c>
      <c r="I285" s="1" t="s">
        <v>778</v>
      </c>
      <c r="J285" s="1" t="s">
        <v>779</v>
      </c>
      <c r="K285" s="1" t="s">
        <v>780</v>
      </c>
      <c r="L285" s="1" t="s">
        <v>781</v>
      </c>
      <c r="M285" s="4">
        <v>-10.0</v>
      </c>
      <c r="N285" s="4">
        <v>0.0111</v>
      </c>
      <c r="O285" s="4">
        <v>7.196183333333333</v>
      </c>
    </row>
    <row r="286">
      <c r="A286" s="191">
        <v>45529.0</v>
      </c>
      <c r="B286" s="1" t="s">
        <v>149</v>
      </c>
      <c r="C286" s="1" t="s">
        <v>135</v>
      </c>
      <c r="D286" s="4">
        <v>215.0</v>
      </c>
      <c r="E286" s="4">
        <v>54.0</v>
      </c>
      <c r="G286" s="1" t="s">
        <v>142</v>
      </c>
      <c r="H286" s="1" t="s">
        <v>138</v>
      </c>
      <c r="I286" s="1" t="s">
        <v>782</v>
      </c>
      <c r="J286" s="1" t="s">
        <v>783</v>
      </c>
      <c r="K286" s="1" t="s">
        <v>783</v>
      </c>
      <c r="M286" s="4">
        <v>-11.0</v>
      </c>
      <c r="O286" s="4">
        <v>7.3835</v>
      </c>
    </row>
    <row r="287">
      <c r="A287" s="191">
        <v>45529.0</v>
      </c>
      <c r="B287" s="1" t="s">
        <v>149</v>
      </c>
      <c r="C287" s="1" t="s">
        <v>135</v>
      </c>
      <c r="D287" s="4">
        <v>375.0</v>
      </c>
      <c r="E287" s="4">
        <v>0.0</v>
      </c>
      <c r="F287" s="1" t="s">
        <v>104</v>
      </c>
      <c r="G287" s="1" t="s">
        <v>150</v>
      </c>
      <c r="H287" s="1" t="s">
        <v>138</v>
      </c>
      <c r="I287" s="1" t="s">
        <v>784</v>
      </c>
      <c r="J287" s="1" t="s">
        <v>785</v>
      </c>
      <c r="K287" s="1" t="s">
        <v>786</v>
      </c>
      <c r="L287" s="1" t="s">
        <v>787</v>
      </c>
      <c r="M287" s="4">
        <v>3.0</v>
      </c>
      <c r="N287" s="4">
        <v>5.699866666666667</v>
      </c>
      <c r="O287" s="4">
        <v>6.887483333333333</v>
      </c>
    </row>
    <row r="288">
      <c r="A288" s="191">
        <v>45529.0</v>
      </c>
      <c r="B288" s="1" t="s">
        <v>141</v>
      </c>
      <c r="C288" s="1" t="s">
        <v>135</v>
      </c>
      <c r="D288" s="4">
        <v>498.0</v>
      </c>
      <c r="E288" s="4">
        <v>0.0</v>
      </c>
      <c r="G288" s="1" t="s">
        <v>142</v>
      </c>
      <c r="H288" s="1" t="s">
        <v>143</v>
      </c>
      <c r="I288" s="1" t="s">
        <v>788</v>
      </c>
      <c r="J288" s="1" t="s">
        <v>789</v>
      </c>
      <c r="K288" s="1" t="s">
        <v>789</v>
      </c>
      <c r="M288" s="4">
        <v>1.0</v>
      </c>
      <c r="O288" s="4">
        <v>6.621033333333333</v>
      </c>
    </row>
    <row r="289">
      <c r="A289" s="191">
        <v>45529.0</v>
      </c>
      <c r="B289" s="1" t="s">
        <v>165</v>
      </c>
      <c r="C289" s="1" t="s">
        <v>166</v>
      </c>
      <c r="D289" s="4">
        <v>351.0</v>
      </c>
      <c r="E289" s="4">
        <v>0.0</v>
      </c>
      <c r="G289" s="1" t="s">
        <v>137</v>
      </c>
      <c r="H289" s="1" t="s">
        <v>138</v>
      </c>
      <c r="I289" s="1" t="s">
        <v>790</v>
      </c>
      <c r="J289" s="1" t="s">
        <v>791</v>
      </c>
      <c r="K289" s="1" t="s">
        <v>791</v>
      </c>
      <c r="M289" s="4">
        <v>3.0</v>
      </c>
      <c r="O289" s="4">
        <v>10.094733333333334</v>
      </c>
    </row>
    <row r="290">
      <c r="A290" s="191">
        <v>45529.0</v>
      </c>
      <c r="B290" s="1" t="s">
        <v>165</v>
      </c>
      <c r="C290" s="1" t="s">
        <v>166</v>
      </c>
      <c r="D290" s="4">
        <v>319.0</v>
      </c>
      <c r="E290" s="4">
        <v>0.0</v>
      </c>
      <c r="G290" s="1" t="s">
        <v>137</v>
      </c>
      <c r="H290" s="1" t="s">
        <v>138</v>
      </c>
      <c r="I290" s="1" t="s">
        <v>792</v>
      </c>
      <c r="J290" s="1" t="s">
        <v>793</v>
      </c>
      <c r="K290" s="1" t="s">
        <v>793</v>
      </c>
      <c r="M290" s="4">
        <v>1.0</v>
      </c>
      <c r="O290" s="4">
        <v>8.834916666666667</v>
      </c>
    </row>
    <row r="291">
      <c r="A291" s="191">
        <v>45529.0</v>
      </c>
      <c r="B291" s="1" t="s">
        <v>165</v>
      </c>
      <c r="C291" s="1" t="s">
        <v>166</v>
      </c>
      <c r="D291" s="4">
        <v>364.0</v>
      </c>
      <c r="E291" s="4">
        <v>0.0</v>
      </c>
      <c r="G291" s="1" t="s">
        <v>137</v>
      </c>
      <c r="H291" s="1" t="s">
        <v>138</v>
      </c>
      <c r="I291" s="1" t="s">
        <v>794</v>
      </c>
      <c r="J291" s="1" t="s">
        <v>795</v>
      </c>
      <c r="K291" s="1" t="s">
        <v>795</v>
      </c>
      <c r="M291" s="4">
        <v>1.0</v>
      </c>
      <c r="O291" s="4">
        <v>8.103933333333334</v>
      </c>
    </row>
    <row r="292">
      <c r="A292" s="191">
        <v>45529.0</v>
      </c>
      <c r="B292" s="1" t="s">
        <v>146</v>
      </c>
      <c r="C292" s="1" t="s">
        <v>135</v>
      </c>
      <c r="D292" s="4">
        <v>418.0</v>
      </c>
      <c r="E292" s="4">
        <v>0.0</v>
      </c>
      <c r="F292" s="1" t="s">
        <v>104</v>
      </c>
      <c r="G292" s="1" t="s">
        <v>137</v>
      </c>
      <c r="H292" s="1" t="s">
        <v>138</v>
      </c>
      <c r="I292" s="1" t="s">
        <v>796</v>
      </c>
      <c r="J292" s="1" t="s">
        <v>797</v>
      </c>
      <c r="K292" s="1" t="s">
        <v>797</v>
      </c>
      <c r="M292" s="4">
        <v>-7.0</v>
      </c>
      <c r="O292" s="4">
        <v>7.1531666666666665</v>
      </c>
    </row>
    <row r="293">
      <c r="A293" s="191">
        <v>45529.0</v>
      </c>
      <c r="B293" s="1" t="s">
        <v>165</v>
      </c>
      <c r="C293" s="1" t="s">
        <v>166</v>
      </c>
      <c r="D293" s="4">
        <v>268.0</v>
      </c>
      <c r="E293" s="4">
        <v>100.0</v>
      </c>
      <c r="G293" s="1" t="s">
        <v>137</v>
      </c>
      <c r="H293" s="1" t="s">
        <v>138</v>
      </c>
      <c r="I293" s="1" t="s">
        <v>798</v>
      </c>
      <c r="J293" s="1" t="s">
        <v>799</v>
      </c>
      <c r="K293" s="1" t="s">
        <v>799</v>
      </c>
      <c r="M293" s="4">
        <v>1.0</v>
      </c>
      <c r="O293" s="4">
        <v>8.195916666666667</v>
      </c>
    </row>
    <row r="294">
      <c r="A294" s="191">
        <v>45529.0</v>
      </c>
      <c r="B294" s="1" t="s">
        <v>165</v>
      </c>
      <c r="C294" s="1" t="s">
        <v>166</v>
      </c>
      <c r="D294" s="4">
        <v>264.0</v>
      </c>
      <c r="E294" s="4">
        <v>0.0</v>
      </c>
      <c r="G294" s="1" t="s">
        <v>137</v>
      </c>
      <c r="H294" s="1" t="s">
        <v>138</v>
      </c>
      <c r="I294" s="1" t="s">
        <v>800</v>
      </c>
      <c r="J294" s="1" t="s">
        <v>801</v>
      </c>
      <c r="K294" s="1" t="s">
        <v>801</v>
      </c>
      <c r="M294" s="4">
        <v>0.0</v>
      </c>
      <c r="O294" s="4">
        <v>7.167883333333333</v>
      </c>
    </row>
    <row r="295">
      <c r="A295" s="191">
        <v>45529.0</v>
      </c>
      <c r="B295" s="1" t="s">
        <v>165</v>
      </c>
      <c r="C295" s="1" t="s">
        <v>166</v>
      </c>
      <c r="D295" s="4">
        <v>408.0</v>
      </c>
      <c r="E295" s="4">
        <v>150.0</v>
      </c>
      <c r="G295" s="1" t="s">
        <v>137</v>
      </c>
      <c r="H295" s="1" t="s">
        <v>138</v>
      </c>
      <c r="I295" s="1" t="s">
        <v>802</v>
      </c>
      <c r="J295" s="1" t="s">
        <v>803</v>
      </c>
      <c r="K295" s="1" t="s">
        <v>803</v>
      </c>
      <c r="M295" s="4">
        <v>-1.0</v>
      </c>
      <c r="O295" s="4">
        <v>7.694016666666666</v>
      </c>
    </row>
    <row r="296">
      <c r="A296" s="191">
        <v>45529.0</v>
      </c>
      <c r="B296" s="1" t="s">
        <v>149</v>
      </c>
      <c r="C296" s="1" t="s">
        <v>135</v>
      </c>
      <c r="D296" s="4">
        <v>245.0</v>
      </c>
      <c r="E296" s="4">
        <v>61.0</v>
      </c>
      <c r="G296" s="1" t="s">
        <v>142</v>
      </c>
      <c r="H296" s="1" t="s">
        <v>138</v>
      </c>
      <c r="I296" s="1" t="s">
        <v>804</v>
      </c>
      <c r="J296" s="1" t="s">
        <v>805</v>
      </c>
      <c r="K296" s="1" t="s">
        <v>805</v>
      </c>
      <c r="M296" s="4">
        <v>-8.0</v>
      </c>
      <c r="O296" s="4">
        <v>10.495133333333333</v>
      </c>
    </row>
    <row r="297">
      <c r="A297" s="191">
        <v>45529.0</v>
      </c>
      <c r="B297" s="1" t="s">
        <v>149</v>
      </c>
      <c r="C297" s="1" t="s">
        <v>135</v>
      </c>
      <c r="D297" s="4">
        <v>547.0</v>
      </c>
      <c r="E297" s="4">
        <v>0.0</v>
      </c>
      <c r="F297" s="1" t="s">
        <v>54</v>
      </c>
      <c r="G297" s="1" t="s">
        <v>150</v>
      </c>
      <c r="H297" s="1" t="s">
        <v>143</v>
      </c>
      <c r="I297" s="1" t="s">
        <v>806</v>
      </c>
      <c r="J297" s="1" t="s">
        <v>807</v>
      </c>
      <c r="K297" s="1" t="s">
        <v>808</v>
      </c>
      <c r="L297" s="1" t="s">
        <v>809</v>
      </c>
      <c r="M297" s="4">
        <v>-11.0</v>
      </c>
      <c r="N297" s="4">
        <v>0.0113</v>
      </c>
      <c r="O297" s="4">
        <v>7.8432</v>
      </c>
    </row>
    <row r="298">
      <c r="A298" s="191">
        <v>45529.0</v>
      </c>
      <c r="B298" s="1" t="s">
        <v>146</v>
      </c>
      <c r="C298" s="1" t="s">
        <v>135</v>
      </c>
      <c r="D298" s="4">
        <v>303.0</v>
      </c>
      <c r="E298" s="4">
        <v>0.0</v>
      </c>
      <c r="F298" s="1" t="s">
        <v>104</v>
      </c>
      <c r="G298" s="1" t="s">
        <v>137</v>
      </c>
      <c r="H298" s="1" t="s">
        <v>138</v>
      </c>
      <c r="I298" s="1" t="s">
        <v>810</v>
      </c>
      <c r="J298" s="1" t="s">
        <v>811</v>
      </c>
      <c r="K298" s="1" t="s">
        <v>811</v>
      </c>
      <c r="M298" s="4">
        <v>-9.0</v>
      </c>
      <c r="O298" s="4">
        <v>5.666</v>
      </c>
    </row>
    <row r="299">
      <c r="A299" s="191">
        <v>45529.0</v>
      </c>
      <c r="B299" s="1" t="s">
        <v>165</v>
      </c>
      <c r="C299" s="1" t="s">
        <v>166</v>
      </c>
      <c r="D299" s="4">
        <v>922.0</v>
      </c>
      <c r="E299" s="4">
        <v>0.0</v>
      </c>
      <c r="G299" s="1" t="s">
        <v>137</v>
      </c>
      <c r="H299" s="1" t="s">
        <v>138</v>
      </c>
      <c r="I299" s="1" t="s">
        <v>812</v>
      </c>
      <c r="J299" s="1" t="s">
        <v>813</v>
      </c>
      <c r="K299" s="1" t="s">
        <v>813</v>
      </c>
      <c r="M299" s="4">
        <v>-1.0</v>
      </c>
      <c r="O299" s="4">
        <v>8.224833333333333</v>
      </c>
    </row>
    <row r="300">
      <c r="A300" s="191">
        <v>45529.0</v>
      </c>
      <c r="B300" s="1" t="s">
        <v>149</v>
      </c>
      <c r="C300" s="1" t="s">
        <v>135</v>
      </c>
      <c r="D300" s="4">
        <v>354.0</v>
      </c>
      <c r="E300" s="4">
        <v>0.0</v>
      </c>
      <c r="F300" s="1" t="s">
        <v>54</v>
      </c>
      <c r="G300" s="1" t="s">
        <v>150</v>
      </c>
      <c r="H300" s="1" t="s">
        <v>138</v>
      </c>
      <c r="I300" s="1" t="s">
        <v>814</v>
      </c>
      <c r="J300" s="1" t="s">
        <v>815</v>
      </c>
      <c r="K300" s="1" t="s">
        <v>816</v>
      </c>
      <c r="L300" s="1" t="s">
        <v>817</v>
      </c>
      <c r="M300" s="4">
        <v>-16.0</v>
      </c>
      <c r="N300" s="4">
        <v>0.0119</v>
      </c>
      <c r="O300" s="4">
        <v>6.897316666666667</v>
      </c>
    </row>
    <row r="301">
      <c r="A301" s="191">
        <v>45529.0</v>
      </c>
      <c r="B301" s="1" t="s">
        <v>149</v>
      </c>
      <c r="C301" s="1" t="s">
        <v>135</v>
      </c>
      <c r="D301" s="4">
        <v>522.0</v>
      </c>
      <c r="E301" s="4">
        <v>0.0</v>
      </c>
      <c r="F301" s="1" t="s">
        <v>54</v>
      </c>
      <c r="G301" s="1" t="s">
        <v>150</v>
      </c>
      <c r="H301" s="1" t="s">
        <v>138</v>
      </c>
      <c r="I301" s="1" t="s">
        <v>818</v>
      </c>
      <c r="J301" s="1" t="s">
        <v>819</v>
      </c>
      <c r="K301" s="1" t="s">
        <v>820</v>
      </c>
      <c r="L301" s="1" t="s">
        <v>821</v>
      </c>
      <c r="M301" s="4">
        <v>-7.0</v>
      </c>
      <c r="N301" s="4">
        <v>0.013366666666666667</v>
      </c>
      <c r="O301" s="4">
        <v>10.712966666666667</v>
      </c>
    </row>
    <row r="302">
      <c r="A302" s="191">
        <v>45529.0</v>
      </c>
      <c r="B302" s="1" t="s">
        <v>149</v>
      </c>
      <c r="C302" s="1" t="s">
        <v>135</v>
      </c>
      <c r="D302" s="4">
        <v>533.0</v>
      </c>
      <c r="E302" s="4">
        <v>0.0</v>
      </c>
      <c r="F302" s="1" t="s">
        <v>104</v>
      </c>
      <c r="G302" s="1" t="s">
        <v>150</v>
      </c>
      <c r="H302" s="1" t="s">
        <v>143</v>
      </c>
      <c r="I302" s="1" t="s">
        <v>822</v>
      </c>
      <c r="J302" s="1" t="s">
        <v>823</v>
      </c>
      <c r="K302" s="1" t="s">
        <v>824</v>
      </c>
      <c r="L302" s="1" t="s">
        <v>825</v>
      </c>
      <c r="M302" s="4">
        <v>-7.0</v>
      </c>
      <c r="N302" s="4">
        <v>5.688666666666666</v>
      </c>
      <c r="O302" s="4">
        <v>11.8608</v>
      </c>
    </row>
    <row r="303">
      <c r="A303" s="191">
        <v>45529.0</v>
      </c>
      <c r="B303" s="1" t="s">
        <v>165</v>
      </c>
      <c r="C303" s="1" t="s">
        <v>166</v>
      </c>
      <c r="D303" s="4">
        <v>387.0</v>
      </c>
      <c r="E303" s="4">
        <v>0.0</v>
      </c>
      <c r="G303" s="1" t="s">
        <v>137</v>
      </c>
      <c r="H303" s="1" t="s">
        <v>138</v>
      </c>
      <c r="I303" s="1" t="s">
        <v>826</v>
      </c>
      <c r="J303" s="1" t="s">
        <v>827</v>
      </c>
      <c r="K303" s="1" t="s">
        <v>827</v>
      </c>
      <c r="M303" s="4">
        <v>0.0</v>
      </c>
      <c r="O303" s="4">
        <v>7.42385</v>
      </c>
    </row>
    <row r="304">
      <c r="A304" s="191">
        <v>45529.0</v>
      </c>
      <c r="B304" s="1" t="s">
        <v>146</v>
      </c>
      <c r="C304" s="1" t="s">
        <v>135</v>
      </c>
      <c r="D304" s="4">
        <v>657.0</v>
      </c>
      <c r="E304" s="4">
        <v>0.0</v>
      </c>
      <c r="F304" s="1" t="s">
        <v>104</v>
      </c>
      <c r="G304" s="1" t="s">
        <v>137</v>
      </c>
      <c r="H304" s="1" t="s">
        <v>138</v>
      </c>
      <c r="I304" s="1" t="s">
        <v>828</v>
      </c>
      <c r="J304" s="1" t="s">
        <v>829</v>
      </c>
      <c r="K304" s="1" t="s">
        <v>829</v>
      </c>
      <c r="M304" s="4">
        <v>-12.0</v>
      </c>
      <c r="O304" s="4">
        <v>7.0929</v>
      </c>
    </row>
    <row r="305">
      <c r="A305" s="191">
        <v>45529.0</v>
      </c>
      <c r="B305" s="1" t="s">
        <v>165</v>
      </c>
      <c r="C305" s="1" t="s">
        <v>166</v>
      </c>
      <c r="D305" s="4">
        <v>214.0</v>
      </c>
      <c r="E305" s="4">
        <v>50.0</v>
      </c>
      <c r="G305" s="1" t="s">
        <v>137</v>
      </c>
      <c r="H305" s="1" t="s">
        <v>138</v>
      </c>
      <c r="I305" s="1" t="s">
        <v>830</v>
      </c>
      <c r="J305" s="1" t="s">
        <v>831</v>
      </c>
      <c r="K305" s="1" t="s">
        <v>831</v>
      </c>
      <c r="M305" s="4">
        <v>0.0</v>
      </c>
      <c r="O305" s="4">
        <v>6.16905</v>
      </c>
    </row>
    <row r="306">
      <c r="A306" s="191">
        <v>45529.0</v>
      </c>
      <c r="B306" s="1" t="s">
        <v>134</v>
      </c>
      <c r="C306" s="1" t="s">
        <v>166</v>
      </c>
      <c r="D306" s="4">
        <v>313.0</v>
      </c>
      <c r="E306" s="4">
        <v>0.0</v>
      </c>
      <c r="F306" s="1" t="s">
        <v>832</v>
      </c>
      <c r="G306" s="1" t="s">
        <v>137</v>
      </c>
      <c r="H306" s="1" t="s">
        <v>138</v>
      </c>
      <c r="I306" s="1" t="s">
        <v>833</v>
      </c>
      <c r="J306" s="1" t="s">
        <v>834</v>
      </c>
      <c r="K306" s="1" t="s">
        <v>834</v>
      </c>
      <c r="M306" s="4">
        <v>-6.0</v>
      </c>
      <c r="O306" s="4">
        <v>8.674433333333333</v>
      </c>
    </row>
    <row r="307">
      <c r="A307" s="191">
        <v>45529.0</v>
      </c>
      <c r="B307" s="1" t="s">
        <v>165</v>
      </c>
      <c r="C307" s="1" t="s">
        <v>166</v>
      </c>
      <c r="D307" s="4">
        <v>786.0</v>
      </c>
      <c r="E307" s="4">
        <v>0.0</v>
      </c>
      <c r="G307" s="1" t="s">
        <v>137</v>
      </c>
      <c r="H307" s="1" t="s">
        <v>143</v>
      </c>
      <c r="I307" s="1" t="s">
        <v>835</v>
      </c>
      <c r="J307" s="1" t="s">
        <v>836</v>
      </c>
      <c r="K307" s="1" t="s">
        <v>836</v>
      </c>
      <c r="M307" s="4">
        <v>-1.0</v>
      </c>
      <c r="O307" s="4">
        <v>8.618233333333333</v>
      </c>
    </row>
    <row r="308">
      <c r="A308" s="191">
        <v>45529.0</v>
      </c>
      <c r="B308" s="1" t="s">
        <v>149</v>
      </c>
      <c r="C308" s="1" t="s">
        <v>135</v>
      </c>
      <c r="D308" s="4">
        <v>329.0</v>
      </c>
      <c r="E308" s="4">
        <v>0.0</v>
      </c>
      <c r="F308" s="1" t="s">
        <v>54</v>
      </c>
      <c r="G308" s="1" t="s">
        <v>150</v>
      </c>
      <c r="H308" s="1" t="s">
        <v>138</v>
      </c>
      <c r="I308" s="1" t="s">
        <v>837</v>
      </c>
      <c r="J308" s="1" t="s">
        <v>838</v>
      </c>
      <c r="K308" s="1" t="s">
        <v>839</v>
      </c>
      <c r="L308" s="1" t="s">
        <v>840</v>
      </c>
      <c r="M308" s="4">
        <v>-7.0</v>
      </c>
      <c r="N308" s="4">
        <v>0.011333333333333334</v>
      </c>
      <c r="O308" s="4">
        <v>11.64095</v>
      </c>
    </row>
    <row r="309">
      <c r="A309" s="191">
        <v>45529.0</v>
      </c>
      <c r="B309" s="1" t="s">
        <v>165</v>
      </c>
      <c r="C309" s="1" t="s">
        <v>166</v>
      </c>
      <c r="D309" s="4">
        <v>443.0</v>
      </c>
      <c r="E309" s="4">
        <v>0.0</v>
      </c>
      <c r="G309" s="1" t="s">
        <v>137</v>
      </c>
      <c r="H309" s="1" t="s">
        <v>138</v>
      </c>
      <c r="I309" s="1" t="s">
        <v>841</v>
      </c>
      <c r="J309" s="1" t="s">
        <v>842</v>
      </c>
      <c r="K309" s="1" t="s">
        <v>842</v>
      </c>
      <c r="M309" s="4">
        <v>3.0</v>
      </c>
      <c r="O309" s="4">
        <v>11.762483333333334</v>
      </c>
    </row>
    <row r="310">
      <c r="A310" s="191">
        <v>45529.0</v>
      </c>
      <c r="B310" s="1" t="s">
        <v>165</v>
      </c>
      <c r="C310" s="1" t="s">
        <v>166</v>
      </c>
      <c r="D310" s="4">
        <v>507.0</v>
      </c>
      <c r="E310" s="4">
        <v>0.0</v>
      </c>
      <c r="G310" s="1" t="s">
        <v>137</v>
      </c>
      <c r="H310" s="1" t="s">
        <v>138</v>
      </c>
      <c r="I310" s="1" t="s">
        <v>843</v>
      </c>
      <c r="J310" s="1" t="s">
        <v>844</v>
      </c>
      <c r="K310" s="1" t="s">
        <v>844</v>
      </c>
      <c r="M310" s="4">
        <v>0.0</v>
      </c>
      <c r="O310" s="4">
        <v>8.8061</v>
      </c>
    </row>
    <row r="311">
      <c r="A311" s="191">
        <v>45529.0</v>
      </c>
      <c r="B311" s="1" t="s">
        <v>146</v>
      </c>
      <c r="C311" s="1" t="s">
        <v>135</v>
      </c>
      <c r="D311" s="4">
        <v>321.0</v>
      </c>
      <c r="E311" s="4">
        <v>0.0</v>
      </c>
      <c r="F311" s="1" t="s">
        <v>104</v>
      </c>
      <c r="G311" s="1" t="s">
        <v>137</v>
      </c>
      <c r="H311" s="1" t="s">
        <v>138</v>
      </c>
      <c r="I311" s="1" t="s">
        <v>845</v>
      </c>
      <c r="J311" s="1" t="s">
        <v>846</v>
      </c>
      <c r="K311" s="1" t="s">
        <v>846</v>
      </c>
      <c r="M311" s="4">
        <v>-7.0</v>
      </c>
      <c r="O311" s="4">
        <v>7.129783333333333</v>
      </c>
    </row>
    <row r="312">
      <c r="A312" s="191">
        <v>45529.0</v>
      </c>
      <c r="B312" s="1" t="s">
        <v>149</v>
      </c>
      <c r="C312" s="1" t="s">
        <v>135</v>
      </c>
      <c r="D312" s="4">
        <v>239.0</v>
      </c>
      <c r="E312" s="4">
        <v>11.0</v>
      </c>
      <c r="F312" s="1" t="s">
        <v>54</v>
      </c>
      <c r="G312" s="1" t="s">
        <v>150</v>
      </c>
      <c r="H312" s="1" t="s">
        <v>138</v>
      </c>
      <c r="I312" s="1" t="s">
        <v>847</v>
      </c>
      <c r="J312" s="1" t="s">
        <v>848</v>
      </c>
      <c r="K312" s="1" t="s">
        <v>849</v>
      </c>
      <c r="L312" s="1" t="s">
        <v>850</v>
      </c>
      <c r="M312" s="4">
        <v>-12.0</v>
      </c>
      <c r="N312" s="4">
        <v>0.010933333333333333</v>
      </c>
      <c r="O312" s="4">
        <v>54.25051666666667</v>
      </c>
    </row>
    <row r="313">
      <c r="A313" s="191">
        <v>45529.0</v>
      </c>
      <c r="B313" s="1" t="s">
        <v>134</v>
      </c>
      <c r="C313" s="1" t="s">
        <v>435</v>
      </c>
      <c r="D313" s="4">
        <v>658.0</v>
      </c>
      <c r="E313" s="4">
        <v>0.0</v>
      </c>
      <c r="G313" s="1" t="s">
        <v>137</v>
      </c>
      <c r="H313" s="1" t="s">
        <v>138</v>
      </c>
      <c r="I313" s="1" t="s">
        <v>851</v>
      </c>
      <c r="M313" s="4">
        <v>0.0</v>
      </c>
    </row>
    <row r="314">
      <c r="A314" s="191">
        <v>45529.0</v>
      </c>
      <c r="B314" s="1" t="s">
        <v>146</v>
      </c>
      <c r="C314" s="1" t="s">
        <v>435</v>
      </c>
      <c r="D314" s="4">
        <v>528.0</v>
      </c>
      <c r="E314" s="4">
        <v>0.0</v>
      </c>
      <c r="F314" s="1" t="s">
        <v>104</v>
      </c>
      <c r="G314" s="1" t="s">
        <v>137</v>
      </c>
      <c r="H314" s="1" t="s">
        <v>138</v>
      </c>
      <c r="I314" s="1" t="s">
        <v>852</v>
      </c>
      <c r="M314" s="4">
        <v>0.0</v>
      </c>
    </row>
    <row r="315">
      <c r="A315" s="191">
        <v>45529.0</v>
      </c>
      <c r="B315" s="1" t="s">
        <v>149</v>
      </c>
      <c r="C315" s="1" t="s">
        <v>435</v>
      </c>
      <c r="D315" s="4">
        <v>318.0</v>
      </c>
      <c r="E315" s="4">
        <v>50.0</v>
      </c>
      <c r="G315" s="1" t="s">
        <v>142</v>
      </c>
      <c r="H315" s="1" t="s">
        <v>232</v>
      </c>
      <c r="I315" s="1" t="s">
        <v>853</v>
      </c>
      <c r="M315" s="4">
        <v>0.0</v>
      </c>
    </row>
    <row r="316">
      <c r="A316" s="191">
        <v>45529.0</v>
      </c>
      <c r="B316" s="1" t="s">
        <v>146</v>
      </c>
      <c r="C316" s="1" t="s">
        <v>166</v>
      </c>
      <c r="D316" s="4">
        <v>329.0</v>
      </c>
      <c r="E316" s="4">
        <v>0.0</v>
      </c>
      <c r="F316" s="1" t="s">
        <v>104</v>
      </c>
      <c r="G316" s="1" t="s">
        <v>137</v>
      </c>
      <c r="H316" s="1" t="s">
        <v>138</v>
      </c>
      <c r="I316" s="1" t="s">
        <v>854</v>
      </c>
      <c r="J316" s="1" t="s">
        <v>855</v>
      </c>
      <c r="K316" s="1" t="s">
        <v>855</v>
      </c>
      <c r="M316" s="4">
        <v>-5.0</v>
      </c>
      <c r="O316" s="4">
        <v>9.004716666666667</v>
      </c>
    </row>
    <row r="317">
      <c r="A317" s="191">
        <v>45529.0</v>
      </c>
      <c r="B317" s="1" t="s">
        <v>134</v>
      </c>
      <c r="C317" s="1" t="s">
        <v>166</v>
      </c>
      <c r="D317" s="4">
        <v>329.0</v>
      </c>
      <c r="E317" s="4">
        <v>0.0</v>
      </c>
      <c r="F317" s="1" t="s">
        <v>856</v>
      </c>
      <c r="G317" s="1" t="s">
        <v>137</v>
      </c>
      <c r="H317" s="1" t="s">
        <v>138</v>
      </c>
      <c r="I317" s="1" t="s">
        <v>857</v>
      </c>
      <c r="J317" s="1" t="s">
        <v>858</v>
      </c>
      <c r="K317" s="1" t="s">
        <v>858</v>
      </c>
      <c r="M317" s="4">
        <v>-4.0</v>
      </c>
      <c r="O317" s="4">
        <v>10.718633333333333</v>
      </c>
    </row>
    <row r="318">
      <c r="A318" s="191">
        <v>45529.0</v>
      </c>
      <c r="B318" s="1" t="s">
        <v>146</v>
      </c>
      <c r="C318" s="1" t="s">
        <v>135</v>
      </c>
      <c r="D318" s="4">
        <v>264.0</v>
      </c>
      <c r="E318" s="4">
        <v>0.0</v>
      </c>
      <c r="F318" s="1" t="s">
        <v>104</v>
      </c>
      <c r="G318" s="1" t="s">
        <v>137</v>
      </c>
      <c r="H318" s="1" t="s">
        <v>138</v>
      </c>
      <c r="I318" s="1" t="s">
        <v>859</v>
      </c>
      <c r="J318" s="1" t="s">
        <v>860</v>
      </c>
      <c r="K318" s="1" t="s">
        <v>860</v>
      </c>
      <c r="M318" s="4">
        <v>-4.0</v>
      </c>
      <c r="O318" s="4">
        <v>10.62925</v>
      </c>
    </row>
    <row r="319">
      <c r="A319" s="191">
        <v>45529.0</v>
      </c>
      <c r="B319" s="1" t="s">
        <v>149</v>
      </c>
      <c r="C319" s="1" t="s">
        <v>166</v>
      </c>
      <c r="D319" s="4">
        <v>462.0</v>
      </c>
      <c r="E319" s="4">
        <v>116.0</v>
      </c>
      <c r="G319" s="1" t="s">
        <v>142</v>
      </c>
      <c r="H319" s="1" t="s">
        <v>138</v>
      </c>
      <c r="I319" s="1" t="s">
        <v>861</v>
      </c>
      <c r="J319" s="1" t="s">
        <v>862</v>
      </c>
      <c r="K319" s="1" t="s">
        <v>862</v>
      </c>
      <c r="M319" s="4">
        <v>-2.0</v>
      </c>
      <c r="O319" s="4">
        <v>17.51215</v>
      </c>
    </row>
    <row r="320">
      <c r="A320" s="191">
        <v>45529.0</v>
      </c>
      <c r="B320" s="1" t="s">
        <v>165</v>
      </c>
      <c r="C320" s="1" t="s">
        <v>166</v>
      </c>
      <c r="D320" s="4">
        <v>788.0</v>
      </c>
      <c r="E320" s="4">
        <v>0.0</v>
      </c>
      <c r="G320" s="1" t="s">
        <v>137</v>
      </c>
      <c r="H320" s="1" t="s">
        <v>138</v>
      </c>
      <c r="I320" s="1" t="s">
        <v>863</v>
      </c>
      <c r="J320" s="1" t="s">
        <v>864</v>
      </c>
      <c r="K320" s="1" t="s">
        <v>864</v>
      </c>
      <c r="M320" s="4">
        <v>2.0</v>
      </c>
      <c r="O320" s="4">
        <v>12.639666666666667</v>
      </c>
    </row>
    <row r="321">
      <c r="A321" s="191">
        <v>45529.0</v>
      </c>
      <c r="B321" s="1" t="s">
        <v>141</v>
      </c>
      <c r="C321" s="1" t="s">
        <v>166</v>
      </c>
      <c r="D321" s="4">
        <v>309.0</v>
      </c>
      <c r="E321" s="4">
        <v>0.0</v>
      </c>
      <c r="G321" s="1" t="s">
        <v>142</v>
      </c>
      <c r="H321" s="1" t="s">
        <v>143</v>
      </c>
      <c r="I321" s="1" t="s">
        <v>865</v>
      </c>
      <c r="J321" s="1" t="s">
        <v>866</v>
      </c>
      <c r="K321" s="1" t="s">
        <v>866</v>
      </c>
      <c r="M321" s="4">
        <v>-1.0</v>
      </c>
      <c r="O321" s="4">
        <v>3.7289166666666667</v>
      </c>
    </row>
    <row r="322">
      <c r="A322" s="191">
        <v>45529.0</v>
      </c>
      <c r="B322" s="1" t="s">
        <v>149</v>
      </c>
      <c r="C322" s="1" t="s">
        <v>166</v>
      </c>
      <c r="D322" s="4">
        <v>458.0</v>
      </c>
      <c r="E322" s="4">
        <v>114.0</v>
      </c>
      <c r="G322" s="1" t="s">
        <v>142</v>
      </c>
      <c r="H322" s="1" t="s">
        <v>232</v>
      </c>
      <c r="I322" s="1" t="s">
        <v>867</v>
      </c>
      <c r="J322" s="1" t="s">
        <v>868</v>
      </c>
      <c r="K322" s="1" t="s">
        <v>868</v>
      </c>
      <c r="M322" s="4">
        <v>0.0</v>
      </c>
      <c r="O322" s="4">
        <v>28.789583333333333</v>
      </c>
    </row>
    <row r="323">
      <c r="A323" s="191">
        <v>45529.0</v>
      </c>
      <c r="B323" s="1" t="s">
        <v>134</v>
      </c>
      <c r="C323" s="1" t="s">
        <v>166</v>
      </c>
      <c r="D323" s="4">
        <v>224.0</v>
      </c>
      <c r="E323" s="4">
        <v>0.0</v>
      </c>
      <c r="F323" s="1" t="s">
        <v>869</v>
      </c>
      <c r="G323" s="1" t="s">
        <v>137</v>
      </c>
      <c r="H323" s="1" t="s">
        <v>138</v>
      </c>
      <c r="I323" s="1" t="s">
        <v>870</v>
      </c>
      <c r="J323" s="1" t="s">
        <v>871</v>
      </c>
      <c r="K323" s="1" t="s">
        <v>871</v>
      </c>
      <c r="M323" s="4">
        <v>-4.0</v>
      </c>
      <c r="O323" s="4">
        <v>10.066316666666667</v>
      </c>
    </row>
    <row r="324">
      <c r="A324" s="191">
        <v>45529.0</v>
      </c>
      <c r="B324" s="1" t="s">
        <v>134</v>
      </c>
      <c r="C324" s="1" t="s">
        <v>166</v>
      </c>
      <c r="D324" s="4">
        <v>278.0</v>
      </c>
      <c r="E324" s="4">
        <v>0.0</v>
      </c>
      <c r="F324" s="1" t="s">
        <v>872</v>
      </c>
      <c r="G324" s="1" t="s">
        <v>137</v>
      </c>
      <c r="H324" s="1" t="s">
        <v>138</v>
      </c>
      <c r="I324" s="1" t="s">
        <v>873</v>
      </c>
      <c r="J324" s="1" t="s">
        <v>874</v>
      </c>
      <c r="K324" s="1" t="s">
        <v>874</v>
      </c>
      <c r="M324" s="4">
        <v>1.0</v>
      </c>
      <c r="O324" s="4">
        <v>16.106016666666665</v>
      </c>
    </row>
    <row r="325">
      <c r="A325" s="191">
        <v>45529.0</v>
      </c>
      <c r="B325" s="1" t="s">
        <v>149</v>
      </c>
      <c r="C325" s="1" t="s">
        <v>135</v>
      </c>
      <c r="D325" s="4">
        <v>555.0</v>
      </c>
      <c r="E325" s="4">
        <v>0.0</v>
      </c>
      <c r="F325" s="1" t="s">
        <v>54</v>
      </c>
      <c r="G325" s="1" t="s">
        <v>150</v>
      </c>
      <c r="H325" s="1" t="s">
        <v>138</v>
      </c>
      <c r="I325" s="1" t="s">
        <v>875</v>
      </c>
      <c r="J325" s="1" t="s">
        <v>876</v>
      </c>
      <c r="K325" s="1" t="s">
        <v>877</v>
      </c>
      <c r="L325" s="1" t="s">
        <v>878</v>
      </c>
      <c r="M325" s="4">
        <v>-4.0</v>
      </c>
      <c r="N325" s="4">
        <v>0.010783333333333334</v>
      </c>
      <c r="O325" s="4">
        <v>22.675583333333332</v>
      </c>
    </row>
    <row r="326">
      <c r="A326" s="191">
        <v>45529.0</v>
      </c>
      <c r="B326" s="1" t="s">
        <v>149</v>
      </c>
      <c r="C326" s="1" t="s">
        <v>135</v>
      </c>
      <c r="D326" s="4">
        <v>1305.0</v>
      </c>
      <c r="E326" s="4">
        <v>0.0</v>
      </c>
      <c r="F326" s="1" t="s">
        <v>104</v>
      </c>
      <c r="G326" s="1" t="s">
        <v>150</v>
      </c>
      <c r="H326" s="1" t="s">
        <v>143</v>
      </c>
      <c r="I326" s="1" t="s">
        <v>879</v>
      </c>
      <c r="J326" s="1" t="s">
        <v>880</v>
      </c>
      <c r="K326" s="1" t="s">
        <v>881</v>
      </c>
      <c r="L326" s="1" t="s">
        <v>882</v>
      </c>
      <c r="M326" s="4">
        <v>-2.0</v>
      </c>
      <c r="N326" s="4">
        <v>13.070983333333333</v>
      </c>
      <c r="O326" s="4">
        <v>18.044933333333333</v>
      </c>
    </row>
    <row r="327">
      <c r="A327" s="191">
        <v>45529.0</v>
      </c>
      <c r="B327" s="1" t="s">
        <v>146</v>
      </c>
      <c r="C327" s="1" t="s">
        <v>135</v>
      </c>
      <c r="D327" s="4">
        <v>356.0</v>
      </c>
      <c r="E327" s="4">
        <v>0.0</v>
      </c>
      <c r="F327" s="1" t="s">
        <v>104</v>
      </c>
      <c r="G327" s="1" t="s">
        <v>137</v>
      </c>
      <c r="H327" s="1" t="s">
        <v>138</v>
      </c>
      <c r="I327" s="1" t="s">
        <v>883</v>
      </c>
      <c r="J327" s="1" t="s">
        <v>884</v>
      </c>
      <c r="K327" s="1" t="s">
        <v>884</v>
      </c>
      <c r="M327" s="4">
        <v>-6.0</v>
      </c>
      <c r="O327" s="4">
        <v>8.23695</v>
      </c>
    </row>
    <row r="328">
      <c r="A328" s="191">
        <v>45529.0</v>
      </c>
      <c r="B328" s="1" t="s">
        <v>146</v>
      </c>
      <c r="C328" s="1" t="s">
        <v>135</v>
      </c>
      <c r="D328" s="4">
        <v>289.0</v>
      </c>
      <c r="E328" s="4">
        <v>0.0</v>
      </c>
      <c r="F328" s="1" t="s">
        <v>104</v>
      </c>
      <c r="G328" s="1" t="s">
        <v>137</v>
      </c>
      <c r="H328" s="1" t="s">
        <v>138</v>
      </c>
      <c r="I328" s="1" t="s">
        <v>885</v>
      </c>
      <c r="J328" s="1" t="s">
        <v>886</v>
      </c>
      <c r="K328" s="1" t="s">
        <v>886</v>
      </c>
      <c r="M328" s="4">
        <v>-9.0</v>
      </c>
      <c r="O328" s="4">
        <v>5.493666666666667</v>
      </c>
    </row>
    <row r="329">
      <c r="A329" s="191">
        <v>45529.0</v>
      </c>
      <c r="B329" s="1" t="s">
        <v>149</v>
      </c>
      <c r="C329" s="1" t="s">
        <v>135</v>
      </c>
      <c r="D329" s="4">
        <v>724.0</v>
      </c>
      <c r="E329" s="4">
        <v>0.0</v>
      </c>
      <c r="F329" s="1" t="s">
        <v>104</v>
      </c>
      <c r="G329" s="1" t="s">
        <v>150</v>
      </c>
      <c r="H329" s="1" t="s">
        <v>138</v>
      </c>
      <c r="I329" s="1" t="s">
        <v>887</v>
      </c>
      <c r="J329" s="1" t="s">
        <v>888</v>
      </c>
      <c r="K329" s="1" t="s">
        <v>889</v>
      </c>
      <c r="L329" s="1" t="s">
        <v>890</v>
      </c>
      <c r="M329" s="4">
        <v>-9.0</v>
      </c>
      <c r="N329" s="4">
        <v>19.96185</v>
      </c>
      <c r="O329" s="4">
        <v>23.260983333333332</v>
      </c>
    </row>
    <row r="330">
      <c r="A330" s="191">
        <v>45529.0</v>
      </c>
      <c r="B330" s="1" t="s">
        <v>149</v>
      </c>
      <c r="C330" s="1" t="s">
        <v>166</v>
      </c>
      <c r="D330" s="4">
        <v>199.0</v>
      </c>
      <c r="E330" s="4">
        <v>50.0</v>
      </c>
      <c r="G330" s="1" t="s">
        <v>142</v>
      </c>
      <c r="H330" s="1" t="s">
        <v>232</v>
      </c>
      <c r="I330" s="1" t="s">
        <v>891</v>
      </c>
      <c r="J330" s="1" t="s">
        <v>892</v>
      </c>
      <c r="K330" s="1" t="s">
        <v>892</v>
      </c>
      <c r="M330" s="4">
        <v>-9.0</v>
      </c>
      <c r="O330" s="4">
        <v>111.92053333333334</v>
      </c>
    </row>
    <row r="331">
      <c r="A331" s="191">
        <v>45529.0</v>
      </c>
      <c r="B331" s="1" t="s">
        <v>149</v>
      </c>
      <c r="C331" s="1" t="s">
        <v>135</v>
      </c>
      <c r="D331" s="4">
        <v>250.0</v>
      </c>
      <c r="E331" s="4">
        <v>0.0</v>
      </c>
      <c r="F331" s="1" t="s">
        <v>54</v>
      </c>
      <c r="G331" s="1" t="s">
        <v>150</v>
      </c>
      <c r="H331" s="1" t="s">
        <v>138</v>
      </c>
      <c r="I331" s="1" t="s">
        <v>893</v>
      </c>
      <c r="J331" s="1" t="s">
        <v>894</v>
      </c>
      <c r="K331" s="1" t="s">
        <v>895</v>
      </c>
      <c r="L331" s="1" t="s">
        <v>896</v>
      </c>
      <c r="M331" s="4">
        <v>-18.0</v>
      </c>
      <c r="N331" s="4">
        <v>0.0156</v>
      </c>
      <c r="O331" s="4">
        <v>94.07465</v>
      </c>
    </row>
    <row r="332">
      <c r="A332" s="191">
        <v>45530.0</v>
      </c>
      <c r="B332" s="1" t="s">
        <v>134</v>
      </c>
      <c r="C332" s="1" t="s">
        <v>166</v>
      </c>
      <c r="D332" s="4">
        <v>346.0</v>
      </c>
      <c r="E332" s="4">
        <v>0.0</v>
      </c>
      <c r="F332" s="1" t="s">
        <v>448</v>
      </c>
      <c r="G332" s="1" t="s">
        <v>137</v>
      </c>
      <c r="H332" s="1" t="s">
        <v>138</v>
      </c>
      <c r="I332" s="1" t="s">
        <v>897</v>
      </c>
      <c r="J332" s="1" t="s">
        <v>898</v>
      </c>
      <c r="K332" s="1" t="s">
        <v>898</v>
      </c>
      <c r="M332" s="4">
        <v>-2.0</v>
      </c>
      <c r="O332" s="4">
        <v>12.424433333333333</v>
      </c>
    </row>
    <row r="333">
      <c r="A333" s="191">
        <v>45530.0</v>
      </c>
      <c r="B333" s="1" t="s">
        <v>134</v>
      </c>
      <c r="C333" s="1" t="s">
        <v>166</v>
      </c>
      <c r="D333" s="4">
        <v>448.0</v>
      </c>
      <c r="E333" s="4">
        <v>0.0</v>
      </c>
      <c r="F333" s="1" t="s">
        <v>899</v>
      </c>
      <c r="G333" s="1" t="s">
        <v>137</v>
      </c>
      <c r="H333" s="1" t="s">
        <v>138</v>
      </c>
      <c r="I333" s="1" t="s">
        <v>900</v>
      </c>
      <c r="J333" s="1" t="s">
        <v>901</v>
      </c>
      <c r="K333" s="1" t="s">
        <v>901</v>
      </c>
      <c r="M333" s="4">
        <v>-7.0</v>
      </c>
      <c r="O333" s="4">
        <v>7.2258</v>
      </c>
    </row>
    <row r="334">
      <c r="A334" s="191">
        <v>45530.0</v>
      </c>
      <c r="B334" s="1" t="s">
        <v>165</v>
      </c>
      <c r="C334" s="1" t="s">
        <v>166</v>
      </c>
      <c r="D334" s="4">
        <v>264.0</v>
      </c>
      <c r="E334" s="4">
        <v>0.0</v>
      </c>
      <c r="G334" s="1" t="s">
        <v>137</v>
      </c>
      <c r="H334" s="1" t="s">
        <v>138</v>
      </c>
      <c r="I334" s="1" t="s">
        <v>902</v>
      </c>
      <c r="J334" s="1" t="s">
        <v>903</v>
      </c>
      <c r="K334" s="1" t="s">
        <v>903</v>
      </c>
      <c r="M334" s="4">
        <v>0.0</v>
      </c>
      <c r="O334" s="4">
        <v>6.494433333333333</v>
      </c>
    </row>
    <row r="335">
      <c r="A335" s="191">
        <v>45530.0</v>
      </c>
      <c r="B335" s="1" t="s">
        <v>165</v>
      </c>
      <c r="C335" s="1" t="s">
        <v>166</v>
      </c>
      <c r="D335" s="4">
        <v>264.0</v>
      </c>
      <c r="E335" s="4">
        <v>0.0</v>
      </c>
      <c r="G335" s="1" t="s">
        <v>137</v>
      </c>
      <c r="H335" s="1" t="s">
        <v>143</v>
      </c>
      <c r="I335" s="1" t="s">
        <v>904</v>
      </c>
      <c r="J335" s="1" t="s">
        <v>905</v>
      </c>
      <c r="K335" s="1" t="s">
        <v>905</v>
      </c>
      <c r="M335" s="4">
        <v>0.0</v>
      </c>
      <c r="O335" s="4">
        <v>7.566866666666667</v>
      </c>
    </row>
    <row r="336">
      <c r="A336" s="191">
        <v>45530.0</v>
      </c>
      <c r="B336" s="1" t="s">
        <v>146</v>
      </c>
      <c r="C336" s="1" t="s">
        <v>135</v>
      </c>
      <c r="D336" s="4">
        <v>378.0</v>
      </c>
      <c r="E336" s="4">
        <v>0.0</v>
      </c>
      <c r="F336" s="1" t="s">
        <v>104</v>
      </c>
      <c r="G336" s="1" t="s">
        <v>137</v>
      </c>
      <c r="H336" s="1" t="s">
        <v>138</v>
      </c>
      <c r="I336" s="1" t="s">
        <v>906</v>
      </c>
      <c r="J336" s="1" t="s">
        <v>907</v>
      </c>
      <c r="K336" s="1" t="s">
        <v>907</v>
      </c>
      <c r="M336" s="4">
        <v>-8.0</v>
      </c>
      <c r="O336" s="4">
        <v>6.29385</v>
      </c>
    </row>
    <row r="337">
      <c r="A337" s="191">
        <v>45530.0</v>
      </c>
      <c r="B337" s="1" t="s">
        <v>146</v>
      </c>
      <c r="C337" s="1" t="s">
        <v>135</v>
      </c>
      <c r="D337" s="4">
        <v>615.0</v>
      </c>
      <c r="E337" s="4">
        <v>0.0</v>
      </c>
      <c r="F337" s="1" t="s">
        <v>104</v>
      </c>
      <c r="G337" s="1" t="s">
        <v>137</v>
      </c>
      <c r="H337" s="1" t="s">
        <v>138</v>
      </c>
      <c r="I337" s="1" t="s">
        <v>908</v>
      </c>
      <c r="J337" s="1" t="s">
        <v>909</v>
      </c>
      <c r="K337" s="1" t="s">
        <v>909</v>
      </c>
      <c r="M337" s="4">
        <v>-10.0</v>
      </c>
      <c r="O337" s="4">
        <v>9.259016666666666</v>
      </c>
    </row>
    <row r="338">
      <c r="A338" s="191">
        <v>45530.0</v>
      </c>
      <c r="B338" s="1" t="s">
        <v>146</v>
      </c>
      <c r="C338" s="1" t="s">
        <v>135</v>
      </c>
      <c r="D338" s="4">
        <v>264.0</v>
      </c>
      <c r="E338" s="4">
        <v>0.0</v>
      </c>
      <c r="F338" s="1" t="s">
        <v>104</v>
      </c>
      <c r="G338" s="1" t="s">
        <v>137</v>
      </c>
      <c r="H338" s="1" t="s">
        <v>138</v>
      </c>
      <c r="I338" s="1" t="s">
        <v>910</v>
      </c>
      <c r="J338" s="1" t="s">
        <v>911</v>
      </c>
      <c r="K338" s="1" t="s">
        <v>911</v>
      </c>
      <c r="M338" s="4">
        <v>-9.0</v>
      </c>
      <c r="O338" s="4">
        <v>5.4241</v>
      </c>
    </row>
    <row r="339">
      <c r="A339" s="191">
        <v>45530.0</v>
      </c>
      <c r="B339" s="1" t="s">
        <v>165</v>
      </c>
      <c r="C339" s="1" t="s">
        <v>166</v>
      </c>
      <c r="D339" s="4">
        <v>218.0</v>
      </c>
      <c r="E339" s="4">
        <v>0.0</v>
      </c>
      <c r="G339" s="1" t="s">
        <v>137</v>
      </c>
      <c r="H339" s="1" t="s">
        <v>138</v>
      </c>
      <c r="I339" s="1" t="s">
        <v>912</v>
      </c>
      <c r="J339" s="1" t="s">
        <v>913</v>
      </c>
      <c r="K339" s="1" t="s">
        <v>913</v>
      </c>
      <c r="M339" s="4">
        <v>0.0</v>
      </c>
      <c r="O339" s="4">
        <v>6.061483333333333</v>
      </c>
    </row>
    <row r="340">
      <c r="A340" s="191">
        <v>45530.0</v>
      </c>
      <c r="B340" s="1" t="s">
        <v>146</v>
      </c>
      <c r="C340" s="1" t="s">
        <v>135</v>
      </c>
      <c r="D340" s="4">
        <v>264.0</v>
      </c>
      <c r="E340" s="4">
        <v>0.0</v>
      </c>
      <c r="F340" s="1" t="s">
        <v>104</v>
      </c>
      <c r="G340" s="1" t="s">
        <v>137</v>
      </c>
      <c r="H340" s="1" t="s">
        <v>138</v>
      </c>
      <c r="I340" s="1" t="s">
        <v>914</v>
      </c>
      <c r="J340" s="1" t="s">
        <v>915</v>
      </c>
      <c r="K340" s="1" t="s">
        <v>915</v>
      </c>
      <c r="M340" s="4">
        <v>-5.0</v>
      </c>
      <c r="O340" s="4">
        <v>9.215366666666666</v>
      </c>
    </row>
    <row r="341">
      <c r="A341" s="191">
        <v>45530.0</v>
      </c>
      <c r="B341" s="1" t="s">
        <v>134</v>
      </c>
      <c r="C341" s="1" t="s">
        <v>166</v>
      </c>
      <c r="D341" s="4">
        <v>364.0</v>
      </c>
      <c r="E341" s="4">
        <v>0.0</v>
      </c>
      <c r="F341" s="1" t="s">
        <v>916</v>
      </c>
      <c r="G341" s="1" t="s">
        <v>137</v>
      </c>
      <c r="H341" s="1" t="s">
        <v>138</v>
      </c>
      <c r="I341" s="1" t="s">
        <v>917</v>
      </c>
      <c r="J341" s="1" t="s">
        <v>918</v>
      </c>
      <c r="K341" s="1" t="s">
        <v>918</v>
      </c>
      <c r="M341" s="4">
        <v>-4.0</v>
      </c>
      <c r="O341" s="4">
        <v>10.561616666666668</v>
      </c>
    </row>
    <row r="342">
      <c r="A342" s="191">
        <v>45530.0</v>
      </c>
      <c r="B342" s="1" t="s">
        <v>149</v>
      </c>
      <c r="C342" s="1" t="s">
        <v>135</v>
      </c>
      <c r="D342" s="4">
        <v>457.0</v>
      </c>
      <c r="E342" s="4">
        <v>50.0</v>
      </c>
      <c r="G342" s="1" t="s">
        <v>142</v>
      </c>
      <c r="H342" s="1" t="s">
        <v>143</v>
      </c>
      <c r="I342" s="1" t="s">
        <v>919</v>
      </c>
      <c r="J342" s="1" t="s">
        <v>920</v>
      </c>
      <c r="K342" s="1" t="s">
        <v>920</v>
      </c>
      <c r="M342" s="4">
        <v>-10.0</v>
      </c>
      <c r="O342" s="4">
        <v>8.85675</v>
      </c>
    </row>
    <row r="343">
      <c r="A343" s="191">
        <v>45530.0</v>
      </c>
      <c r="B343" s="1" t="s">
        <v>134</v>
      </c>
      <c r="C343" s="1" t="s">
        <v>166</v>
      </c>
      <c r="D343" s="4">
        <v>224.0</v>
      </c>
      <c r="E343" s="4">
        <v>0.0</v>
      </c>
      <c r="F343" s="1" t="s">
        <v>916</v>
      </c>
      <c r="G343" s="1" t="s">
        <v>137</v>
      </c>
      <c r="H343" s="1" t="s">
        <v>138</v>
      </c>
      <c r="I343" s="1" t="s">
        <v>921</v>
      </c>
      <c r="J343" s="1" t="s">
        <v>922</v>
      </c>
      <c r="K343" s="1" t="s">
        <v>922</v>
      </c>
      <c r="M343" s="4">
        <v>-8.0</v>
      </c>
      <c r="O343" s="4">
        <v>6.275966666666666</v>
      </c>
    </row>
    <row r="344">
      <c r="A344" s="191">
        <v>45530.0</v>
      </c>
      <c r="B344" s="1" t="s">
        <v>165</v>
      </c>
      <c r="C344" s="1" t="s">
        <v>166</v>
      </c>
      <c r="D344" s="4">
        <v>433.0</v>
      </c>
      <c r="E344" s="4">
        <v>0.0</v>
      </c>
      <c r="G344" s="1" t="s">
        <v>137</v>
      </c>
      <c r="H344" s="1" t="s">
        <v>138</v>
      </c>
      <c r="I344" s="1" t="s">
        <v>923</v>
      </c>
      <c r="J344" s="1" t="s">
        <v>924</v>
      </c>
      <c r="K344" s="1" t="s">
        <v>924</v>
      </c>
      <c r="M344" s="4">
        <v>0.0</v>
      </c>
      <c r="O344" s="4">
        <v>8.929916666666667</v>
      </c>
    </row>
    <row r="345">
      <c r="A345" s="191">
        <v>45530.0</v>
      </c>
      <c r="B345" s="1" t="s">
        <v>149</v>
      </c>
      <c r="C345" s="1" t="s">
        <v>135</v>
      </c>
      <c r="D345" s="4">
        <v>538.0</v>
      </c>
      <c r="E345" s="4">
        <v>50.0</v>
      </c>
      <c r="F345" s="1" t="s">
        <v>65</v>
      </c>
      <c r="G345" s="1" t="s">
        <v>150</v>
      </c>
      <c r="H345" s="1" t="s">
        <v>138</v>
      </c>
      <c r="I345" s="1" t="s">
        <v>925</v>
      </c>
      <c r="J345" s="1" t="s">
        <v>926</v>
      </c>
      <c r="K345" s="1" t="s">
        <v>927</v>
      </c>
      <c r="L345" s="1" t="s">
        <v>928</v>
      </c>
      <c r="M345" s="4">
        <v>-15.0</v>
      </c>
      <c r="N345" s="4">
        <v>0.0123</v>
      </c>
      <c r="O345" s="4">
        <v>15.248766666666667</v>
      </c>
    </row>
    <row r="346">
      <c r="A346" s="191">
        <v>45530.0</v>
      </c>
      <c r="B346" s="1" t="s">
        <v>146</v>
      </c>
      <c r="C346" s="1" t="s">
        <v>135</v>
      </c>
      <c r="D346" s="4">
        <v>394.0</v>
      </c>
      <c r="E346" s="4">
        <v>0.0</v>
      </c>
      <c r="F346" s="1" t="s">
        <v>104</v>
      </c>
      <c r="G346" s="1" t="s">
        <v>137</v>
      </c>
      <c r="H346" s="1" t="s">
        <v>138</v>
      </c>
      <c r="I346" s="1" t="s">
        <v>929</v>
      </c>
      <c r="J346" s="1" t="s">
        <v>930</v>
      </c>
      <c r="K346" s="1" t="s">
        <v>930</v>
      </c>
      <c r="M346" s="4">
        <v>-6.0</v>
      </c>
      <c r="O346" s="4">
        <v>8.07025</v>
      </c>
    </row>
    <row r="347">
      <c r="A347" s="191">
        <v>45530.0</v>
      </c>
      <c r="B347" s="1" t="s">
        <v>141</v>
      </c>
      <c r="C347" s="1" t="s">
        <v>135</v>
      </c>
      <c r="D347" s="4">
        <v>119.0</v>
      </c>
      <c r="E347" s="4">
        <v>0.0</v>
      </c>
      <c r="G347" s="1" t="s">
        <v>142</v>
      </c>
      <c r="H347" s="1" t="s">
        <v>143</v>
      </c>
      <c r="I347" s="1" t="s">
        <v>931</v>
      </c>
      <c r="J347" s="1" t="s">
        <v>932</v>
      </c>
      <c r="K347" s="1" t="s">
        <v>932</v>
      </c>
      <c r="M347" s="4">
        <v>1.0</v>
      </c>
      <c r="O347" s="4">
        <v>6.072</v>
      </c>
    </row>
    <row r="348">
      <c r="A348" s="191">
        <v>45530.0</v>
      </c>
      <c r="B348" s="1" t="s">
        <v>149</v>
      </c>
      <c r="C348" s="1" t="s">
        <v>135</v>
      </c>
      <c r="D348" s="4">
        <v>299.0</v>
      </c>
      <c r="E348" s="4">
        <v>75.0</v>
      </c>
      <c r="G348" s="1" t="s">
        <v>142</v>
      </c>
      <c r="H348" s="1" t="s">
        <v>232</v>
      </c>
      <c r="I348" s="1" t="s">
        <v>933</v>
      </c>
      <c r="J348" s="1" t="s">
        <v>934</v>
      </c>
      <c r="K348" s="1" t="s">
        <v>934</v>
      </c>
      <c r="M348" s="4">
        <v>-8.0</v>
      </c>
      <c r="O348" s="4">
        <v>11.684633333333334</v>
      </c>
    </row>
    <row r="349">
      <c r="A349" s="191">
        <v>45530.0</v>
      </c>
      <c r="B349" s="1" t="s">
        <v>146</v>
      </c>
      <c r="C349" s="1" t="s">
        <v>135</v>
      </c>
      <c r="D349" s="4">
        <v>447.0</v>
      </c>
      <c r="E349" s="4">
        <v>0.0</v>
      </c>
      <c r="F349" s="1" t="s">
        <v>104</v>
      </c>
      <c r="G349" s="1" t="s">
        <v>137</v>
      </c>
      <c r="H349" s="1" t="s">
        <v>138</v>
      </c>
      <c r="I349" s="1" t="s">
        <v>935</v>
      </c>
      <c r="J349" s="1" t="s">
        <v>936</v>
      </c>
      <c r="K349" s="1" t="s">
        <v>936</v>
      </c>
      <c r="M349" s="4">
        <v>-5.0</v>
      </c>
      <c r="O349" s="4">
        <v>9.84475</v>
      </c>
    </row>
    <row r="350">
      <c r="A350" s="191">
        <v>45530.0</v>
      </c>
      <c r="B350" s="1" t="s">
        <v>146</v>
      </c>
      <c r="C350" s="1" t="s">
        <v>135</v>
      </c>
      <c r="D350" s="4">
        <v>264.0</v>
      </c>
      <c r="E350" s="4">
        <v>0.0</v>
      </c>
      <c r="F350" s="1" t="s">
        <v>104</v>
      </c>
      <c r="G350" s="1" t="s">
        <v>137</v>
      </c>
      <c r="H350" s="1" t="s">
        <v>138</v>
      </c>
      <c r="I350" s="1" t="s">
        <v>937</v>
      </c>
      <c r="J350" s="1" t="s">
        <v>938</v>
      </c>
      <c r="K350" s="1" t="s">
        <v>938</v>
      </c>
      <c r="M350" s="4">
        <v>-6.0</v>
      </c>
      <c r="O350" s="4">
        <v>10.003566666666666</v>
      </c>
    </row>
    <row r="351">
      <c r="A351" s="191">
        <v>45530.0</v>
      </c>
      <c r="B351" s="1" t="s">
        <v>165</v>
      </c>
      <c r="C351" s="1" t="s">
        <v>166</v>
      </c>
      <c r="D351" s="4">
        <v>388.0</v>
      </c>
      <c r="E351" s="4">
        <v>0.0</v>
      </c>
      <c r="G351" s="1" t="s">
        <v>137</v>
      </c>
      <c r="H351" s="1" t="s">
        <v>138</v>
      </c>
      <c r="I351" s="1" t="s">
        <v>939</v>
      </c>
      <c r="J351" s="1" t="s">
        <v>940</v>
      </c>
      <c r="K351" s="1" t="s">
        <v>940</v>
      </c>
      <c r="M351" s="4">
        <v>0.0</v>
      </c>
      <c r="O351" s="4">
        <v>7.652733333333333</v>
      </c>
    </row>
    <row r="352">
      <c r="A352" s="191">
        <v>45530.0</v>
      </c>
      <c r="B352" s="1" t="s">
        <v>134</v>
      </c>
      <c r="C352" s="1" t="s">
        <v>166</v>
      </c>
      <c r="D352" s="4">
        <v>393.0</v>
      </c>
      <c r="E352" s="4">
        <v>0.0</v>
      </c>
      <c r="F352" s="1" t="s">
        <v>941</v>
      </c>
      <c r="G352" s="1" t="s">
        <v>137</v>
      </c>
      <c r="H352" s="1" t="s">
        <v>138</v>
      </c>
      <c r="I352" s="1" t="s">
        <v>942</v>
      </c>
      <c r="J352" s="1" t="s">
        <v>943</v>
      </c>
      <c r="K352" s="1" t="s">
        <v>943</v>
      </c>
      <c r="M352" s="4">
        <v>-4.0</v>
      </c>
      <c r="O352" s="4">
        <v>10.8126</v>
      </c>
    </row>
    <row r="353">
      <c r="A353" s="191">
        <v>45530.0</v>
      </c>
      <c r="B353" s="1" t="s">
        <v>134</v>
      </c>
      <c r="C353" s="1" t="s">
        <v>166</v>
      </c>
      <c r="D353" s="4">
        <v>264.0</v>
      </c>
      <c r="E353" s="4">
        <v>0.0</v>
      </c>
      <c r="F353" s="1" t="s">
        <v>941</v>
      </c>
      <c r="G353" s="1" t="s">
        <v>137</v>
      </c>
      <c r="H353" s="1" t="s">
        <v>138</v>
      </c>
      <c r="I353" s="1" t="s">
        <v>944</v>
      </c>
      <c r="J353" s="1" t="s">
        <v>945</v>
      </c>
      <c r="K353" s="1" t="s">
        <v>945</v>
      </c>
      <c r="M353" s="4">
        <v>-7.0</v>
      </c>
      <c r="O353" s="4">
        <v>7.650933333333334</v>
      </c>
    </row>
    <row r="354">
      <c r="A354" s="191">
        <v>45530.0</v>
      </c>
      <c r="B354" s="1" t="s">
        <v>141</v>
      </c>
      <c r="C354" s="1" t="s">
        <v>135</v>
      </c>
      <c r="D354" s="4">
        <v>49.0</v>
      </c>
      <c r="E354" s="4">
        <v>0.0</v>
      </c>
      <c r="G354" s="1" t="s">
        <v>142</v>
      </c>
      <c r="H354" s="1" t="s">
        <v>143</v>
      </c>
      <c r="I354" s="1" t="s">
        <v>946</v>
      </c>
      <c r="J354" s="1" t="s">
        <v>947</v>
      </c>
      <c r="K354" s="1" t="s">
        <v>947</v>
      </c>
      <c r="M354" s="4">
        <v>-4.0</v>
      </c>
      <c r="O354" s="4">
        <v>0.4311</v>
      </c>
    </row>
    <row r="355">
      <c r="A355" s="191">
        <v>45530.0</v>
      </c>
      <c r="B355" s="1" t="s">
        <v>149</v>
      </c>
      <c r="C355" s="1" t="s">
        <v>135</v>
      </c>
      <c r="D355" s="4">
        <v>443.0</v>
      </c>
      <c r="E355" s="4">
        <v>0.0</v>
      </c>
      <c r="F355" s="1" t="s">
        <v>65</v>
      </c>
      <c r="G355" s="1" t="s">
        <v>150</v>
      </c>
      <c r="H355" s="1" t="s">
        <v>143</v>
      </c>
      <c r="I355" s="1" t="s">
        <v>948</v>
      </c>
      <c r="J355" s="1" t="s">
        <v>949</v>
      </c>
      <c r="K355" s="1" t="s">
        <v>950</v>
      </c>
      <c r="L355" s="1" t="s">
        <v>951</v>
      </c>
      <c r="M355" s="4">
        <v>-2.0</v>
      </c>
      <c r="N355" s="4">
        <v>0.00905</v>
      </c>
      <c r="O355" s="4">
        <v>9.07295</v>
      </c>
    </row>
    <row r="356">
      <c r="A356" s="191">
        <v>45530.0</v>
      </c>
      <c r="B356" s="1" t="s">
        <v>149</v>
      </c>
      <c r="C356" s="1" t="s">
        <v>135</v>
      </c>
      <c r="D356" s="4">
        <v>448.0</v>
      </c>
      <c r="E356" s="4">
        <v>0.0</v>
      </c>
      <c r="F356" s="1" t="s">
        <v>65</v>
      </c>
      <c r="G356" s="1" t="s">
        <v>150</v>
      </c>
      <c r="H356" s="1" t="s">
        <v>143</v>
      </c>
      <c r="I356" s="1" t="s">
        <v>952</v>
      </c>
      <c r="J356" s="1" t="s">
        <v>953</v>
      </c>
      <c r="K356" s="1" t="s">
        <v>954</v>
      </c>
      <c r="L356" s="1" t="s">
        <v>955</v>
      </c>
      <c r="M356" s="4">
        <v>-5.0</v>
      </c>
      <c r="N356" s="4">
        <v>0.009183333333333333</v>
      </c>
      <c r="O356" s="4">
        <v>6.15265</v>
      </c>
    </row>
    <row r="357">
      <c r="A357" s="191">
        <v>45530.0</v>
      </c>
      <c r="B357" s="1" t="s">
        <v>146</v>
      </c>
      <c r="C357" s="1" t="s">
        <v>135</v>
      </c>
      <c r="D357" s="4">
        <v>264.0</v>
      </c>
      <c r="E357" s="4">
        <v>0.0</v>
      </c>
      <c r="F357" s="1" t="s">
        <v>104</v>
      </c>
      <c r="G357" s="1" t="s">
        <v>137</v>
      </c>
      <c r="H357" s="1" t="s">
        <v>138</v>
      </c>
      <c r="I357" s="1" t="s">
        <v>956</v>
      </c>
      <c r="J357" s="1" t="s">
        <v>957</v>
      </c>
      <c r="K357" s="1" t="s">
        <v>957</v>
      </c>
      <c r="M357" s="4">
        <v>-25.0</v>
      </c>
      <c r="O357" s="4">
        <v>7.027716666666667</v>
      </c>
    </row>
    <row r="358">
      <c r="A358" s="191">
        <v>45530.0</v>
      </c>
      <c r="B358" s="1" t="s">
        <v>146</v>
      </c>
      <c r="C358" s="1" t="s">
        <v>135</v>
      </c>
      <c r="D358" s="4">
        <v>264.0</v>
      </c>
      <c r="E358" s="4">
        <v>0.0</v>
      </c>
      <c r="F358" s="1" t="s">
        <v>104</v>
      </c>
      <c r="G358" s="1" t="s">
        <v>137</v>
      </c>
      <c r="H358" s="1" t="s">
        <v>138</v>
      </c>
      <c r="I358" s="1" t="s">
        <v>958</v>
      </c>
      <c r="J358" s="1" t="s">
        <v>959</v>
      </c>
      <c r="K358" s="1" t="s">
        <v>959</v>
      </c>
      <c r="M358" s="4">
        <v>-6.0</v>
      </c>
      <c r="O358" s="4">
        <v>8.277383333333333</v>
      </c>
    </row>
    <row r="359">
      <c r="A359" s="191">
        <v>45530.0</v>
      </c>
      <c r="B359" s="1" t="s">
        <v>165</v>
      </c>
      <c r="C359" s="1" t="s">
        <v>166</v>
      </c>
      <c r="D359" s="4">
        <v>530.0</v>
      </c>
      <c r="E359" s="4">
        <v>0.0</v>
      </c>
      <c r="G359" s="1" t="s">
        <v>137</v>
      </c>
      <c r="H359" s="1" t="s">
        <v>138</v>
      </c>
      <c r="I359" s="1" t="s">
        <v>960</v>
      </c>
      <c r="J359" s="1" t="s">
        <v>961</v>
      </c>
      <c r="K359" s="1" t="s">
        <v>961</v>
      </c>
      <c r="M359" s="4">
        <v>2.0</v>
      </c>
      <c r="O359" s="4">
        <v>11.651216666666667</v>
      </c>
    </row>
    <row r="360">
      <c r="A360" s="191">
        <v>45530.0</v>
      </c>
      <c r="B360" s="1" t="s">
        <v>146</v>
      </c>
      <c r="C360" s="1" t="s">
        <v>135</v>
      </c>
      <c r="D360" s="4">
        <v>299.0</v>
      </c>
      <c r="E360" s="4">
        <v>0.0</v>
      </c>
      <c r="F360" s="1" t="s">
        <v>104</v>
      </c>
      <c r="G360" s="1" t="s">
        <v>137</v>
      </c>
      <c r="H360" s="1" t="s">
        <v>138</v>
      </c>
      <c r="I360" s="1" t="s">
        <v>962</v>
      </c>
      <c r="J360" s="1" t="s">
        <v>963</v>
      </c>
      <c r="K360" s="1" t="s">
        <v>963</v>
      </c>
      <c r="M360" s="4">
        <v>-8.0</v>
      </c>
      <c r="O360" s="4">
        <v>6.000933333333333</v>
      </c>
    </row>
    <row r="361">
      <c r="A361" s="191">
        <v>45530.0</v>
      </c>
      <c r="B361" s="1" t="s">
        <v>146</v>
      </c>
      <c r="C361" s="1" t="s">
        <v>135</v>
      </c>
      <c r="D361" s="4">
        <v>264.0</v>
      </c>
      <c r="E361" s="4">
        <v>0.0</v>
      </c>
      <c r="F361" s="1" t="s">
        <v>104</v>
      </c>
      <c r="G361" s="1" t="s">
        <v>137</v>
      </c>
      <c r="H361" s="1" t="s">
        <v>138</v>
      </c>
      <c r="I361" s="1" t="s">
        <v>964</v>
      </c>
      <c r="J361" s="1" t="s">
        <v>965</v>
      </c>
      <c r="K361" s="1" t="s">
        <v>965</v>
      </c>
      <c r="M361" s="4">
        <v>-5.0</v>
      </c>
      <c r="O361" s="4">
        <v>9.029733333333333</v>
      </c>
    </row>
    <row r="362">
      <c r="A362" s="191">
        <v>45530.0</v>
      </c>
      <c r="B362" s="1" t="s">
        <v>149</v>
      </c>
      <c r="C362" s="1" t="s">
        <v>135</v>
      </c>
      <c r="D362" s="4">
        <v>247.0</v>
      </c>
      <c r="E362" s="4">
        <v>62.0</v>
      </c>
      <c r="G362" s="1" t="s">
        <v>142</v>
      </c>
      <c r="H362" s="1" t="s">
        <v>138</v>
      </c>
      <c r="I362" s="1" t="s">
        <v>966</v>
      </c>
      <c r="J362" s="1" t="s">
        <v>967</v>
      </c>
      <c r="K362" s="1" t="s">
        <v>967</v>
      </c>
      <c r="M362" s="4">
        <v>-8.0</v>
      </c>
      <c r="O362" s="4">
        <v>10.811333333333334</v>
      </c>
    </row>
    <row r="363">
      <c r="A363" s="191">
        <v>45530.0</v>
      </c>
      <c r="B363" s="1" t="s">
        <v>165</v>
      </c>
      <c r="C363" s="1" t="s">
        <v>166</v>
      </c>
      <c r="D363" s="4">
        <v>922.0</v>
      </c>
      <c r="E363" s="4">
        <v>0.0</v>
      </c>
      <c r="G363" s="1" t="s">
        <v>137</v>
      </c>
      <c r="H363" s="1" t="s">
        <v>138</v>
      </c>
      <c r="I363" s="1" t="s">
        <v>968</v>
      </c>
      <c r="J363" s="1" t="s">
        <v>969</v>
      </c>
      <c r="K363" s="1" t="s">
        <v>969</v>
      </c>
      <c r="M363" s="4">
        <v>-1.0</v>
      </c>
      <c r="O363" s="4">
        <v>10.409633333333334</v>
      </c>
    </row>
    <row r="364">
      <c r="A364" s="191">
        <v>45530.0</v>
      </c>
      <c r="B364" s="1" t="s">
        <v>165</v>
      </c>
      <c r="C364" s="1" t="s">
        <v>166</v>
      </c>
      <c r="D364" s="4">
        <v>329.0</v>
      </c>
      <c r="E364" s="4">
        <v>0.0</v>
      </c>
      <c r="G364" s="1" t="s">
        <v>137</v>
      </c>
      <c r="H364" s="1" t="s">
        <v>138</v>
      </c>
      <c r="I364" s="1" t="s">
        <v>970</v>
      </c>
      <c r="J364" s="1" t="s">
        <v>971</v>
      </c>
      <c r="K364" s="1" t="s">
        <v>971</v>
      </c>
      <c r="M364" s="4">
        <v>2.0</v>
      </c>
      <c r="O364" s="4">
        <v>10.6623</v>
      </c>
    </row>
    <row r="365">
      <c r="A365" s="191">
        <v>45530.0</v>
      </c>
      <c r="B365" s="1" t="s">
        <v>165</v>
      </c>
      <c r="C365" s="1" t="s">
        <v>166</v>
      </c>
      <c r="D365" s="4">
        <v>378.0</v>
      </c>
      <c r="E365" s="4">
        <v>0.0</v>
      </c>
      <c r="G365" s="1" t="s">
        <v>137</v>
      </c>
      <c r="H365" s="1" t="s">
        <v>138</v>
      </c>
      <c r="I365" s="1" t="s">
        <v>972</v>
      </c>
      <c r="J365" s="1" t="s">
        <v>973</v>
      </c>
      <c r="K365" s="1" t="s">
        <v>973</v>
      </c>
      <c r="M365" s="4">
        <v>0.0</v>
      </c>
      <c r="O365" s="4">
        <v>8.399733333333334</v>
      </c>
    </row>
    <row r="366">
      <c r="A366" s="191">
        <v>45530.0</v>
      </c>
      <c r="B366" s="1" t="s">
        <v>165</v>
      </c>
      <c r="C366" s="1" t="s">
        <v>166</v>
      </c>
      <c r="D366" s="4">
        <v>394.0</v>
      </c>
      <c r="E366" s="4">
        <v>0.0</v>
      </c>
      <c r="G366" s="1" t="s">
        <v>137</v>
      </c>
      <c r="H366" s="1" t="s">
        <v>138</v>
      </c>
      <c r="I366" s="1" t="s">
        <v>974</v>
      </c>
      <c r="J366" s="1" t="s">
        <v>975</v>
      </c>
      <c r="K366" s="1" t="s">
        <v>975</v>
      </c>
      <c r="M366" s="4">
        <v>1.0</v>
      </c>
      <c r="O366" s="4">
        <v>10.3823</v>
      </c>
    </row>
    <row r="367">
      <c r="A367" s="191">
        <v>45530.0</v>
      </c>
      <c r="B367" s="1" t="s">
        <v>146</v>
      </c>
      <c r="C367" s="1" t="s">
        <v>135</v>
      </c>
      <c r="D367" s="4">
        <v>264.0</v>
      </c>
      <c r="E367" s="4">
        <v>0.0</v>
      </c>
      <c r="F367" s="1" t="s">
        <v>104</v>
      </c>
      <c r="G367" s="1" t="s">
        <v>137</v>
      </c>
      <c r="H367" s="1" t="s">
        <v>138</v>
      </c>
      <c r="I367" s="1" t="s">
        <v>976</v>
      </c>
      <c r="J367" s="1" t="s">
        <v>977</v>
      </c>
      <c r="K367" s="1" t="s">
        <v>977</v>
      </c>
      <c r="M367" s="4">
        <v>-9.0</v>
      </c>
      <c r="O367" s="4">
        <v>5.40025</v>
      </c>
    </row>
    <row r="368">
      <c r="A368" s="191">
        <v>45530.0</v>
      </c>
      <c r="B368" s="1" t="s">
        <v>141</v>
      </c>
      <c r="C368" s="1" t="s">
        <v>135</v>
      </c>
      <c r="D368" s="4">
        <v>249.0</v>
      </c>
      <c r="E368" s="4">
        <v>0.0</v>
      </c>
      <c r="G368" s="1" t="s">
        <v>142</v>
      </c>
      <c r="H368" s="1" t="s">
        <v>143</v>
      </c>
      <c r="I368" s="1" t="s">
        <v>978</v>
      </c>
      <c r="J368" s="1" t="s">
        <v>979</v>
      </c>
      <c r="K368" s="1" t="s">
        <v>979</v>
      </c>
      <c r="M368" s="4">
        <v>1.0</v>
      </c>
      <c r="O368" s="4">
        <v>6.37805</v>
      </c>
    </row>
    <row r="369">
      <c r="A369" s="191">
        <v>45530.0</v>
      </c>
      <c r="B369" s="1" t="s">
        <v>149</v>
      </c>
      <c r="C369" s="1" t="s">
        <v>135</v>
      </c>
      <c r="D369" s="4">
        <v>247.0</v>
      </c>
      <c r="E369" s="4">
        <v>62.0</v>
      </c>
      <c r="G369" s="1" t="s">
        <v>142</v>
      </c>
      <c r="H369" s="1" t="s">
        <v>143</v>
      </c>
      <c r="I369" s="1" t="s">
        <v>980</v>
      </c>
      <c r="J369" s="1" t="s">
        <v>981</v>
      </c>
      <c r="K369" s="1" t="s">
        <v>981</v>
      </c>
      <c r="M369" s="4">
        <v>-20.0</v>
      </c>
      <c r="O369" s="4">
        <v>6.25475</v>
      </c>
    </row>
    <row r="370">
      <c r="A370" s="191">
        <v>45530.0</v>
      </c>
      <c r="B370" s="1" t="s">
        <v>165</v>
      </c>
      <c r="C370" s="1" t="s">
        <v>166</v>
      </c>
      <c r="D370" s="4">
        <v>264.0</v>
      </c>
      <c r="E370" s="4">
        <v>0.0</v>
      </c>
      <c r="G370" s="1" t="s">
        <v>137</v>
      </c>
      <c r="H370" s="1" t="s">
        <v>138</v>
      </c>
      <c r="I370" s="1" t="s">
        <v>982</v>
      </c>
      <c r="J370" s="1" t="s">
        <v>983</v>
      </c>
      <c r="K370" s="1" t="s">
        <v>983</v>
      </c>
      <c r="M370" s="4">
        <v>1.0</v>
      </c>
      <c r="O370" s="4">
        <v>9.022783333333333</v>
      </c>
    </row>
    <row r="371">
      <c r="A371" s="191">
        <v>45530.0</v>
      </c>
      <c r="B371" s="1" t="s">
        <v>165</v>
      </c>
      <c r="C371" s="1" t="s">
        <v>166</v>
      </c>
      <c r="D371" s="4">
        <v>658.0</v>
      </c>
      <c r="E371" s="4">
        <v>0.0</v>
      </c>
      <c r="G371" s="1" t="s">
        <v>137</v>
      </c>
      <c r="H371" s="1" t="s">
        <v>143</v>
      </c>
      <c r="I371" s="1" t="s">
        <v>984</v>
      </c>
      <c r="J371" s="1" t="s">
        <v>985</v>
      </c>
      <c r="K371" s="1" t="s">
        <v>985</v>
      </c>
      <c r="M371" s="4">
        <v>2.0</v>
      </c>
      <c r="O371" s="4">
        <v>11.6677</v>
      </c>
    </row>
    <row r="372">
      <c r="A372" s="191">
        <v>45530.0</v>
      </c>
      <c r="B372" s="1" t="s">
        <v>165</v>
      </c>
      <c r="C372" s="1" t="s">
        <v>166</v>
      </c>
      <c r="D372" s="4">
        <v>528.0</v>
      </c>
      <c r="E372" s="4">
        <v>0.0</v>
      </c>
      <c r="G372" s="1" t="s">
        <v>137</v>
      </c>
      <c r="H372" s="1" t="s">
        <v>143</v>
      </c>
      <c r="I372" s="1" t="s">
        <v>986</v>
      </c>
      <c r="J372" s="1" t="s">
        <v>987</v>
      </c>
      <c r="K372" s="1" t="s">
        <v>987</v>
      </c>
      <c r="M372" s="4">
        <v>-1.0</v>
      </c>
      <c r="O372" s="4">
        <v>7.984816666666666</v>
      </c>
    </row>
    <row r="373">
      <c r="A373" s="191">
        <v>45530.0</v>
      </c>
      <c r="B373" s="1" t="s">
        <v>146</v>
      </c>
      <c r="C373" s="1" t="s">
        <v>135</v>
      </c>
      <c r="D373" s="4">
        <v>595.0</v>
      </c>
      <c r="E373" s="4">
        <v>0.0</v>
      </c>
      <c r="F373" s="1" t="s">
        <v>104</v>
      </c>
      <c r="G373" s="1" t="s">
        <v>137</v>
      </c>
      <c r="H373" s="1" t="s">
        <v>138</v>
      </c>
      <c r="I373" s="1" t="s">
        <v>988</v>
      </c>
      <c r="J373" s="1" t="s">
        <v>989</v>
      </c>
      <c r="K373" s="1" t="s">
        <v>989</v>
      </c>
      <c r="M373" s="4">
        <v>-12.0</v>
      </c>
      <c r="O373" s="4">
        <v>7.6392</v>
      </c>
    </row>
    <row r="374">
      <c r="A374" s="191">
        <v>45530.0</v>
      </c>
      <c r="B374" s="1" t="s">
        <v>165</v>
      </c>
      <c r="C374" s="1" t="s">
        <v>166</v>
      </c>
      <c r="D374" s="4">
        <v>528.0</v>
      </c>
      <c r="E374" s="4">
        <v>0.0</v>
      </c>
      <c r="G374" s="1" t="s">
        <v>137</v>
      </c>
      <c r="H374" s="1" t="s">
        <v>138</v>
      </c>
      <c r="I374" s="1" t="s">
        <v>990</v>
      </c>
      <c r="J374" s="1" t="s">
        <v>991</v>
      </c>
      <c r="K374" s="1" t="s">
        <v>991</v>
      </c>
      <c r="M374" s="4">
        <v>0.0</v>
      </c>
      <c r="O374" s="4">
        <v>8.11395</v>
      </c>
    </row>
    <row r="375">
      <c r="A375" s="191">
        <v>45530.0</v>
      </c>
      <c r="B375" s="1" t="s">
        <v>165</v>
      </c>
      <c r="C375" s="1" t="s">
        <v>166</v>
      </c>
      <c r="D375" s="4">
        <v>602.0</v>
      </c>
      <c r="E375" s="4">
        <v>0.0</v>
      </c>
      <c r="G375" s="1" t="s">
        <v>137</v>
      </c>
      <c r="H375" s="1" t="s">
        <v>138</v>
      </c>
      <c r="I375" s="1" t="s">
        <v>992</v>
      </c>
      <c r="J375" s="1" t="s">
        <v>993</v>
      </c>
      <c r="K375" s="1" t="s">
        <v>993</v>
      </c>
      <c r="M375" s="4">
        <v>-1.0</v>
      </c>
      <c r="O375" s="4">
        <v>7.0641</v>
      </c>
    </row>
    <row r="376">
      <c r="A376" s="191">
        <v>45530.0</v>
      </c>
      <c r="B376" s="1" t="s">
        <v>146</v>
      </c>
      <c r="C376" s="1" t="s">
        <v>135</v>
      </c>
      <c r="D376" s="4">
        <v>281.0</v>
      </c>
      <c r="E376" s="4">
        <v>0.0</v>
      </c>
      <c r="F376" s="1" t="s">
        <v>104</v>
      </c>
      <c r="G376" s="1" t="s">
        <v>137</v>
      </c>
      <c r="H376" s="1" t="s">
        <v>138</v>
      </c>
      <c r="I376" s="1" t="s">
        <v>994</v>
      </c>
      <c r="J376" s="1" t="s">
        <v>995</v>
      </c>
      <c r="K376" s="1" t="s">
        <v>995</v>
      </c>
      <c r="M376" s="4">
        <v>-12.0</v>
      </c>
      <c r="O376" s="4">
        <v>2.69725</v>
      </c>
    </row>
    <row r="377">
      <c r="A377" s="191">
        <v>45530.0</v>
      </c>
      <c r="B377" s="1" t="s">
        <v>165</v>
      </c>
      <c r="C377" s="1" t="s">
        <v>166</v>
      </c>
      <c r="D377" s="4">
        <v>583.0</v>
      </c>
      <c r="E377" s="4">
        <v>0.0</v>
      </c>
      <c r="G377" s="1" t="s">
        <v>137</v>
      </c>
      <c r="H377" s="1" t="s">
        <v>138</v>
      </c>
      <c r="I377" s="1" t="s">
        <v>996</v>
      </c>
      <c r="J377" s="1" t="s">
        <v>997</v>
      </c>
      <c r="K377" s="1" t="s">
        <v>997</v>
      </c>
      <c r="M377" s="4">
        <v>2.0</v>
      </c>
      <c r="O377" s="4">
        <v>11.792116666666667</v>
      </c>
    </row>
    <row r="378">
      <c r="A378" s="191">
        <v>45530.0</v>
      </c>
      <c r="B378" s="1" t="s">
        <v>146</v>
      </c>
      <c r="C378" s="1" t="s">
        <v>135</v>
      </c>
      <c r="D378" s="4">
        <v>602.0</v>
      </c>
      <c r="E378" s="4">
        <v>0.0</v>
      </c>
      <c r="F378" s="1" t="s">
        <v>104</v>
      </c>
      <c r="G378" s="1" t="s">
        <v>137</v>
      </c>
      <c r="H378" s="1" t="s">
        <v>138</v>
      </c>
      <c r="I378" s="1" t="s">
        <v>998</v>
      </c>
      <c r="J378" s="1" t="s">
        <v>999</v>
      </c>
      <c r="K378" s="1" t="s">
        <v>999</v>
      </c>
      <c r="M378" s="4">
        <v>-12.0</v>
      </c>
      <c r="O378" s="4">
        <v>7.788566666666667</v>
      </c>
    </row>
    <row r="379">
      <c r="A379" s="191">
        <v>45530.0</v>
      </c>
      <c r="B379" s="1" t="s">
        <v>149</v>
      </c>
      <c r="C379" s="1" t="s">
        <v>135</v>
      </c>
      <c r="D379" s="4">
        <v>612.0</v>
      </c>
      <c r="E379" s="4">
        <v>0.0</v>
      </c>
      <c r="F379" s="1" t="s">
        <v>104</v>
      </c>
      <c r="G379" s="1" t="s">
        <v>150</v>
      </c>
      <c r="H379" s="1" t="s">
        <v>143</v>
      </c>
      <c r="I379" s="1" t="s">
        <v>1000</v>
      </c>
      <c r="J379" s="1" t="s">
        <v>1001</v>
      </c>
      <c r="K379" s="1" t="s">
        <v>1002</v>
      </c>
      <c r="L379" s="1" t="s">
        <v>1003</v>
      </c>
      <c r="M379" s="4">
        <v>-3.0</v>
      </c>
      <c r="N379" s="4">
        <v>2.9113333333333333</v>
      </c>
      <c r="O379" s="4">
        <v>9.6009</v>
      </c>
    </row>
    <row r="380">
      <c r="A380" s="191">
        <v>45530.0</v>
      </c>
      <c r="B380" s="1" t="s">
        <v>149</v>
      </c>
      <c r="C380" s="1" t="s">
        <v>135</v>
      </c>
      <c r="D380" s="4">
        <v>119.0</v>
      </c>
      <c r="E380" s="4">
        <v>0.0</v>
      </c>
      <c r="G380" s="1" t="s">
        <v>142</v>
      </c>
      <c r="H380" s="1" t="s">
        <v>232</v>
      </c>
      <c r="I380" s="1" t="s">
        <v>1004</v>
      </c>
      <c r="J380" s="1" t="s">
        <v>1005</v>
      </c>
      <c r="K380" s="1" t="s">
        <v>1005</v>
      </c>
      <c r="M380" s="4">
        <v>-7.0</v>
      </c>
      <c r="O380" s="4">
        <v>11.495633333333334</v>
      </c>
    </row>
    <row r="381">
      <c r="A381" s="191">
        <v>45530.0</v>
      </c>
      <c r="B381" s="1" t="s">
        <v>146</v>
      </c>
      <c r="C381" s="1" t="s">
        <v>135</v>
      </c>
      <c r="D381" s="4">
        <v>264.0</v>
      </c>
      <c r="E381" s="4">
        <v>0.0</v>
      </c>
      <c r="F381" s="1" t="s">
        <v>104</v>
      </c>
      <c r="G381" s="1" t="s">
        <v>137</v>
      </c>
      <c r="H381" s="1" t="s">
        <v>138</v>
      </c>
      <c r="I381" s="1" t="s">
        <v>1006</v>
      </c>
      <c r="J381" s="1" t="s">
        <v>1007</v>
      </c>
      <c r="K381" s="1" t="s">
        <v>1007</v>
      </c>
      <c r="M381" s="4">
        <v>-9.0</v>
      </c>
      <c r="O381" s="4">
        <v>5.77805</v>
      </c>
    </row>
    <row r="382">
      <c r="A382" s="191">
        <v>45530.0</v>
      </c>
      <c r="B382" s="1" t="s">
        <v>149</v>
      </c>
      <c r="C382" s="1" t="s">
        <v>135</v>
      </c>
      <c r="D382" s="4">
        <v>1006.0</v>
      </c>
      <c r="E382" s="4">
        <v>0.0</v>
      </c>
      <c r="F382" s="1" t="s">
        <v>65</v>
      </c>
      <c r="G382" s="1" t="s">
        <v>150</v>
      </c>
      <c r="H382" s="1" t="s">
        <v>138</v>
      </c>
      <c r="I382" s="1" t="s">
        <v>1008</v>
      </c>
      <c r="J382" s="1" t="s">
        <v>1009</v>
      </c>
      <c r="K382" s="1" t="s">
        <v>1010</v>
      </c>
      <c r="L382" s="1" t="s">
        <v>1011</v>
      </c>
      <c r="M382" s="4">
        <v>1.0</v>
      </c>
      <c r="N382" s="4">
        <v>0.011783333333333333</v>
      </c>
      <c r="O382" s="4">
        <v>14.9928</v>
      </c>
    </row>
    <row r="383">
      <c r="A383" s="191">
        <v>45530.0</v>
      </c>
      <c r="B383" s="1" t="s">
        <v>134</v>
      </c>
      <c r="C383" s="1" t="s">
        <v>166</v>
      </c>
      <c r="D383" s="4">
        <v>313.0</v>
      </c>
      <c r="E383" s="4">
        <v>0.0</v>
      </c>
      <c r="F383" s="1" t="s">
        <v>1012</v>
      </c>
      <c r="G383" s="1" t="s">
        <v>137</v>
      </c>
      <c r="H383" s="1" t="s">
        <v>138</v>
      </c>
      <c r="I383" s="1" t="s">
        <v>1013</v>
      </c>
      <c r="J383" s="1" t="s">
        <v>1014</v>
      </c>
      <c r="K383" s="1" t="s">
        <v>1014</v>
      </c>
      <c r="M383" s="4">
        <v>-8.0</v>
      </c>
      <c r="O383" s="4">
        <v>6.14275</v>
      </c>
    </row>
    <row r="384">
      <c r="A384" s="191">
        <v>45530.0</v>
      </c>
      <c r="B384" s="1" t="s">
        <v>165</v>
      </c>
      <c r="C384" s="1" t="s">
        <v>166</v>
      </c>
      <c r="D384" s="4">
        <v>364.0</v>
      </c>
      <c r="E384" s="4">
        <v>0.0</v>
      </c>
      <c r="G384" s="1" t="s">
        <v>137</v>
      </c>
      <c r="H384" s="1" t="s">
        <v>138</v>
      </c>
      <c r="I384" s="1" t="s">
        <v>1015</v>
      </c>
      <c r="J384" s="1" t="s">
        <v>1016</v>
      </c>
      <c r="K384" s="1" t="s">
        <v>1016</v>
      </c>
      <c r="M384" s="4">
        <v>0.0</v>
      </c>
      <c r="O384" s="4">
        <v>7.98225</v>
      </c>
    </row>
    <row r="385">
      <c r="A385" s="191">
        <v>45530.0</v>
      </c>
      <c r="B385" s="1" t="s">
        <v>134</v>
      </c>
      <c r="C385" s="1" t="s">
        <v>166</v>
      </c>
      <c r="D385" s="4">
        <v>264.0</v>
      </c>
      <c r="E385" s="4">
        <v>0.0</v>
      </c>
      <c r="F385" s="1" t="s">
        <v>539</v>
      </c>
      <c r="G385" s="1" t="s">
        <v>137</v>
      </c>
      <c r="H385" s="1" t="s">
        <v>138</v>
      </c>
      <c r="I385" s="1" t="s">
        <v>1017</v>
      </c>
      <c r="J385" s="1" t="s">
        <v>1018</v>
      </c>
      <c r="K385" s="1" t="s">
        <v>1018</v>
      </c>
      <c r="M385" s="4">
        <v>-7.0</v>
      </c>
      <c r="O385" s="4">
        <v>7.206216666666666</v>
      </c>
    </row>
    <row r="386">
      <c r="A386" s="191">
        <v>45530.0</v>
      </c>
      <c r="B386" s="1" t="s">
        <v>146</v>
      </c>
      <c r="C386" s="1" t="s">
        <v>135</v>
      </c>
      <c r="D386" s="4">
        <v>281.0</v>
      </c>
      <c r="E386" s="4">
        <v>0.0</v>
      </c>
      <c r="F386" s="1" t="s">
        <v>104</v>
      </c>
      <c r="G386" s="1" t="s">
        <v>137</v>
      </c>
      <c r="H386" s="1" t="s">
        <v>138</v>
      </c>
      <c r="I386" s="1" t="s">
        <v>1019</v>
      </c>
      <c r="J386" s="1" t="s">
        <v>1020</v>
      </c>
      <c r="K386" s="1" t="s">
        <v>1020</v>
      </c>
      <c r="M386" s="4">
        <v>-9.0</v>
      </c>
      <c r="O386" s="4">
        <v>5.6619166666666665</v>
      </c>
    </row>
    <row r="387">
      <c r="A387" s="191">
        <v>45530.0</v>
      </c>
      <c r="B387" s="1" t="s">
        <v>149</v>
      </c>
      <c r="C387" s="1" t="s">
        <v>135</v>
      </c>
      <c r="D387" s="4">
        <v>247.0</v>
      </c>
      <c r="E387" s="4">
        <v>62.0</v>
      </c>
      <c r="G387" s="1" t="s">
        <v>142</v>
      </c>
      <c r="H387" s="1" t="s">
        <v>143</v>
      </c>
      <c r="I387" s="1" t="s">
        <v>1021</v>
      </c>
      <c r="J387" s="1" t="s">
        <v>1022</v>
      </c>
      <c r="K387" s="1" t="s">
        <v>1022</v>
      </c>
      <c r="M387" s="4">
        <v>-11.0</v>
      </c>
      <c r="O387" s="4">
        <v>8.209816666666667</v>
      </c>
    </row>
    <row r="388">
      <c r="A388" s="191">
        <v>45530.0</v>
      </c>
      <c r="B388" s="1" t="s">
        <v>149</v>
      </c>
      <c r="C388" s="1" t="s">
        <v>135</v>
      </c>
      <c r="D388" s="4">
        <v>827.0</v>
      </c>
      <c r="E388" s="4">
        <v>0.0</v>
      </c>
      <c r="F388" s="1" t="s">
        <v>65</v>
      </c>
      <c r="G388" s="1" t="s">
        <v>150</v>
      </c>
      <c r="H388" s="1" t="s">
        <v>138</v>
      </c>
      <c r="I388" s="1" t="s">
        <v>1023</v>
      </c>
      <c r="J388" s="1" t="s">
        <v>1024</v>
      </c>
      <c r="K388" s="1" t="s">
        <v>1025</v>
      </c>
      <c r="L388" s="1" t="s">
        <v>1026</v>
      </c>
      <c r="M388" s="4">
        <v>-4.0</v>
      </c>
      <c r="N388" s="4">
        <v>0.013966666666666667</v>
      </c>
      <c r="O388" s="4">
        <v>20.6201</v>
      </c>
    </row>
    <row r="389">
      <c r="A389" s="191">
        <v>45530.0</v>
      </c>
      <c r="B389" s="1" t="s">
        <v>149</v>
      </c>
      <c r="C389" s="1" t="s">
        <v>135</v>
      </c>
      <c r="D389" s="4">
        <v>453.0</v>
      </c>
      <c r="E389" s="4">
        <v>0.0</v>
      </c>
      <c r="F389" s="1" t="s">
        <v>65</v>
      </c>
      <c r="G389" s="1" t="s">
        <v>150</v>
      </c>
      <c r="H389" s="1" t="s">
        <v>143</v>
      </c>
      <c r="I389" s="1" t="s">
        <v>1027</v>
      </c>
      <c r="J389" s="1" t="s">
        <v>1028</v>
      </c>
      <c r="K389" s="1" t="s">
        <v>1029</v>
      </c>
      <c r="L389" s="1" t="s">
        <v>1030</v>
      </c>
      <c r="M389" s="4">
        <v>-17.0</v>
      </c>
      <c r="N389" s="4">
        <v>0.011933333333333334</v>
      </c>
      <c r="O389" s="4">
        <v>7.3774</v>
      </c>
    </row>
    <row r="390">
      <c r="A390" s="191">
        <v>45530.0</v>
      </c>
      <c r="B390" s="1" t="s">
        <v>165</v>
      </c>
      <c r="C390" s="1" t="s">
        <v>166</v>
      </c>
      <c r="D390" s="4">
        <v>387.0</v>
      </c>
      <c r="E390" s="4">
        <v>0.0</v>
      </c>
      <c r="G390" s="1" t="s">
        <v>137</v>
      </c>
      <c r="H390" s="1" t="s">
        <v>138</v>
      </c>
      <c r="I390" s="1" t="s">
        <v>1031</v>
      </c>
      <c r="J390" s="1" t="s">
        <v>1032</v>
      </c>
      <c r="K390" s="1" t="s">
        <v>1032</v>
      </c>
      <c r="M390" s="4">
        <v>1.0</v>
      </c>
      <c r="O390" s="4">
        <v>9.6835</v>
      </c>
    </row>
    <row r="391">
      <c r="A391" s="191">
        <v>45530.0</v>
      </c>
      <c r="B391" s="1" t="s">
        <v>165</v>
      </c>
      <c r="C391" s="1" t="s">
        <v>166</v>
      </c>
      <c r="D391" s="4">
        <v>429.0</v>
      </c>
      <c r="E391" s="4">
        <v>0.0</v>
      </c>
      <c r="G391" s="1" t="s">
        <v>137</v>
      </c>
      <c r="H391" s="1" t="s">
        <v>138</v>
      </c>
      <c r="I391" s="1" t="s">
        <v>1033</v>
      </c>
      <c r="J391" s="1" t="s">
        <v>1034</v>
      </c>
      <c r="K391" s="1" t="s">
        <v>1034</v>
      </c>
      <c r="M391" s="4">
        <v>1.0</v>
      </c>
      <c r="O391" s="4">
        <v>8.99725</v>
      </c>
    </row>
    <row r="392">
      <c r="A392" s="191">
        <v>45530.0</v>
      </c>
      <c r="B392" s="1" t="s">
        <v>165</v>
      </c>
      <c r="C392" s="1" t="s">
        <v>166</v>
      </c>
      <c r="D392" s="4">
        <v>264.0</v>
      </c>
      <c r="E392" s="4">
        <v>0.0</v>
      </c>
      <c r="G392" s="1" t="s">
        <v>137</v>
      </c>
      <c r="H392" s="1" t="s">
        <v>138</v>
      </c>
      <c r="I392" s="1" t="s">
        <v>1035</v>
      </c>
      <c r="J392" s="1" t="s">
        <v>1036</v>
      </c>
      <c r="K392" s="1" t="s">
        <v>1036</v>
      </c>
      <c r="M392" s="4">
        <v>-1.0</v>
      </c>
      <c r="O392" s="4">
        <v>5.61035</v>
      </c>
    </row>
    <row r="393">
      <c r="A393" s="191">
        <v>45530.0</v>
      </c>
      <c r="B393" s="1" t="s">
        <v>165</v>
      </c>
      <c r="C393" s="1" t="s">
        <v>166</v>
      </c>
      <c r="D393" s="4">
        <v>637.0</v>
      </c>
      <c r="E393" s="4">
        <v>0.0</v>
      </c>
      <c r="G393" s="1" t="s">
        <v>137</v>
      </c>
      <c r="H393" s="1" t="s">
        <v>138</v>
      </c>
      <c r="I393" s="1" t="s">
        <v>1037</v>
      </c>
      <c r="J393" s="1" t="s">
        <v>1038</v>
      </c>
      <c r="K393" s="1" t="s">
        <v>1038</v>
      </c>
      <c r="M393" s="4">
        <v>0.0</v>
      </c>
      <c r="O393" s="4">
        <v>8.423633333333333</v>
      </c>
    </row>
    <row r="394">
      <c r="A394" s="191">
        <v>45530.0</v>
      </c>
      <c r="B394" s="1" t="s">
        <v>149</v>
      </c>
      <c r="C394" s="1" t="s">
        <v>135</v>
      </c>
      <c r="D394" s="4">
        <v>400.0</v>
      </c>
      <c r="E394" s="4">
        <v>158.0</v>
      </c>
      <c r="G394" s="1" t="s">
        <v>142</v>
      </c>
      <c r="H394" s="1" t="s">
        <v>143</v>
      </c>
      <c r="I394" s="1" t="s">
        <v>1039</v>
      </c>
      <c r="J394" s="1" t="s">
        <v>1040</v>
      </c>
      <c r="K394" s="1" t="s">
        <v>1040</v>
      </c>
      <c r="M394" s="4">
        <v>-10.0</v>
      </c>
      <c r="O394" s="4">
        <v>14.115983333333334</v>
      </c>
    </row>
    <row r="395">
      <c r="A395" s="191">
        <v>45530.0</v>
      </c>
      <c r="B395" s="1" t="s">
        <v>146</v>
      </c>
      <c r="C395" s="1" t="s">
        <v>135</v>
      </c>
      <c r="D395" s="4">
        <v>289.0</v>
      </c>
      <c r="E395" s="4">
        <v>0.0</v>
      </c>
      <c r="F395" s="1" t="s">
        <v>104</v>
      </c>
      <c r="G395" s="1" t="s">
        <v>137</v>
      </c>
      <c r="H395" s="1" t="s">
        <v>138</v>
      </c>
      <c r="I395" s="1" t="s">
        <v>1041</v>
      </c>
      <c r="J395" s="1" t="s">
        <v>1042</v>
      </c>
      <c r="K395" s="1" t="s">
        <v>1042</v>
      </c>
      <c r="M395" s="4">
        <v>-4.0</v>
      </c>
      <c r="O395" s="4">
        <v>10.67925</v>
      </c>
    </row>
    <row r="396">
      <c r="A396" s="191">
        <v>45530.0</v>
      </c>
      <c r="B396" s="1" t="s">
        <v>149</v>
      </c>
      <c r="C396" s="1" t="s">
        <v>135</v>
      </c>
      <c r="D396" s="4">
        <v>458.0</v>
      </c>
      <c r="E396" s="4">
        <v>0.0</v>
      </c>
      <c r="F396" s="1" t="s">
        <v>104</v>
      </c>
      <c r="G396" s="1" t="s">
        <v>150</v>
      </c>
      <c r="H396" s="1" t="s">
        <v>138</v>
      </c>
      <c r="I396" s="1" t="s">
        <v>1043</v>
      </c>
      <c r="J396" s="1" t="s">
        <v>1044</v>
      </c>
      <c r="K396" s="1" t="s">
        <v>1045</v>
      </c>
      <c r="L396" s="1" t="s">
        <v>1046</v>
      </c>
      <c r="M396" s="4">
        <v>-2.0</v>
      </c>
      <c r="N396" s="4">
        <v>6.6985</v>
      </c>
      <c r="O396" s="4">
        <v>13.972133333333334</v>
      </c>
    </row>
    <row r="397">
      <c r="A397" s="191">
        <v>45530.0</v>
      </c>
      <c r="B397" s="1" t="s">
        <v>149</v>
      </c>
      <c r="C397" s="1" t="s">
        <v>135</v>
      </c>
      <c r="D397" s="4">
        <v>423.0</v>
      </c>
      <c r="E397" s="4">
        <v>0.0</v>
      </c>
      <c r="F397" s="1" t="s">
        <v>65</v>
      </c>
      <c r="G397" s="1" t="s">
        <v>150</v>
      </c>
      <c r="H397" s="1" t="s">
        <v>138</v>
      </c>
      <c r="I397" s="1" t="s">
        <v>1047</v>
      </c>
      <c r="J397" s="1" t="s">
        <v>1048</v>
      </c>
      <c r="K397" s="1" t="s">
        <v>1049</v>
      </c>
      <c r="L397" s="1" t="s">
        <v>1050</v>
      </c>
      <c r="M397" s="4">
        <v>0.0</v>
      </c>
      <c r="N397" s="4">
        <v>0.013266666666666666</v>
      </c>
      <c r="O397" s="4">
        <v>15.920066666666667</v>
      </c>
    </row>
    <row r="398">
      <c r="A398" s="191">
        <v>45530.0</v>
      </c>
      <c r="B398" s="1" t="s">
        <v>141</v>
      </c>
      <c r="C398" s="1" t="s">
        <v>135</v>
      </c>
      <c r="D398" s="4">
        <v>309.0</v>
      </c>
      <c r="E398" s="4">
        <v>0.0</v>
      </c>
      <c r="G398" s="1" t="s">
        <v>142</v>
      </c>
      <c r="H398" s="1" t="s">
        <v>143</v>
      </c>
      <c r="I398" s="1" t="s">
        <v>1051</v>
      </c>
      <c r="J398" s="1" t="s">
        <v>1052</v>
      </c>
      <c r="K398" s="1" t="s">
        <v>1052</v>
      </c>
      <c r="M398" s="4">
        <v>2.0</v>
      </c>
      <c r="O398" s="4">
        <v>7.449233333333333</v>
      </c>
    </row>
    <row r="399">
      <c r="A399" s="191">
        <v>45530.0</v>
      </c>
      <c r="B399" s="1" t="s">
        <v>149</v>
      </c>
      <c r="C399" s="1" t="s">
        <v>135</v>
      </c>
      <c r="D399" s="4">
        <v>762.0</v>
      </c>
      <c r="E399" s="4">
        <v>0.0</v>
      </c>
      <c r="F399" s="1" t="s">
        <v>65</v>
      </c>
      <c r="G399" s="1" t="s">
        <v>150</v>
      </c>
      <c r="H399" s="1" t="s">
        <v>138</v>
      </c>
      <c r="I399" s="1" t="s">
        <v>1053</v>
      </c>
      <c r="J399" s="1" t="s">
        <v>1054</v>
      </c>
      <c r="K399" s="1" t="s">
        <v>1055</v>
      </c>
      <c r="L399" s="1" t="s">
        <v>1056</v>
      </c>
      <c r="M399" s="4">
        <v>-7.0</v>
      </c>
      <c r="N399" s="4">
        <v>0.010766666666666667</v>
      </c>
      <c r="O399" s="4">
        <v>11.25015</v>
      </c>
    </row>
    <row r="400">
      <c r="A400" s="191">
        <v>45530.0</v>
      </c>
      <c r="B400" s="1" t="s">
        <v>149</v>
      </c>
      <c r="C400" s="1" t="s">
        <v>135</v>
      </c>
      <c r="D400" s="4">
        <v>247.0</v>
      </c>
      <c r="E400" s="4">
        <v>62.0</v>
      </c>
      <c r="G400" s="1" t="s">
        <v>142</v>
      </c>
      <c r="H400" s="1" t="s">
        <v>232</v>
      </c>
      <c r="I400" s="1" t="s">
        <v>1057</v>
      </c>
      <c r="J400" s="1" t="s">
        <v>1058</v>
      </c>
      <c r="K400" s="1" t="s">
        <v>1058</v>
      </c>
      <c r="M400" s="4">
        <v>-12.0</v>
      </c>
      <c r="O400" s="4">
        <v>12.285016666666667</v>
      </c>
    </row>
    <row r="401">
      <c r="A401" s="191">
        <v>45530.0</v>
      </c>
      <c r="B401" s="1" t="s">
        <v>165</v>
      </c>
      <c r="C401" s="1" t="s">
        <v>166</v>
      </c>
      <c r="D401" s="4">
        <v>822.0</v>
      </c>
      <c r="E401" s="4">
        <v>0.0</v>
      </c>
      <c r="G401" s="1" t="s">
        <v>137</v>
      </c>
      <c r="H401" s="1" t="s">
        <v>143</v>
      </c>
      <c r="I401" s="1" t="s">
        <v>1059</v>
      </c>
      <c r="J401" s="1" t="s">
        <v>1060</v>
      </c>
      <c r="K401" s="1" t="s">
        <v>1060</v>
      </c>
      <c r="M401" s="4">
        <v>0.0</v>
      </c>
      <c r="O401" s="4">
        <v>10.09315</v>
      </c>
    </row>
    <row r="402">
      <c r="A402" s="191">
        <v>45530.0</v>
      </c>
      <c r="B402" s="1" t="s">
        <v>149</v>
      </c>
      <c r="C402" s="1" t="s">
        <v>135</v>
      </c>
      <c r="D402" s="4">
        <v>328.0</v>
      </c>
      <c r="E402" s="4">
        <v>0.0</v>
      </c>
      <c r="F402" s="1" t="s">
        <v>65</v>
      </c>
      <c r="G402" s="1" t="s">
        <v>150</v>
      </c>
      <c r="H402" s="1" t="s">
        <v>138</v>
      </c>
      <c r="I402" s="1" t="s">
        <v>1061</v>
      </c>
      <c r="J402" s="1" t="s">
        <v>1062</v>
      </c>
      <c r="K402" s="1" t="s">
        <v>1063</v>
      </c>
      <c r="L402" s="1" t="s">
        <v>1064</v>
      </c>
      <c r="M402" s="4">
        <v>-4.0</v>
      </c>
      <c r="N402" s="4">
        <v>0.009766666666666667</v>
      </c>
      <c r="O402" s="4">
        <v>10.391116666666667</v>
      </c>
    </row>
    <row r="403">
      <c r="A403" s="191">
        <v>45530.0</v>
      </c>
      <c r="B403" s="1" t="s">
        <v>165</v>
      </c>
      <c r="C403" s="1" t="s">
        <v>166</v>
      </c>
      <c r="D403" s="4">
        <v>429.0</v>
      </c>
      <c r="E403" s="4">
        <v>0.0</v>
      </c>
      <c r="G403" s="1" t="s">
        <v>137</v>
      </c>
      <c r="H403" s="1" t="s">
        <v>138</v>
      </c>
      <c r="I403" s="1" t="s">
        <v>1065</v>
      </c>
      <c r="J403" s="1" t="s">
        <v>1066</v>
      </c>
      <c r="K403" s="1" t="s">
        <v>1066</v>
      </c>
      <c r="M403" s="4">
        <v>5.0</v>
      </c>
      <c r="O403" s="4">
        <v>12.095633333333334</v>
      </c>
    </row>
    <row r="404">
      <c r="A404" s="191">
        <v>45530.0</v>
      </c>
      <c r="B404" s="1" t="s">
        <v>149</v>
      </c>
      <c r="C404" s="1" t="s">
        <v>135</v>
      </c>
      <c r="D404" s="4">
        <v>199.0</v>
      </c>
      <c r="E404" s="4">
        <v>50.0</v>
      </c>
      <c r="G404" s="1" t="s">
        <v>142</v>
      </c>
      <c r="H404" s="1" t="s">
        <v>232</v>
      </c>
      <c r="I404" s="1" t="s">
        <v>1067</v>
      </c>
      <c r="J404" s="1" t="s">
        <v>1068</v>
      </c>
      <c r="K404" s="1" t="s">
        <v>1068</v>
      </c>
      <c r="M404" s="4">
        <v>-11.0</v>
      </c>
      <c r="O404" s="4">
        <v>7.9825</v>
      </c>
    </row>
    <row r="405">
      <c r="A405" s="191">
        <v>45530.0</v>
      </c>
      <c r="B405" s="1" t="s">
        <v>134</v>
      </c>
      <c r="C405" s="1" t="s">
        <v>166</v>
      </c>
      <c r="D405" s="4">
        <v>329.0</v>
      </c>
      <c r="E405" s="4">
        <v>0.0</v>
      </c>
      <c r="F405" s="1" t="s">
        <v>44</v>
      </c>
      <c r="G405" s="1" t="s">
        <v>137</v>
      </c>
      <c r="H405" s="1" t="s">
        <v>138</v>
      </c>
      <c r="I405" s="1" t="s">
        <v>1069</v>
      </c>
      <c r="J405" s="1" t="s">
        <v>1070</v>
      </c>
      <c r="K405" s="1" t="s">
        <v>1070</v>
      </c>
      <c r="M405" s="4">
        <v>-7.0</v>
      </c>
      <c r="O405" s="4">
        <v>7.762016666666667</v>
      </c>
    </row>
    <row r="406">
      <c r="A406" s="191">
        <v>45530.0</v>
      </c>
      <c r="B406" s="1" t="s">
        <v>165</v>
      </c>
      <c r="C406" s="1" t="s">
        <v>166</v>
      </c>
      <c r="D406" s="4">
        <v>903.0</v>
      </c>
      <c r="E406" s="4">
        <v>0.0</v>
      </c>
      <c r="G406" s="1" t="s">
        <v>137</v>
      </c>
      <c r="H406" s="1" t="s">
        <v>138</v>
      </c>
      <c r="I406" s="1" t="s">
        <v>1071</v>
      </c>
      <c r="J406" s="1" t="s">
        <v>1072</v>
      </c>
      <c r="K406" s="1" t="s">
        <v>1072</v>
      </c>
      <c r="M406" s="4">
        <v>2.0</v>
      </c>
      <c r="O406" s="4">
        <v>12.556766666666666</v>
      </c>
    </row>
    <row r="407">
      <c r="A407" s="191">
        <v>45530.0</v>
      </c>
      <c r="B407" s="1" t="s">
        <v>149</v>
      </c>
      <c r="C407" s="1" t="s">
        <v>135</v>
      </c>
      <c r="D407" s="4">
        <v>462.0</v>
      </c>
      <c r="E407" s="4">
        <v>76.0</v>
      </c>
      <c r="F407" s="1" t="s">
        <v>54</v>
      </c>
      <c r="G407" s="1" t="s">
        <v>150</v>
      </c>
      <c r="H407" s="1" t="s">
        <v>138</v>
      </c>
      <c r="I407" s="1" t="s">
        <v>1073</v>
      </c>
      <c r="J407" s="1" t="s">
        <v>1074</v>
      </c>
      <c r="K407" s="1" t="s">
        <v>1075</v>
      </c>
      <c r="L407" s="1" t="s">
        <v>1076</v>
      </c>
      <c r="M407" s="4">
        <v>-10.0</v>
      </c>
      <c r="N407" s="4">
        <v>0.0112</v>
      </c>
      <c r="O407" s="4">
        <v>9.978483333333333</v>
      </c>
    </row>
    <row r="408">
      <c r="A408" s="191">
        <v>45530.0</v>
      </c>
      <c r="B408" s="1" t="s">
        <v>165</v>
      </c>
      <c r="C408" s="1" t="s">
        <v>166</v>
      </c>
      <c r="D408" s="4">
        <v>321.0</v>
      </c>
      <c r="E408" s="4">
        <v>0.0</v>
      </c>
      <c r="G408" s="1" t="s">
        <v>137</v>
      </c>
      <c r="H408" s="1" t="s">
        <v>138</v>
      </c>
      <c r="I408" s="1" t="s">
        <v>1077</v>
      </c>
      <c r="J408" s="1" t="s">
        <v>1078</v>
      </c>
      <c r="K408" s="1" t="s">
        <v>1078</v>
      </c>
      <c r="M408" s="4">
        <v>1.0</v>
      </c>
      <c r="O408" s="4">
        <v>8.205483333333333</v>
      </c>
    </row>
    <row r="409">
      <c r="A409" s="191">
        <v>45530.0</v>
      </c>
      <c r="B409" s="1" t="s">
        <v>146</v>
      </c>
      <c r="C409" s="1" t="s">
        <v>135</v>
      </c>
      <c r="D409" s="4">
        <v>264.0</v>
      </c>
      <c r="E409" s="4">
        <v>0.0</v>
      </c>
      <c r="F409" s="1" t="s">
        <v>104</v>
      </c>
      <c r="G409" s="1" t="s">
        <v>137</v>
      </c>
      <c r="H409" s="1" t="s">
        <v>138</v>
      </c>
      <c r="I409" s="1" t="s">
        <v>1079</v>
      </c>
      <c r="J409" s="1" t="s">
        <v>1080</v>
      </c>
      <c r="K409" s="1" t="s">
        <v>1080</v>
      </c>
      <c r="M409" s="4">
        <v>-7.0</v>
      </c>
      <c r="O409" s="4">
        <v>7.486133333333333</v>
      </c>
    </row>
    <row r="410">
      <c r="A410" s="191">
        <v>45530.0</v>
      </c>
      <c r="B410" s="1" t="s">
        <v>165</v>
      </c>
      <c r="C410" s="1" t="s">
        <v>166</v>
      </c>
      <c r="D410" s="4">
        <v>263.0</v>
      </c>
      <c r="E410" s="4">
        <v>0.0</v>
      </c>
      <c r="G410" s="1" t="s">
        <v>137</v>
      </c>
      <c r="H410" s="1" t="s">
        <v>143</v>
      </c>
      <c r="I410" s="1" t="s">
        <v>1081</v>
      </c>
      <c r="J410" s="1" t="s">
        <v>1082</v>
      </c>
      <c r="K410" s="1" t="s">
        <v>1082</v>
      </c>
      <c r="M410" s="4">
        <v>0.0</v>
      </c>
      <c r="O410" s="4">
        <v>7.44665</v>
      </c>
    </row>
    <row r="411">
      <c r="A411" s="191">
        <v>45530.0</v>
      </c>
      <c r="B411" s="1" t="s">
        <v>165</v>
      </c>
      <c r="C411" s="1" t="s">
        <v>166</v>
      </c>
      <c r="D411" s="4">
        <v>528.0</v>
      </c>
      <c r="E411" s="4">
        <v>0.0</v>
      </c>
      <c r="G411" s="1" t="s">
        <v>137</v>
      </c>
      <c r="H411" s="1" t="s">
        <v>138</v>
      </c>
      <c r="I411" s="1" t="s">
        <v>1083</v>
      </c>
      <c r="J411" s="1" t="s">
        <v>1084</v>
      </c>
      <c r="K411" s="1" t="s">
        <v>1084</v>
      </c>
      <c r="M411" s="4">
        <v>0.0</v>
      </c>
      <c r="O411" s="4">
        <v>8.474616666666666</v>
      </c>
    </row>
    <row r="412">
      <c r="A412" s="191">
        <v>45530.0</v>
      </c>
      <c r="B412" s="1" t="s">
        <v>165</v>
      </c>
      <c r="C412" s="1" t="s">
        <v>166</v>
      </c>
      <c r="D412" s="4">
        <v>329.0</v>
      </c>
      <c r="E412" s="4">
        <v>0.0</v>
      </c>
      <c r="G412" s="1" t="s">
        <v>137</v>
      </c>
      <c r="H412" s="1" t="s">
        <v>138</v>
      </c>
      <c r="I412" s="1" t="s">
        <v>1085</v>
      </c>
      <c r="J412" s="1" t="s">
        <v>1086</v>
      </c>
      <c r="K412" s="1" t="s">
        <v>1086</v>
      </c>
      <c r="M412" s="4">
        <v>0.0</v>
      </c>
      <c r="O412" s="4">
        <v>7.554716666666667</v>
      </c>
    </row>
    <row r="413">
      <c r="A413" s="191">
        <v>45530.0</v>
      </c>
      <c r="B413" s="1" t="s">
        <v>165</v>
      </c>
      <c r="C413" s="1" t="s">
        <v>166</v>
      </c>
      <c r="D413" s="4">
        <v>488.0</v>
      </c>
      <c r="E413" s="4">
        <v>0.0</v>
      </c>
      <c r="G413" s="1" t="s">
        <v>137</v>
      </c>
      <c r="H413" s="1" t="s">
        <v>138</v>
      </c>
      <c r="I413" s="1" t="s">
        <v>1087</v>
      </c>
      <c r="J413" s="1" t="s">
        <v>1088</v>
      </c>
      <c r="K413" s="1" t="s">
        <v>1088</v>
      </c>
      <c r="M413" s="4">
        <v>0.0</v>
      </c>
      <c r="O413" s="4">
        <v>7.123716666666667</v>
      </c>
    </row>
    <row r="414">
      <c r="A414" s="191">
        <v>45530.0</v>
      </c>
      <c r="B414" s="1" t="s">
        <v>149</v>
      </c>
      <c r="C414" s="1" t="s">
        <v>135</v>
      </c>
      <c r="D414" s="4">
        <v>547.0</v>
      </c>
      <c r="E414" s="4">
        <v>0.0</v>
      </c>
      <c r="F414" s="1" t="s">
        <v>54</v>
      </c>
      <c r="G414" s="1" t="s">
        <v>150</v>
      </c>
      <c r="H414" s="1" t="s">
        <v>143</v>
      </c>
      <c r="I414" s="1" t="s">
        <v>1089</v>
      </c>
      <c r="J414" s="1" t="s">
        <v>1090</v>
      </c>
      <c r="K414" s="1" t="s">
        <v>1091</v>
      </c>
      <c r="L414" s="1" t="s">
        <v>1092</v>
      </c>
      <c r="M414" s="4">
        <v>-9.0</v>
      </c>
      <c r="N414" s="4">
        <v>0.009433333333333334</v>
      </c>
      <c r="O414" s="4">
        <v>14.287216666666666</v>
      </c>
    </row>
    <row r="415">
      <c r="A415" s="191">
        <v>45530.0</v>
      </c>
      <c r="B415" s="1" t="s">
        <v>146</v>
      </c>
      <c r="C415" s="1" t="s">
        <v>135</v>
      </c>
      <c r="D415" s="4">
        <v>488.0</v>
      </c>
      <c r="E415" s="4">
        <v>0.0</v>
      </c>
      <c r="F415" s="1" t="s">
        <v>104</v>
      </c>
      <c r="G415" s="1" t="s">
        <v>137</v>
      </c>
      <c r="H415" s="1" t="s">
        <v>138</v>
      </c>
      <c r="I415" s="1" t="s">
        <v>1093</v>
      </c>
      <c r="J415" s="1" t="s">
        <v>1094</v>
      </c>
      <c r="K415" s="1" t="s">
        <v>1094</v>
      </c>
      <c r="M415" s="4">
        <v>-5.0</v>
      </c>
      <c r="O415" s="4">
        <v>9.173116666666667</v>
      </c>
    </row>
    <row r="416">
      <c r="A416" s="191">
        <v>45530.0</v>
      </c>
      <c r="B416" s="1" t="s">
        <v>149</v>
      </c>
      <c r="C416" s="1" t="s">
        <v>135</v>
      </c>
      <c r="D416" s="4">
        <v>722.0</v>
      </c>
      <c r="E416" s="4">
        <v>180.0</v>
      </c>
      <c r="G416" s="1" t="s">
        <v>142</v>
      </c>
      <c r="H416" s="1" t="s">
        <v>232</v>
      </c>
      <c r="I416" s="1" t="s">
        <v>1095</v>
      </c>
      <c r="J416" s="1" t="s">
        <v>1096</v>
      </c>
      <c r="K416" s="1" t="s">
        <v>1096</v>
      </c>
      <c r="M416" s="4">
        <v>-12.0</v>
      </c>
      <c r="O416" s="4">
        <v>12.358016666666666</v>
      </c>
    </row>
    <row r="417">
      <c r="A417" s="191">
        <v>45530.0</v>
      </c>
      <c r="B417" s="1" t="s">
        <v>149</v>
      </c>
      <c r="C417" s="1" t="s">
        <v>135</v>
      </c>
      <c r="D417" s="4">
        <v>199.0</v>
      </c>
      <c r="E417" s="4">
        <v>50.0</v>
      </c>
      <c r="G417" s="1" t="s">
        <v>142</v>
      </c>
      <c r="H417" s="1" t="s">
        <v>232</v>
      </c>
      <c r="I417" s="1" t="s">
        <v>1097</v>
      </c>
      <c r="J417" s="1" t="s">
        <v>1098</v>
      </c>
      <c r="K417" s="1" t="s">
        <v>1098</v>
      </c>
      <c r="M417" s="4">
        <v>-23.0</v>
      </c>
      <c r="O417" s="4">
        <v>7.156183333333333</v>
      </c>
    </row>
    <row r="418">
      <c r="A418" s="191">
        <v>45530.0</v>
      </c>
      <c r="B418" s="1" t="s">
        <v>165</v>
      </c>
      <c r="C418" s="1" t="s">
        <v>166</v>
      </c>
      <c r="D418" s="4">
        <v>264.0</v>
      </c>
      <c r="E418" s="4">
        <v>0.0</v>
      </c>
      <c r="G418" s="1" t="s">
        <v>137</v>
      </c>
      <c r="H418" s="1" t="s">
        <v>138</v>
      </c>
      <c r="I418" s="1" t="s">
        <v>1099</v>
      </c>
      <c r="J418" s="1" t="s">
        <v>1100</v>
      </c>
      <c r="K418" s="1" t="s">
        <v>1100</v>
      </c>
      <c r="M418" s="4">
        <v>0.0</v>
      </c>
      <c r="O418" s="4">
        <v>5.9954833333333335</v>
      </c>
    </row>
    <row r="419">
      <c r="A419" s="191">
        <v>45530.0</v>
      </c>
      <c r="B419" s="1" t="s">
        <v>134</v>
      </c>
      <c r="C419" s="1" t="s">
        <v>166</v>
      </c>
      <c r="D419" s="4">
        <v>658.0</v>
      </c>
      <c r="E419" s="4">
        <v>0.0</v>
      </c>
      <c r="F419" s="1" t="s">
        <v>1101</v>
      </c>
      <c r="G419" s="1" t="s">
        <v>137</v>
      </c>
      <c r="H419" s="1" t="s">
        <v>138</v>
      </c>
      <c r="I419" s="1" t="s">
        <v>1102</v>
      </c>
      <c r="J419" s="1" t="s">
        <v>1103</v>
      </c>
      <c r="K419" s="1" t="s">
        <v>1103</v>
      </c>
      <c r="M419" s="4">
        <v>-10.0</v>
      </c>
      <c r="O419" s="4">
        <v>9.945083333333333</v>
      </c>
    </row>
    <row r="420">
      <c r="A420" s="191">
        <v>45530.0</v>
      </c>
      <c r="B420" s="1" t="s">
        <v>165</v>
      </c>
      <c r="C420" s="1" t="s">
        <v>166</v>
      </c>
      <c r="D420" s="4">
        <v>628.0</v>
      </c>
      <c r="E420" s="4">
        <v>0.0</v>
      </c>
      <c r="G420" s="1" t="s">
        <v>137</v>
      </c>
      <c r="H420" s="1" t="s">
        <v>138</v>
      </c>
      <c r="I420" s="1" t="s">
        <v>1104</v>
      </c>
      <c r="J420" s="1" t="s">
        <v>1105</v>
      </c>
      <c r="K420" s="1" t="s">
        <v>1105</v>
      </c>
      <c r="M420" s="4">
        <v>-1.0</v>
      </c>
      <c r="O420" s="4">
        <v>7.808316666666666</v>
      </c>
    </row>
    <row r="421">
      <c r="A421" s="191">
        <v>45530.0</v>
      </c>
      <c r="B421" s="1" t="s">
        <v>149</v>
      </c>
      <c r="C421" s="1" t="s">
        <v>135</v>
      </c>
      <c r="D421" s="4">
        <v>673.0</v>
      </c>
      <c r="E421" s="4">
        <v>0.0</v>
      </c>
      <c r="F421" s="1" t="s">
        <v>54</v>
      </c>
      <c r="G421" s="1" t="s">
        <v>150</v>
      </c>
      <c r="H421" s="1" t="s">
        <v>138</v>
      </c>
      <c r="I421" s="1" t="s">
        <v>1106</v>
      </c>
      <c r="J421" s="1" t="s">
        <v>1107</v>
      </c>
      <c r="K421" s="1" t="s">
        <v>1108</v>
      </c>
      <c r="L421" s="1" t="s">
        <v>1109</v>
      </c>
      <c r="M421" s="4">
        <v>1.0</v>
      </c>
      <c r="N421" s="4">
        <v>0.011216666666666666</v>
      </c>
      <c r="O421" s="4">
        <v>17.607416666666666</v>
      </c>
    </row>
    <row r="422">
      <c r="A422" s="191">
        <v>45530.0</v>
      </c>
      <c r="B422" s="1" t="s">
        <v>149</v>
      </c>
      <c r="C422" s="1" t="s">
        <v>135</v>
      </c>
      <c r="D422" s="4">
        <v>395.0</v>
      </c>
      <c r="E422" s="4">
        <v>0.0</v>
      </c>
      <c r="F422" s="1" t="s">
        <v>54</v>
      </c>
      <c r="G422" s="1" t="s">
        <v>150</v>
      </c>
      <c r="H422" s="1" t="s">
        <v>138</v>
      </c>
      <c r="I422" s="1" t="s">
        <v>1110</v>
      </c>
      <c r="J422" s="1" t="s">
        <v>1111</v>
      </c>
      <c r="K422" s="1" t="s">
        <v>1112</v>
      </c>
      <c r="L422" s="1" t="s">
        <v>1113</v>
      </c>
      <c r="M422" s="4">
        <v>-1.0</v>
      </c>
      <c r="N422" s="4">
        <v>0.011883333333333333</v>
      </c>
      <c r="O422" s="4">
        <v>16.4116</v>
      </c>
    </row>
    <row r="423">
      <c r="A423" s="191">
        <v>45530.0</v>
      </c>
      <c r="B423" s="1" t="s">
        <v>165</v>
      </c>
      <c r="C423" s="1" t="s">
        <v>166</v>
      </c>
      <c r="D423" s="4">
        <v>585.0</v>
      </c>
      <c r="E423" s="4">
        <v>0.0</v>
      </c>
      <c r="G423" s="1" t="s">
        <v>137</v>
      </c>
      <c r="H423" s="1" t="s">
        <v>138</v>
      </c>
      <c r="I423" s="1" t="s">
        <v>1114</v>
      </c>
      <c r="J423" s="1" t="s">
        <v>1115</v>
      </c>
      <c r="K423" s="1" t="s">
        <v>1115</v>
      </c>
      <c r="M423" s="4">
        <v>0.0</v>
      </c>
      <c r="O423" s="4">
        <v>8.779866666666667</v>
      </c>
    </row>
    <row r="424">
      <c r="A424" s="191">
        <v>45530.0</v>
      </c>
      <c r="B424" s="1" t="s">
        <v>146</v>
      </c>
      <c r="C424" s="1" t="s">
        <v>135</v>
      </c>
      <c r="D424" s="4">
        <v>264.0</v>
      </c>
      <c r="E424" s="4">
        <v>0.0</v>
      </c>
      <c r="F424" s="1" t="s">
        <v>104</v>
      </c>
      <c r="G424" s="1" t="s">
        <v>137</v>
      </c>
      <c r="H424" s="1" t="s">
        <v>138</v>
      </c>
      <c r="I424" s="1" t="s">
        <v>1116</v>
      </c>
      <c r="J424" s="1" t="s">
        <v>1117</v>
      </c>
      <c r="K424" s="1" t="s">
        <v>1117</v>
      </c>
      <c r="M424" s="4">
        <v>-8.0</v>
      </c>
      <c r="O424" s="4">
        <v>6.434566666666667</v>
      </c>
    </row>
    <row r="425">
      <c r="A425" s="191">
        <v>45530.0</v>
      </c>
      <c r="B425" s="1" t="s">
        <v>165</v>
      </c>
      <c r="C425" s="1" t="s">
        <v>166</v>
      </c>
      <c r="D425" s="4">
        <v>618.0</v>
      </c>
      <c r="E425" s="4">
        <v>0.0</v>
      </c>
      <c r="G425" s="1" t="s">
        <v>137</v>
      </c>
      <c r="H425" s="1" t="s">
        <v>138</v>
      </c>
      <c r="I425" s="1" t="s">
        <v>1118</v>
      </c>
      <c r="J425" s="1" t="s">
        <v>1119</v>
      </c>
      <c r="K425" s="1" t="s">
        <v>1119</v>
      </c>
      <c r="M425" s="4">
        <v>0.0</v>
      </c>
      <c r="O425" s="4">
        <v>8.136733333333334</v>
      </c>
    </row>
    <row r="426">
      <c r="A426" s="191">
        <v>45530.0</v>
      </c>
      <c r="B426" s="1" t="s">
        <v>146</v>
      </c>
      <c r="C426" s="1" t="s">
        <v>135</v>
      </c>
      <c r="D426" s="4">
        <v>575.0</v>
      </c>
      <c r="E426" s="4">
        <v>0.0</v>
      </c>
      <c r="F426" s="1" t="s">
        <v>104</v>
      </c>
      <c r="G426" s="1" t="s">
        <v>137</v>
      </c>
      <c r="H426" s="1" t="s">
        <v>138</v>
      </c>
      <c r="I426" s="1" t="s">
        <v>1120</v>
      </c>
      <c r="J426" s="1" t="s">
        <v>1121</v>
      </c>
      <c r="K426" s="1" t="s">
        <v>1121</v>
      </c>
      <c r="M426" s="4">
        <v>-12.0</v>
      </c>
      <c r="O426" s="4">
        <v>7.014233333333333</v>
      </c>
    </row>
    <row r="427">
      <c r="A427" s="191">
        <v>45530.0</v>
      </c>
      <c r="B427" s="1" t="s">
        <v>146</v>
      </c>
      <c r="C427" s="1" t="s">
        <v>135</v>
      </c>
      <c r="D427" s="4">
        <v>329.0</v>
      </c>
      <c r="E427" s="4">
        <v>0.0</v>
      </c>
      <c r="F427" s="1" t="s">
        <v>104</v>
      </c>
      <c r="G427" s="1" t="s">
        <v>137</v>
      </c>
      <c r="H427" s="1" t="s">
        <v>138</v>
      </c>
      <c r="I427" s="1" t="s">
        <v>1122</v>
      </c>
      <c r="J427" s="1" t="s">
        <v>1123</v>
      </c>
      <c r="K427" s="1" t="s">
        <v>1123</v>
      </c>
      <c r="M427" s="4">
        <v>-8.0</v>
      </c>
      <c r="O427" s="4">
        <v>6.987316666666667</v>
      </c>
    </row>
    <row r="428">
      <c r="A428" s="191">
        <v>45530.0</v>
      </c>
      <c r="B428" s="1" t="s">
        <v>146</v>
      </c>
      <c r="C428" s="1" t="s">
        <v>135</v>
      </c>
      <c r="D428" s="4">
        <v>370.0</v>
      </c>
      <c r="E428" s="4">
        <v>0.0</v>
      </c>
      <c r="F428" s="1" t="s">
        <v>104</v>
      </c>
      <c r="G428" s="1" t="s">
        <v>137</v>
      </c>
      <c r="H428" s="1" t="s">
        <v>138</v>
      </c>
      <c r="I428" s="1" t="s">
        <v>1124</v>
      </c>
      <c r="J428" s="1" t="s">
        <v>1125</v>
      </c>
      <c r="K428" s="1" t="s">
        <v>1125</v>
      </c>
      <c r="M428" s="4">
        <v>-4.0</v>
      </c>
      <c r="O428" s="4">
        <v>10.760266666666666</v>
      </c>
    </row>
    <row r="429">
      <c r="A429" s="191">
        <v>45530.0</v>
      </c>
      <c r="B429" s="1" t="s">
        <v>165</v>
      </c>
      <c r="C429" s="1" t="s">
        <v>166</v>
      </c>
      <c r="D429" s="4">
        <v>1040.0</v>
      </c>
      <c r="E429" s="4">
        <v>0.0</v>
      </c>
      <c r="G429" s="1" t="s">
        <v>137</v>
      </c>
      <c r="H429" s="1" t="s">
        <v>138</v>
      </c>
      <c r="I429" s="1" t="s">
        <v>1126</v>
      </c>
      <c r="J429" s="1" t="s">
        <v>1127</v>
      </c>
      <c r="K429" s="1" t="s">
        <v>1127</v>
      </c>
      <c r="M429" s="4">
        <v>0.0</v>
      </c>
      <c r="O429" s="4">
        <v>11.299033333333334</v>
      </c>
    </row>
    <row r="430">
      <c r="A430" s="191">
        <v>45530.0</v>
      </c>
      <c r="B430" s="1" t="s">
        <v>165</v>
      </c>
      <c r="C430" s="1" t="s">
        <v>166</v>
      </c>
      <c r="D430" s="4">
        <v>329.0</v>
      </c>
      <c r="E430" s="4">
        <v>100.0</v>
      </c>
      <c r="G430" s="1" t="s">
        <v>137</v>
      </c>
      <c r="H430" s="1" t="s">
        <v>138</v>
      </c>
      <c r="I430" s="1" t="s">
        <v>1128</v>
      </c>
      <c r="J430" s="1" t="s">
        <v>1129</v>
      </c>
      <c r="K430" s="1" t="s">
        <v>1129</v>
      </c>
      <c r="M430" s="4">
        <v>0.0</v>
      </c>
      <c r="O430" s="4">
        <v>8.829</v>
      </c>
    </row>
    <row r="431">
      <c r="A431" s="191">
        <v>45530.0</v>
      </c>
      <c r="B431" s="1" t="s">
        <v>134</v>
      </c>
      <c r="C431" s="1" t="s">
        <v>166</v>
      </c>
      <c r="D431" s="4">
        <v>405.0</v>
      </c>
      <c r="E431" s="4">
        <v>0.0</v>
      </c>
      <c r="F431" s="1" t="s">
        <v>1101</v>
      </c>
      <c r="G431" s="1" t="s">
        <v>137</v>
      </c>
      <c r="H431" s="1" t="s">
        <v>138</v>
      </c>
      <c r="I431" s="1" t="s">
        <v>1130</v>
      </c>
      <c r="J431" s="1" t="s">
        <v>1131</v>
      </c>
      <c r="K431" s="1" t="s">
        <v>1131</v>
      </c>
      <c r="M431" s="4">
        <v>-8.0</v>
      </c>
      <c r="O431" s="4">
        <v>6.2507</v>
      </c>
    </row>
    <row r="432">
      <c r="A432" s="191">
        <v>45530.0</v>
      </c>
      <c r="B432" s="1" t="s">
        <v>146</v>
      </c>
      <c r="C432" s="1" t="s">
        <v>135</v>
      </c>
      <c r="D432" s="4">
        <v>355.0</v>
      </c>
      <c r="E432" s="4">
        <v>0.0</v>
      </c>
      <c r="F432" s="1" t="s">
        <v>104</v>
      </c>
      <c r="G432" s="1" t="s">
        <v>137</v>
      </c>
      <c r="H432" s="1" t="s">
        <v>138</v>
      </c>
      <c r="I432" s="1" t="s">
        <v>1132</v>
      </c>
      <c r="J432" s="1" t="s">
        <v>1133</v>
      </c>
      <c r="K432" s="1" t="s">
        <v>1133</v>
      </c>
      <c r="M432" s="4">
        <v>-7.0</v>
      </c>
      <c r="O432" s="4">
        <v>7.41215</v>
      </c>
    </row>
    <row r="433">
      <c r="A433" s="191">
        <v>45530.0</v>
      </c>
      <c r="B433" s="1" t="s">
        <v>149</v>
      </c>
      <c r="C433" s="1" t="s">
        <v>135</v>
      </c>
      <c r="D433" s="4">
        <v>365.0</v>
      </c>
      <c r="E433" s="4">
        <v>0.0</v>
      </c>
      <c r="F433" s="1" t="s">
        <v>54</v>
      </c>
      <c r="G433" s="1" t="s">
        <v>150</v>
      </c>
      <c r="H433" s="1" t="s">
        <v>138</v>
      </c>
      <c r="I433" s="1" t="s">
        <v>1134</v>
      </c>
      <c r="J433" s="1" t="s">
        <v>1135</v>
      </c>
      <c r="K433" s="1" t="s">
        <v>1136</v>
      </c>
      <c r="L433" s="1" t="s">
        <v>1137</v>
      </c>
      <c r="M433" s="4">
        <v>-10.0</v>
      </c>
      <c r="N433" s="4">
        <v>0.01</v>
      </c>
      <c r="O433" s="4">
        <v>10.7128</v>
      </c>
    </row>
    <row r="434">
      <c r="A434" s="191">
        <v>45530.0</v>
      </c>
      <c r="B434" s="1" t="s">
        <v>165</v>
      </c>
      <c r="C434" s="1" t="s">
        <v>166</v>
      </c>
      <c r="D434" s="4">
        <v>488.0</v>
      </c>
      <c r="E434" s="4">
        <v>150.0</v>
      </c>
      <c r="G434" s="1" t="s">
        <v>137</v>
      </c>
      <c r="H434" s="1" t="s">
        <v>138</v>
      </c>
      <c r="I434" s="1" t="s">
        <v>1138</v>
      </c>
      <c r="J434" s="1" t="s">
        <v>1139</v>
      </c>
      <c r="K434" s="1" t="s">
        <v>1139</v>
      </c>
      <c r="M434" s="4">
        <v>0.0</v>
      </c>
      <c r="O434" s="4">
        <v>9.5042</v>
      </c>
    </row>
    <row r="435">
      <c r="A435" s="191">
        <v>45530.0</v>
      </c>
      <c r="B435" s="1" t="s">
        <v>134</v>
      </c>
      <c r="C435" s="1" t="s">
        <v>166</v>
      </c>
      <c r="D435" s="4">
        <v>623.0</v>
      </c>
      <c r="E435" s="4">
        <v>0.0</v>
      </c>
      <c r="F435" s="1" t="s">
        <v>1140</v>
      </c>
      <c r="G435" s="1" t="s">
        <v>137</v>
      </c>
      <c r="H435" s="1" t="s">
        <v>138</v>
      </c>
      <c r="I435" s="1" t="s">
        <v>1141</v>
      </c>
      <c r="J435" s="1" t="s">
        <v>1142</v>
      </c>
      <c r="K435" s="1" t="s">
        <v>1142</v>
      </c>
      <c r="M435" s="4">
        <v>-13.0</v>
      </c>
      <c r="O435" s="4">
        <v>6.4817833333333335</v>
      </c>
    </row>
    <row r="436">
      <c r="A436" s="191">
        <v>45530.0</v>
      </c>
      <c r="B436" s="1" t="s">
        <v>165</v>
      </c>
      <c r="C436" s="1" t="s">
        <v>166</v>
      </c>
      <c r="D436" s="4">
        <v>393.0</v>
      </c>
      <c r="E436" s="4">
        <v>0.0</v>
      </c>
      <c r="G436" s="1" t="s">
        <v>137</v>
      </c>
      <c r="H436" s="1" t="s">
        <v>143</v>
      </c>
      <c r="I436" s="1" t="s">
        <v>1143</v>
      </c>
      <c r="J436" s="1" t="s">
        <v>1144</v>
      </c>
      <c r="K436" s="1" t="s">
        <v>1144</v>
      </c>
      <c r="M436" s="4">
        <v>-1.0</v>
      </c>
      <c r="O436" s="4">
        <v>6.900333333333333</v>
      </c>
    </row>
    <row r="437">
      <c r="A437" s="191">
        <v>45530.0</v>
      </c>
      <c r="B437" s="1" t="s">
        <v>165</v>
      </c>
      <c r="C437" s="1" t="s">
        <v>166</v>
      </c>
      <c r="D437" s="4">
        <v>378.0</v>
      </c>
      <c r="E437" s="4">
        <v>0.0</v>
      </c>
      <c r="G437" s="1" t="s">
        <v>137</v>
      </c>
      <c r="H437" s="1" t="s">
        <v>138</v>
      </c>
      <c r="I437" s="1" t="s">
        <v>1145</v>
      </c>
      <c r="J437" s="1" t="s">
        <v>1146</v>
      </c>
      <c r="K437" s="1" t="s">
        <v>1146</v>
      </c>
      <c r="M437" s="4">
        <v>0.0</v>
      </c>
      <c r="O437" s="4">
        <v>7.557</v>
      </c>
    </row>
    <row r="438">
      <c r="A438" s="191">
        <v>45530.0</v>
      </c>
      <c r="B438" s="1" t="s">
        <v>149</v>
      </c>
      <c r="C438" s="1" t="s">
        <v>135</v>
      </c>
      <c r="D438" s="4">
        <v>365.0</v>
      </c>
      <c r="E438" s="4">
        <v>0.0</v>
      </c>
      <c r="F438" s="1" t="s">
        <v>54</v>
      </c>
      <c r="G438" s="1" t="s">
        <v>150</v>
      </c>
      <c r="H438" s="1" t="s">
        <v>138</v>
      </c>
      <c r="I438" s="1" t="s">
        <v>1147</v>
      </c>
      <c r="J438" s="1" t="s">
        <v>1148</v>
      </c>
      <c r="K438" s="1" t="s">
        <v>1149</v>
      </c>
      <c r="L438" s="1" t="s">
        <v>1150</v>
      </c>
      <c r="M438" s="4">
        <v>-13.0</v>
      </c>
      <c r="N438" s="4">
        <v>0.010283333333333334</v>
      </c>
      <c r="O438" s="4">
        <v>9.145033333333334</v>
      </c>
    </row>
    <row r="439">
      <c r="A439" s="191">
        <v>45530.0</v>
      </c>
      <c r="B439" s="1" t="s">
        <v>165</v>
      </c>
      <c r="C439" s="1" t="s">
        <v>166</v>
      </c>
      <c r="D439" s="4">
        <v>364.0</v>
      </c>
      <c r="E439" s="4">
        <v>0.0</v>
      </c>
      <c r="G439" s="1" t="s">
        <v>137</v>
      </c>
      <c r="H439" s="1" t="s">
        <v>138</v>
      </c>
      <c r="I439" s="1" t="s">
        <v>1151</v>
      </c>
      <c r="J439" s="1" t="s">
        <v>1152</v>
      </c>
      <c r="K439" s="1" t="s">
        <v>1152</v>
      </c>
      <c r="M439" s="4">
        <v>5.0</v>
      </c>
      <c r="O439" s="4">
        <v>12.612866666666667</v>
      </c>
    </row>
    <row r="440">
      <c r="A440" s="191">
        <v>45530.0</v>
      </c>
      <c r="B440" s="1" t="s">
        <v>165</v>
      </c>
      <c r="C440" s="1" t="s">
        <v>166</v>
      </c>
      <c r="D440" s="4">
        <v>377.0</v>
      </c>
      <c r="E440" s="4">
        <v>150.0</v>
      </c>
      <c r="G440" s="1" t="s">
        <v>137</v>
      </c>
      <c r="H440" s="1" t="s">
        <v>138</v>
      </c>
      <c r="I440" s="1" t="s">
        <v>1153</v>
      </c>
      <c r="J440" s="1" t="s">
        <v>1154</v>
      </c>
      <c r="K440" s="1" t="s">
        <v>1154</v>
      </c>
      <c r="M440" s="4">
        <v>0.0</v>
      </c>
      <c r="O440" s="4">
        <v>9.833883333333333</v>
      </c>
    </row>
    <row r="441">
      <c r="A441" s="191">
        <v>45530.0</v>
      </c>
      <c r="B441" s="1" t="s">
        <v>134</v>
      </c>
      <c r="C441" s="1" t="s">
        <v>166</v>
      </c>
      <c r="D441" s="4">
        <v>728.0</v>
      </c>
      <c r="E441" s="4">
        <v>0.0</v>
      </c>
      <c r="F441" s="1" t="s">
        <v>1155</v>
      </c>
      <c r="G441" s="1" t="s">
        <v>137</v>
      </c>
      <c r="H441" s="1" t="s">
        <v>138</v>
      </c>
      <c r="I441" s="1" t="s">
        <v>1156</v>
      </c>
      <c r="J441" s="1" t="s">
        <v>1157</v>
      </c>
      <c r="K441" s="1" t="s">
        <v>1157</v>
      </c>
      <c r="M441" s="4">
        <v>-7.0</v>
      </c>
      <c r="O441" s="4">
        <v>12.984366666666666</v>
      </c>
    </row>
    <row r="442">
      <c r="A442" s="191">
        <v>45530.0</v>
      </c>
      <c r="B442" s="1" t="s">
        <v>146</v>
      </c>
      <c r="C442" s="1" t="s">
        <v>135</v>
      </c>
      <c r="D442" s="4">
        <v>667.0</v>
      </c>
      <c r="E442" s="4">
        <v>0.0</v>
      </c>
      <c r="F442" s="1" t="s">
        <v>104</v>
      </c>
      <c r="G442" s="1" t="s">
        <v>137</v>
      </c>
      <c r="H442" s="1" t="s">
        <v>138</v>
      </c>
      <c r="I442" s="1" t="s">
        <v>1158</v>
      </c>
      <c r="J442" s="1" t="s">
        <v>1159</v>
      </c>
      <c r="K442" s="1" t="s">
        <v>1159</v>
      </c>
      <c r="M442" s="4">
        <v>-3.0</v>
      </c>
      <c r="O442" s="4">
        <v>16.368266666666667</v>
      </c>
    </row>
    <row r="443">
      <c r="A443" s="191">
        <v>45530.0</v>
      </c>
      <c r="B443" s="1" t="s">
        <v>146</v>
      </c>
      <c r="C443" s="1" t="s">
        <v>135</v>
      </c>
      <c r="D443" s="4">
        <v>413.0</v>
      </c>
      <c r="E443" s="4">
        <v>0.0</v>
      </c>
      <c r="F443" s="1" t="s">
        <v>104</v>
      </c>
      <c r="G443" s="1" t="s">
        <v>137</v>
      </c>
      <c r="H443" s="1" t="s">
        <v>138</v>
      </c>
      <c r="I443" s="1" t="s">
        <v>1160</v>
      </c>
      <c r="J443" s="1" t="s">
        <v>1161</v>
      </c>
      <c r="K443" s="1" t="s">
        <v>1161</v>
      </c>
      <c r="M443" s="4">
        <v>-1.0</v>
      </c>
      <c r="O443" s="4">
        <v>13.990983333333334</v>
      </c>
    </row>
    <row r="444">
      <c r="A444" s="191">
        <v>45530.0</v>
      </c>
      <c r="B444" s="1" t="s">
        <v>149</v>
      </c>
      <c r="C444" s="1" t="s">
        <v>135</v>
      </c>
      <c r="D444" s="4">
        <v>866.0</v>
      </c>
      <c r="E444" s="4">
        <v>0.0</v>
      </c>
      <c r="F444" s="1" t="s">
        <v>104</v>
      </c>
      <c r="G444" s="1" t="s">
        <v>150</v>
      </c>
      <c r="H444" s="1" t="s">
        <v>138</v>
      </c>
      <c r="I444" s="1" t="s">
        <v>1162</v>
      </c>
      <c r="J444" s="1" t="s">
        <v>1163</v>
      </c>
      <c r="K444" s="1" t="s">
        <v>1164</v>
      </c>
      <c r="L444" s="1" t="s">
        <v>1165</v>
      </c>
      <c r="M444" s="4">
        <v>19.0</v>
      </c>
      <c r="N444" s="4">
        <v>12.175733333333334</v>
      </c>
      <c r="O444" s="4">
        <v>16.67975</v>
      </c>
    </row>
    <row r="445">
      <c r="A445" s="191">
        <v>45530.0</v>
      </c>
      <c r="B445" s="1" t="s">
        <v>149</v>
      </c>
      <c r="C445" s="1" t="s">
        <v>135</v>
      </c>
      <c r="D445" s="4">
        <v>398.0</v>
      </c>
      <c r="E445" s="4">
        <v>100.0</v>
      </c>
      <c r="G445" s="1" t="s">
        <v>142</v>
      </c>
      <c r="H445" s="1" t="s">
        <v>232</v>
      </c>
      <c r="I445" s="1" t="s">
        <v>1166</v>
      </c>
      <c r="J445" s="1" t="s">
        <v>1167</v>
      </c>
      <c r="K445" s="1" t="s">
        <v>1167</v>
      </c>
      <c r="M445" s="4">
        <v>0.0</v>
      </c>
      <c r="O445" s="4">
        <v>19.751583333333333</v>
      </c>
    </row>
    <row r="446">
      <c r="A446" s="191">
        <v>45530.0</v>
      </c>
      <c r="B446" s="1" t="s">
        <v>149</v>
      </c>
      <c r="C446" s="1" t="s">
        <v>135</v>
      </c>
      <c r="D446" s="4">
        <v>487.0</v>
      </c>
      <c r="E446" s="4">
        <v>100.0</v>
      </c>
      <c r="G446" s="1" t="s">
        <v>142</v>
      </c>
      <c r="H446" s="1" t="s">
        <v>143</v>
      </c>
      <c r="I446" s="1" t="s">
        <v>1168</v>
      </c>
      <c r="J446" s="1" t="s">
        <v>1169</v>
      </c>
      <c r="K446" s="1" t="s">
        <v>1169</v>
      </c>
      <c r="M446" s="4">
        <v>0.0</v>
      </c>
      <c r="O446" s="4">
        <v>20.625366666666668</v>
      </c>
    </row>
    <row r="447">
      <c r="A447" s="191">
        <v>45530.0</v>
      </c>
      <c r="B447" s="1" t="s">
        <v>165</v>
      </c>
      <c r="C447" s="1" t="s">
        <v>166</v>
      </c>
      <c r="D447" s="4">
        <v>303.0</v>
      </c>
      <c r="E447" s="4">
        <v>100.0</v>
      </c>
      <c r="G447" s="1" t="s">
        <v>137</v>
      </c>
      <c r="H447" s="1" t="s">
        <v>143</v>
      </c>
      <c r="I447" s="1" t="s">
        <v>1170</v>
      </c>
      <c r="J447" s="1" t="s">
        <v>1171</v>
      </c>
      <c r="K447" s="1" t="s">
        <v>1171</v>
      </c>
      <c r="M447" s="4">
        <v>1.0</v>
      </c>
      <c r="O447" s="4">
        <v>9.555366666666666</v>
      </c>
    </row>
    <row r="448">
      <c r="A448" s="191">
        <v>45530.0</v>
      </c>
      <c r="B448" s="1" t="s">
        <v>146</v>
      </c>
      <c r="C448" s="1" t="s">
        <v>135</v>
      </c>
      <c r="D448" s="4">
        <v>264.0</v>
      </c>
      <c r="E448" s="4">
        <v>0.0</v>
      </c>
      <c r="F448" s="1" t="s">
        <v>104</v>
      </c>
      <c r="G448" s="1" t="s">
        <v>137</v>
      </c>
      <c r="H448" s="1" t="s">
        <v>138</v>
      </c>
      <c r="I448" s="1" t="s">
        <v>1172</v>
      </c>
      <c r="J448" s="1" t="s">
        <v>1173</v>
      </c>
      <c r="K448" s="1" t="s">
        <v>1173</v>
      </c>
      <c r="M448" s="4">
        <v>-4.0</v>
      </c>
      <c r="O448" s="4">
        <v>10.943783333333334</v>
      </c>
    </row>
    <row r="449">
      <c r="A449" s="191">
        <v>45530.0</v>
      </c>
      <c r="B449" s="1" t="s">
        <v>149</v>
      </c>
      <c r="C449" s="1" t="s">
        <v>135</v>
      </c>
      <c r="D449" s="4">
        <v>577.0</v>
      </c>
      <c r="E449" s="4">
        <v>0.0</v>
      </c>
      <c r="F449" s="1" t="s">
        <v>104</v>
      </c>
      <c r="G449" s="1" t="s">
        <v>150</v>
      </c>
      <c r="H449" s="1" t="s">
        <v>138</v>
      </c>
      <c r="I449" s="1" t="s">
        <v>1174</v>
      </c>
      <c r="J449" s="1" t="s">
        <v>1175</v>
      </c>
      <c r="K449" s="1" t="s">
        <v>1176</v>
      </c>
      <c r="L449" s="1" t="s">
        <v>1177</v>
      </c>
      <c r="M449" s="4">
        <v>-9.0</v>
      </c>
      <c r="N449" s="4">
        <v>6.961883333333334</v>
      </c>
      <c r="O449" s="4">
        <v>13.218033333333333</v>
      </c>
    </row>
    <row r="450">
      <c r="A450" s="191">
        <v>45530.0</v>
      </c>
      <c r="B450" s="1" t="s">
        <v>149</v>
      </c>
      <c r="C450" s="1" t="s">
        <v>135</v>
      </c>
      <c r="D450" s="4">
        <v>307.0</v>
      </c>
      <c r="E450" s="4">
        <v>77.0</v>
      </c>
      <c r="G450" s="1" t="s">
        <v>142</v>
      </c>
      <c r="H450" s="1" t="s">
        <v>232</v>
      </c>
      <c r="I450" s="1" t="s">
        <v>1178</v>
      </c>
      <c r="J450" s="1" t="s">
        <v>1179</v>
      </c>
      <c r="K450" s="1" t="s">
        <v>1179</v>
      </c>
      <c r="M450" s="4">
        <v>-2.0</v>
      </c>
      <c r="O450" s="4">
        <v>16.89845</v>
      </c>
    </row>
    <row r="451">
      <c r="A451" s="191">
        <v>45530.0</v>
      </c>
      <c r="B451" s="1" t="s">
        <v>165</v>
      </c>
      <c r="C451" s="1" t="s">
        <v>166</v>
      </c>
      <c r="D451" s="4">
        <v>432.0</v>
      </c>
      <c r="E451" s="4">
        <v>0.0</v>
      </c>
      <c r="G451" s="1" t="s">
        <v>137</v>
      </c>
      <c r="H451" s="1" t="s">
        <v>138</v>
      </c>
      <c r="I451" s="1" t="s">
        <v>1180</v>
      </c>
      <c r="J451" s="1" t="s">
        <v>1181</v>
      </c>
      <c r="K451" s="1" t="s">
        <v>1181</v>
      </c>
      <c r="M451" s="4">
        <v>2.0</v>
      </c>
      <c r="O451" s="4">
        <v>10.477466666666666</v>
      </c>
    </row>
    <row r="452">
      <c r="A452" s="191">
        <v>45530.0</v>
      </c>
      <c r="B452" s="1" t="s">
        <v>165</v>
      </c>
      <c r="C452" s="1" t="s">
        <v>166</v>
      </c>
      <c r="D452" s="4">
        <v>614.0</v>
      </c>
      <c r="E452" s="4">
        <v>0.0</v>
      </c>
      <c r="G452" s="1" t="s">
        <v>137</v>
      </c>
      <c r="H452" s="1" t="s">
        <v>138</v>
      </c>
      <c r="I452" s="1" t="s">
        <v>1182</v>
      </c>
      <c r="J452" s="1" t="s">
        <v>1183</v>
      </c>
      <c r="K452" s="1" t="s">
        <v>1183</v>
      </c>
      <c r="M452" s="4">
        <v>0.0</v>
      </c>
      <c r="O452" s="4">
        <v>8.280616666666667</v>
      </c>
    </row>
    <row r="453">
      <c r="A453" s="191">
        <v>45530.0</v>
      </c>
      <c r="B453" s="1" t="s">
        <v>149</v>
      </c>
      <c r="C453" s="1" t="s">
        <v>135</v>
      </c>
      <c r="D453" s="4">
        <v>204.0</v>
      </c>
      <c r="E453" s="4">
        <v>50.0</v>
      </c>
      <c r="G453" s="1" t="s">
        <v>142</v>
      </c>
      <c r="H453" s="1" t="s">
        <v>138</v>
      </c>
      <c r="I453" s="1" t="s">
        <v>1184</v>
      </c>
      <c r="J453" s="1" t="s">
        <v>1185</v>
      </c>
      <c r="K453" s="1" t="s">
        <v>1185</v>
      </c>
      <c r="M453" s="4">
        <v>-10.0</v>
      </c>
      <c r="O453" s="4">
        <v>7.740216666666667</v>
      </c>
    </row>
    <row r="454">
      <c r="A454" s="191">
        <v>45530.0</v>
      </c>
      <c r="B454" s="1" t="s">
        <v>165</v>
      </c>
      <c r="C454" s="1" t="s">
        <v>166</v>
      </c>
      <c r="D454" s="4">
        <v>264.0</v>
      </c>
      <c r="E454" s="4">
        <v>0.0</v>
      </c>
      <c r="G454" s="1" t="s">
        <v>137</v>
      </c>
      <c r="H454" s="1" t="s">
        <v>138</v>
      </c>
      <c r="I454" s="1" t="s">
        <v>1186</v>
      </c>
      <c r="J454" s="1" t="s">
        <v>1187</v>
      </c>
      <c r="K454" s="1" t="s">
        <v>1187</v>
      </c>
      <c r="M454" s="4">
        <v>4.0</v>
      </c>
      <c r="O454" s="4">
        <v>11.1322</v>
      </c>
    </row>
    <row r="455">
      <c r="A455" s="191">
        <v>45530.0</v>
      </c>
      <c r="B455" s="1" t="s">
        <v>146</v>
      </c>
      <c r="C455" s="1" t="s">
        <v>135</v>
      </c>
      <c r="D455" s="4">
        <v>329.0</v>
      </c>
      <c r="E455" s="4">
        <v>0.0</v>
      </c>
      <c r="F455" s="1" t="s">
        <v>104</v>
      </c>
      <c r="G455" s="1" t="s">
        <v>137</v>
      </c>
      <c r="H455" s="1" t="s">
        <v>138</v>
      </c>
      <c r="I455" s="1" t="s">
        <v>1188</v>
      </c>
      <c r="J455" s="1" t="s">
        <v>1189</v>
      </c>
      <c r="K455" s="1" t="s">
        <v>1189</v>
      </c>
      <c r="M455" s="4">
        <v>0.0</v>
      </c>
      <c r="O455" s="4">
        <v>15.626033333333334</v>
      </c>
    </row>
    <row r="456">
      <c r="A456" s="191">
        <v>45530.0</v>
      </c>
      <c r="B456" s="1" t="s">
        <v>146</v>
      </c>
      <c r="C456" s="1" t="s">
        <v>135</v>
      </c>
      <c r="D456" s="4">
        <v>413.0</v>
      </c>
      <c r="E456" s="4">
        <v>0.0</v>
      </c>
      <c r="F456" s="1" t="s">
        <v>104</v>
      </c>
      <c r="G456" s="1" t="s">
        <v>137</v>
      </c>
      <c r="H456" s="1" t="s">
        <v>138</v>
      </c>
      <c r="I456" s="1" t="s">
        <v>1190</v>
      </c>
      <c r="J456" s="1" t="s">
        <v>1191</v>
      </c>
      <c r="K456" s="1" t="s">
        <v>1191</v>
      </c>
      <c r="M456" s="4">
        <v>2.0</v>
      </c>
      <c r="O456" s="4">
        <v>17.95381666666667</v>
      </c>
    </row>
    <row r="457">
      <c r="A457" s="191">
        <v>45530.0</v>
      </c>
      <c r="B457" s="1" t="s">
        <v>165</v>
      </c>
      <c r="C457" s="1" t="s">
        <v>166</v>
      </c>
      <c r="D457" s="4">
        <v>906.0</v>
      </c>
      <c r="E457" s="4">
        <v>0.0</v>
      </c>
      <c r="G457" s="1" t="s">
        <v>137</v>
      </c>
      <c r="H457" s="1" t="s">
        <v>138</v>
      </c>
      <c r="I457" s="1" t="s">
        <v>1192</v>
      </c>
      <c r="J457" s="1" t="s">
        <v>1193</v>
      </c>
      <c r="K457" s="1" t="s">
        <v>1193</v>
      </c>
      <c r="M457" s="4">
        <v>6.0</v>
      </c>
      <c r="O457" s="4">
        <v>16.4729</v>
      </c>
    </row>
    <row r="458">
      <c r="A458" s="191">
        <v>45530.0</v>
      </c>
      <c r="B458" s="1" t="s">
        <v>165</v>
      </c>
      <c r="C458" s="1" t="s">
        <v>166</v>
      </c>
      <c r="D458" s="4">
        <v>1335.0</v>
      </c>
      <c r="E458" s="4">
        <v>0.0</v>
      </c>
      <c r="G458" s="1" t="s">
        <v>137</v>
      </c>
      <c r="H458" s="1" t="s">
        <v>138</v>
      </c>
      <c r="I458" s="1" t="s">
        <v>1194</v>
      </c>
      <c r="J458" s="1" t="s">
        <v>1195</v>
      </c>
      <c r="K458" s="1" t="s">
        <v>1195</v>
      </c>
      <c r="M458" s="4">
        <v>1.0</v>
      </c>
      <c r="O458" s="4">
        <v>14.830116666666667</v>
      </c>
    </row>
    <row r="459">
      <c r="A459" s="191">
        <v>45530.0</v>
      </c>
      <c r="B459" s="1" t="s">
        <v>149</v>
      </c>
      <c r="C459" s="1" t="s">
        <v>135</v>
      </c>
      <c r="D459" s="4">
        <v>518.0</v>
      </c>
      <c r="E459" s="4">
        <v>0.0</v>
      </c>
      <c r="F459" s="1" t="s">
        <v>54</v>
      </c>
      <c r="G459" s="1" t="s">
        <v>150</v>
      </c>
      <c r="H459" s="1" t="s">
        <v>143</v>
      </c>
      <c r="I459" s="1" t="s">
        <v>1196</v>
      </c>
      <c r="J459" s="1" t="s">
        <v>1197</v>
      </c>
      <c r="K459" s="1" t="s">
        <v>1198</v>
      </c>
      <c r="L459" s="1" t="s">
        <v>1199</v>
      </c>
      <c r="M459" s="4">
        <v>5.0</v>
      </c>
      <c r="N459" s="4">
        <v>0.03345</v>
      </c>
      <c r="O459" s="4">
        <v>18.31765</v>
      </c>
    </row>
    <row r="460">
      <c r="A460" s="191">
        <v>45530.0</v>
      </c>
      <c r="B460" s="1" t="s">
        <v>149</v>
      </c>
      <c r="C460" s="1" t="s">
        <v>135</v>
      </c>
      <c r="D460" s="4">
        <v>547.0</v>
      </c>
      <c r="E460" s="4">
        <v>0.0</v>
      </c>
      <c r="F460" s="1" t="s">
        <v>54</v>
      </c>
      <c r="G460" s="1" t="s">
        <v>150</v>
      </c>
      <c r="H460" s="1" t="s">
        <v>143</v>
      </c>
      <c r="I460" s="1" t="s">
        <v>1200</v>
      </c>
      <c r="J460" s="1" t="s">
        <v>1201</v>
      </c>
      <c r="K460" s="1" t="s">
        <v>1202</v>
      </c>
      <c r="L460" s="1" t="s">
        <v>1203</v>
      </c>
      <c r="M460" s="4">
        <v>0.0</v>
      </c>
      <c r="N460" s="4">
        <v>0.019916666666666666</v>
      </c>
      <c r="O460" s="4">
        <v>13.017116666666666</v>
      </c>
    </row>
    <row r="461">
      <c r="A461" s="191">
        <v>45530.0</v>
      </c>
      <c r="B461" s="1" t="s">
        <v>149</v>
      </c>
      <c r="C461" s="1" t="s">
        <v>135</v>
      </c>
      <c r="D461" s="4">
        <v>410.0</v>
      </c>
      <c r="E461" s="4">
        <v>103.0</v>
      </c>
      <c r="G461" s="1" t="s">
        <v>142</v>
      </c>
      <c r="H461" s="1" t="s">
        <v>232</v>
      </c>
      <c r="I461" s="1" t="s">
        <v>1204</v>
      </c>
      <c r="J461" s="1" t="s">
        <v>1205</v>
      </c>
      <c r="K461" s="1" t="s">
        <v>1205</v>
      </c>
      <c r="M461" s="4">
        <v>-8.0</v>
      </c>
      <c r="O461" s="4">
        <v>36.96621666666667</v>
      </c>
    </row>
    <row r="462">
      <c r="A462" s="191">
        <v>45530.0</v>
      </c>
      <c r="B462" s="1" t="s">
        <v>149</v>
      </c>
      <c r="C462" s="1" t="s">
        <v>135</v>
      </c>
      <c r="D462" s="4">
        <v>199.0</v>
      </c>
      <c r="E462" s="4">
        <v>50.0</v>
      </c>
      <c r="G462" s="1" t="s">
        <v>142</v>
      </c>
      <c r="H462" s="1" t="s">
        <v>232</v>
      </c>
      <c r="I462" s="1" t="s">
        <v>1206</v>
      </c>
      <c r="J462" s="1" t="s">
        <v>1207</v>
      </c>
      <c r="K462" s="1" t="s">
        <v>1207</v>
      </c>
      <c r="M462" s="4">
        <v>-13.0</v>
      </c>
      <c r="O462" s="4">
        <v>6.6158</v>
      </c>
    </row>
    <row r="463">
      <c r="A463" s="191">
        <v>45530.0</v>
      </c>
      <c r="B463" s="1" t="s">
        <v>165</v>
      </c>
      <c r="C463" s="1" t="s">
        <v>166</v>
      </c>
      <c r="D463" s="4">
        <v>178.0</v>
      </c>
      <c r="E463" s="4">
        <v>0.0</v>
      </c>
      <c r="G463" s="1" t="s">
        <v>137</v>
      </c>
      <c r="H463" s="1" t="s">
        <v>138</v>
      </c>
      <c r="I463" s="1" t="s">
        <v>1208</v>
      </c>
      <c r="J463" s="1" t="s">
        <v>1209</v>
      </c>
      <c r="K463" s="1" t="s">
        <v>1209</v>
      </c>
      <c r="M463" s="4">
        <v>0.0</v>
      </c>
      <c r="O463" s="4">
        <v>6.27845</v>
      </c>
    </row>
    <row r="464">
      <c r="A464" s="191">
        <v>45530.0</v>
      </c>
      <c r="B464" s="1" t="s">
        <v>149</v>
      </c>
      <c r="C464" s="1" t="s">
        <v>135</v>
      </c>
      <c r="D464" s="4">
        <v>466.0</v>
      </c>
      <c r="E464" s="4">
        <v>82.0</v>
      </c>
      <c r="G464" s="1" t="s">
        <v>142</v>
      </c>
      <c r="H464" s="1" t="s">
        <v>232</v>
      </c>
      <c r="I464" s="1" t="s">
        <v>1210</v>
      </c>
      <c r="J464" s="1" t="s">
        <v>1211</v>
      </c>
      <c r="K464" s="1" t="s">
        <v>1211</v>
      </c>
      <c r="M464" s="4">
        <v>-12.0</v>
      </c>
      <c r="O464" s="4">
        <v>6.797483333333333</v>
      </c>
    </row>
    <row r="465">
      <c r="A465" s="191">
        <v>45530.0</v>
      </c>
      <c r="B465" s="1" t="s">
        <v>149</v>
      </c>
      <c r="C465" s="1" t="s">
        <v>135</v>
      </c>
      <c r="D465" s="4">
        <v>290.0</v>
      </c>
      <c r="E465" s="4">
        <v>19.0</v>
      </c>
      <c r="F465" s="1" t="s">
        <v>54</v>
      </c>
      <c r="G465" s="1" t="s">
        <v>150</v>
      </c>
      <c r="H465" s="1" t="s">
        <v>138</v>
      </c>
      <c r="I465" s="1" t="s">
        <v>1212</v>
      </c>
      <c r="J465" s="1" t="s">
        <v>1213</v>
      </c>
      <c r="K465" s="1" t="s">
        <v>1214</v>
      </c>
      <c r="L465" s="1" t="s">
        <v>1215</v>
      </c>
      <c r="M465" s="4">
        <v>-16.0</v>
      </c>
      <c r="N465" s="4">
        <v>0.009683333333333334</v>
      </c>
      <c r="O465" s="4">
        <v>7.479783333333334</v>
      </c>
    </row>
    <row r="466">
      <c r="A466" s="191">
        <v>45530.0</v>
      </c>
      <c r="B466" s="1" t="s">
        <v>149</v>
      </c>
      <c r="C466" s="1" t="s">
        <v>135</v>
      </c>
      <c r="D466" s="4">
        <v>219.0</v>
      </c>
      <c r="E466" s="4">
        <v>55.0</v>
      </c>
      <c r="G466" s="1" t="s">
        <v>142</v>
      </c>
      <c r="H466" s="1" t="s">
        <v>138</v>
      </c>
      <c r="I466" s="1" t="s">
        <v>1216</v>
      </c>
      <c r="J466" s="1" t="s">
        <v>1217</v>
      </c>
      <c r="K466" s="1" t="s">
        <v>1217</v>
      </c>
      <c r="M466" s="4">
        <v>-15.0</v>
      </c>
      <c r="O466" s="4">
        <v>8.091</v>
      </c>
    </row>
    <row r="467">
      <c r="A467" s="191">
        <v>45530.0</v>
      </c>
      <c r="B467" s="1" t="s">
        <v>165</v>
      </c>
      <c r="C467" s="1" t="s">
        <v>166</v>
      </c>
      <c r="D467" s="4">
        <v>378.0</v>
      </c>
      <c r="E467" s="4">
        <v>0.0</v>
      </c>
      <c r="G467" s="1" t="s">
        <v>137</v>
      </c>
      <c r="H467" s="1" t="s">
        <v>138</v>
      </c>
      <c r="I467" s="1" t="s">
        <v>1218</v>
      </c>
      <c r="J467" s="1" t="s">
        <v>1219</v>
      </c>
      <c r="K467" s="1" t="s">
        <v>1219</v>
      </c>
      <c r="M467" s="4">
        <v>0.0</v>
      </c>
      <c r="O467" s="4">
        <v>7.805616666666666</v>
      </c>
    </row>
    <row r="468">
      <c r="A468" s="191">
        <v>45530.0</v>
      </c>
      <c r="B468" s="1" t="s">
        <v>165</v>
      </c>
      <c r="C468" s="1" t="s">
        <v>166</v>
      </c>
      <c r="D468" s="4">
        <v>422.0</v>
      </c>
      <c r="E468" s="4">
        <v>0.0</v>
      </c>
      <c r="G468" s="1" t="s">
        <v>137</v>
      </c>
      <c r="H468" s="1" t="s">
        <v>138</v>
      </c>
      <c r="I468" s="1" t="s">
        <v>1220</v>
      </c>
      <c r="J468" s="1" t="s">
        <v>1221</v>
      </c>
      <c r="K468" s="1" t="s">
        <v>1221</v>
      </c>
      <c r="M468" s="4">
        <v>0.0</v>
      </c>
      <c r="O468" s="4">
        <v>7.2526</v>
      </c>
    </row>
    <row r="469">
      <c r="A469" s="191">
        <v>45530.0</v>
      </c>
      <c r="B469" s="1" t="s">
        <v>134</v>
      </c>
      <c r="C469" s="1" t="s">
        <v>166</v>
      </c>
      <c r="D469" s="4">
        <v>329.0</v>
      </c>
      <c r="E469" s="4">
        <v>0.0</v>
      </c>
      <c r="F469" s="1" t="s">
        <v>71</v>
      </c>
      <c r="G469" s="1" t="s">
        <v>137</v>
      </c>
      <c r="H469" s="1" t="s">
        <v>138</v>
      </c>
      <c r="I469" s="1" t="s">
        <v>1222</v>
      </c>
      <c r="J469" s="1" t="s">
        <v>1223</v>
      </c>
      <c r="K469" s="1" t="s">
        <v>1223</v>
      </c>
      <c r="M469" s="4">
        <v>-7.0</v>
      </c>
      <c r="O469" s="4">
        <v>7.143933333333333</v>
      </c>
    </row>
    <row r="470">
      <c r="A470" s="191">
        <v>45530.0</v>
      </c>
      <c r="B470" s="1" t="s">
        <v>165</v>
      </c>
      <c r="C470" s="1" t="s">
        <v>166</v>
      </c>
      <c r="D470" s="4">
        <v>682.0</v>
      </c>
      <c r="E470" s="4">
        <v>0.0</v>
      </c>
      <c r="G470" s="1" t="s">
        <v>137</v>
      </c>
      <c r="H470" s="1" t="s">
        <v>138</v>
      </c>
      <c r="I470" s="1" t="s">
        <v>1224</v>
      </c>
      <c r="J470" s="1" t="s">
        <v>1225</v>
      </c>
      <c r="K470" s="1" t="s">
        <v>1225</v>
      </c>
      <c r="M470" s="4">
        <v>-1.0</v>
      </c>
      <c r="O470" s="4">
        <v>7.6044</v>
      </c>
    </row>
    <row r="471">
      <c r="A471" s="191">
        <v>45530.0</v>
      </c>
      <c r="B471" s="1" t="s">
        <v>149</v>
      </c>
      <c r="C471" s="1" t="s">
        <v>135</v>
      </c>
      <c r="D471" s="4">
        <v>721.0</v>
      </c>
      <c r="E471" s="4">
        <v>0.0</v>
      </c>
      <c r="F471" s="1" t="s">
        <v>104</v>
      </c>
      <c r="G471" s="1" t="s">
        <v>150</v>
      </c>
      <c r="H471" s="1" t="s">
        <v>143</v>
      </c>
      <c r="I471" s="1" t="s">
        <v>1226</v>
      </c>
      <c r="J471" s="1" t="s">
        <v>1227</v>
      </c>
      <c r="K471" s="1" t="s">
        <v>1228</v>
      </c>
      <c r="L471" s="1" t="s">
        <v>1229</v>
      </c>
      <c r="M471" s="4">
        <v>4.0</v>
      </c>
      <c r="N471" s="4">
        <v>13.093633333333333</v>
      </c>
      <c r="O471" s="4">
        <v>20.3826</v>
      </c>
    </row>
    <row r="472">
      <c r="A472" s="191">
        <v>45530.0</v>
      </c>
      <c r="B472" s="1" t="s">
        <v>134</v>
      </c>
      <c r="C472" s="1" t="s">
        <v>166</v>
      </c>
      <c r="D472" s="4">
        <v>329.0</v>
      </c>
      <c r="E472" s="4">
        <v>0.0</v>
      </c>
      <c r="F472" s="1" t="s">
        <v>1230</v>
      </c>
      <c r="G472" s="1" t="s">
        <v>137</v>
      </c>
      <c r="H472" s="1" t="s">
        <v>138</v>
      </c>
      <c r="I472" s="1" t="s">
        <v>1231</v>
      </c>
      <c r="J472" s="1" t="s">
        <v>1232</v>
      </c>
      <c r="K472" s="1" t="s">
        <v>1232</v>
      </c>
      <c r="M472" s="4">
        <v>-8.0</v>
      </c>
      <c r="O472" s="4">
        <v>6.326433333333333</v>
      </c>
    </row>
    <row r="473">
      <c r="A473" s="191">
        <v>45530.0</v>
      </c>
      <c r="B473" s="1" t="s">
        <v>149</v>
      </c>
      <c r="C473" s="1" t="s">
        <v>135</v>
      </c>
      <c r="D473" s="4">
        <v>683.0</v>
      </c>
      <c r="E473" s="4">
        <v>136.0</v>
      </c>
      <c r="G473" s="1" t="s">
        <v>142</v>
      </c>
      <c r="H473" s="1" t="s">
        <v>232</v>
      </c>
      <c r="I473" s="1" t="s">
        <v>1233</v>
      </c>
      <c r="J473" s="1" t="s">
        <v>1234</v>
      </c>
      <c r="K473" s="1" t="s">
        <v>1234</v>
      </c>
      <c r="M473" s="4">
        <v>-6.0</v>
      </c>
      <c r="O473" s="4">
        <v>36.85285</v>
      </c>
    </row>
    <row r="474">
      <c r="A474" s="191">
        <v>45531.0</v>
      </c>
      <c r="F474" s="1" t="s">
        <v>92</v>
      </c>
    </row>
    <row r="475">
      <c r="A475" s="191">
        <v>45533.0</v>
      </c>
      <c r="B475" s="1" t="s">
        <v>141</v>
      </c>
      <c r="C475" s="1" t="s">
        <v>135</v>
      </c>
      <c r="D475" s="4">
        <v>323.0</v>
      </c>
      <c r="E475" s="4">
        <v>0.0</v>
      </c>
      <c r="G475" s="1" t="s">
        <v>142</v>
      </c>
      <c r="H475" s="1" t="s">
        <v>143</v>
      </c>
      <c r="I475" s="1" t="s">
        <v>1235</v>
      </c>
      <c r="J475" s="1" t="s">
        <v>1236</v>
      </c>
      <c r="K475" s="1" t="s">
        <v>1236</v>
      </c>
      <c r="M475" s="4">
        <v>-3.0</v>
      </c>
      <c r="O475" s="4">
        <v>1.01305</v>
      </c>
    </row>
    <row r="476">
      <c r="A476" s="191">
        <v>45533.0</v>
      </c>
      <c r="B476" s="1" t="s">
        <v>149</v>
      </c>
      <c r="C476" s="1" t="s">
        <v>135</v>
      </c>
      <c r="D476" s="4">
        <v>309.0</v>
      </c>
      <c r="E476" s="4">
        <v>0.0</v>
      </c>
      <c r="F476" s="1" t="s">
        <v>104</v>
      </c>
      <c r="G476" s="1" t="s">
        <v>150</v>
      </c>
      <c r="H476" s="1" t="s">
        <v>138</v>
      </c>
      <c r="I476" s="1" t="s">
        <v>1237</v>
      </c>
      <c r="J476" s="1" t="s">
        <v>1238</v>
      </c>
      <c r="K476" s="1" t="s">
        <v>1239</v>
      </c>
      <c r="L476" s="1" t="s">
        <v>1240</v>
      </c>
      <c r="M476" s="4">
        <v>7.0</v>
      </c>
      <c r="N476" s="4">
        <v>18.99735</v>
      </c>
      <c r="O476" s="4">
        <v>18.52938333333333</v>
      </c>
    </row>
    <row r="477">
      <c r="A477" s="191">
        <v>45533.0</v>
      </c>
      <c r="B477" s="1" t="s">
        <v>149</v>
      </c>
      <c r="C477" s="1" t="s">
        <v>135</v>
      </c>
      <c r="D477" s="4">
        <v>572.0</v>
      </c>
      <c r="E477" s="4">
        <v>0.0</v>
      </c>
      <c r="F477" s="1" t="s">
        <v>104</v>
      </c>
      <c r="G477" s="1" t="s">
        <v>150</v>
      </c>
      <c r="H477" s="1" t="s">
        <v>138</v>
      </c>
      <c r="I477" s="1" t="s">
        <v>1241</v>
      </c>
      <c r="J477" s="1" t="s">
        <v>1242</v>
      </c>
      <c r="K477" s="1" t="s">
        <v>1243</v>
      </c>
      <c r="L477" s="1" t="s">
        <v>1244</v>
      </c>
      <c r="M477" s="4">
        <v>26.0</v>
      </c>
      <c r="N477" s="4">
        <v>13.296016666666667</v>
      </c>
      <c r="O477" s="4">
        <v>14.373566666666667</v>
      </c>
    </row>
    <row r="478">
      <c r="A478" s="191">
        <v>45533.0</v>
      </c>
      <c r="B478" s="1" t="s">
        <v>149</v>
      </c>
      <c r="C478" s="1" t="s">
        <v>135</v>
      </c>
      <c r="D478" s="4">
        <v>269.0</v>
      </c>
      <c r="E478" s="4">
        <v>0.0</v>
      </c>
      <c r="F478" s="1" t="s">
        <v>1245</v>
      </c>
      <c r="G478" s="1" t="s">
        <v>150</v>
      </c>
      <c r="H478" s="1" t="s">
        <v>138</v>
      </c>
      <c r="I478" s="1" t="s">
        <v>1246</v>
      </c>
      <c r="J478" s="1" t="s">
        <v>1247</v>
      </c>
      <c r="K478" s="1" t="s">
        <v>1248</v>
      </c>
      <c r="L478" s="1" t="s">
        <v>1249</v>
      </c>
      <c r="M478" s="4">
        <v>-2.0</v>
      </c>
      <c r="N478" s="4">
        <v>0.31825</v>
      </c>
      <c r="O478" s="4">
        <v>22.866083333333332</v>
      </c>
    </row>
    <row r="479">
      <c r="A479" s="191">
        <v>45533.0</v>
      </c>
      <c r="B479" s="1" t="s">
        <v>146</v>
      </c>
      <c r="C479" s="1" t="s">
        <v>135</v>
      </c>
      <c r="D479" s="4">
        <v>129.0</v>
      </c>
      <c r="E479" s="4">
        <v>0.0</v>
      </c>
      <c r="F479" s="1" t="s">
        <v>104</v>
      </c>
      <c r="G479" s="1" t="s">
        <v>137</v>
      </c>
      <c r="H479" s="1" t="s">
        <v>138</v>
      </c>
      <c r="I479" s="1" t="s">
        <v>1250</v>
      </c>
      <c r="J479" s="1" t="s">
        <v>1251</v>
      </c>
      <c r="K479" s="1" t="s">
        <v>1251</v>
      </c>
      <c r="M479" s="4">
        <v>-7.0</v>
      </c>
      <c r="O479" s="4">
        <v>7.448633333333333</v>
      </c>
    </row>
    <row r="480">
      <c r="A480" s="191">
        <v>45533.0</v>
      </c>
      <c r="B480" s="1" t="s">
        <v>134</v>
      </c>
      <c r="C480" s="1" t="s">
        <v>135</v>
      </c>
      <c r="D480" s="4">
        <v>329.0</v>
      </c>
      <c r="E480" s="4">
        <v>0.0</v>
      </c>
      <c r="F480" s="1" t="s">
        <v>1252</v>
      </c>
      <c r="G480" s="1" t="s">
        <v>137</v>
      </c>
      <c r="H480" s="1" t="s">
        <v>138</v>
      </c>
      <c r="I480" s="1" t="s">
        <v>1253</v>
      </c>
      <c r="J480" s="1" t="s">
        <v>1254</v>
      </c>
      <c r="K480" s="1" t="s">
        <v>1254</v>
      </c>
      <c r="M480" s="4">
        <v>-3.0</v>
      </c>
      <c r="O480" s="4">
        <v>11.914583333333333</v>
      </c>
    </row>
    <row r="481">
      <c r="A481" s="191">
        <v>45533.0</v>
      </c>
      <c r="B481" s="1" t="s">
        <v>165</v>
      </c>
      <c r="C481" s="1" t="s">
        <v>135</v>
      </c>
      <c r="D481" s="4">
        <v>458.0</v>
      </c>
      <c r="E481" s="4">
        <v>0.0</v>
      </c>
      <c r="G481" s="1" t="s">
        <v>137</v>
      </c>
      <c r="H481" s="1" t="s">
        <v>138</v>
      </c>
      <c r="I481" s="1" t="s">
        <v>1255</v>
      </c>
      <c r="J481" s="1" t="s">
        <v>1256</v>
      </c>
      <c r="K481" s="1" t="s">
        <v>1256</v>
      </c>
      <c r="M481" s="4">
        <v>-2.0</v>
      </c>
      <c r="O481" s="4">
        <v>10.831366666666666</v>
      </c>
    </row>
    <row r="482">
      <c r="A482" s="191">
        <v>45533.0</v>
      </c>
      <c r="B482" s="1" t="s">
        <v>149</v>
      </c>
      <c r="C482" s="1" t="s">
        <v>135</v>
      </c>
      <c r="D482" s="4">
        <v>199.0</v>
      </c>
      <c r="E482" s="4">
        <v>50.0</v>
      </c>
      <c r="G482" s="1" t="s">
        <v>142</v>
      </c>
      <c r="H482" s="1" t="s">
        <v>138</v>
      </c>
      <c r="I482" s="1" t="s">
        <v>1257</v>
      </c>
      <c r="J482" s="1" t="s">
        <v>1258</v>
      </c>
      <c r="K482" s="1" t="s">
        <v>1258</v>
      </c>
      <c r="M482" s="4">
        <v>-3.0</v>
      </c>
      <c r="O482" s="4">
        <v>15.625683333333333</v>
      </c>
    </row>
    <row r="483">
      <c r="A483" s="191">
        <v>45533.0</v>
      </c>
      <c r="B483" s="1" t="s">
        <v>141</v>
      </c>
      <c r="C483" s="1" t="s">
        <v>135</v>
      </c>
      <c r="D483" s="4">
        <v>78.0</v>
      </c>
      <c r="E483" s="4">
        <v>0.0</v>
      </c>
      <c r="G483" s="1" t="s">
        <v>142</v>
      </c>
      <c r="H483" s="1" t="s">
        <v>143</v>
      </c>
      <c r="I483" s="1" t="s">
        <v>1259</v>
      </c>
      <c r="J483" s="1" t="s">
        <v>1260</v>
      </c>
      <c r="K483" s="1" t="s">
        <v>1260</v>
      </c>
      <c r="M483" s="4">
        <v>19.0</v>
      </c>
      <c r="O483" s="4">
        <v>24.438766666666666</v>
      </c>
    </row>
    <row r="484">
      <c r="A484" s="191">
        <v>45533.0</v>
      </c>
      <c r="B484" s="1" t="s">
        <v>149</v>
      </c>
      <c r="C484" s="1" t="s">
        <v>135</v>
      </c>
      <c r="D484" s="4">
        <v>455.0</v>
      </c>
      <c r="E484" s="4">
        <v>0.0</v>
      </c>
      <c r="F484" s="1" t="s">
        <v>1261</v>
      </c>
      <c r="G484" s="1" t="s">
        <v>150</v>
      </c>
      <c r="H484" s="1" t="s">
        <v>143</v>
      </c>
      <c r="I484" s="1" t="s">
        <v>1262</v>
      </c>
      <c r="K484" s="1" t="s">
        <v>1263</v>
      </c>
      <c r="L484" s="1" t="s">
        <v>1264</v>
      </c>
      <c r="M484" s="4">
        <v>0.0</v>
      </c>
      <c r="N484" s="4">
        <v>16.653383333333334</v>
      </c>
    </row>
    <row r="485">
      <c r="A485" s="191">
        <v>45533.0</v>
      </c>
      <c r="B485" s="1" t="s">
        <v>146</v>
      </c>
      <c r="C485" s="1" t="s">
        <v>135</v>
      </c>
      <c r="D485" s="4">
        <v>364.0</v>
      </c>
      <c r="E485" s="4">
        <v>0.0</v>
      </c>
      <c r="F485" s="1" t="s">
        <v>104</v>
      </c>
      <c r="G485" s="1" t="s">
        <v>137</v>
      </c>
      <c r="H485" s="1" t="s">
        <v>138</v>
      </c>
      <c r="I485" s="1" t="s">
        <v>1265</v>
      </c>
      <c r="J485" s="1" t="s">
        <v>1266</v>
      </c>
      <c r="K485" s="1" t="s">
        <v>1266</v>
      </c>
      <c r="M485" s="4">
        <v>11.0</v>
      </c>
      <c r="O485" s="4">
        <v>26.289283333333334</v>
      </c>
    </row>
    <row r="486">
      <c r="A486" s="191">
        <v>45533.0</v>
      </c>
      <c r="B486" s="1" t="s">
        <v>134</v>
      </c>
      <c r="C486" s="1" t="s">
        <v>135</v>
      </c>
      <c r="D486" s="4">
        <v>303.0</v>
      </c>
      <c r="E486" s="4">
        <v>0.0</v>
      </c>
      <c r="F486" s="1" t="s">
        <v>1267</v>
      </c>
      <c r="G486" s="1" t="s">
        <v>137</v>
      </c>
      <c r="H486" s="1" t="s">
        <v>138</v>
      </c>
      <c r="I486" s="1" t="s">
        <v>1268</v>
      </c>
      <c r="J486" s="1" t="s">
        <v>1269</v>
      </c>
      <c r="K486" s="1" t="s">
        <v>1269</v>
      </c>
      <c r="M486" s="4">
        <v>5.0</v>
      </c>
      <c r="O486" s="4">
        <v>20.296133333333334</v>
      </c>
    </row>
    <row r="487">
      <c r="A487" s="191">
        <v>45533.0</v>
      </c>
      <c r="B487" s="1" t="s">
        <v>146</v>
      </c>
      <c r="C487" s="1" t="s">
        <v>135</v>
      </c>
      <c r="D487" s="4">
        <v>309.0</v>
      </c>
      <c r="E487" s="4">
        <v>0.0</v>
      </c>
      <c r="F487" s="1" t="s">
        <v>104</v>
      </c>
      <c r="G487" s="1" t="s">
        <v>137</v>
      </c>
      <c r="H487" s="1" t="s">
        <v>138</v>
      </c>
      <c r="I487" s="1" t="s">
        <v>1270</v>
      </c>
      <c r="J487" s="1" t="s">
        <v>1271</v>
      </c>
      <c r="K487" s="1" t="s">
        <v>1271</v>
      </c>
      <c r="M487" s="4">
        <v>7.0</v>
      </c>
      <c r="O487" s="4">
        <v>22.267933333333332</v>
      </c>
    </row>
    <row r="488">
      <c r="A488" s="191">
        <v>45533.0</v>
      </c>
      <c r="B488" s="1" t="s">
        <v>146</v>
      </c>
      <c r="C488" s="1" t="s">
        <v>135</v>
      </c>
      <c r="D488" s="4">
        <v>258.0</v>
      </c>
      <c r="E488" s="4">
        <v>0.0</v>
      </c>
      <c r="F488" s="1" t="s">
        <v>104</v>
      </c>
      <c r="G488" s="1" t="s">
        <v>137</v>
      </c>
      <c r="H488" s="1" t="s">
        <v>138</v>
      </c>
      <c r="I488" s="1" t="s">
        <v>1272</v>
      </c>
      <c r="J488" s="1" t="s">
        <v>1273</v>
      </c>
      <c r="K488" s="1" t="s">
        <v>1273</v>
      </c>
      <c r="M488" s="4">
        <v>0.0</v>
      </c>
      <c r="O488" s="4">
        <v>15.56965</v>
      </c>
    </row>
    <row r="489">
      <c r="A489" s="191">
        <v>45533.0</v>
      </c>
      <c r="B489" s="1" t="s">
        <v>149</v>
      </c>
      <c r="C489" s="1" t="s">
        <v>135</v>
      </c>
      <c r="D489" s="4">
        <v>483.0</v>
      </c>
      <c r="E489" s="4">
        <v>0.0</v>
      </c>
      <c r="F489" s="1" t="s">
        <v>1245</v>
      </c>
      <c r="G489" s="1" t="s">
        <v>150</v>
      </c>
      <c r="H489" s="1" t="s">
        <v>143</v>
      </c>
      <c r="I489" s="1" t="s">
        <v>1274</v>
      </c>
      <c r="J489" s="1" t="s">
        <v>1275</v>
      </c>
      <c r="K489" s="1" t="s">
        <v>1276</v>
      </c>
      <c r="L489" s="1" t="s">
        <v>1277</v>
      </c>
      <c r="M489" s="4">
        <v>-6.0</v>
      </c>
      <c r="N489" s="4">
        <v>0.009033333333333334</v>
      </c>
      <c r="O489" s="4">
        <v>44.552283333333335</v>
      </c>
    </row>
    <row r="490">
      <c r="A490" s="191">
        <v>45533.0</v>
      </c>
      <c r="B490" s="1" t="s">
        <v>149</v>
      </c>
      <c r="C490" s="1" t="s">
        <v>135</v>
      </c>
      <c r="D490" s="4">
        <v>406.0</v>
      </c>
      <c r="E490" s="4">
        <v>0.0</v>
      </c>
      <c r="F490" s="1" t="s">
        <v>1245</v>
      </c>
      <c r="G490" s="1" t="s">
        <v>150</v>
      </c>
      <c r="H490" s="1" t="s">
        <v>143</v>
      </c>
      <c r="I490" s="1" t="s">
        <v>1278</v>
      </c>
      <c r="J490" s="1" t="s">
        <v>1279</v>
      </c>
      <c r="K490" s="1" t="s">
        <v>1280</v>
      </c>
      <c r="L490" s="1" t="s">
        <v>1281</v>
      </c>
      <c r="M490" s="4">
        <v>-2.0</v>
      </c>
      <c r="N490" s="4">
        <v>0.035916666666666666</v>
      </c>
      <c r="O490" s="4">
        <v>9.806416666666667</v>
      </c>
    </row>
    <row r="491">
      <c r="A491" s="191">
        <v>45533.0</v>
      </c>
      <c r="B491" s="1" t="s">
        <v>146</v>
      </c>
      <c r="C491" s="1" t="s">
        <v>135</v>
      </c>
      <c r="D491" s="4">
        <v>329.0</v>
      </c>
      <c r="E491" s="4">
        <v>0.0</v>
      </c>
      <c r="F491" s="1" t="s">
        <v>104</v>
      </c>
      <c r="G491" s="1" t="s">
        <v>137</v>
      </c>
      <c r="H491" s="1" t="s">
        <v>138</v>
      </c>
      <c r="I491" s="1" t="s">
        <v>1282</v>
      </c>
      <c r="J491" s="1" t="s">
        <v>1283</v>
      </c>
      <c r="K491" s="1" t="s">
        <v>1283</v>
      </c>
      <c r="M491" s="4">
        <v>-4.0</v>
      </c>
      <c r="O491" s="4">
        <v>10.9901</v>
      </c>
    </row>
    <row r="492">
      <c r="A492" s="191">
        <v>45533.0</v>
      </c>
      <c r="B492" s="1" t="s">
        <v>146</v>
      </c>
      <c r="C492" s="1" t="s">
        <v>135</v>
      </c>
      <c r="D492" s="4">
        <v>174.0</v>
      </c>
      <c r="E492" s="4">
        <v>0.0</v>
      </c>
      <c r="F492" s="1" t="s">
        <v>104</v>
      </c>
      <c r="G492" s="1" t="s">
        <v>137</v>
      </c>
      <c r="H492" s="1" t="s">
        <v>138</v>
      </c>
      <c r="I492" s="1" t="s">
        <v>1284</v>
      </c>
      <c r="J492" s="1" t="s">
        <v>1285</v>
      </c>
      <c r="K492" s="1" t="s">
        <v>1285</v>
      </c>
      <c r="M492" s="4">
        <v>0.0</v>
      </c>
      <c r="O492" s="4">
        <v>14.20665</v>
      </c>
    </row>
    <row r="493">
      <c r="A493" s="191">
        <v>45533.0</v>
      </c>
      <c r="B493" s="1" t="s">
        <v>165</v>
      </c>
      <c r="C493" s="1" t="s">
        <v>166</v>
      </c>
      <c r="D493" s="4">
        <v>329.0</v>
      </c>
      <c r="E493" s="4">
        <v>0.0</v>
      </c>
      <c r="G493" s="1" t="s">
        <v>137</v>
      </c>
      <c r="H493" s="1" t="s">
        <v>138</v>
      </c>
      <c r="I493" s="1" t="s">
        <v>1286</v>
      </c>
      <c r="J493" s="1" t="s">
        <v>1287</v>
      </c>
      <c r="K493" s="1" t="s">
        <v>1287</v>
      </c>
      <c r="M493" s="4">
        <v>8.0</v>
      </c>
      <c r="O493" s="4">
        <v>20.4122</v>
      </c>
    </row>
    <row r="494">
      <c r="A494" s="191">
        <v>45533.0</v>
      </c>
      <c r="B494" s="1" t="s">
        <v>146</v>
      </c>
      <c r="C494" s="1" t="s">
        <v>135</v>
      </c>
      <c r="D494" s="4">
        <v>394.0</v>
      </c>
      <c r="E494" s="4">
        <v>0.0</v>
      </c>
      <c r="F494" s="1" t="s">
        <v>104</v>
      </c>
      <c r="G494" s="1" t="s">
        <v>137</v>
      </c>
      <c r="H494" s="1" t="s">
        <v>138</v>
      </c>
      <c r="I494" s="1" t="s">
        <v>1288</v>
      </c>
      <c r="J494" s="1" t="s">
        <v>1289</v>
      </c>
      <c r="K494" s="1" t="s">
        <v>1289</v>
      </c>
      <c r="M494" s="4">
        <v>7.0</v>
      </c>
      <c r="O494" s="4">
        <v>22.4948</v>
      </c>
    </row>
    <row r="495">
      <c r="A495" s="191">
        <v>45533.0</v>
      </c>
      <c r="B495" s="1" t="s">
        <v>165</v>
      </c>
      <c r="C495" s="1" t="s">
        <v>166</v>
      </c>
      <c r="D495" s="4">
        <v>223.0</v>
      </c>
      <c r="E495" s="4">
        <v>0.0</v>
      </c>
      <c r="G495" s="1" t="s">
        <v>137</v>
      </c>
      <c r="H495" s="1" t="s">
        <v>138</v>
      </c>
      <c r="I495" s="1" t="s">
        <v>1290</v>
      </c>
      <c r="J495" s="1" t="s">
        <v>1291</v>
      </c>
      <c r="K495" s="1" t="s">
        <v>1291</v>
      </c>
      <c r="M495" s="4">
        <v>2.0</v>
      </c>
      <c r="O495" s="4">
        <v>12.23635</v>
      </c>
    </row>
    <row r="496">
      <c r="A496" s="191">
        <v>45533.0</v>
      </c>
      <c r="B496" s="1" t="s">
        <v>149</v>
      </c>
      <c r="C496" s="1" t="s">
        <v>135</v>
      </c>
      <c r="D496" s="4">
        <v>267.0</v>
      </c>
      <c r="E496" s="4">
        <v>62.0</v>
      </c>
      <c r="G496" s="1" t="s">
        <v>142</v>
      </c>
      <c r="H496" s="1" t="s">
        <v>138</v>
      </c>
      <c r="I496" s="1" t="s">
        <v>1292</v>
      </c>
      <c r="J496" s="1" t="s">
        <v>1293</v>
      </c>
      <c r="K496" s="1" t="s">
        <v>1293</v>
      </c>
      <c r="M496" s="4">
        <v>-10.0</v>
      </c>
      <c r="O496" s="4">
        <v>8.435366666666667</v>
      </c>
    </row>
    <row r="497">
      <c r="A497" s="191">
        <v>45533.0</v>
      </c>
      <c r="B497" s="1" t="s">
        <v>149</v>
      </c>
      <c r="C497" s="1" t="s">
        <v>135</v>
      </c>
      <c r="D497" s="4">
        <v>793.0</v>
      </c>
      <c r="E497" s="4">
        <v>0.0</v>
      </c>
      <c r="F497" s="1" t="s">
        <v>1261</v>
      </c>
      <c r="G497" s="1" t="s">
        <v>150</v>
      </c>
      <c r="H497" s="1" t="s">
        <v>138</v>
      </c>
      <c r="I497" s="1" t="s">
        <v>1294</v>
      </c>
      <c r="J497" s="1" t="s">
        <v>1295</v>
      </c>
      <c r="K497" s="1" t="s">
        <v>1296</v>
      </c>
      <c r="L497" s="1" t="s">
        <v>1297</v>
      </c>
      <c r="M497" s="4">
        <v>0.0</v>
      </c>
      <c r="N497" s="4">
        <v>0.009083333333333334</v>
      </c>
      <c r="O497" s="4">
        <v>15.27185</v>
      </c>
    </row>
    <row r="498">
      <c r="A498" s="191">
        <v>45533.0</v>
      </c>
      <c r="B498" s="1" t="s">
        <v>134</v>
      </c>
      <c r="C498" s="1" t="s">
        <v>166</v>
      </c>
      <c r="D498" s="4">
        <v>249.0</v>
      </c>
      <c r="E498" s="4">
        <v>0.0</v>
      </c>
      <c r="F498" s="1" t="s">
        <v>1298</v>
      </c>
      <c r="G498" s="1" t="s">
        <v>137</v>
      </c>
      <c r="H498" s="1" t="s">
        <v>138</v>
      </c>
      <c r="I498" s="1" t="s">
        <v>1299</v>
      </c>
      <c r="J498" s="1" t="s">
        <v>1300</v>
      </c>
      <c r="K498" s="1" t="s">
        <v>1300</v>
      </c>
      <c r="M498" s="4">
        <v>0.0</v>
      </c>
      <c r="O498" s="4">
        <v>14.307033333333333</v>
      </c>
    </row>
    <row r="499">
      <c r="A499" s="191">
        <v>45533.0</v>
      </c>
      <c r="B499" s="1" t="s">
        <v>134</v>
      </c>
      <c r="C499" s="1" t="s">
        <v>166</v>
      </c>
      <c r="D499" s="4">
        <v>329.0</v>
      </c>
      <c r="E499" s="4">
        <v>0.0</v>
      </c>
      <c r="F499" s="1" t="s">
        <v>1301</v>
      </c>
      <c r="G499" s="1" t="s">
        <v>137</v>
      </c>
      <c r="H499" s="1" t="s">
        <v>138</v>
      </c>
      <c r="I499" s="1" t="s">
        <v>1302</v>
      </c>
      <c r="J499" s="1" t="s">
        <v>1303</v>
      </c>
      <c r="K499" s="1" t="s">
        <v>1303</v>
      </c>
      <c r="M499" s="4">
        <v>3.0</v>
      </c>
      <c r="O499" s="4">
        <v>18.439733333333333</v>
      </c>
    </row>
    <row r="500">
      <c r="A500" s="191">
        <v>45533.0</v>
      </c>
      <c r="B500" s="1" t="s">
        <v>149</v>
      </c>
      <c r="C500" s="1" t="s">
        <v>135</v>
      </c>
      <c r="D500" s="4">
        <v>356.0</v>
      </c>
      <c r="E500" s="4">
        <v>62.0</v>
      </c>
      <c r="G500" s="1" t="s">
        <v>142</v>
      </c>
      <c r="H500" s="1" t="s">
        <v>138</v>
      </c>
      <c r="I500" s="1" t="s">
        <v>1304</v>
      </c>
      <c r="J500" s="1" t="s">
        <v>1305</v>
      </c>
      <c r="K500" s="1" t="s">
        <v>1305</v>
      </c>
      <c r="M500" s="4">
        <v>-5.0</v>
      </c>
      <c r="O500" s="4">
        <v>13.493116666666667</v>
      </c>
    </row>
    <row r="501">
      <c r="A501" s="191">
        <v>45533.0</v>
      </c>
      <c r="B501" s="1" t="s">
        <v>149</v>
      </c>
      <c r="C501" s="1" t="s">
        <v>135</v>
      </c>
      <c r="D501" s="4">
        <v>395.0</v>
      </c>
      <c r="E501" s="4">
        <v>0.0</v>
      </c>
      <c r="F501" s="1" t="s">
        <v>1245</v>
      </c>
      <c r="G501" s="1" t="s">
        <v>150</v>
      </c>
      <c r="H501" s="1" t="s">
        <v>138</v>
      </c>
      <c r="I501" s="1" t="s">
        <v>1306</v>
      </c>
      <c r="J501" s="1" t="s">
        <v>1307</v>
      </c>
      <c r="K501" s="1" t="s">
        <v>1308</v>
      </c>
      <c r="L501" s="1" t="s">
        <v>1309</v>
      </c>
      <c r="M501" s="4">
        <v>1.0</v>
      </c>
      <c r="N501" s="4">
        <v>0.019066666666666666</v>
      </c>
      <c r="O501" s="4">
        <v>8.9543</v>
      </c>
    </row>
    <row r="502">
      <c r="A502" s="191">
        <v>45533.0</v>
      </c>
      <c r="B502" s="1" t="s">
        <v>149</v>
      </c>
      <c r="C502" s="1" t="s">
        <v>135</v>
      </c>
      <c r="D502" s="4">
        <v>294.0</v>
      </c>
      <c r="E502" s="4">
        <v>15.0</v>
      </c>
      <c r="F502" s="1" t="s">
        <v>1245</v>
      </c>
      <c r="G502" s="1" t="s">
        <v>150</v>
      </c>
      <c r="H502" s="1" t="s">
        <v>138</v>
      </c>
      <c r="I502" s="1" t="s">
        <v>1310</v>
      </c>
      <c r="J502" s="1" t="s">
        <v>1311</v>
      </c>
      <c r="K502" s="1" t="s">
        <v>1312</v>
      </c>
      <c r="L502" s="1" t="s">
        <v>1313</v>
      </c>
      <c r="M502" s="4">
        <v>-6.0</v>
      </c>
      <c r="N502" s="4">
        <v>0.00925</v>
      </c>
      <c r="O502" s="4">
        <v>8.919216666666667</v>
      </c>
    </row>
    <row r="503">
      <c r="A503" s="191">
        <v>45533.0</v>
      </c>
      <c r="B503" s="1" t="s">
        <v>149</v>
      </c>
      <c r="C503" s="1" t="s">
        <v>135</v>
      </c>
      <c r="D503" s="4">
        <v>467.0</v>
      </c>
      <c r="E503" s="4">
        <v>0.0</v>
      </c>
      <c r="F503" s="1" t="s">
        <v>1245</v>
      </c>
      <c r="G503" s="1" t="s">
        <v>150</v>
      </c>
      <c r="H503" s="1" t="s">
        <v>138</v>
      </c>
      <c r="I503" s="1" t="s">
        <v>1314</v>
      </c>
      <c r="J503" s="1" t="s">
        <v>1315</v>
      </c>
      <c r="K503" s="1" t="s">
        <v>1316</v>
      </c>
      <c r="L503" s="1" t="s">
        <v>1317</v>
      </c>
      <c r="M503" s="4">
        <v>-5.0</v>
      </c>
      <c r="N503" s="4">
        <v>0.010916666666666667</v>
      </c>
      <c r="O503" s="4">
        <v>10.572066666666666</v>
      </c>
    </row>
    <row r="504">
      <c r="A504" s="191">
        <v>45533.0</v>
      </c>
      <c r="B504" s="1" t="s">
        <v>149</v>
      </c>
      <c r="C504" s="1" t="s">
        <v>135</v>
      </c>
      <c r="D504" s="4">
        <v>358.0</v>
      </c>
      <c r="E504" s="4">
        <v>0.0</v>
      </c>
      <c r="F504" s="1" t="s">
        <v>1261</v>
      </c>
      <c r="G504" s="1" t="s">
        <v>150</v>
      </c>
      <c r="H504" s="1" t="s">
        <v>138</v>
      </c>
      <c r="I504" s="1" t="s">
        <v>1318</v>
      </c>
      <c r="J504" s="1" t="s">
        <v>1319</v>
      </c>
      <c r="K504" s="1" t="s">
        <v>1320</v>
      </c>
      <c r="L504" s="1" t="s">
        <v>1321</v>
      </c>
      <c r="M504" s="4">
        <v>-11.0</v>
      </c>
      <c r="N504" s="4">
        <v>0.009833333333333333</v>
      </c>
      <c r="O504" s="4">
        <v>5.908183333333334</v>
      </c>
    </row>
    <row r="505">
      <c r="A505" s="191">
        <v>45533.0</v>
      </c>
      <c r="B505" s="1" t="s">
        <v>165</v>
      </c>
      <c r="C505" s="1" t="s">
        <v>135</v>
      </c>
      <c r="D505" s="4">
        <v>434.0</v>
      </c>
      <c r="E505" s="4">
        <v>0.0</v>
      </c>
      <c r="G505" s="1" t="s">
        <v>137</v>
      </c>
      <c r="H505" s="1" t="s">
        <v>138</v>
      </c>
      <c r="I505" s="1" t="s">
        <v>1322</v>
      </c>
      <c r="J505" s="1" t="s">
        <v>1323</v>
      </c>
      <c r="K505" s="1" t="s">
        <v>1323</v>
      </c>
      <c r="M505" s="4">
        <v>2.0</v>
      </c>
      <c r="O505" s="4">
        <v>15.497816666666667</v>
      </c>
    </row>
    <row r="506">
      <c r="A506" s="191">
        <v>45533.0</v>
      </c>
      <c r="B506" s="1" t="s">
        <v>149</v>
      </c>
      <c r="C506" s="1" t="s">
        <v>135</v>
      </c>
      <c r="D506" s="4">
        <v>358.0</v>
      </c>
      <c r="E506" s="4">
        <v>0.0</v>
      </c>
      <c r="F506" s="1" t="s">
        <v>1261</v>
      </c>
      <c r="G506" s="1" t="s">
        <v>150</v>
      </c>
      <c r="H506" s="1" t="s">
        <v>138</v>
      </c>
      <c r="I506" s="1" t="s">
        <v>1324</v>
      </c>
      <c r="J506" s="1" t="s">
        <v>1325</v>
      </c>
      <c r="K506" s="1" t="s">
        <v>1326</v>
      </c>
      <c r="L506" s="1" t="s">
        <v>1327</v>
      </c>
      <c r="M506" s="4">
        <v>4.0</v>
      </c>
      <c r="N506" s="4">
        <v>0.0092</v>
      </c>
      <c r="O506" s="4">
        <v>9.260583333333333</v>
      </c>
    </row>
    <row r="507">
      <c r="A507" s="191">
        <v>45533.0</v>
      </c>
      <c r="B507" s="1" t="s">
        <v>146</v>
      </c>
      <c r="C507" s="1" t="s">
        <v>135</v>
      </c>
      <c r="D507" s="4">
        <v>213.0</v>
      </c>
      <c r="E507" s="4">
        <v>0.0</v>
      </c>
      <c r="F507" s="1" t="s">
        <v>104</v>
      </c>
      <c r="G507" s="1" t="s">
        <v>137</v>
      </c>
      <c r="H507" s="1" t="s">
        <v>138</v>
      </c>
      <c r="I507" s="1" t="s">
        <v>1328</v>
      </c>
      <c r="J507" s="1" t="s">
        <v>1329</v>
      </c>
      <c r="K507" s="1" t="s">
        <v>1329</v>
      </c>
      <c r="M507" s="4">
        <v>-7.0</v>
      </c>
      <c r="O507" s="4">
        <v>7.72605</v>
      </c>
    </row>
    <row r="508">
      <c r="A508" s="191">
        <v>45533.0</v>
      </c>
      <c r="B508" s="1" t="s">
        <v>149</v>
      </c>
      <c r="C508" s="1" t="s">
        <v>135</v>
      </c>
      <c r="D508" s="4">
        <v>316.0</v>
      </c>
      <c r="E508" s="4">
        <v>62.0</v>
      </c>
      <c r="G508" s="1" t="s">
        <v>142</v>
      </c>
      <c r="H508" s="1" t="s">
        <v>143</v>
      </c>
      <c r="I508" s="1" t="s">
        <v>1330</v>
      </c>
      <c r="J508" s="1" t="s">
        <v>1331</v>
      </c>
      <c r="K508" s="1" t="s">
        <v>1331</v>
      </c>
      <c r="M508" s="4">
        <v>-8.0</v>
      </c>
      <c r="O508" s="4">
        <v>10.668033333333334</v>
      </c>
    </row>
    <row r="509">
      <c r="A509" s="191">
        <v>45533.0</v>
      </c>
      <c r="B509" s="1" t="s">
        <v>149</v>
      </c>
      <c r="C509" s="1" t="s">
        <v>135</v>
      </c>
      <c r="D509" s="4">
        <v>199.0</v>
      </c>
      <c r="E509" s="4">
        <v>50.0</v>
      </c>
      <c r="G509" s="1" t="s">
        <v>142</v>
      </c>
      <c r="H509" s="1" t="s">
        <v>232</v>
      </c>
      <c r="I509" s="1" t="s">
        <v>1332</v>
      </c>
      <c r="J509" s="1" t="s">
        <v>1333</v>
      </c>
      <c r="K509" s="1" t="s">
        <v>1333</v>
      </c>
      <c r="M509" s="4">
        <v>-8.0</v>
      </c>
      <c r="O509" s="4">
        <v>11.402033333333334</v>
      </c>
    </row>
    <row r="510">
      <c r="A510" s="191">
        <v>45533.0</v>
      </c>
      <c r="B510" s="1" t="s">
        <v>146</v>
      </c>
      <c r="C510" s="1" t="s">
        <v>135</v>
      </c>
      <c r="D510" s="4">
        <v>224.0</v>
      </c>
      <c r="E510" s="4">
        <v>0.0</v>
      </c>
      <c r="F510" s="1" t="s">
        <v>104</v>
      </c>
      <c r="G510" s="1" t="s">
        <v>137</v>
      </c>
      <c r="H510" s="1" t="s">
        <v>138</v>
      </c>
      <c r="I510" s="1" t="s">
        <v>1334</v>
      </c>
      <c r="J510" s="1" t="s">
        <v>1335</v>
      </c>
      <c r="K510" s="1" t="s">
        <v>1335</v>
      </c>
      <c r="M510" s="4">
        <v>-2.0</v>
      </c>
      <c r="O510" s="4">
        <v>12.19705</v>
      </c>
    </row>
    <row r="511">
      <c r="A511" s="191">
        <v>45533.0</v>
      </c>
      <c r="B511" s="1" t="s">
        <v>146</v>
      </c>
      <c r="C511" s="1" t="s">
        <v>135</v>
      </c>
      <c r="D511" s="4">
        <v>673.0</v>
      </c>
      <c r="E511" s="4">
        <v>0.0</v>
      </c>
      <c r="F511" s="1" t="s">
        <v>104</v>
      </c>
      <c r="G511" s="1" t="s">
        <v>137</v>
      </c>
      <c r="H511" s="1" t="s">
        <v>138</v>
      </c>
      <c r="I511" s="1" t="s">
        <v>1336</v>
      </c>
      <c r="J511" s="1" t="s">
        <v>1337</v>
      </c>
      <c r="K511" s="1" t="s">
        <v>1337</v>
      </c>
      <c r="M511" s="4">
        <v>0.0</v>
      </c>
      <c r="O511" s="4">
        <v>15.725666666666667</v>
      </c>
    </row>
    <row r="512">
      <c r="A512" s="191">
        <v>45533.0</v>
      </c>
      <c r="B512" s="1" t="s">
        <v>149</v>
      </c>
      <c r="C512" s="1" t="s">
        <v>135</v>
      </c>
      <c r="D512" s="4">
        <v>390.0</v>
      </c>
      <c r="E512" s="4">
        <v>20.0</v>
      </c>
      <c r="F512" s="1" t="s">
        <v>1245</v>
      </c>
      <c r="G512" s="1" t="s">
        <v>150</v>
      </c>
      <c r="H512" s="1" t="s">
        <v>143</v>
      </c>
      <c r="I512" s="1" t="s">
        <v>1338</v>
      </c>
      <c r="J512" s="1" t="s">
        <v>1339</v>
      </c>
      <c r="K512" s="1" t="s">
        <v>1340</v>
      </c>
      <c r="L512" s="1" t="s">
        <v>1341</v>
      </c>
      <c r="M512" s="4">
        <v>0.0</v>
      </c>
      <c r="N512" s="4">
        <v>0.017116666666666665</v>
      </c>
      <c r="O512" s="4">
        <v>11.154466666666666</v>
      </c>
    </row>
    <row r="513">
      <c r="A513" s="191">
        <v>45533.0</v>
      </c>
      <c r="B513" s="1" t="s">
        <v>165</v>
      </c>
      <c r="C513" s="1" t="s">
        <v>135</v>
      </c>
      <c r="D513" s="4">
        <v>378.0</v>
      </c>
      <c r="E513" s="4">
        <v>0.0</v>
      </c>
      <c r="G513" s="1" t="s">
        <v>137</v>
      </c>
      <c r="H513" s="1" t="s">
        <v>138</v>
      </c>
      <c r="I513" s="1" t="s">
        <v>1342</v>
      </c>
      <c r="J513" s="1" t="s">
        <v>1343</v>
      </c>
      <c r="K513" s="1" t="s">
        <v>1343</v>
      </c>
      <c r="M513" s="4">
        <v>0.0</v>
      </c>
      <c r="O513" s="4">
        <v>12.543433333333333</v>
      </c>
    </row>
    <row r="514">
      <c r="A514" s="191">
        <v>45533.0</v>
      </c>
      <c r="B514" s="1" t="s">
        <v>146</v>
      </c>
      <c r="C514" s="1" t="s">
        <v>135</v>
      </c>
      <c r="D514" s="4">
        <v>289.0</v>
      </c>
      <c r="E514" s="4">
        <v>0.0</v>
      </c>
      <c r="F514" s="1" t="s">
        <v>104</v>
      </c>
      <c r="G514" s="1" t="s">
        <v>137</v>
      </c>
      <c r="H514" s="1" t="s">
        <v>138</v>
      </c>
      <c r="I514" s="1" t="s">
        <v>1344</v>
      </c>
      <c r="J514" s="1" t="s">
        <v>1345</v>
      </c>
      <c r="K514" s="1" t="s">
        <v>1345</v>
      </c>
      <c r="M514" s="4">
        <v>-3.0</v>
      </c>
      <c r="O514" s="4">
        <v>11.147333333333334</v>
      </c>
    </row>
    <row r="515">
      <c r="A515" s="191">
        <v>45533.0</v>
      </c>
      <c r="B515" s="1" t="s">
        <v>134</v>
      </c>
      <c r="C515" s="1" t="s">
        <v>166</v>
      </c>
      <c r="D515" s="4">
        <v>1157.0</v>
      </c>
      <c r="E515" s="4">
        <v>0.0</v>
      </c>
      <c r="F515" s="1" t="s">
        <v>1346</v>
      </c>
      <c r="G515" s="1" t="s">
        <v>137</v>
      </c>
      <c r="H515" s="1" t="s">
        <v>138</v>
      </c>
      <c r="I515" s="1" t="s">
        <v>1347</v>
      </c>
      <c r="J515" s="1" t="s">
        <v>1348</v>
      </c>
      <c r="K515" s="1" t="s">
        <v>1348</v>
      </c>
      <c r="M515" s="4">
        <v>-7.0</v>
      </c>
      <c r="O515" s="4">
        <v>14.692016666666667</v>
      </c>
    </row>
    <row r="516">
      <c r="A516" s="191">
        <v>45533.0</v>
      </c>
      <c r="B516" s="1" t="s">
        <v>149</v>
      </c>
      <c r="C516" s="1" t="s">
        <v>135</v>
      </c>
      <c r="D516" s="4">
        <v>191.0</v>
      </c>
      <c r="E516" s="4">
        <v>58.0</v>
      </c>
      <c r="G516" s="1" t="s">
        <v>142</v>
      </c>
      <c r="H516" s="1" t="s">
        <v>143</v>
      </c>
      <c r="I516" s="1" t="s">
        <v>1349</v>
      </c>
      <c r="J516" s="1" t="s">
        <v>1350</v>
      </c>
      <c r="K516" s="1" t="s">
        <v>1350</v>
      </c>
      <c r="M516" s="4">
        <v>-11.0</v>
      </c>
      <c r="O516" s="4">
        <v>8.025183333333333</v>
      </c>
    </row>
    <row r="517">
      <c r="A517" s="191">
        <v>45533.0</v>
      </c>
      <c r="B517" s="1" t="s">
        <v>141</v>
      </c>
      <c r="C517" s="1" t="s">
        <v>135</v>
      </c>
      <c r="D517" s="4">
        <v>309.0</v>
      </c>
      <c r="E517" s="4">
        <v>0.0</v>
      </c>
      <c r="G517" s="1" t="s">
        <v>142</v>
      </c>
      <c r="H517" s="1" t="s">
        <v>143</v>
      </c>
      <c r="I517" s="1" t="s">
        <v>1351</v>
      </c>
      <c r="J517" s="1" t="s">
        <v>1352</v>
      </c>
      <c r="K517" s="1" t="s">
        <v>1352</v>
      </c>
      <c r="M517" s="4">
        <v>-4.0</v>
      </c>
      <c r="O517" s="4">
        <v>0.444</v>
      </c>
    </row>
    <row r="518">
      <c r="A518" s="191">
        <v>45533.0</v>
      </c>
      <c r="B518" s="1" t="s">
        <v>165</v>
      </c>
      <c r="C518" s="1" t="s">
        <v>166</v>
      </c>
      <c r="D518" s="4">
        <v>378.0</v>
      </c>
      <c r="E518" s="4">
        <v>150.0</v>
      </c>
      <c r="G518" s="1" t="s">
        <v>137</v>
      </c>
      <c r="H518" s="1" t="s">
        <v>138</v>
      </c>
      <c r="I518" s="1" t="s">
        <v>1353</v>
      </c>
      <c r="J518" s="1" t="s">
        <v>1354</v>
      </c>
      <c r="K518" s="1" t="s">
        <v>1354</v>
      </c>
      <c r="M518" s="4">
        <v>-4.0</v>
      </c>
      <c r="O518" s="4">
        <v>9.204783333333333</v>
      </c>
    </row>
    <row r="519">
      <c r="A519" s="191">
        <v>45533.0</v>
      </c>
      <c r="B519" s="1" t="s">
        <v>134</v>
      </c>
      <c r="C519" s="1" t="s">
        <v>166</v>
      </c>
      <c r="D519" s="4">
        <v>273.0</v>
      </c>
      <c r="E519" s="4">
        <v>0.0</v>
      </c>
      <c r="F519" s="1" t="s">
        <v>1355</v>
      </c>
      <c r="G519" s="1" t="s">
        <v>137</v>
      </c>
      <c r="H519" s="1" t="s">
        <v>138</v>
      </c>
      <c r="I519" s="1" t="s">
        <v>1356</v>
      </c>
      <c r="J519" s="1" t="s">
        <v>1357</v>
      </c>
      <c r="K519" s="1" t="s">
        <v>1357</v>
      </c>
      <c r="M519" s="4">
        <v>-4.0</v>
      </c>
      <c r="O519" s="4">
        <v>11.15605</v>
      </c>
    </row>
    <row r="520">
      <c r="A520" s="191">
        <v>45533.0</v>
      </c>
      <c r="B520" s="1" t="s">
        <v>149</v>
      </c>
      <c r="C520" s="1" t="s">
        <v>135</v>
      </c>
      <c r="D520" s="4">
        <v>567.0</v>
      </c>
      <c r="E520" s="4">
        <v>0.0</v>
      </c>
      <c r="F520" s="1" t="s">
        <v>1261</v>
      </c>
      <c r="G520" s="1" t="s">
        <v>150</v>
      </c>
      <c r="H520" s="1" t="s">
        <v>138</v>
      </c>
      <c r="I520" s="1" t="s">
        <v>1358</v>
      </c>
      <c r="J520" s="1" t="s">
        <v>1359</v>
      </c>
      <c r="K520" s="1" t="s">
        <v>1360</v>
      </c>
      <c r="L520" s="1" t="s">
        <v>1361</v>
      </c>
      <c r="M520" s="4">
        <v>-3.0</v>
      </c>
      <c r="N520" s="4">
        <v>0.012083333333333333</v>
      </c>
      <c r="O520" s="4">
        <v>3.9452833333333333</v>
      </c>
    </row>
    <row r="521">
      <c r="A521" s="191">
        <v>45533.0</v>
      </c>
      <c r="B521" s="1" t="s">
        <v>165</v>
      </c>
      <c r="C521" s="1" t="s">
        <v>135</v>
      </c>
      <c r="D521" s="4">
        <v>788.0</v>
      </c>
      <c r="E521" s="4">
        <v>0.0</v>
      </c>
      <c r="G521" s="1" t="s">
        <v>137</v>
      </c>
      <c r="H521" s="1" t="s">
        <v>138</v>
      </c>
      <c r="I521" s="1" t="s">
        <v>1362</v>
      </c>
      <c r="J521" s="1" t="s">
        <v>1363</v>
      </c>
      <c r="K521" s="1" t="s">
        <v>1363</v>
      </c>
      <c r="M521" s="4">
        <v>2.0</v>
      </c>
      <c r="O521" s="4">
        <v>18.416833333333333</v>
      </c>
    </row>
    <row r="522">
      <c r="A522" s="191">
        <v>45533.0</v>
      </c>
      <c r="B522" s="1" t="s">
        <v>149</v>
      </c>
      <c r="C522" s="1" t="s">
        <v>135</v>
      </c>
      <c r="D522" s="4">
        <v>299.0</v>
      </c>
      <c r="E522" s="4">
        <v>0.0</v>
      </c>
      <c r="F522" s="1" t="s">
        <v>1261</v>
      </c>
      <c r="G522" s="1" t="s">
        <v>150</v>
      </c>
      <c r="H522" s="1" t="s">
        <v>138</v>
      </c>
      <c r="I522" s="1" t="s">
        <v>1364</v>
      </c>
      <c r="J522" s="1" t="s">
        <v>1365</v>
      </c>
      <c r="K522" s="1" t="s">
        <v>1366</v>
      </c>
      <c r="L522" s="1" t="s">
        <v>1367</v>
      </c>
      <c r="M522" s="4">
        <v>-1.0</v>
      </c>
      <c r="N522" s="4">
        <v>0.009833333333333333</v>
      </c>
      <c r="O522" s="4">
        <v>8.033133333333334</v>
      </c>
    </row>
    <row r="523">
      <c r="A523" s="191">
        <v>45533.0</v>
      </c>
      <c r="B523" s="1" t="s">
        <v>165</v>
      </c>
      <c r="C523" s="1" t="s">
        <v>166</v>
      </c>
      <c r="D523" s="4">
        <v>313.0</v>
      </c>
      <c r="E523" s="4">
        <v>0.0</v>
      </c>
      <c r="G523" s="1" t="s">
        <v>137</v>
      </c>
      <c r="H523" s="1" t="s">
        <v>138</v>
      </c>
      <c r="I523" s="1" t="s">
        <v>1368</v>
      </c>
      <c r="J523" s="1" t="s">
        <v>1369</v>
      </c>
      <c r="K523" s="1" t="s">
        <v>1369</v>
      </c>
      <c r="M523" s="4">
        <v>-1.0</v>
      </c>
      <c r="O523" s="4">
        <v>10.6254</v>
      </c>
    </row>
    <row r="524">
      <c r="A524" s="191">
        <v>45533.0</v>
      </c>
      <c r="B524" s="1" t="s">
        <v>146</v>
      </c>
      <c r="C524" s="1" t="s">
        <v>135</v>
      </c>
      <c r="D524" s="4">
        <v>289.0</v>
      </c>
      <c r="E524" s="4">
        <v>0.0</v>
      </c>
      <c r="F524" s="1" t="s">
        <v>104</v>
      </c>
      <c r="G524" s="1" t="s">
        <v>137</v>
      </c>
      <c r="H524" s="1" t="s">
        <v>138</v>
      </c>
      <c r="I524" s="1" t="s">
        <v>1370</v>
      </c>
      <c r="J524" s="1" t="s">
        <v>1371</v>
      </c>
      <c r="K524" s="1" t="s">
        <v>1371</v>
      </c>
      <c r="M524" s="4">
        <v>0.0</v>
      </c>
      <c r="O524" s="4">
        <v>15.28655</v>
      </c>
    </row>
    <row r="525">
      <c r="A525" s="191">
        <v>45533.0</v>
      </c>
      <c r="B525" s="1" t="s">
        <v>146</v>
      </c>
      <c r="C525" s="1" t="s">
        <v>135</v>
      </c>
      <c r="D525" s="4">
        <v>471.0</v>
      </c>
      <c r="E525" s="4">
        <v>0.0</v>
      </c>
      <c r="F525" s="1" t="s">
        <v>104</v>
      </c>
      <c r="G525" s="1" t="s">
        <v>137</v>
      </c>
      <c r="H525" s="1" t="s">
        <v>138</v>
      </c>
      <c r="I525" s="1" t="s">
        <v>1372</v>
      </c>
      <c r="J525" s="1" t="s">
        <v>1373</v>
      </c>
      <c r="K525" s="1" t="s">
        <v>1373</v>
      </c>
      <c r="M525" s="4">
        <v>7.0</v>
      </c>
      <c r="O525" s="4">
        <v>22.263066666666667</v>
      </c>
    </row>
    <row r="526">
      <c r="A526" s="191">
        <v>45533.0</v>
      </c>
      <c r="B526" s="1" t="s">
        <v>165</v>
      </c>
      <c r="C526" s="1" t="s">
        <v>166</v>
      </c>
      <c r="D526" s="4">
        <v>1116.0</v>
      </c>
      <c r="E526" s="4">
        <v>0.0</v>
      </c>
      <c r="G526" s="1" t="s">
        <v>137</v>
      </c>
      <c r="H526" s="1" t="s">
        <v>138</v>
      </c>
      <c r="I526" s="1" t="s">
        <v>1374</v>
      </c>
      <c r="J526" s="1" t="s">
        <v>1375</v>
      </c>
      <c r="K526" s="1" t="s">
        <v>1375</v>
      </c>
      <c r="M526" s="4">
        <v>0.0</v>
      </c>
      <c r="O526" s="4">
        <v>18.736716666666666</v>
      </c>
    </row>
    <row r="527">
      <c r="A527" s="191">
        <v>45533.0</v>
      </c>
      <c r="B527" s="1" t="s">
        <v>149</v>
      </c>
      <c r="C527" s="1" t="s">
        <v>135</v>
      </c>
      <c r="D527" s="4">
        <v>319.0</v>
      </c>
      <c r="E527" s="4">
        <v>75.0</v>
      </c>
      <c r="G527" s="1" t="s">
        <v>142</v>
      </c>
      <c r="H527" s="1" t="s">
        <v>138</v>
      </c>
      <c r="I527" s="1" t="s">
        <v>1376</v>
      </c>
      <c r="J527" s="1" t="s">
        <v>1377</v>
      </c>
      <c r="K527" s="1" t="s">
        <v>1377</v>
      </c>
      <c r="M527" s="4">
        <v>-3.0</v>
      </c>
      <c r="O527" s="4">
        <v>15.630233333333333</v>
      </c>
    </row>
    <row r="528">
      <c r="A528" s="191">
        <v>45533.0</v>
      </c>
      <c r="B528" s="1" t="s">
        <v>165</v>
      </c>
      <c r="C528" s="1" t="s">
        <v>166</v>
      </c>
      <c r="D528" s="4">
        <v>691.0</v>
      </c>
      <c r="E528" s="4">
        <v>0.0</v>
      </c>
      <c r="G528" s="1" t="s">
        <v>137</v>
      </c>
      <c r="H528" s="1" t="s">
        <v>138</v>
      </c>
      <c r="I528" s="1" t="s">
        <v>1378</v>
      </c>
      <c r="J528" s="1" t="s">
        <v>1379</v>
      </c>
      <c r="K528" s="1" t="s">
        <v>1379</v>
      </c>
      <c r="M528" s="4">
        <v>-3.0</v>
      </c>
      <c r="O528" s="4">
        <v>10.991833333333334</v>
      </c>
    </row>
    <row r="529">
      <c r="A529" s="191">
        <v>45533.0</v>
      </c>
      <c r="B529" s="1" t="s">
        <v>149</v>
      </c>
      <c r="C529" s="1" t="s">
        <v>135</v>
      </c>
      <c r="D529" s="4">
        <v>190.0</v>
      </c>
      <c r="E529" s="4">
        <v>59.0</v>
      </c>
      <c r="G529" s="1" t="s">
        <v>142</v>
      </c>
      <c r="H529" s="1" t="s">
        <v>232</v>
      </c>
      <c r="I529" s="1" t="s">
        <v>1380</v>
      </c>
      <c r="J529" s="1" t="s">
        <v>1381</v>
      </c>
      <c r="K529" s="1" t="s">
        <v>1381</v>
      </c>
      <c r="M529" s="4">
        <v>-13.0</v>
      </c>
      <c r="O529" s="4">
        <v>12.620816666666666</v>
      </c>
    </row>
    <row r="530">
      <c r="A530" s="191">
        <v>45533.0</v>
      </c>
      <c r="B530" s="1" t="s">
        <v>146</v>
      </c>
      <c r="C530" s="1" t="s">
        <v>135</v>
      </c>
      <c r="D530" s="4">
        <v>346.0</v>
      </c>
      <c r="E530" s="4">
        <v>0.0</v>
      </c>
      <c r="F530" s="1" t="s">
        <v>104</v>
      </c>
      <c r="G530" s="1" t="s">
        <v>137</v>
      </c>
      <c r="H530" s="1" t="s">
        <v>138</v>
      </c>
      <c r="I530" s="1" t="s">
        <v>1382</v>
      </c>
      <c r="J530" s="1" t="s">
        <v>1383</v>
      </c>
      <c r="K530" s="1" t="s">
        <v>1383</v>
      </c>
      <c r="M530" s="4">
        <v>0.0</v>
      </c>
      <c r="O530" s="4">
        <v>14.621283333333333</v>
      </c>
    </row>
    <row r="531">
      <c r="A531" s="191">
        <v>45533.0</v>
      </c>
      <c r="B531" s="1" t="s">
        <v>141</v>
      </c>
      <c r="C531" s="1" t="s">
        <v>135</v>
      </c>
      <c r="D531" s="4">
        <v>119.0</v>
      </c>
      <c r="E531" s="4">
        <v>0.0</v>
      </c>
      <c r="G531" s="1" t="s">
        <v>142</v>
      </c>
      <c r="H531" s="1" t="s">
        <v>143</v>
      </c>
      <c r="I531" s="1" t="s">
        <v>1384</v>
      </c>
      <c r="J531" s="1" t="s">
        <v>1385</v>
      </c>
      <c r="K531" s="1" t="s">
        <v>1385</v>
      </c>
      <c r="M531" s="4">
        <v>6.0</v>
      </c>
      <c r="O531" s="4">
        <v>11.01285</v>
      </c>
    </row>
    <row r="532">
      <c r="A532" s="191">
        <v>45533.0</v>
      </c>
      <c r="B532" s="1" t="s">
        <v>146</v>
      </c>
      <c r="C532" s="1" t="s">
        <v>135</v>
      </c>
      <c r="D532" s="4">
        <v>299.0</v>
      </c>
      <c r="E532" s="4">
        <v>0.0</v>
      </c>
      <c r="F532" s="1" t="s">
        <v>104</v>
      </c>
      <c r="G532" s="1" t="s">
        <v>137</v>
      </c>
      <c r="H532" s="1" t="s">
        <v>138</v>
      </c>
      <c r="I532" s="1" t="s">
        <v>1386</v>
      </c>
      <c r="J532" s="1" t="s">
        <v>1387</v>
      </c>
      <c r="K532" s="1" t="s">
        <v>1387</v>
      </c>
      <c r="M532" s="4">
        <v>7.0</v>
      </c>
      <c r="O532" s="4">
        <v>22.54205</v>
      </c>
    </row>
    <row r="533">
      <c r="A533" s="191">
        <v>45533.0</v>
      </c>
      <c r="B533" s="1" t="s">
        <v>146</v>
      </c>
      <c r="C533" s="1" t="s">
        <v>135</v>
      </c>
      <c r="D533" s="4">
        <v>528.0</v>
      </c>
      <c r="E533" s="4">
        <v>0.0</v>
      </c>
      <c r="F533" s="1" t="s">
        <v>104</v>
      </c>
      <c r="G533" s="1" t="s">
        <v>137</v>
      </c>
      <c r="H533" s="1" t="s">
        <v>138</v>
      </c>
      <c r="I533" s="1" t="s">
        <v>1388</v>
      </c>
      <c r="J533" s="1" t="s">
        <v>1389</v>
      </c>
      <c r="K533" s="1" t="s">
        <v>1389</v>
      </c>
      <c r="M533" s="4">
        <v>6.0</v>
      </c>
      <c r="O533" s="4">
        <v>21.325383333333335</v>
      </c>
    </row>
    <row r="534">
      <c r="A534" s="191">
        <v>45533.0</v>
      </c>
      <c r="B534" s="1" t="s">
        <v>149</v>
      </c>
      <c r="C534" s="1" t="s">
        <v>1390</v>
      </c>
      <c r="D534" s="4">
        <v>1399.0</v>
      </c>
      <c r="E534" s="4">
        <v>0.0</v>
      </c>
      <c r="F534" s="1" t="s">
        <v>1245</v>
      </c>
      <c r="G534" s="1" t="s">
        <v>150</v>
      </c>
      <c r="H534" s="1" t="s">
        <v>138</v>
      </c>
      <c r="I534" s="1" t="s">
        <v>1391</v>
      </c>
      <c r="J534" s="1" t="s">
        <v>1392</v>
      </c>
      <c r="K534" s="1" t="s">
        <v>1393</v>
      </c>
      <c r="L534" s="1" t="s">
        <v>1394</v>
      </c>
      <c r="M534" s="4">
        <v>4.0</v>
      </c>
      <c r="N534" s="4">
        <v>0.01695</v>
      </c>
      <c r="O534" s="4">
        <v>16.753</v>
      </c>
    </row>
    <row r="535">
      <c r="A535" s="191">
        <v>45533.0</v>
      </c>
      <c r="B535" s="1" t="s">
        <v>141</v>
      </c>
      <c r="C535" s="1" t="s">
        <v>135</v>
      </c>
      <c r="D535" s="4">
        <v>45.0</v>
      </c>
      <c r="E535" s="4">
        <v>0.0</v>
      </c>
      <c r="G535" s="1" t="s">
        <v>142</v>
      </c>
      <c r="H535" s="1" t="s">
        <v>143</v>
      </c>
      <c r="I535" s="1" t="s">
        <v>1395</v>
      </c>
      <c r="J535" s="1" t="s">
        <v>1396</v>
      </c>
      <c r="K535" s="1" t="s">
        <v>1396</v>
      </c>
      <c r="M535" s="4">
        <v>-3.0</v>
      </c>
      <c r="O535" s="4">
        <v>1.3869</v>
      </c>
    </row>
    <row r="536">
      <c r="A536" s="191">
        <v>45533.0</v>
      </c>
      <c r="B536" s="1" t="s">
        <v>165</v>
      </c>
      <c r="C536" s="1" t="s">
        <v>135</v>
      </c>
      <c r="D536" s="4">
        <v>507.0</v>
      </c>
      <c r="E536" s="4">
        <v>0.0</v>
      </c>
      <c r="G536" s="1" t="s">
        <v>137</v>
      </c>
      <c r="H536" s="1" t="s">
        <v>138</v>
      </c>
      <c r="I536" s="1" t="s">
        <v>1397</v>
      </c>
      <c r="J536" s="1" t="s">
        <v>1398</v>
      </c>
      <c r="K536" s="1" t="s">
        <v>1398</v>
      </c>
      <c r="M536" s="4">
        <v>-1.0</v>
      </c>
      <c r="O536" s="4">
        <v>11.87905</v>
      </c>
    </row>
    <row r="537">
      <c r="A537" s="191">
        <v>45533.0</v>
      </c>
      <c r="B537" s="1" t="s">
        <v>149</v>
      </c>
      <c r="C537" s="1" t="s">
        <v>135</v>
      </c>
      <c r="D537" s="4">
        <v>247.0</v>
      </c>
      <c r="E537" s="4">
        <v>62.0</v>
      </c>
      <c r="G537" s="1" t="s">
        <v>142</v>
      </c>
      <c r="H537" s="1" t="s">
        <v>138</v>
      </c>
      <c r="I537" s="1" t="s">
        <v>1399</v>
      </c>
      <c r="J537" s="1" t="s">
        <v>1400</v>
      </c>
      <c r="K537" s="1" t="s">
        <v>1400</v>
      </c>
      <c r="M537" s="4">
        <v>-3.0</v>
      </c>
      <c r="O537" s="4">
        <v>14.7054</v>
      </c>
    </row>
    <row r="538">
      <c r="A538" s="191">
        <v>45533.0</v>
      </c>
      <c r="B538" s="1" t="s">
        <v>165</v>
      </c>
      <c r="C538" s="1" t="s">
        <v>135</v>
      </c>
      <c r="D538" s="4">
        <v>963.0</v>
      </c>
      <c r="E538" s="4">
        <v>0.0</v>
      </c>
      <c r="G538" s="1" t="s">
        <v>137</v>
      </c>
      <c r="H538" s="1" t="s">
        <v>143</v>
      </c>
      <c r="I538" s="1" t="s">
        <v>1401</v>
      </c>
      <c r="J538" s="1" t="s">
        <v>1402</v>
      </c>
      <c r="K538" s="1" t="s">
        <v>1402</v>
      </c>
      <c r="M538" s="4">
        <v>0.0</v>
      </c>
      <c r="O538" s="4">
        <v>15.906516666666667</v>
      </c>
    </row>
    <row r="539">
      <c r="A539" s="191">
        <v>45533.0</v>
      </c>
      <c r="B539" s="1" t="s">
        <v>149</v>
      </c>
      <c r="C539" s="1" t="s">
        <v>135</v>
      </c>
      <c r="D539" s="4">
        <v>288.0</v>
      </c>
      <c r="E539" s="4">
        <v>0.0</v>
      </c>
      <c r="F539" s="1" t="s">
        <v>1403</v>
      </c>
      <c r="G539" s="1" t="s">
        <v>150</v>
      </c>
      <c r="H539" s="1" t="s">
        <v>143</v>
      </c>
      <c r="I539" s="1" t="s">
        <v>1404</v>
      </c>
      <c r="J539" s="1" t="s">
        <v>1405</v>
      </c>
      <c r="K539" s="1" t="s">
        <v>1406</v>
      </c>
      <c r="L539" s="1" t="s">
        <v>1407</v>
      </c>
      <c r="M539" s="4">
        <v>2.0</v>
      </c>
      <c r="N539" s="4">
        <v>0.009616666666666667</v>
      </c>
      <c r="O539" s="4">
        <v>13.411283333333333</v>
      </c>
    </row>
    <row r="540">
      <c r="A540" s="191">
        <v>45533.0</v>
      </c>
      <c r="B540" s="1" t="s">
        <v>165</v>
      </c>
      <c r="C540" s="1" t="s">
        <v>135</v>
      </c>
      <c r="D540" s="4">
        <v>900.0</v>
      </c>
      <c r="E540" s="4">
        <v>0.0</v>
      </c>
      <c r="G540" s="1" t="s">
        <v>137</v>
      </c>
      <c r="H540" s="1" t="s">
        <v>138</v>
      </c>
      <c r="I540" s="1" t="s">
        <v>1408</v>
      </c>
      <c r="J540" s="1" t="s">
        <v>1409</v>
      </c>
      <c r="K540" s="1" t="s">
        <v>1409</v>
      </c>
      <c r="M540" s="4">
        <v>0.0</v>
      </c>
      <c r="O540" s="4">
        <v>15.2316</v>
      </c>
    </row>
    <row r="541">
      <c r="A541" s="191">
        <v>45533.0</v>
      </c>
      <c r="B541" s="1" t="s">
        <v>165</v>
      </c>
      <c r="C541" s="1" t="s">
        <v>166</v>
      </c>
      <c r="D541" s="4">
        <v>294.0</v>
      </c>
      <c r="E541" s="4">
        <v>100.0</v>
      </c>
      <c r="G541" s="1" t="s">
        <v>137</v>
      </c>
      <c r="H541" s="1" t="s">
        <v>138</v>
      </c>
      <c r="I541" s="1" t="s">
        <v>1410</v>
      </c>
      <c r="J541" s="1" t="s">
        <v>1411</v>
      </c>
      <c r="K541" s="1" t="s">
        <v>1411</v>
      </c>
      <c r="M541" s="4">
        <v>-1.0</v>
      </c>
      <c r="O541" s="4">
        <v>10.780733333333334</v>
      </c>
    </row>
    <row r="542">
      <c r="A542" s="191">
        <v>45533.0</v>
      </c>
      <c r="B542" s="1" t="s">
        <v>165</v>
      </c>
      <c r="C542" s="1" t="s">
        <v>166</v>
      </c>
      <c r="D542" s="4">
        <v>478.0</v>
      </c>
      <c r="E542" s="4">
        <v>0.0</v>
      </c>
      <c r="G542" s="1" t="s">
        <v>137</v>
      </c>
      <c r="H542" s="1" t="s">
        <v>138</v>
      </c>
      <c r="I542" s="1" t="s">
        <v>1412</v>
      </c>
      <c r="J542" s="1" t="s">
        <v>1413</v>
      </c>
      <c r="K542" s="1" t="s">
        <v>1413</v>
      </c>
      <c r="M542" s="4">
        <v>2.0</v>
      </c>
      <c r="O542" s="4">
        <v>15.031766666666666</v>
      </c>
    </row>
    <row r="543">
      <c r="A543" s="191">
        <v>45533.0</v>
      </c>
      <c r="B543" s="1" t="s">
        <v>146</v>
      </c>
      <c r="C543" s="1" t="s">
        <v>135</v>
      </c>
      <c r="D543" s="4">
        <v>329.0</v>
      </c>
      <c r="E543" s="4">
        <v>0.0</v>
      </c>
      <c r="F543" s="1" t="s">
        <v>104</v>
      </c>
      <c r="G543" s="1" t="s">
        <v>137</v>
      </c>
      <c r="H543" s="1" t="s">
        <v>138</v>
      </c>
      <c r="I543" s="1" t="s">
        <v>1414</v>
      </c>
      <c r="J543" s="1" t="s">
        <v>1415</v>
      </c>
      <c r="K543" s="1" t="s">
        <v>1415</v>
      </c>
      <c r="M543" s="4">
        <v>-6.0</v>
      </c>
      <c r="O543" s="4">
        <v>8.838533333333332</v>
      </c>
    </row>
    <row r="544">
      <c r="A544" s="191">
        <v>45533.0</v>
      </c>
      <c r="B544" s="1" t="s">
        <v>165</v>
      </c>
      <c r="C544" s="1" t="s">
        <v>166</v>
      </c>
      <c r="D544" s="4">
        <v>567.0</v>
      </c>
      <c r="E544" s="4">
        <v>0.0</v>
      </c>
      <c r="G544" s="1" t="s">
        <v>137</v>
      </c>
      <c r="H544" s="1" t="s">
        <v>138</v>
      </c>
      <c r="I544" s="1" t="s">
        <v>1416</v>
      </c>
      <c r="J544" s="1" t="s">
        <v>1417</v>
      </c>
      <c r="K544" s="1" t="s">
        <v>1417</v>
      </c>
      <c r="M544" s="4">
        <v>0.0</v>
      </c>
      <c r="O544" s="4">
        <v>13.980116666666667</v>
      </c>
    </row>
    <row r="545">
      <c r="A545" s="191">
        <v>45533.0</v>
      </c>
      <c r="B545" s="1" t="s">
        <v>149</v>
      </c>
      <c r="C545" s="1" t="s">
        <v>135</v>
      </c>
      <c r="D545" s="4">
        <v>309.0</v>
      </c>
      <c r="E545" s="4">
        <v>0.0</v>
      </c>
      <c r="F545" s="1" t="s">
        <v>1403</v>
      </c>
      <c r="G545" s="1" t="s">
        <v>150</v>
      </c>
      <c r="H545" s="1" t="s">
        <v>138</v>
      </c>
      <c r="I545" s="1" t="s">
        <v>1418</v>
      </c>
      <c r="J545" s="1" t="s">
        <v>1419</v>
      </c>
      <c r="K545" s="1" t="s">
        <v>1420</v>
      </c>
      <c r="L545" s="1" t="s">
        <v>1421</v>
      </c>
      <c r="M545" s="4">
        <v>9.0</v>
      </c>
      <c r="N545" s="4">
        <v>0.00945</v>
      </c>
      <c r="O545" s="4">
        <v>14.340616666666667</v>
      </c>
    </row>
    <row r="546">
      <c r="A546" s="191">
        <v>45533.0</v>
      </c>
      <c r="B546" s="1" t="s">
        <v>165</v>
      </c>
      <c r="C546" s="1" t="s">
        <v>135</v>
      </c>
      <c r="D546" s="4">
        <v>691.0</v>
      </c>
      <c r="E546" s="4">
        <v>0.0</v>
      </c>
      <c r="G546" s="1" t="s">
        <v>137</v>
      </c>
      <c r="H546" s="1" t="s">
        <v>138</v>
      </c>
      <c r="I546" s="1" t="s">
        <v>1422</v>
      </c>
      <c r="J546" s="1" t="s">
        <v>1423</v>
      </c>
      <c r="K546" s="1" t="s">
        <v>1423</v>
      </c>
      <c r="M546" s="4">
        <v>0.0</v>
      </c>
      <c r="O546" s="4">
        <v>15.461483333333334</v>
      </c>
    </row>
    <row r="547">
      <c r="A547" s="191">
        <v>45533.0</v>
      </c>
      <c r="B547" s="1" t="s">
        <v>165</v>
      </c>
      <c r="C547" s="1" t="s">
        <v>135</v>
      </c>
      <c r="D547" s="4">
        <v>369.0</v>
      </c>
      <c r="E547" s="4">
        <v>100.0</v>
      </c>
      <c r="G547" s="1" t="s">
        <v>137</v>
      </c>
      <c r="H547" s="1" t="s">
        <v>138</v>
      </c>
      <c r="I547" s="1" t="s">
        <v>1424</v>
      </c>
      <c r="J547" s="1" t="s">
        <v>1425</v>
      </c>
      <c r="K547" s="1" t="s">
        <v>1425</v>
      </c>
      <c r="M547" s="4">
        <v>0.0</v>
      </c>
      <c r="O547" s="4">
        <v>11.6234</v>
      </c>
    </row>
    <row r="548">
      <c r="A548" s="191">
        <v>45533.0</v>
      </c>
      <c r="B548" s="1" t="s">
        <v>149</v>
      </c>
      <c r="C548" s="1" t="s">
        <v>135</v>
      </c>
      <c r="D548" s="4">
        <v>260.0</v>
      </c>
      <c r="E548" s="4">
        <v>0.0</v>
      </c>
      <c r="F548" s="1" t="s">
        <v>1403</v>
      </c>
      <c r="G548" s="1" t="s">
        <v>150</v>
      </c>
      <c r="H548" s="1" t="s">
        <v>138</v>
      </c>
      <c r="I548" s="1" t="s">
        <v>1426</v>
      </c>
      <c r="J548" s="1" t="s">
        <v>1427</v>
      </c>
      <c r="K548" s="1" t="s">
        <v>1428</v>
      </c>
      <c r="L548" s="1" t="s">
        <v>1429</v>
      </c>
      <c r="M548" s="4">
        <v>-9.0</v>
      </c>
      <c r="N548" s="4">
        <v>0.01595</v>
      </c>
      <c r="O548" s="4">
        <v>7.266233333333333</v>
      </c>
    </row>
    <row r="549">
      <c r="A549" s="191">
        <v>45533.0</v>
      </c>
      <c r="B549" s="1" t="s">
        <v>149</v>
      </c>
      <c r="C549" s="1" t="s">
        <v>135</v>
      </c>
      <c r="D549" s="4">
        <v>328.0</v>
      </c>
      <c r="E549" s="4">
        <v>0.0</v>
      </c>
      <c r="F549" s="1" t="s">
        <v>1403</v>
      </c>
      <c r="G549" s="1" t="s">
        <v>150</v>
      </c>
      <c r="H549" s="1" t="s">
        <v>143</v>
      </c>
      <c r="I549" s="1" t="s">
        <v>1430</v>
      </c>
      <c r="J549" s="1" t="s">
        <v>1431</v>
      </c>
      <c r="K549" s="1" t="s">
        <v>1432</v>
      </c>
      <c r="L549" s="1" t="s">
        <v>1433</v>
      </c>
      <c r="M549" s="4">
        <v>7.0</v>
      </c>
      <c r="N549" s="4">
        <v>0.00935</v>
      </c>
      <c r="O549" s="4">
        <v>10.823416666666667</v>
      </c>
    </row>
    <row r="550">
      <c r="A550" s="191">
        <v>45533.0</v>
      </c>
      <c r="B550" s="1" t="s">
        <v>141</v>
      </c>
      <c r="C550" s="1" t="s">
        <v>135</v>
      </c>
      <c r="D550" s="4">
        <v>124.5</v>
      </c>
      <c r="E550" s="4">
        <v>124.5</v>
      </c>
      <c r="G550" s="1" t="s">
        <v>142</v>
      </c>
      <c r="H550" s="1" t="s">
        <v>143</v>
      </c>
      <c r="I550" s="1" t="s">
        <v>1434</v>
      </c>
      <c r="J550" s="1" t="s">
        <v>1435</v>
      </c>
      <c r="K550" s="1" t="s">
        <v>1435</v>
      </c>
      <c r="M550" s="4">
        <v>2.0</v>
      </c>
      <c r="O550" s="4">
        <v>7.860833333333333</v>
      </c>
    </row>
    <row r="551">
      <c r="A551" s="191">
        <v>45533.0</v>
      </c>
      <c r="B551" s="1" t="s">
        <v>149</v>
      </c>
      <c r="C551" s="1" t="s">
        <v>135</v>
      </c>
      <c r="D551" s="4">
        <v>247.0</v>
      </c>
      <c r="E551" s="4">
        <v>62.0</v>
      </c>
      <c r="G551" s="1" t="s">
        <v>142</v>
      </c>
      <c r="H551" s="1" t="s">
        <v>143</v>
      </c>
      <c r="I551" s="1" t="s">
        <v>1436</v>
      </c>
      <c r="J551" s="1" t="s">
        <v>1437</v>
      </c>
      <c r="K551" s="1" t="s">
        <v>1437</v>
      </c>
      <c r="M551" s="4">
        <v>-6.0</v>
      </c>
      <c r="O551" s="4">
        <v>12.861066666666666</v>
      </c>
    </row>
    <row r="552">
      <c r="A552" s="191">
        <v>45533.0</v>
      </c>
      <c r="B552" s="1" t="s">
        <v>149</v>
      </c>
      <c r="C552" s="1" t="s">
        <v>135</v>
      </c>
      <c r="D552" s="4">
        <v>309.0</v>
      </c>
      <c r="E552" s="4">
        <v>0.0</v>
      </c>
      <c r="F552" s="1" t="s">
        <v>1403</v>
      </c>
      <c r="G552" s="1" t="s">
        <v>150</v>
      </c>
      <c r="H552" s="1" t="s">
        <v>138</v>
      </c>
      <c r="I552" s="1" t="s">
        <v>1438</v>
      </c>
      <c r="J552" s="1" t="s">
        <v>1439</v>
      </c>
      <c r="K552" s="1" t="s">
        <v>1440</v>
      </c>
      <c r="L552" s="1" t="s">
        <v>1441</v>
      </c>
      <c r="M552" s="4">
        <v>0.0</v>
      </c>
      <c r="N552" s="4">
        <v>0.010666666666666666</v>
      </c>
      <c r="O552" s="4">
        <v>17.559566666666665</v>
      </c>
    </row>
    <row r="553">
      <c r="A553" s="191">
        <v>45533.0</v>
      </c>
      <c r="B553" s="1" t="s">
        <v>165</v>
      </c>
      <c r="C553" s="1" t="s">
        <v>135</v>
      </c>
      <c r="D553" s="4">
        <v>264.0</v>
      </c>
      <c r="E553" s="4">
        <v>0.0</v>
      </c>
      <c r="G553" s="1" t="s">
        <v>137</v>
      </c>
      <c r="H553" s="1" t="s">
        <v>138</v>
      </c>
      <c r="I553" s="1" t="s">
        <v>1442</v>
      </c>
      <c r="J553" s="1" t="s">
        <v>1443</v>
      </c>
      <c r="K553" s="1" t="s">
        <v>1443</v>
      </c>
      <c r="M553" s="4">
        <v>5.0</v>
      </c>
      <c r="O553" s="4">
        <v>17.39205</v>
      </c>
    </row>
    <row r="554">
      <c r="A554" s="191">
        <v>45533.0</v>
      </c>
      <c r="B554" s="1" t="s">
        <v>165</v>
      </c>
      <c r="C554" s="1" t="s">
        <v>135</v>
      </c>
      <c r="D554" s="4">
        <v>321.0</v>
      </c>
      <c r="E554" s="4">
        <v>0.0</v>
      </c>
      <c r="G554" s="1" t="s">
        <v>137</v>
      </c>
      <c r="H554" s="1" t="s">
        <v>138</v>
      </c>
      <c r="I554" s="1" t="s">
        <v>1444</v>
      </c>
      <c r="J554" s="1" t="s">
        <v>1445</v>
      </c>
      <c r="K554" s="1" t="s">
        <v>1445</v>
      </c>
      <c r="M554" s="4">
        <v>10.0</v>
      </c>
      <c r="O554" s="4">
        <v>22.27895</v>
      </c>
    </row>
    <row r="555">
      <c r="A555" s="191">
        <v>45533.0</v>
      </c>
      <c r="B555" s="1" t="s">
        <v>141</v>
      </c>
      <c r="C555" s="1" t="s">
        <v>135</v>
      </c>
      <c r="D555" s="4">
        <v>249.0</v>
      </c>
      <c r="E555" s="4">
        <v>0.0</v>
      </c>
      <c r="G555" s="1" t="s">
        <v>142</v>
      </c>
      <c r="H555" s="1" t="s">
        <v>143</v>
      </c>
      <c r="I555" s="1" t="s">
        <v>1446</v>
      </c>
      <c r="J555" s="1" t="s">
        <v>1447</v>
      </c>
      <c r="K555" s="1" t="s">
        <v>1447</v>
      </c>
      <c r="M555" s="4">
        <v>22.0</v>
      </c>
      <c r="O555" s="4">
        <v>27.191316666666665</v>
      </c>
    </row>
    <row r="556">
      <c r="A556" s="191">
        <v>45533.0</v>
      </c>
      <c r="B556" s="1" t="s">
        <v>165</v>
      </c>
      <c r="C556" s="1" t="s">
        <v>135</v>
      </c>
      <c r="D556" s="4">
        <v>764.0</v>
      </c>
      <c r="E556" s="4">
        <v>150.0</v>
      </c>
      <c r="G556" s="1" t="s">
        <v>137</v>
      </c>
      <c r="H556" s="1" t="s">
        <v>138</v>
      </c>
      <c r="I556" s="1" t="s">
        <v>1448</v>
      </c>
      <c r="J556" s="1" t="s">
        <v>1449</v>
      </c>
      <c r="K556" s="1" t="s">
        <v>1449</v>
      </c>
      <c r="M556" s="4">
        <v>13.0</v>
      </c>
      <c r="O556" s="4">
        <v>31.034366666666667</v>
      </c>
    </row>
    <row r="557">
      <c r="A557" s="191">
        <v>45533.0</v>
      </c>
      <c r="B557" s="1" t="s">
        <v>165</v>
      </c>
      <c r="C557" s="1" t="s">
        <v>135</v>
      </c>
      <c r="D557" s="4">
        <v>214.0</v>
      </c>
      <c r="E557" s="4">
        <v>50.0</v>
      </c>
      <c r="G557" s="1" t="s">
        <v>137</v>
      </c>
      <c r="H557" s="1" t="s">
        <v>138</v>
      </c>
      <c r="I557" s="1" t="s">
        <v>1450</v>
      </c>
      <c r="J557" s="1" t="s">
        <v>1451</v>
      </c>
      <c r="K557" s="1" t="s">
        <v>1451</v>
      </c>
      <c r="M557" s="4">
        <v>27.0</v>
      </c>
      <c r="O557" s="4">
        <v>38.1054</v>
      </c>
    </row>
    <row r="558">
      <c r="A558" s="191">
        <v>45533.0</v>
      </c>
      <c r="B558" s="1" t="s">
        <v>165</v>
      </c>
      <c r="C558" s="1" t="s">
        <v>166</v>
      </c>
      <c r="D558" s="4">
        <v>264.0</v>
      </c>
      <c r="E558" s="4">
        <v>0.0</v>
      </c>
      <c r="G558" s="1" t="s">
        <v>137</v>
      </c>
      <c r="H558" s="1" t="s">
        <v>138</v>
      </c>
      <c r="I558" s="1" t="s">
        <v>1452</v>
      </c>
      <c r="J558" s="1" t="s">
        <v>1453</v>
      </c>
      <c r="K558" s="1" t="s">
        <v>1453</v>
      </c>
      <c r="M558" s="4">
        <v>4.0</v>
      </c>
      <c r="O558" s="4">
        <v>14.38005</v>
      </c>
    </row>
    <row r="559">
      <c r="A559" s="191">
        <v>45533.0</v>
      </c>
      <c r="B559" s="1" t="s">
        <v>149</v>
      </c>
      <c r="C559" s="1" t="s">
        <v>135</v>
      </c>
      <c r="D559" s="4">
        <v>267.0</v>
      </c>
      <c r="E559" s="4">
        <v>62.0</v>
      </c>
      <c r="G559" s="1" t="s">
        <v>142</v>
      </c>
      <c r="H559" s="1" t="s">
        <v>138</v>
      </c>
      <c r="I559" s="1" t="s">
        <v>1454</v>
      </c>
      <c r="J559" s="1" t="s">
        <v>1455</v>
      </c>
      <c r="K559" s="1" t="s">
        <v>1455</v>
      </c>
      <c r="M559" s="4">
        <v>2.0</v>
      </c>
      <c r="O559" s="4">
        <v>21.66535</v>
      </c>
    </row>
    <row r="560">
      <c r="A560" s="191">
        <v>45533.0</v>
      </c>
      <c r="B560" s="1" t="s">
        <v>149</v>
      </c>
      <c r="C560" s="1" t="s">
        <v>135</v>
      </c>
      <c r="D560" s="4">
        <v>2592.0</v>
      </c>
      <c r="E560" s="4">
        <v>0.0</v>
      </c>
      <c r="F560" s="1" t="s">
        <v>1403</v>
      </c>
      <c r="G560" s="1" t="s">
        <v>150</v>
      </c>
      <c r="H560" s="1" t="s">
        <v>143</v>
      </c>
      <c r="I560" s="1" t="s">
        <v>1456</v>
      </c>
      <c r="J560" s="1" t="s">
        <v>1457</v>
      </c>
      <c r="K560" s="1" t="s">
        <v>1458</v>
      </c>
      <c r="L560" s="1" t="s">
        <v>1459</v>
      </c>
      <c r="M560" s="4">
        <v>30.0</v>
      </c>
      <c r="N560" s="4">
        <v>0.011816666666666666</v>
      </c>
      <c r="O560" s="4">
        <v>35.18588333333334</v>
      </c>
    </row>
    <row r="561">
      <c r="A561" s="191">
        <v>45533.0</v>
      </c>
      <c r="B561" s="1" t="s">
        <v>149</v>
      </c>
      <c r="C561" s="1" t="s">
        <v>135</v>
      </c>
      <c r="D561" s="4">
        <v>299.0</v>
      </c>
      <c r="E561" s="4">
        <v>75.0</v>
      </c>
      <c r="G561" s="1" t="s">
        <v>142</v>
      </c>
      <c r="H561" s="1" t="s">
        <v>232</v>
      </c>
      <c r="I561" s="1" t="s">
        <v>1460</v>
      </c>
      <c r="J561" s="1" t="s">
        <v>1461</v>
      </c>
      <c r="K561" s="1" t="s">
        <v>1461</v>
      </c>
      <c r="M561" s="4">
        <v>-7.0</v>
      </c>
      <c r="O561" s="4">
        <v>12.214833333333333</v>
      </c>
    </row>
    <row r="562">
      <c r="A562" s="191">
        <v>45533.0</v>
      </c>
      <c r="B562" s="1" t="s">
        <v>141</v>
      </c>
      <c r="C562" s="1" t="s">
        <v>135</v>
      </c>
      <c r="D562" s="4">
        <v>249.0</v>
      </c>
      <c r="E562" s="4">
        <v>0.0</v>
      </c>
      <c r="G562" s="1" t="s">
        <v>142</v>
      </c>
      <c r="H562" s="1" t="s">
        <v>143</v>
      </c>
      <c r="I562" s="1" t="s">
        <v>1462</v>
      </c>
      <c r="J562" s="1" t="s">
        <v>1463</v>
      </c>
      <c r="K562" s="1" t="s">
        <v>1463</v>
      </c>
      <c r="M562" s="4">
        <v>9.0</v>
      </c>
      <c r="O562" s="4">
        <v>14.033466666666667</v>
      </c>
    </row>
    <row r="563">
      <c r="A563" s="191">
        <v>45533.0</v>
      </c>
      <c r="B563" s="1" t="s">
        <v>149</v>
      </c>
      <c r="C563" s="1" t="s">
        <v>135</v>
      </c>
      <c r="D563" s="4">
        <v>129.0</v>
      </c>
      <c r="E563" s="4">
        <v>0.0</v>
      </c>
      <c r="G563" s="1" t="s">
        <v>142</v>
      </c>
      <c r="H563" s="1" t="s">
        <v>138</v>
      </c>
      <c r="I563" s="1" t="s">
        <v>1464</v>
      </c>
      <c r="J563" s="1" t="s">
        <v>1465</v>
      </c>
      <c r="K563" s="1" t="s">
        <v>1465</v>
      </c>
      <c r="M563" s="4">
        <v>-8.0</v>
      </c>
      <c r="O563" s="4">
        <v>10.003633333333333</v>
      </c>
    </row>
    <row r="564">
      <c r="A564" s="191">
        <v>45533.0</v>
      </c>
      <c r="B564" s="1" t="s">
        <v>149</v>
      </c>
      <c r="C564" s="1" t="s">
        <v>135</v>
      </c>
      <c r="D564" s="4">
        <v>199.0</v>
      </c>
      <c r="E564" s="4">
        <v>50.0</v>
      </c>
      <c r="G564" s="1" t="s">
        <v>142</v>
      </c>
      <c r="H564" s="1" t="s">
        <v>232</v>
      </c>
      <c r="I564" s="1" t="s">
        <v>1466</v>
      </c>
      <c r="J564" s="1" t="s">
        <v>1467</v>
      </c>
      <c r="K564" s="1" t="s">
        <v>1467</v>
      </c>
      <c r="M564" s="4">
        <v>-9.0</v>
      </c>
      <c r="O564" s="4">
        <v>10.103733333333333</v>
      </c>
    </row>
    <row r="565">
      <c r="A565" s="191">
        <v>45533.0</v>
      </c>
      <c r="B565" s="1" t="s">
        <v>134</v>
      </c>
      <c r="C565" s="1" t="s">
        <v>166</v>
      </c>
      <c r="D565" s="4">
        <v>658.0</v>
      </c>
      <c r="E565" s="4">
        <v>0.0</v>
      </c>
      <c r="F565" s="1" t="s">
        <v>1468</v>
      </c>
      <c r="G565" s="1" t="s">
        <v>137</v>
      </c>
      <c r="H565" s="1" t="s">
        <v>138</v>
      </c>
      <c r="I565" s="1" t="s">
        <v>1469</v>
      </c>
      <c r="J565" s="1" t="s">
        <v>1470</v>
      </c>
      <c r="K565" s="1" t="s">
        <v>1470</v>
      </c>
      <c r="M565" s="4">
        <v>8.0</v>
      </c>
      <c r="O565" s="4">
        <v>23.89068333333333</v>
      </c>
    </row>
    <row r="566">
      <c r="A566" s="191">
        <v>45533.0</v>
      </c>
      <c r="B566" s="1" t="s">
        <v>141</v>
      </c>
      <c r="C566" s="1" t="s">
        <v>135</v>
      </c>
      <c r="D566" s="4">
        <v>309.0</v>
      </c>
      <c r="E566" s="4">
        <v>0.0</v>
      </c>
      <c r="G566" s="1" t="s">
        <v>142</v>
      </c>
      <c r="H566" s="1" t="s">
        <v>143</v>
      </c>
      <c r="I566" s="1" t="s">
        <v>1471</v>
      </c>
      <c r="J566" s="1" t="s">
        <v>1472</v>
      </c>
      <c r="K566" s="1" t="s">
        <v>1472</v>
      </c>
      <c r="M566" s="4">
        <v>-3.0</v>
      </c>
      <c r="O566" s="4">
        <v>1.73355</v>
      </c>
    </row>
    <row r="567">
      <c r="A567" s="191">
        <v>45533.0</v>
      </c>
      <c r="B567" s="1" t="s">
        <v>149</v>
      </c>
      <c r="C567" s="1" t="s">
        <v>135</v>
      </c>
      <c r="D567" s="4">
        <v>799.0</v>
      </c>
      <c r="E567" s="4">
        <v>0.0</v>
      </c>
      <c r="F567" s="1" t="s">
        <v>1403</v>
      </c>
      <c r="G567" s="1" t="s">
        <v>150</v>
      </c>
      <c r="H567" s="1" t="s">
        <v>143</v>
      </c>
      <c r="I567" s="1" t="s">
        <v>1473</v>
      </c>
      <c r="J567" s="1" t="s">
        <v>1474</v>
      </c>
      <c r="K567" s="1" t="s">
        <v>1475</v>
      </c>
      <c r="L567" s="1" t="s">
        <v>1476</v>
      </c>
      <c r="M567" s="4">
        <v>-3.0</v>
      </c>
      <c r="N567" s="4">
        <v>0.013333333333333334</v>
      </c>
      <c r="O567" s="4">
        <v>28.190266666666666</v>
      </c>
    </row>
    <row r="568">
      <c r="A568" s="191">
        <v>45533.0</v>
      </c>
      <c r="B568" s="1" t="s">
        <v>149</v>
      </c>
      <c r="C568" s="1" t="s">
        <v>135</v>
      </c>
      <c r="D568" s="4">
        <v>612.0</v>
      </c>
      <c r="E568" s="4">
        <v>0.0</v>
      </c>
      <c r="F568" s="1" t="s">
        <v>104</v>
      </c>
      <c r="G568" s="1" t="s">
        <v>150</v>
      </c>
      <c r="H568" s="1" t="s">
        <v>138</v>
      </c>
      <c r="I568" s="1" t="s">
        <v>1477</v>
      </c>
      <c r="J568" s="1" t="s">
        <v>1478</v>
      </c>
      <c r="K568" s="1" t="s">
        <v>1479</v>
      </c>
      <c r="L568" s="1" t="s">
        <v>1480</v>
      </c>
      <c r="M568" s="4">
        <v>15.0</v>
      </c>
      <c r="N568" s="4">
        <v>33.096716666666666</v>
      </c>
      <c r="O568" s="4">
        <v>36.202216666666665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2"/>
      <c r="B1" s="192"/>
      <c r="C1" s="193" t="str">
        <f>IFERROR(__xludf.DUMMYFUNCTION("IMPORTRANGE(""1TpIiNTfR1pnpn85VWQTTdvQ2Xcr0GStmWJ2UvfKxG_A"", ""Mzdy!A1:F200"")")," ")</f>
        <v> 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4">
        <f>IFERROR(__xludf.DUMMYFUNCTION("IMPORTRANGE(""1TpIiNTfR1pnpn85VWQTTdvQ2Xcr0GStmWJ2UvfKxG_A"", ""Mzdy!u1:v200"")"),46113.0)</f>
        <v>46113</v>
      </c>
      <c r="W1" s="195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</row>
    <row r="2">
      <c r="A2" s="192"/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5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  <c r="AJ2" s="192"/>
      <c r="AK2" s="192"/>
    </row>
    <row r="3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5"/>
      <c r="X3" s="192"/>
      <c r="Y3" s="192"/>
      <c r="Z3" s="192"/>
      <c r="AA3" s="192"/>
      <c r="AB3" s="192"/>
      <c r="AC3" s="192"/>
      <c r="AD3" s="192"/>
      <c r="AE3" s="192"/>
      <c r="AF3" s="192"/>
      <c r="AG3" s="192"/>
      <c r="AH3" s="192"/>
      <c r="AI3" s="192"/>
      <c r="AJ3" s="192"/>
      <c r="AK3" s="192"/>
    </row>
    <row r="4">
      <c r="A4" s="196" t="s">
        <v>1481</v>
      </c>
      <c r="B4" s="196" t="s">
        <v>1482</v>
      </c>
      <c r="C4" s="192" t="str">
        <f>IFERROR(__xludf.DUMMYFUNCTION("""COMPUTED_VALUE"""),"Manažer")</f>
        <v>Manažer</v>
      </c>
      <c r="D4" s="192" t="str">
        <f>IFERROR(__xludf.DUMMYFUNCTION("""COMPUTED_VALUE"""),"Instore")</f>
        <v>Instore</v>
      </c>
      <c r="E4" s="192" t="str">
        <f>IFERROR(__xludf.DUMMYFUNCTION("""COMPUTED_VALUE"""),"První domácí,          Pobočky max 4")</f>
        <v>První domácí,          Pobočky max 4</v>
      </c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 t="str">
        <f>IFERROR(__xludf.DUMMYFUNCTION("""COMPUTED_VALUE"""),"Suma hod.")</f>
        <v>Suma hod.</v>
      </c>
      <c r="W4" s="195" t="str">
        <f>IFERROR(__xludf.DUMMYFUNCTION("""COMPUTED_VALUE"""),"Čistá mzda")</f>
        <v>Čistá mzda</v>
      </c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</row>
    <row r="5">
      <c r="A5" s="192" t="str">
        <f>IF(AND(B5&lt;&gt;"", C5=TRUE, E5=Report!$B$1), B5, "")</f>
        <v>Nedbal Michal</v>
      </c>
      <c r="B5" s="197" t="str">
        <f>IF(OR(E5=Report!$B$1, F5=Report!$B$1, G5=Report!$B$1, H5=Report!$B$1), D5, "")</f>
        <v>Nedbal Michal</v>
      </c>
      <c r="C5" s="192" t="b">
        <f>IFERROR(__xludf.DUMMYFUNCTION("""COMPUTED_VALUE"""),TRUE)</f>
        <v>1</v>
      </c>
      <c r="D5" s="192" t="str">
        <f>IFERROR(__xludf.DUMMYFUNCTION("""COMPUTED_VALUE"""),"Nedbal Michal")</f>
        <v>Nedbal Michal</v>
      </c>
      <c r="E5" s="192" t="str">
        <f>IFERROR(__xludf.DUMMYFUNCTION("""COMPUTED_VALUE"""),"Zličín")</f>
        <v>Zličín</v>
      </c>
      <c r="F5" s="192" t="str">
        <f>IFERROR(__xludf.DUMMYFUNCTION("""COMPUTED_VALUE"""),"Malešice")</f>
        <v>Malešice</v>
      </c>
      <c r="G5" s="192" t="str">
        <f>IFERROR(__xludf.DUMMYFUNCTION("""COMPUTED_VALUE"""),"Prosek")</f>
        <v>Prosek</v>
      </c>
      <c r="H5" s="192"/>
      <c r="I5" s="192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8">
        <f>IFERROR(__xludf.DUMMYFUNCTION("""COMPUTED_VALUE"""),130.5)</f>
        <v>130.5</v>
      </c>
      <c r="W5" s="195">
        <f>IFERROR(__xludf.DUMMYFUNCTION("""COMPUTED_VALUE"""),50001.08)</f>
        <v>50001.08</v>
      </c>
      <c r="X5" s="192"/>
      <c r="Y5" s="192"/>
      <c r="Z5" s="192"/>
      <c r="AA5" s="192"/>
      <c r="AB5" s="192"/>
      <c r="AC5" s="192"/>
      <c r="AD5" s="192"/>
      <c r="AE5" s="192"/>
      <c r="AF5" s="192"/>
      <c r="AG5" s="192"/>
      <c r="AH5" s="192"/>
      <c r="AI5" s="192"/>
      <c r="AJ5" s="192"/>
      <c r="AK5" s="192"/>
    </row>
    <row r="6">
      <c r="A6" s="192" t="str">
        <f>IF(AND(B6&lt;&gt;"", C6=TRUE, E6=Report!$B$1), B6, "")</f>
        <v/>
      </c>
      <c r="B6" s="197" t="str">
        <f>IF(OR(E6=Report!$B$1, F6=Report!$B$1, G6=Report!$B$1, H6=Report!$B$1), D6, "")</f>
        <v/>
      </c>
      <c r="C6" s="192" t="b">
        <f>IFERROR(__xludf.DUMMYFUNCTION("""COMPUTED_VALUE"""),TRUE)</f>
        <v>1</v>
      </c>
      <c r="D6" s="192" t="str">
        <f>IFERROR(__xludf.DUMMYFUNCTION("""COMPUTED_VALUE"""),"Sova Martin")</f>
        <v>Sova Martin</v>
      </c>
      <c r="E6" s="192" t="str">
        <f>IFERROR(__xludf.DUMMYFUNCTION("""COMPUTED_VALUE"""),"Chodov")</f>
        <v>Chodov</v>
      </c>
      <c r="F6" s="192" t="str">
        <f>IFERROR(__xludf.DUMMYFUNCTION("""COMPUTED_VALUE"""),"Libuš")</f>
        <v>Libuš</v>
      </c>
      <c r="G6" s="192" t="str">
        <f>IFERROR(__xludf.DUMMYFUNCTION("""COMPUTED_VALUE"""),"Výroba")</f>
        <v>Výroba</v>
      </c>
      <c r="H6" s="192"/>
      <c r="I6" s="192"/>
      <c r="J6" s="192"/>
      <c r="K6" s="192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8">
        <f>IFERROR(__xludf.DUMMYFUNCTION("""COMPUTED_VALUE"""),177.5)</f>
        <v>177.5</v>
      </c>
      <c r="W6" s="195">
        <f>IFERROR(__xludf.DUMMYFUNCTION("""COMPUTED_VALUE"""),50001.08)</f>
        <v>50001.08</v>
      </c>
      <c r="X6" s="192"/>
      <c r="Y6" s="192"/>
      <c r="Z6" s="192"/>
      <c r="AA6" s="192"/>
      <c r="AB6" s="192"/>
      <c r="AC6" s="192"/>
      <c r="AD6" s="192"/>
      <c r="AE6" s="192"/>
      <c r="AF6" s="192"/>
      <c r="AG6" s="192"/>
      <c r="AH6" s="192"/>
      <c r="AI6" s="192"/>
      <c r="AJ6" s="192"/>
      <c r="AK6" s="192"/>
    </row>
    <row r="7">
      <c r="A7" s="192" t="str">
        <f>IF(AND(B7&lt;&gt;"", C7=TRUE, E7=Report!$B$1), B7, "")</f>
        <v/>
      </c>
      <c r="B7" s="197" t="str">
        <f>IF(OR(E7=Report!$B$1, F7=Report!$B$1, G7=Report!$B$1, H7=Report!$B$1), D7, "")</f>
        <v/>
      </c>
      <c r="C7" s="192" t="b">
        <f>IFERROR(__xludf.DUMMYFUNCTION("""COMPUTED_VALUE"""),TRUE)</f>
        <v>1</v>
      </c>
      <c r="D7" s="192" t="str">
        <f>IFERROR(__xludf.DUMMYFUNCTION("""COMPUTED_VALUE"""),"Paziak Viktoriia")</f>
        <v>Paziak Viktoriia</v>
      </c>
      <c r="E7" s="192" t="str">
        <f>IFERROR(__xludf.DUMMYFUNCTION("""COMPUTED_VALUE"""),"Výroba")</f>
        <v>Výroba</v>
      </c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8">
        <f>IFERROR(__xludf.DUMMYFUNCTION("""COMPUTED_VALUE"""),152.5)</f>
        <v>152.5</v>
      </c>
      <c r="W7" s="195">
        <f>IFERROR(__xludf.DUMMYFUNCTION("""COMPUTED_VALUE"""),40004.0)</f>
        <v>40004</v>
      </c>
      <c r="X7" s="192"/>
      <c r="Y7" s="192"/>
      <c r="Z7" s="192"/>
      <c r="AA7" s="192"/>
      <c r="AB7" s="192"/>
      <c r="AC7" s="192"/>
      <c r="AD7" s="192"/>
      <c r="AE7" s="192"/>
      <c r="AF7" s="192"/>
      <c r="AG7" s="192"/>
      <c r="AH7" s="192"/>
      <c r="AI7" s="192"/>
      <c r="AJ7" s="192"/>
      <c r="AK7" s="192"/>
    </row>
    <row r="8">
      <c r="A8" s="192" t="str">
        <f>IF(AND(B8&lt;&gt;"", C8=TRUE, E8=Report!$B$1), B8, "")</f>
        <v/>
      </c>
      <c r="B8" s="197" t="str">
        <f>IF(OR(E8=Report!$B$1, F8=Report!$B$1, G8=Report!$B$1, H8=Report!$B$1), D8, "")</f>
        <v/>
      </c>
      <c r="C8" s="192" t="b">
        <f>IFERROR(__xludf.DUMMYFUNCTION("""COMPUTED_VALUE"""),FALSE)</f>
        <v>0</v>
      </c>
      <c r="D8" s="192" t="str">
        <f>IFERROR(__xludf.DUMMYFUNCTION("""COMPUTED_VALUE"""),"Ahurieva Viktoriia")</f>
        <v>Ahurieva Viktoriia</v>
      </c>
      <c r="E8" s="192" t="str">
        <f>IFERROR(__xludf.DUMMYFUNCTION("""COMPUTED_VALUE"""),"Libuš")</f>
        <v>Libuš</v>
      </c>
      <c r="F8" s="192" t="str">
        <f>IFERROR(__xludf.DUMMYFUNCTION("""COMPUTED_VALUE"""),"Malešice")</f>
        <v>Malešice</v>
      </c>
      <c r="G8" s="192" t="str">
        <f>IFERROR(__xludf.DUMMYFUNCTION("""COMPUTED_VALUE"""),"Chodov")</f>
        <v>Chodov</v>
      </c>
      <c r="H8" s="192" t="str">
        <f>IFERROR(__xludf.DUMMYFUNCTION("""COMPUTED_VALUE"""),"Prosek")</f>
        <v>Prosek</v>
      </c>
      <c r="I8" s="192"/>
      <c r="J8" s="192"/>
      <c r="K8" s="192"/>
      <c r="L8" s="192"/>
      <c r="M8" s="192"/>
      <c r="N8" s="192"/>
      <c r="O8" s="192"/>
      <c r="P8" s="192"/>
      <c r="Q8" s="192"/>
      <c r="R8" s="192"/>
      <c r="S8" s="192"/>
      <c r="T8" s="192"/>
      <c r="U8" s="192"/>
      <c r="V8" s="198">
        <f>IFERROR(__xludf.DUMMYFUNCTION("""COMPUTED_VALUE"""),177.0)</f>
        <v>177</v>
      </c>
      <c r="W8" s="195">
        <f>IFERROR(__xludf.DUMMYFUNCTION("""COMPUTED_VALUE"""),50001.08)</f>
        <v>50001.08</v>
      </c>
      <c r="X8" s="192"/>
      <c r="Y8" s="192"/>
      <c r="Z8" s="192"/>
      <c r="AA8" s="192"/>
      <c r="AB8" s="192"/>
      <c r="AC8" s="192"/>
      <c r="AD8" s="192"/>
      <c r="AE8" s="192"/>
      <c r="AF8" s="192"/>
      <c r="AG8" s="192"/>
      <c r="AH8" s="192"/>
      <c r="AI8" s="192"/>
      <c r="AJ8" s="192"/>
      <c r="AK8" s="192"/>
    </row>
    <row r="9">
      <c r="A9" s="192" t="str">
        <f>IF(AND(B9&lt;&gt;"", C9=TRUE, E9=Report!$B$1), B9, "")</f>
        <v/>
      </c>
      <c r="B9" s="197" t="str">
        <f>IF(OR(E9=Report!$B$1, F9=Report!$B$1, G9=Report!$B$1, H9=Report!$B$1), D9, "")</f>
        <v/>
      </c>
      <c r="C9" s="192" t="b">
        <f>IFERROR(__xludf.DUMMYFUNCTION("""COMPUTED_VALUE"""),TRUE)</f>
        <v>1</v>
      </c>
      <c r="D9" s="192" t="str">
        <f>IFERROR(__xludf.DUMMYFUNCTION("""COMPUTED_VALUE"""),"Pešová Hana")</f>
        <v>Pešová Hana</v>
      </c>
      <c r="E9" s="192" t="str">
        <f>IFERROR(__xludf.DUMMYFUNCTION("""COMPUTED_VALUE"""),"Chodov")</f>
        <v>Chodov</v>
      </c>
      <c r="F9" s="192" t="str">
        <f>IFERROR(__xludf.DUMMYFUNCTION("""COMPUTED_VALUE"""),"Prosek")</f>
        <v>Prosek</v>
      </c>
      <c r="G9" s="192"/>
      <c r="H9" s="192"/>
      <c r="I9" s="192"/>
      <c r="J9" s="192"/>
      <c r="K9" s="192"/>
      <c r="L9" s="192"/>
      <c r="M9" s="192"/>
      <c r="N9" s="192"/>
      <c r="O9" s="192"/>
      <c r="P9" s="192"/>
      <c r="Q9" s="192"/>
      <c r="R9" s="192"/>
      <c r="S9" s="192"/>
      <c r="T9" s="192"/>
      <c r="U9" s="192"/>
      <c r="V9" s="198">
        <f>IFERROR(__xludf.DUMMYFUNCTION("""COMPUTED_VALUE"""),168.5)</f>
        <v>168.5</v>
      </c>
      <c r="W9" s="195">
        <f>IFERROR(__xludf.DUMMYFUNCTION("""COMPUTED_VALUE"""),40004.0)</f>
        <v>40004</v>
      </c>
      <c r="X9" s="192"/>
      <c r="Y9" s="192"/>
      <c r="Z9" s="192"/>
      <c r="AA9" s="192"/>
      <c r="AB9" s="192"/>
      <c r="AC9" s="192"/>
      <c r="AD9" s="192"/>
      <c r="AE9" s="192"/>
      <c r="AF9" s="192"/>
      <c r="AG9" s="192"/>
      <c r="AH9" s="192"/>
      <c r="AI9" s="192"/>
      <c r="AJ9" s="192"/>
      <c r="AK9" s="192"/>
    </row>
    <row r="10">
      <c r="A10" s="192" t="str">
        <f>IF(AND(B10&lt;&gt;"", C10=TRUE, E10=Report!$B$1), B10, "")</f>
        <v/>
      </c>
      <c r="B10" s="197" t="str">
        <f>IF(OR(E10=Report!$B$1, F10=Report!$B$1, G10=Report!$B$1, H10=Report!$B$1), D10, "")</f>
        <v/>
      </c>
      <c r="C10" s="192" t="b">
        <f>IFERROR(__xludf.DUMMYFUNCTION("""COMPUTED_VALUE"""),TRUE)</f>
        <v>1</v>
      </c>
      <c r="D10" s="192" t="str">
        <f>IFERROR(__xludf.DUMMYFUNCTION("""COMPUTED_VALUE"""),"Šebesta Tomáš")</f>
        <v>Šebesta Tomáš</v>
      </c>
      <c r="E10" s="192" t="str">
        <f>IFERROR(__xludf.DUMMYFUNCTION("""COMPUTED_VALUE"""),"Prosek")</f>
        <v>Prosek</v>
      </c>
      <c r="F10" s="192" t="str">
        <f>IFERROR(__xludf.DUMMYFUNCTION("""COMPUTED_VALUE"""),"Libuš")</f>
        <v>Libuš</v>
      </c>
      <c r="G10" s="192" t="str">
        <f>IFERROR(__xludf.DUMMYFUNCTION("""COMPUTED_VALUE"""),"Malešice")</f>
        <v>Malešice</v>
      </c>
      <c r="H10" s="192" t="str">
        <f>IFERROR(__xludf.DUMMYFUNCTION("""COMPUTED_VALUE"""),"Chodov")</f>
        <v>Chodov</v>
      </c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8">
        <f>IFERROR(__xludf.DUMMYFUNCTION("""COMPUTED_VALUE"""),177.5)</f>
        <v>177.5</v>
      </c>
      <c r="W10" s="195">
        <f>IFERROR(__xludf.DUMMYFUNCTION("""COMPUTED_VALUE"""),50001.08)</f>
        <v>50001.08</v>
      </c>
      <c r="X10" s="192"/>
      <c r="Y10" s="192"/>
      <c r="Z10" s="192"/>
      <c r="AA10" s="192"/>
      <c r="AB10" s="192"/>
      <c r="AC10" s="192"/>
      <c r="AD10" s="192"/>
      <c r="AE10" s="192"/>
      <c r="AF10" s="192"/>
      <c r="AG10" s="192"/>
      <c r="AH10" s="192"/>
      <c r="AI10" s="192"/>
      <c r="AJ10" s="192"/>
      <c r="AK10" s="192"/>
    </row>
    <row r="11">
      <c r="A11" s="192" t="str">
        <f>IF(AND(B11&lt;&gt;"", C11=TRUE, E11=Report!$B$1), B11, "")</f>
        <v/>
      </c>
      <c r="B11" s="197" t="str">
        <f>IF(OR(E11=Report!$B$1, F11=Report!$B$1, G11=Report!$B$1, H11=Report!$B$1), D11, "")</f>
        <v>Hanakova Ayuna</v>
      </c>
      <c r="C11" s="192" t="b">
        <f>IFERROR(__xludf.DUMMYFUNCTION("""COMPUTED_VALUE"""),FALSE)</f>
        <v>0</v>
      </c>
      <c r="D11" s="192" t="str">
        <f>IFERROR(__xludf.DUMMYFUNCTION("""COMPUTED_VALUE"""),"Hanakova Ayuna")</f>
        <v>Hanakova Ayuna</v>
      </c>
      <c r="E11" s="192" t="str">
        <f>IFERROR(__xludf.DUMMYFUNCTION("""COMPUTED_VALUE"""),"Zličín")</f>
        <v>Zličín</v>
      </c>
      <c r="F11" s="192"/>
      <c r="G11" s="192"/>
      <c r="H11" s="192"/>
      <c r="I11" s="192"/>
      <c r="J11" s="192"/>
      <c r="K11" s="192"/>
      <c r="L11" s="192"/>
      <c r="M11" s="192"/>
      <c r="N11" s="192"/>
      <c r="O11" s="192"/>
      <c r="P11" s="192"/>
      <c r="Q11" s="192"/>
      <c r="R11" s="192"/>
      <c r="S11" s="192"/>
      <c r="T11" s="192"/>
      <c r="U11" s="192"/>
      <c r="V11" s="198">
        <f>IFERROR(__xludf.DUMMYFUNCTION("""COMPUTED_VALUE"""),132.5)</f>
        <v>132.5</v>
      </c>
      <c r="W11" s="195">
        <f>IFERROR(__xludf.DUMMYFUNCTION("""COMPUTED_VALUE"""),24063.355)</f>
        <v>24063.355</v>
      </c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</row>
    <row r="12">
      <c r="A12" s="192" t="str">
        <f>IF(AND(B12&lt;&gt;"", C12=TRUE, E12=Report!$B$1), B12, "")</f>
        <v/>
      </c>
      <c r="B12" s="197" t="str">
        <f>IF(OR(E12=Report!$B$1, F12=Report!$B$1, G12=Report!$B$1, H12=Report!$B$1), D12, "")</f>
        <v/>
      </c>
      <c r="C12" s="192" t="b">
        <f>IFERROR(__xludf.DUMMYFUNCTION("""COMPUTED_VALUE"""),FALSE)</f>
        <v>0</v>
      </c>
      <c r="D12" s="192" t="str">
        <f>IFERROR(__xludf.DUMMYFUNCTION("""COMPUTED_VALUE"""),"Vondráček Lukáš")</f>
        <v>Vondráček Lukáš</v>
      </c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8">
        <f>IFERROR(__xludf.DUMMYFUNCTION("""COMPUTED_VALUE"""),0.0)</f>
        <v>0</v>
      </c>
      <c r="W12" s="195">
        <f>IFERROR(__xludf.DUMMYFUNCTION("""COMPUTED_VALUE"""),78000.0)</f>
        <v>78000</v>
      </c>
      <c r="X12" s="192"/>
      <c r="Y12" s="192"/>
      <c r="Z12" s="192"/>
      <c r="AA12" s="192"/>
      <c r="AB12" s="192"/>
      <c r="AC12" s="192"/>
      <c r="AD12" s="192"/>
      <c r="AE12" s="192"/>
      <c r="AF12" s="192"/>
      <c r="AG12" s="192"/>
      <c r="AH12" s="192"/>
      <c r="AI12" s="192"/>
      <c r="AJ12" s="192"/>
      <c r="AK12" s="192"/>
    </row>
    <row r="13">
      <c r="A13" s="192" t="str">
        <f>IF(AND(B13&lt;&gt;"", C13=TRUE, E13=Report!$B$1), B13, "")</f>
        <v>Veselý Ondřej</v>
      </c>
      <c r="B13" s="197" t="str">
        <f>IF(OR(E13=Report!$B$1, F13=Report!$B$1, G13=Report!$B$1, H13=Report!$B$1), D13, "")</f>
        <v>Veselý Ondřej</v>
      </c>
      <c r="C13" s="192" t="b">
        <f>IFERROR(__xludf.DUMMYFUNCTION("""COMPUTED_VALUE"""),TRUE)</f>
        <v>1</v>
      </c>
      <c r="D13" s="192" t="str">
        <f>IFERROR(__xludf.DUMMYFUNCTION("""COMPUTED_VALUE"""),"Veselý Ondřej")</f>
        <v>Veselý Ondřej</v>
      </c>
      <c r="E13" s="192" t="str">
        <f>IFERROR(__xludf.DUMMYFUNCTION("""COMPUTED_VALUE"""),"Zličín")</f>
        <v>Zličín</v>
      </c>
      <c r="F13" s="192" t="str">
        <f>IFERROR(__xludf.DUMMYFUNCTION("""COMPUTED_VALUE"""),"Malešice")</f>
        <v>Malešice</v>
      </c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R13" s="192"/>
      <c r="S13" s="192"/>
      <c r="T13" s="192"/>
      <c r="U13" s="192"/>
      <c r="V13" s="198">
        <f>IFERROR(__xludf.DUMMYFUNCTION("""COMPUTED_VALUE"""),166.5)</f>
        <v>166.5</v>
      </c>
      <c r="W13" s="195">
        <f>IFERROR(__xludf.DUMMYFUNCTION("""COMPUTED_VALUE"""),40004.0)</f>
        <v>40004</v>
      </c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</row>
    <row r="14">
      <c r="A14" s="192" t="str">
        <f>IF(AND(B14&lt;&gt;"", C14=TRUE, E14=Report!$B$1), B14, "")</f>
        <v/>
      </c>
      <c r="B14" s="197" t="str">
        <f>IF(OR(E14=Report!$B$1, F14=Report!$B$1, G14=Report!$B$1, H14=Report!$B$1), D14, "")</f>
        <v/>
      </c>
      <c r="C14" s="192" t="b">
        <f>IFERROR(__xludf.DUMMYFUNCTION("""COMPUTED_VALUE"""),FALSE)</f>
        <v>0</v>
      </c>
      <c r="D14" s="192" t="str">
        <f>IFERROR(__xludf.DUMMYFUNCTION("""COMPUTED_VALUE"""),"Coufal Jakub")</f>
        <v>Coufal Jakub</v>
      </c>
      <c r="E14" s="192" t="str">
        <f>IFERROR(__xludf.DUMMYFUNCTION("""COMPUTED_VALUE"""),"Libuš")</f>
        <v>Libuš</v>
      </c>
      <c r="F14" s="192" t="str">
        <f>IFERROR(__xludf.DUMMYFUNCTION("""COMPUTED_VALUE"""),"Malešice")</f>
        <v>Malešice</v>
      </c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R14" s="192"/>
      <c r="S14" s="192"/>
      <c r="T14" s="192"/>
      <c r="U14" s="192"/>
      <c r="V14" s="198">
        <f>IFERROR(__xludf.DUMMYFUNCTION("""COMPUTED_VALUE"""),66.0)</f>
        <v>66</v>
      </c>
      <c r="W14" s="195">
        <f>IFERROR(__xludf.DUMMYFUNCTION("""COMPUTED_VALUE"""),10910.328)</f>
        <v>10910.328</v>
      </c>
      <c r="X14" s="192"/>
      <c r="Y14" s="192"/>
      <c r="Z14" s="192"/>
      <c r="AA14" s="192"/>
      <c r="AB14" s="192"/>
      <c r="AC14" s="192"/>
      <c r="AD14" s="192"/>
      <c r="AE14" s="192"/>
      <c r="AF14" s="192"/>
      <c r="AG14" s="192"/>
      <c r="AH14" s="192"/>
      <c r="AI14" s="192"/>
      <c r="AJ14" s="192"/>
      <c r="AK14" s="192"/>
    </row>
    <row r="15">
      <c r="A15" s="192" t="str">
        <f>IF(AND(B15&lt;&gt;"", C15=TRUE, E15=Report!$B$1), B15, "")</f>
        <v/>
      </c>
      <c r="B15" s="197" t="str">
        <f>IF(OR(E15=Report!$B$1, F15=Report!$B$1, G15=Report!$B$1, H15=Report!$B$1), D15, "")</f>
        <v>Kinkorová Petra</v>
      </c>
      <c r="C15" s="192" t="b">
        <f>IFERROR(__xludf.DUMMYFUNCTION("""COMPUTED_VALUE"""),TRUE)</f>
        <v>1</v>
      </c>
      <c r="D15" s="192" t="str">
        <f>IFERROR(__xludf.DUMMYFUNCTION("""COMPUTED_VALUE"""),"Kinkorová Petra")</f>
        <v>Kinkorová Petra</v>
      </c>
      <c r="E15" s="192" t="str">
        <f>IFERROR(__xludf.DUMMYFUNCTION("""COMPUTED_VALUE"""),"Malešice")</f>
        <v>Malešice</v>
      </c>
      <c r="F15" s="192" t="str">
        <f>IFERROR(__xludf.DUMMYFUNCTION("""COMPUTED_VALUE"""),"Zličín")</f>
        <v>Zličín</v>
      </c>
      <c r="G15" s="192"/>
      <c r="H15" s="192"/>
      <c r="I15" s="192"/>
      <c r="J15" s="192"/>
      <c r="K15" s="192"/>
      <c r="L15" s="192"/>
      <c r="M15" s="192"/>
      <c r="N15" s="192"/>
      <c r="O15" s="192"/>
      <c r="P15" s="192"/>
      <c r="Q15" s="192"/>
      <c r="R15" s="192"/>
      <c r="S15" s="192"/>
      <c r="T15" s="192"/>
      <c r="U15" s="192"/>
      <c r="V15" s="198">
        <f>IFERROR(__xludf.DUMMYFUNCTION("""COMPUTED_VALUE"""),146.5)</f>
        <v>146.5</v>
      </c>
      <c r="W15" s="195">
        <f>IFERROR(__xludf.DUMMYFUNCTION("""COMPUTED_VALUE"""),40004.0)</f>
        <v>40004</v>
      </c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</row>
    <row r="16">
      <c r="A16" s="192" t="str">
        <f>IF(AND(B16&lt;&gt;"", C16=TRUE, E16=Report!$B$1), B16, "")</f>
        <v/>
      </c>
      <c r="B16" s="197" t="str">
        <f>IF(OR(E16=Report!$B$1, F16=Report!$B$1, G16=Report!$B$1, H16=Report!$B$1), D16, "")</f>
        <v/>
      </c>
      <c r="C16" s="192" t="b">
        <f>IFERROR(__xludf.DUMMYFUNCTION("""COMPUTED_VALUE"""),TRUE)</f>
        <v>1</v>
      </c>
      <c r="D16" s="192" t="str">
        <f>IFERROR(__xludf.DUMMYFUNCTION("""COMPUTED_VALUE"""),"Nováková Adéla")</f>
        <v>Nováková Adéla</v>
      </c>
      <c r="E16" s="192" t="str">
        <f>IFERROR(__xludf.DUMMYFUNCTION("""COMPUTED_VALUE"""),"Prosek")</f>
        <v>Prosek</v>
      </c>
      <c r="F16" s="192" t="str">
        <f>IFERROR(__xludf.DUMMYFUNCTION("""COMPUTED_VALUE"""),"Malešice")</f>
        <v>Malešice</v>
      </c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8">
        <f>IFERROR(__xludf.DUMMYFUNCTION("""COMPUTED_VALUE"""),177.0)</f>
        <v>177</v>
      </c>
      <c r="W16" s="195">
        <f>IFERROR(__xludf.DUMMYFUNCTION("""COMPUTED_VALUE"""),40004.0)</f>
        <v>40004</v>
      </c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</row>
    <row r="17">
      <c r="A17" s="192" t="str">
        <f>IF(AND(B17&lt;&gt;"", C17=TRUE, E17=Report!$B$1), B17, "")</f>
        <v/>
      </c>
      <c r="B17" s="197" t="str">
        <f>IF(OR(E17=Report!$B$1, F17=Report!$B$1, G17=Report!$B$1, H17=Report!$B$1), D17, "")</f>
        <v>Pechová Barbora</v>
      </c>
      <c r="C17" s="192" t="b">
        <f>IFERROR(__xludf.DUMMYFUNCTION("""COMPUTED_VALUE"""),FALSE)</f>
        <v>0</v>
      </c>
      <c r="D17" s="192" t="str">
        <f>IFERROR(__xludf.DUMMYFUNCTION("""COMPUTED_VALUE"""),"Pechová Barbora")</f>
        <v>Pechová Barbora</v>
      </c>
      <c r="E17" s="192" t="str">
        <f>IFERROR(__xludf.DUMMYFUNCTION("""COMPUTED_VALUE"""),"Zličín")</f>
        <v>Zličín</v>
      </c>
      <c r="F17" s="192"/>
      <c r="G17" s="192"/>
      <c r="H17" s="192"/>
      <c r="I17" s="192"/>
      <c r="J17" s="192"/>
      <c r="K17" s="192"/>
      <c r="L17" s="192"/>
      <c r="M17" s="192"/>
      <c r="N17" s="192"/>
      <c r="O17" s="192"/>
      <c r="P17" s="192"/>
      <c r="Q17" s="192"/>
      <c r="R17" s="192"/>
      <c r="S17" s="192"/>
      <c r="T17" s="192"/>
      <c r="U17" s="192"/>
      <c r="V17" s="198">
        <f>IFERROR(__xludf.DUMMYFUNCTION("""COMPUTED_VALUE"""),79.5)</f>
        <v>79.5</v>
      </c>
      <c r="W17" s="195">
        <f>IFERROR(__xludf.DUMMYFUNCTION("""COMPUTED_VALUE"""),14055.6)</f>
        <v>14055.6</v>
      </c>
      <c r="X17" s="192"/>
      <c r="Y17" s="192"/>
      <c r="Z17" s="192"/>
      <c r="AA17" s="192"/>
      <c r="AB17" s="192"/>
      <c r="AC17" s="192"/>
      <c r="AD17" s="192"/>
      <c r="AE17" s="192"/>
      <c r="AF17" s="192"/>
      <c r="AG17" s="192"/>
      <c r="AH17" s="192"/>
      <c r="AI17" s="192"/>
      <c r="AJ17" s="192"/>
      <c r="AK17" s="192"/>
    </row>
    <row r="18">
      <c r="A18" s="192" t="str">
        <f>IF(AND(B18&lt;&gt;"", C18=TRUE, E18=Report!$B$1), B18, "")</f>
        <v/>
      </c>
      <c r="B18" s="197" t="str">
        <f>IF(OR(E18=Report!$B$1, F18=Report!$B$1, G18=Report!$B$1, H18=Report!$B$1), D18, "")</f>
        <v/>
      </c>
      <c r="C18" s="192" t="b">
        <f>IFERROR(__xludf.DUMMYFUNCTION("""COMPUTED_VALUE"""),FALSE)</f>
        <v>0</v>
      </c>
      <c r="D18" s="192" t="str">
        <f>IFERROR(__xludf.DUMMYFUNCTION("""COMPUTED_VALUE"""),"Stepanenko Solomiia")</f>
        <v>Stepanenko Solomiia</v>
      </c>
      <c r="E18" s="192" t="str">
        <f>IFERROR(__xludf.DUMMYFUNCTION("""COMPUTED_VALUE"""),"Výroba")</f>
        <v>Výroba</v>
      </c>
      <c r="F18" s="192"/>
      <c r="G18" s="192"/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8">
        <f>IFERROR(__xludf.DUMMYFUNCTION("""COMPUTED_VALUE"""),135.5)</f>
        <v>135.5</v>
      </c>
      <c r="W18" s="195">
        <f>IFERROR(__xludf.DUMMYFUNCTION("""COMPUTED_VALUE"""),23853.798000000003)</f>
        <v>23853.798</v>
      </c>
      <c r="X18" s="192"/>
      <c r="Y18" s="192"/>
      <c r="Z18" s="192"/>
      <c r="AA18" s="192"/>
      <c r="AB18" s="192"/>
      <c r="AC18" s="192"/>
      <c r="AD18" s="192"/>
      <c r="AE18" s="192"/>
      <c r="AF18" s="192"/>
      <c r="AG18" s="192"/>
      <c r="AH18" s="192"/>
      <c r="AI18" s="192"/>
      <c r="AJ18" s="192"/>
      <c r="AK18" s="192"/>
    </row>
    <row r="19">
      <c r="A19" s="192" t="str">
        <f>IF(AND(B19&lt;&gt;"", C19=TRUE, E19=Report!$B$1), B19, "")</f>
        <v/>
      </c>
      <c r="B19" s="197" t="str">
        <f>IF(OR(E19=Report!$B$1, F19=Report!$B$1, G19=Report!$B$1, H19=Report!$B$1), D19, "")</f>
        <v/>
      </c>
      <c r="C19" s="192" t="b">
        <f>IFERROR(__xludf.DUMMYFUNCTION("""COMPUTED_VALUE"""),FALSE)</f>
        <v>0</v>
      </c>
      <c r="D19" s="192" t="str">
        <f>IFERROR(__xludf.DUMMYFUNCTION("""COMPUTED_VALUE"""),"Rothová Anastasia")</f>
        <v>Rothová Anastasia</v>
      </c>
      <c r="E19" s="192" t="str">
        <f>IFERROR(__xludf.DUMMYFUNCTION("""COMPUTED_VALUE"""),"Bolevec")</f>
        <v>Bolevec</v>
      </c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92"/>
      <c r="V19" s="198">
        <f>IFERROR(__xludf.DUMMYFUNCTION("""COMPUTED_VALUE"""),131.5)</f>
        <v>131.5</v>
      </c>
      <c r="W19" s="195">
        <f>IFERROR(__xludf.DUMMYFUNCTION("""COMPUTED_VALUE"""),27182.855)</f>
        <v>27182.855</v>
      </c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</row>
    <row r="20">
      <c r="A20" s="192" t="str">
        <f>IF(AND(B20&lt;&gt;"", C20=TRUE, E20=Report!$B$1), B20, "")</f>
        <v/>
      </c>
      <c r="B20" s="197" t="str">
        <f>IF(OR(E20=Report!$B$1, F20=Report!$B$1, G20=Report!$B$1, H20=Report!$B$1), D20, "")</f>
        <v>Pánková Vendula</v>
      </c>
      <c r="C20" s="192" t="b">
        <f>IFERROR(__xludf.DUMMYFUNCTION("""COMPUTED_VALUE"""),FALSE)</f>
        <v>0</v>
      </c>
      <c r="D20" s="192" t="str">
        <f>IFERROR(__xludf.DUMMYFUNCTION("""COMPUTED_VALUE"""),"Pánková Vendula")</f>
        <v>Pánková Vendula</v>
      </c>
      <c r="E20" s="192" t="str">
        <f>IFERROR(__xludf.DUMMYFUNCTION("""COMPUTED_VALUE"""),"Zličín")</f>
        <v>Zličín</v>
      </c>
      <c r="F20" s="192"/>
      <c r="G20" s="192"/>
      <c r="H20" s="192"/>
      <c r="I20" s="192"/>
      <c r="J20" s="192"/>
      <c r="K20" s="192"/>
      <c r="L20" s="192"/>
      <c r="M20" s="192"/>
      <c r="N20" s="192"/>
      <c r="O20" s="192"/>
      <c r="P20" s="192"/>
      <c r="Q20" s="192"/>
      <c r="R20" s="192"/>
      <c r="S20" s="192"/>
      <c r="T20" s="192"/>
      <c r="U20" s="192"/>
      <c r="V20" s="198">
        <f>IFERROR(__xludf.DUMMYFUNCTION("""COMPUTED_VALUE"""),102.0)</f>
        <v>102</v>
      </c>
      <c r="W20" s="195">
        <f>IFERROR(__xludf.DUMMYFUNCTION("""COMPUTED_VALUE"""),17543.6)</f>
        <v>17543.6</v>
      </c>
      <c r="X20" s="192"/>
      <c r="Y20" s="192"/>
      <c r="Z20" s="192"/>
      <c r="AA20" s="192"/>
      <c r="AB20" s="192"/>
      <c r="AC20" s="192"/>
      <c r="AD20" s="192"/>
      <c r="AE20" s="192"/>
      <c r="AF20" s="192"/>
      <c r="AG20" s="192"/>
      <c r="AH20" s="192"/>
      <c r="AI20" s="192"/>
      <c r="AJ20" s="192"/>
      <c r="AK20" s="192"/>
    </row>
    <row r="21">
      <c r="A21" s="192" t="str">
        <f>IF(AND(B21&lt;&gt;"", C21=TRUE, E21=Report!$B$1), B21, "")</f>
        <v/>
      </c>
      <c r="B21" s="197" t="str">
        <f>IF(OR(E21=Report!$B$1, F21=Report!$B$1, G21=Report!$B$1, H21=Report!$B$1), D21, "")</f>
        <v/>
      </c>
      <c r="C21" s="192" t="b">
        <f>IFERROR(__xludf.DUMMYFUNCTION("""COMPUTED_VALUE"""),TRUE)</f>
        <v>1</v>
      </c>
      <c r="D21" s="192" t="str">
        <f>IFERROR(__xludf.DUMMYFUNCTION("""COMPUTED_VALUE"""),"Hegedüs Erik")</f>
        <v>Hegedüs Erik</v>
      </c>
      <c r="E21" s="192" t="str">
        <f>IFERROR(__xludf.DUMMYFUNCTION("""COMPUTED_VALUE"""),"Libuš")</f>
        <v>Libuš</v>
      </c>
      <c r="F21" s="192" t="str">
        <f>IFERROR(__xludf.DUMMYFUNCTION("""COMPUTED_VALUE"""),"Chodov")</f>
        <v>Chodov</v>
      </c>
      <c r="G21" s="192" t="str">
        <f>IFERROR(__xludf.DUMMYFUNCTION("""COMPUTED_VALUE"""),"Malešice")</f>
        <v>Malešice</v>
      </c>
      <c r="H21" s="192"/>
      <c r="I21" s="192"/>
      <c r="J21" s="192"/>
      <c r="K21" s="192"/>
      <c r="L21" s="192"/>
      <c r="M21" s="192"/>
      <c r="N21" s="192"/>
      <c r="O21" s="192"/>
      <c r="P21" s="192"/>
      <c r="Q21" s="192"/>
      <c r="R21" s="192"/>
      <c r="S21" s="192"/>
      <c r="T21" s="192"/>
      <c r="U21" s="192"/>
      <c r="V21" s="198">
        <f>IFERROR(__xludf.DUMMYFUNCTION("""COMPUTED_VALUE"""),112.0)</f>
        <v>112</v>
      </c>
      <c r="W21" s="195">
        <f>IFERROR(__xludf.DUMMYFUNCTION("""COMPUTED_VALUE"""),50001.08)</f>
        <v>50001.08</v>
      </c>
      <c r="X21" s="192"/>
      <c r="Y21" s="192"/>
      <c r="Z21" s="192"/>
      <c r="AA21" s="192"/>
      <c r="AB21" s="192"/>
      <c r="AC21" s="192"/>
      <c r="AD21" s="192"/>
      <c r="AE21" s="192"/>
      <c r="AF21" s="192"/>
      <c r="AG21" s="192"/>
      <c r="AH21" s="192"/>
      <c r="AI21" s="192"/>
      <c r="AJ21" s="192"/>
      <c r="AK21" s="192"/>
    </row>
    <row r="22">
      <c r="A22" s="192" t="str">
        <f>IF(AND(B22&lt;&gt;"", C22=TRUE, E22=Report!$B$1), B22, "")</f>
        <v/>
      </c>
      <c r="B22" s="197" t="str">
        <f>IF(OR(E22=Report!$B$1, F22=Report!$B$1, G22=Report!$B$1, H22=Report!$B$1), D22, "")</f>
        <v/>
      </c>
      <c r="C22" s="192" t="b">
        <f>IFERROR(__xludf.DUMMYFUNCTION("""COMPUTED_VALUE"""),TRUE)</f>
        <v>1</v>
      </c>
      <c r="D22" s="192" t="str">
        <f>IFERROR(__xludf.DUMMYFUNCTION("""COMPUTED_VALUE"""),"Roth Stanislav ml.")</f>
        <v>Roth Stanislav ml.</v>
      </c>
      <c r="E22" s="192" t="str">
        <f>IFERROR(__xludf.DUMMYFUNCTION("""COMPUTED_VALUE"""),"Bolevec")</f>
        <v>Bolevec</v>
      </c>
      <c r="F22" s="192"/>
      <c r="G22" s="192"/>
      <c r="H22" s="192"/>
      <c r="I22" s="192"/>
      <c r="J22" s="192"/>
      <c r="K22" s="192"/>
      <c r="L22" s="192"/>
      <c r="M22" s="192"/>
      <c r="N22" s="192"/>
      <c r="O22" s="192"/>
      <c r="P22" s="192"/>
      <c r="Q22" s="192"/>
      <c r="R22" s="192"/>
      <c r="S22" s="192"/>
      <c r="T22" s="192"/>
      <c r="U22" s="192"/>
      <c r="V22" s="198">
        <f>IFERROR(__xludf.DUMMYFUNCTION("""COMPUTED_VALUE"""),151.0)</f>
        <v>151</v>
      </c>
      <c r="W22" s="195">
        <f>IFERROR(__xludf.DUMMYFUNCTION("""COMPUTED_VALUE"""),50001.08)</f>
        <v>50001.08</v>
      </c>
      <c r="X22" s="192"/>
      <c r="Y22" s="192"/>
      <c r="Z22" s="192"/>
      <c r="AA22" s="192"/>
      <c r="AB22" s="192"/>
      <c r="AC22" s="192"/>
      <c r="AD22" s="192"/>
      <c r="AE22" s="192"/>
      <c r="AF22" s="192"/>
      <c r="AG22" s="192"/>
      <c r="AH22" s="192"/>
      <c r="AI22" s="192"/>
      <c r="AJ22" s="192"/>
      <c r="AK22" s="192"/>
    </row>
    <row r="23">
      <c r="A23" s="192" t="str">
        <f>IF(AND(B23&lt;&gt;"", C23=TRUE, E23=Report!$B$1), B23, "")</f>
        <v/>
      </c>
      <c r="B23" s="197" t="str">
        <f>IF(OR(E23=Report!$B$1, F23=Report!$B$1, G23=Report!$B$1, H23=Report!$B$1), D23, "")</f>
        <v/>
      </c>
      <c r="C23" s="192" t="b">
        <f>IFERROR(__xludf.DUMMYFUNCTION("""COMPUTED_VALUE"""),FALSE)</f>
        <v>0</v>
      </c>
      <c r="D23" s="192" t="str">
        <f>IFERROR(__xludf.DUMMYFUNCTION("""COMPUTED_VALUE"""),"Makula Radek")</f>
        <v>Makula Radek</v>
      </c>
      <c r="E23" s="192" t="str">
        <f>IFERROR(__xludf.DUMMYFUNCTION("""COMPUTED_VALUE"""),"Prosek")</f>
        <v>Prosek</v>
      </c>
      <c r="F23" s="192"/>
      <c r="G23" s="192"/>
      <c r="H23" s="192"/>
      <c r="I23" s="192"/>
      <c r="J23" s="192"/>
      <c r="K23" s="192"/>
      <c r="L23" s="192"/>
      <c r="M23" s="192"/>
      <c r="N23" s="192"/>
      <c r="O23" s="192"/>
      <c r="P23" s="192"/>
      <c r="Q23" s="192"/>
      <c r="R23" s="192"/>
      <c r="S23" s="192"/>
      <c r="T23" s="192"/>
      <c r="U23" s="192"/>
      <c r="V23" s="198">
        <f>IFERROR(__xludf.DUMMYFUNCTION("""COMPUTED_VALUE"""),73.5)</f>
        <v>73.5</v>
      </c>
      <c r="W23" s="195">
        <f>IFERROR(__xludf.DUMMYFUNCTION("""COMPUTED_VALUE"""),12150.138)</f>
        <v>12150.138</v>
      </c>
      <c r="X23" s="192"/>
      <c r="Y23" s="192"/>
      <c r="Z23" s="192"/>
      <c r="AA23" s="192"/>
      <c r="AB23" s="192"/>
      <c r="AC23" s="192"/>
      <c r="AD23" s="192"/>
      <c r="AE23" s="192"/>
      <c r="AF23" s="192"/>
      <c r="AG23" s="192"/>
      <c r="AH23" s="192"/>
      <c r="AI23" s="192"/>
      <c r="AJ23" s="192"/>
      <c r="AK23" s="192"/>
    </row>
    <row r="24">
      <c r="A24" s="192" t="str">
        <f>IF(AND(B24&lt;&gt;"", C24=TRUE, E24=Report!$B$1), B24, "")</f>
        <v/>
      </c>
      <c r="B24" s="197" t="str">
        <f>IF(OR(E24=Report!$B$1, F24=Report!$B$1, G24=Report!$B$1, H24=Report!$B$1), D24, "")</f>
        <v/>
      </c>
      <c r="C24" s="192" t="b">
        <f>IFERROR(__xludf.DUMMYFUNCTION("""COMPUTED_VALUE"""),FALSE)</f>
        <v>0</v>
      </c>
      <c r="D24" s="192" t="str">
        <f>IFERROR(__xludf.DUMMYFUNCTION("""COMPUTED_VALUE"""),"Bubník Martin")</f>
        <v>Bubník Martin</v>
      </c>
      <c r="E24" s="192" t="str">
        <f>IFERROR(__xludf.DUMMYFUNCTION("""COMPUTED_VALUE"""),"Libuš")</f>
        <v>Libuš</v>
      </c>
      <c r="F24" s="192" t="str">
        <f>IFERROR(__xludf.DUMMYFUNCTION("""COMPUTED_VALUE"""),"Malešice")</f>
        <v>Malešice</v>
      </c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R24" s="192"/>
      <c r="S24" s="192"/>
      <c r="T24" s="192"/>
      <c r="U24" s="192"/>
      <c r="V24" s="198">
        <f>IFERROR(__xludf.DUMMYFUNCTION("""COMPUTED_VALUE"""),162.5)</f>
        <v>162.5</v>
      </c>
      <c r="W24" s="195">
        <f>IFERROR(__xludf.DUMMYFUNCTION("""COMPUTED_VALUE"""),26425.0)</f>
        <v>26425</v>
      </c>
      <c r="X24" s="192"/>
      <c r="Y24" s="192"/>
      <c r="Z24" s="192"/>
      <c r="AA24" s="192"/>
      <c r="AB24" s="192"/>
      <c r="AC24" s="192"/>
      <c r="AD24" s="192"/>
      <c r="AE24" s="192"/>
      <c r="AF24" s="192"/>
      <c r="AG24" s="192"/>
      <c r="AH24" s="192"/>
      <c r="AI24" s="192"/>
      <c r="AJ24" s="192"/>
      <c r="AK24" s="192"/>
    </row>
    <row r="25">
      <c r="A25" s="192" t="str">
        <f>IF(AND(B25&lt;&gt;"", C25=TRUE, E25=Report!$B$1), B25, "")</f>
        <v/>
      </c>
      <c r="B25" s="197" t="str">
        <f>IF(OR(E25=Report!$B$1, F25=Report!$B$1, G25=Report!$B$1, H25=Report!$B$1), D25, "")</f>
        <v/>
      </c>
      <c r="C25" s="192" t="b">
        <f>IFERROR(__xludf.DUMMYFUNCTION("""COMPUTED_VALUE"""),FALSE)</f>
        <v>0</v>
      </c>
      <c r="D25" s="192" t="str">
        <f>IFERROR(__xludf.DUMMYFUNCTION("""COMPUTED_VALUE"""),"Mirga Simon")</f>
        <v>Mirga Simon</v>
      </c>
      <c r="E25" s="192" t="str">
        <f>IFERROR(__xludf.DUMMYFUNCTION("""COMPUTED_VALUE"""),"Malešice")</f>
        <v>Malešice</v>
      </c>
      <c r="F25" s="192"/>
      <c r="G25" s="192"/>
      <c r="H25" s="192"/>
      <c r="I25" s="192"/>
      <c r="J25" s="192"/>
      <c r="K25" s="192"/>
      <c r="L25" s="192"/>
      <c r="M25" s="192"/>
      <c r="N25" s="192"/>
      <c r="O25" s="192"/>
      <c r="P25" s="192"/>
      <c r="Q25" s="192"/>
      <c r="R25" s="192"/>
      <c r="S25" s="192"/>
      <c r="T25" s="192"/>
      <c r="U25" s="192"/>
      <c r="V25" s="198">
        <f>IFERROR(__xludf.DUMMYFUNCTION("""COMPUTED_VALUE"""),85.0)</f>
        <v>85</v>
      </c>
      <c r="W25" s="195">
        <f>IFERROR(__xludf.DUMMYFUNCTION("""COMPUTED_VALUE"""),12999.22)</f>
        <v>12999.22</v>
      </c>
      <c r="X25" s="192"/>
      <c r="Y25" s="192"/>
      <c r="Z25" s="192"/>
      <c r="AA25" s="192"/>
      <c r="AB25" s="192"/>
      <c r="AC25" s="192"/>
      <c r="AD25" s="192"/>
      <c r="AE25" s="192"/>
      <c r="AF25" s="192"/>
      <c r="AG25" s="192"/>
      <c r="AH25" s="192"/>
      <c r="AI25" s="192"/>
      <c r="AJ25" s="192"/>
      <c r="AK25" s="192"/>
    </row>
    <row r="26">
      <c r="A26" s="192" t="str">
        <f>IF(AND(B26&lt;&gt;"", C26=TRUE, E26=Report!$B$1), B26, "")</f>
        <v/>
      </c>
      <c r="B26" s="197" t="str">
        <f>IF(OR(E26=Report!$B$1, F26=Report!$B$1, G26=Report!$B$1, H26=Report!$B$1), D26, "")</f>
        <v/>
      </c>
      <c r="C26" s="192" t="b">
        <f>IFERROR(__xludf.DUMMYFUNCTION("""COMPUTED_VALUE"""),FALSE)</f>
        <v>0</v>
      </c>
      <c r="D26" s="192" t="str">
        <f>IFERROR(__xludf.DUMMYFUNCTION("""COMPUTED_VALUE"""),"Bušek Pavel")</f>
        <v>Bušek Pavel</v>
      </c>
      <c r="E26" s="192" t="str">
        <f>IFERROR(__xludf.DUMMYFUNCTION("""COMPUTED_VALUE"""),"Prosek")</f>
        <v>Prosek</v>
      </c>
      <c r="F26" s="192"/>
      <c r="G26" s="192"/>
      <c r="H26" s="192"/>
      <c r="I26" s="192"/>
      <c r="J26" s="192"/>
      <c r="K26" s="192"/>
      <c r="L26" s="192"/>
      <c r="M26" s="192"/>
      <c r="N26" s="192"/>
      <c r="O26" s="192"/>
      <c r="P26" s="192"/>
      <c r="Q26" s="192"/>
      <c r="R26" s="192"/>
      <c r="S26" s="192"/>
      <c r="T26" s="192"/>
      <c r="U26" s="192"/>
      <c r="V26" s="198">
        <f>IFERROR(__xludf.DUMMYFUNCTION("""COMPUTED_VALUE"""),5.0)</f>
        <v>5</v>
      </c>
      <c r="W26" s="195">
        <f>IFERROR(__xludf.DUMMYFUNCTION("""COMPUTED_VALUE"""),826.54)</f>
        <v>826.54</v>
      </c>
      <c r="X26" s="192"/>
      <c r="Y26" s="192"/>
      <c r="Z26" s="192"/>
      <c r="AA26" s="192"/>
      <c r="AB26" s="192"/>
      <c r="AC26" s="192"/>
      <c r="AD26" s="192"/>
      <c r="AE26" s="192"/>
      <c r="AF26" s="192"/>
      <c r="AG26" s="192"/>
      <c r="AH26" s="192"/>
      <c r="AI26" s="192"/>
      <c r="AJ26" s="192"/>
      <c r="AK26" s="192"/>
    </row>
    <row r="27">
      <c r="A27" s="192" t="str">
        <f>IF(AND(B27&lt;&gt;"", C27=TRUE, E27=Report!$B$1), B27, "")</f>
        <v/>
      </c>
      <c r="B27" s="197" t="str">
        <f>IF(OR(E27=Report!$B$1, F27=Report!$B$1, G27=Report!$B$1, H27=Report!$B$1), D27, "")</f>
        <v/>
      </c>
      <c r="C27" s="192" t="b">
        <f>IFERROR(__xludf.DUMMYFUNCTION("""COMPUTED_VALUE"""),FALSE)</f>
        <v>0</v>
      </c>
      <c r="D27" s="192" t="str">
        <f>IFERROR(__xludf.DUMMYFUNCTION("""COMPUTED_VALUE"""),"Berdar Vasyl")</f>
        <v>Berdar Vasyl</v>
      </c>
      <c r="E27" s="192" t="str">
        <f>IFERROR(__xludf.DUMMYFUNCTION("""COMPUTED_VALUE"""),"Libuš")</f>
        <v>Libuš</v>
      </c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8">
        <f>IFERROR(__xludf.DUMMYFUNCTION("""COMPUTED_VALUE"""),24.5)</f>
        <v>24.5</v>
      </c>
      <c r="W27" s="195">
        <f>IFERROR(__xludf.DUMMYFUNCTION("""COMPUTED_VALUE"""),4634.812)</f>
        <v>4634.812</v>
      </c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</row>
    <row r="28">
      <c r="A28" s="192" t="str">
        <f>IF(AND(B28&lt;&gt;"", C28=TRUE, E28=Report!$B$1), B28, "")</f>
        <v/>
      </c>
      <c r="B28" s="197" t="str">
        <f>IF(OR(E28=Report!$B$1, F28=Report!$B$1, G28=Report!$B$1, H28=Report!$B$1), D28, "")</f>
        <v>Yarushynskyi Vladyslav</v>
      </c>
      <c r="C28" s="192" t="b">
        <f>IFERROR(__xludf.DUMMYFUNCTION("""COMPUTED_VALUE"""),FALSE)</f>
        <v>0</v>
      </c>
      <c r="D28" s="192" t="str">
        <f>IFERROR(__xludf.DUMMYFUNCTION("""COMPUTED_VALUE"""),"Yarushynskyi Vladyslav")</f>
        <v>Yarushynskyi Vladyslav</v>
      </c>
      <c r="E28" s="192" t="str">
        <f>IFERROR(__xludf.DUMMYFUNCTION("""COMPUTED_VALUE"""),"Chodov")</f>
        <v>Chodov</v>
      </c>
      <c r="F28" s="192" t="str">
        <f>IFERROR(__xludf.DUMMYFUNCTION("""COMPUTED_VALUE"""),"Malešice")</f>
        <v>Malešice</v>
      </c>
      <c r="G28" s="192" t="str">
        <f>IFERROR(__xludf.DUMMYFUNCTION("""COMPUTED_VALUE"""),"Zličín")</f>
        <v>Zličín</v>
      </c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192"/>
      <c r="U28" s="192"/>
      <c r="V28" s="198">
        <f>IFERROR(__xludf.DUMMYFUNCTION("""COMPUTED_VALUE"""),166.0)</f>
        <v>166</v>
      </c>
      <c r="W28" s="195">
        <f>IFERROR(__xludf.DUMMYFUNCTION("""COMPUTED_VALUE"""),26938.8)</f>
        <v>26938.8</v>
      </c>
      <c r="X28" s="192"/>
      <c r="Y28" s="192"/>
      <c r="Z28" s="192"/>
      <c r="AA28" s="192"/>
      <c r="AB28" s="192"/>
      <c r="AC28" s="192"/>
      <c r="AD28" s="192"/>
      <c r="AE28" s="192"/>
      <c r="AF28" s="192"/>
      <c r="AG28" s="192"/>
      <c r="AH28" s="192"/>
      <c r="AI28" s="192"/>
      <c r="AJ28" s="192"/>
      <c r="AK28" s="192"/>
    </row>
    <row r="29">
      <c r="A29" s="192" t="str">
        <f>IF(AND(B29&lt;&gt;"", C29=TRUE, E29=Report!$B$1), B29, "")</f>
        <v/>
      </c>
      <c r="B29" s="197" t="str">
        <f>IF(OR(E29=Report!$B$1, F29=Report!$B$1, G29=Report!$B$1, H29=Report!$B$1), D29, "")</f>
        <v/>
      </c>
      <c r="C29" s="192" t="b">
        <f>IFERROR(__xludf.DUMMYFUNCTION("""COMPUTED_VALUE"""),FALSE)</f>
        <v>0</v>
      </c>
      <c r="D29" s="192" t="str">
        <f>IFERROR(__xludf.DUMMYFUNCTION("""COMPUTED_VALUE"""),"Raboch Tomáš")</f>
        <v>Raboch Tomáš</v>
      </c>
      <c r="E29" s="192" t="str">
        <f>IFERROR(__xludf.DUMMYFUNCTION("""COMPUTED_VALUE"""),"Bolevec")</f>
        <v>Bolevec</v>
      </c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8">
        <f>IFERROR(__xludf.DUMMYFUNCTION("""COMPUTED_VALUE"""),0.0)</f>
        <v>0</v>
      </c>
      <c r="W29" s="195">
        <f>IFERROR(__xludf.DUMMYFUNCTION("""COMPUTED_VALUE"""),0.0)</f>
        <v>0</v>
      </c>
      <c r="X29" s="192"/>
      <c r="Y29" s="192"/>
      <c r="Z29" s="192"/>
      <c r="AA29" s="192"/>
      <c r="AB29" s="192"/>
      <c r="AC29" s="192"/>
      <c r="AD29" s="192"/>
      <c r="AE29" s="192"/>
      <c r="AF29" s="192"/>
      <c r="AG29" s="192"/>
      <c r="AH29" s="192"/>
      <c r="AI29" s="192"/>
      <c r="AJ29" s="192"/>
      <c r="AK29" s="192"/>
    </row>
    <row r="30">
      <c r="A30" s="192" t="str">
        <f>IF(AND(B30&lt;&gt;"", C30=TRUE, E30=Report!$B$1), B30, "")</f>
        <v/>
      </c>
      <c r="B30" s="197" t="str">
        <f>IF(OR(E30=Report!$B$1, F30=Report!$B$1, G30=Report!$B$1, H30=Report!$B$1), D30, "")</f>
        <v/>
      </c>
      <c r="C30" s="192" t="b">
        <f>IFERROR(__xludf.DUMMYFUNCTION("""COMPUTED_VALUE"""),FALSE)</f>
        <v>0</v>
      </c>
      <c r="D30" s="192" t="str">
        <f>IFERROR(__xludf.DUMMYFUNCTION("""COMPUTED_VALUE"""),"Židek Petr")</f>
        <v>Židek Petr</v>
      </c>
      <c r="E30" s="192" t="str">
        <f>IFERROR(__xludf.DUMMYFUNCTION("""COMPUTED_VALUE"""),"Chodov")</f>
        <v>Chodov</v>
      </c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8">
        <f>IFERROR(__xludf.DUMMYFUNCTION("""COMPUTED_VALUE"""),155.5)</f>
        <v>155.5</v>
      </c>
      <c r="W30" s="195">
        <f>IFERROR(__xludf.DUMMYFUNCTION("""COMPUTED_VALUE"""),23913.619)</f>
        <v>23913.619</v>
      </c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</row>
    <row r="31">
      <c r="A31" s="192" t="str">
        <f>IF(AND(B31&lt;&gt;"", C31=TRUE, E31=Report!$B$1), B31, "")</f>
        <v/>
      </c>
      <c r="B31" s="197" t="str">
        <f>IF(OR(E31=Report!$B$1, F31=Report!$B$1, G31=Report!$B$1, H31=Report!$B$1), D31, "")</f>
        <v/>
      </c>
      <c r="C31" s="192" t="b">
        <f>IFERROR(__xludf.DUMMYFUNCTION("""COMPUTED_VALUE"""),FALSE)</f>
        <v>0</v>
      </c>
      <c r="D31" s="192" t="str">
        <f>IFERROR(__xludf.DUMMYFUNCTION("""COMPUTED_VALUE"""),"Gorol Patrik")</f>
        <v>Gorol Patrik</v>
      </c>
      <c r="E31" s="192" t="str">
        <f>IFERROR(__xludf.DUMMYFUNCTION("""COMPUTED_VALUE"""),"Malešice")</f>
        <v>Malešice</v>
      </c>
      <c r="F31" s="192" t="str">
        <f>IFERROR(__xludf.DUMMYFUNCTION("""COMPUTED_VALUE"""),"Libuš")</f>
        <v>Libuš</v>
      </c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8">
        <f>IFERROR(__xludf.DUMMYFUNCTION("""COMPUTED_VALUE"""),35.0)</f>
        <v>35</v>
      </c>
      <c r="W31" s="195">
        <f>IFERROR(__xludf.DUMMYFUNCTION("""COMPUTED_VALUE"""),5352.62)</f>
        <v>5352.62</v>
      </c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</row>
    <row r="32">
      <c r="A32" s="192" t="str">
        <f>IF(AND(B32&lt;&gt;"", C32=TRUE, E32=Report!$B$1), B32, "")</f>
        <v/>
      </c>
      <c r="B32" s="197" t="str">
        <f>IF(OR(E32=Report!$B$1, F32=Report!$B$1, G32=Report!$B$1, H32=Report!$B$1), D32, "")</f>
        <v/>
      </c>
      <c r="C32" s="192" t="b">
        <f>IFERROR(__xludf.DUMMYFUNCTION("""COMPUTED_VALUE"""),FALSE)</f>
        <v>0</v>
      </c>
      <c r="D32" s="192" t="str">
        <f>IFERROR(__xludf.DUMMYFUNCTION("""COMPUTED_VALUE"""),"Kratochvíl Kryštof")</f>
        <v>Kratochvíl Kryštof</v>
      </c>
      <c r="E32" s="192" t="str">
        <f>IFERROR(__xludf.DUMMYFUNCTION("""COMPUTED_VALUE"""),"Bolevec")</f>
        <v>Bolevec</v>
      </c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8">
        <f>IFERROR(__xludf.DUMMYFUNCTION("""COMPUTED_VALUE"""),0.0)</f>
        <v>0</v>
      </c>
      <c r="W32" s="195">
        <f>IFERROR(__xludf.DUMMYFUNCTION("""COMPUTED_VALUE"""),0.0)</f>
        <v>0</v>
      </c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</row>
    <row r="33">
      <c r="A33" s="192" t="str">
        <f>IF(AND(B33&lt;&gt;"", C33=TRUE, E33=Report!$B$1), B33, "")</f>
        <v/>
      </c>
      <c r="B33" s="197" t="str">
        <f>IF(OR(E33=Report!$B$1, F33=Report!$B$1, G33=Report!$B$1, H33=Report!$B$1), D33, "")</f>
        <v/>
      </c>
      <c r="C33" s="192" t="b">
        <f>IFERROR(__xludf.DUMMYFUNCTION("""COMPUTED_VALUE"""),FALSE)</f>
        <v>0</v>
      </c>
      <c r="D33" s="192" t="str">
        <f>IFERROR(__xludf.DUMMYFUNCTION("""COMPUTED_VALUE"""),"Hegedüs Gergö")</f>
        <v>Hegedüs Gergö</v>
      </c>
      <c r="E33" s="192" t="str">
        <f>IFERROR(__xludf.DUMMYFUNCTION("""COMPUTED_VALUE"""),"Libuš")</f>
        <v>Libuš</v>
      </c>
      <c r="F33" s="192"/>
      <c r="G33" s="192"/>
      <c r="H33" s="192"/>
      <c r="I33" s="192"/>
      <c r="J33" s="192"/>
      <c r="K33" s="192"/>
      <c r="L33" s="192"/>
      <c r="M33" s="192"/>
      <c r="N33" s="192"/>
      <c r="O33" s="192"/>
      <c r="P33" s="192"/>
      <c r="Q33" s="192"/>
      <c r="R33" s="192"/>
      <c r="S33" s="192"/>
      <c r="T33" s="192"/>
      <c r="U33" s="192"/>
      <c r="V33" s="198">
        <f>IFERROR(__xludf.DUMMYFUNCTION("""COMPUTED_VALUE"""),0.0)</f>
        <v>0</v>
      </c>
      <c r="W33" s="195">
        <f>IFERROR(__xludf.DUMMYFUNCTION("""COMPUTED_VALUE"""),0.0)</f>
        <v>0</v>
      </c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</row>
    <row r="34">
      <c r="A34" s="192" t="str">
        <f>IF(AND(B34&lt;&gt;"", C34=TRUE, E34=Report!$B$1), B34, "")</f>
        <v/>
      </c>
      <c r="B34" s="197" t="str">
        <f>IF(OR(E34=Report!$B$1, F34=Report!$B$1, G34=Report!$B$1, H34=Report!$B$1), D34, "")</f>
        <v/>
      </c>
      <c r="C34" s="192" t="b">
        <f>IFERROR(__xludf.DUMMYFUNCTION("""COMPUTED_VALUE"""),FALSE)</f>
        <v>0</v>
      </c>
      <c r="D34" s="192" t="str">
        <f>IFERROR(__xludf.DUMMYFUNCTION("""COMPUTED_VALUE"""),"Barvínková Eliška")</f>
        <v>Barvínková Eliška</v>
      </c>
      <c r="E34" s="192" t="str">
        <f>IFERROR(__xludf.DUMMYFUNCTION("""COMPUTED_VALUE"""),"Libuš")</f>
        <v>Libuš</v>
      </c>
      <c r="F34" s="192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2"/>
      <c r="V34" s="198">
        <f>IFERROR(__xludf.DUMMYFUNCTION("""COMPUTED_VALUE"""),0.0)</f>
        <v>0</v>
      </c>
      <c r="W34" s="195">
        <f>IFERROR(__xludf.DUMMYFUNCTION("""COMPUTED_VALUE"""),0.0)</f>
        <v>0</v>
      </c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</row>
    <row r="35">
      <c r="A35" s="192" t="str">
        <f>IF(AND(B35&lt;&gt;"", C35=TRUE, E35=Report!$B$1), B35, "")</f>
        <v/>
      </c>
      <c r="B35" s="197" t="str">
        <f>IF(OR(E35=Report!$B$1, F35=Report!$B$1, G35=Report!$B$1, H35=Report!$B$1), D35, "")</f>
        <v/>
      </c>
      <c r="C35" s="192" t="b">
        <f>IFERROR(__xludf.DUMMYFUNCTION("""COMPUTED_VALUE"""),FALSE)</f>
        <v>0</v>
      </c>
      <c r="D35" s="192" t="str">
        <f>IFERROR(__xludf.DUMMYFUNCTION("""COMPUTED_VALUE"""),"Kursheva Diana")</f>
        <v>Kursheva Diana</v>
      </c>
      <c r="E35" s="192" t="str">
        <f>IFERROR(__xludf.DUMMYFUNCTION("""COMPUTED_VALUE"""),"Výroba")</f>
        <v>Výroba</v>
      </c>
      <c r="F35" s="192" t="str">
        <f>IFERROR(__xludf.DUMMYFUNCTION("""COMPUTED_VALUE"""),"Chodov")</f>
        <v>Chodov</v>
      </c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8">
        <f>IFERROR(__xludf.DUMMYFUNCTION("""COMPUTED_VALUE"""),96.0)</f>
        <v>96</v>
      </c>
      <c r="W35" s="195">
        <f>IFERROR(__xludf.DUMMYFUNCTION("""COMPUTED_VALUE"""),15746.768)</f>
        <v>15746.768</v>
      </c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</row>
    <row r="36">
      <c r="A36" s="192" t="str">
        <f>IF(AND(B36&lt;&gt;"", C36=TRUE, E36=Report!$B$1), B36, "")</f>
        <v/>
      </c>
      <c r="B36" s="197" t="str">
        <f>IF(OR(E36=Report!$B$1, F36=Report!$B$1, G36=Report!$B$1, H36=Report!$B$1), D36, "")</f>
        <v/>
      </c>
      <c r="C36" s="192" t="b">
        <f>IFERROR(__xludf.DUMMYFUNCTION("""COMPUTED_VALUE"""),FALSE)</f>
        <v>0</v>
      </c>
      <c r="D36" s="192" t="str">
        <f>IFERROR(__xludf.DUMMYFUNCTION("""COMPUTED_VALUE"""),"Tůma Vladimír")</f>
        <v>Tůma Vladimír</v>
      </c>
      <c r="E36" s="192" t="str">
        <f>IFERROR(__xludf.DUMMYFUNCTION("""COMPUTED_VALUE"""),"Bolevec")</f>
        <v>Bolevec</v>
      </c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8">
        <f>IFERROR(__xludf.DUMMYFUNCTION("""COMPUTED_VALUE"""),162.5)</f>
        <v>162.5</v>
      </c>
      <c r="W36" s="195">
        <f>IFERROR(__xludf.DUMMYFUNCTION("""COMPUTED_VALUE"""),24874.425)</f>
        <v>24874.425</v>
      </c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</row>
    <row r="37">
      <c r="A37" s="192" t="str">
        <f>IF(AND(B37&lt;&gt;"", C37=TRUE, E37=Report!$B$1), B37, "")</f>
        <v/>
      </c>
      <c r="B37" s="197" t="str">
        <f>IF(OR(E37=Report!$B$1, F37=Report!$B$1, G37=Report!$B$1, H37=Report!$B$1), D37, "")</f>
        <v/>
      </c>
      <c r="C37" s="192" t="b">
        <f>IFERROR(__xludf.DUMMYFUNCTION("""COMPUTED_VALUE"""),FALSE)</f>
        <v>0</v>
      </c>
      <c r="D37" s="192" t="str">
        <f>IFERROR(__xludf.DUMMYFUNCTION("""COMPUTED_VALUE"""),"Kubík Martin")</f>
        <v>Kubík Martin</v>
      </c>
      <c r="E37" s="192" t="str">
        <f>IFERROR(__xludf.DUMMYFUNCTION("""COMPUTED_VALUE"""),"Libuš")</f>
        <v>Libuš</v>
      </c>
      <c r="F37" s="192"/>
      <c r="G37" s="192"/>
      <c r="H37" s="192"/>
      <c r="I37" s="192"/>
      <c r="J37" s="192"/>
      <c r="K37" s="192"/>
      <c r="L37" s="192"/>
      <c r="M37" s="192"/>
      <c r="N37" s="192"/>
      <c r="O37" s="192"/>
      <c r="P37" s="192"/>
      <c r="Q37" s="192"/>
      <c r="R37" s="192"/>
      <c r="S37" s="192"/>
      <c r="T37" s="192"/>
      <c r="U37" s="192"/>
      <c r="V37" s="198">
        <f>IFERROR(__xludf.DUMMYFUNCTION("""COMPUTED_VALUE"""),16.0)</f>
        <v>16</v>
      </c>
      <c r="W37" s="195">
        <f>IFERROR(__xludf.DUMMYFUNCTION("""COMPUTED_VALUE"""),2644.928)</f>
        <v>2644.928</v>
      </c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</row>
    <row r="38">
      <c r="A38" s="192" t="str">
        <f>IF(AND(B38&lt;&gt;"", C38=TRUE, E38=Report!$B$1), B38, "")</f>
        <v/>
      </c>
      <c r="B38" s="197" t="str">
        <f>IF(OR(E38=Report!$B$1, F38=Report!$B$1, G38=Report!$B$1, H38=Report!$B$1), D38, "")</f>
        <v>Putna Jaroslav</v>
      </c>
      <c r="C38" s="192" t="b">
        <f>IFERROR(__xludf.DUMMYFUNCTION("""COMPUTED_VALUE"""),FALSE)</f>
        <v>0</v>
      </c>
      <c r="D38" s="192" t="str">
        <f>IFERROR(__xludf.DUMMYFUNCTION("""COMPUTED_VALUE"""),"Putna Jaroslav")</f>
        <v>Putna Jaroslav</v>
      </c>
      <c r="E38" s="192" t="str">
        <f>IFERROR(__xludf.DUMMYFUNCTION("""COMPUTED_VALUE"""),"Zličín")</f>
        <v>Zličín</v>
      </c>
      <c r="F38" s="192" t="str">
        <f>IFERROR(__xludf.DUMMYFUNCTION("""COMPUTED_VALUE"""),"Prosek")</f>
        <v>Prosek</v>
      </c>
      <c r="G38" s="192"/>
      <c r="H38" s="192"/>
      <c r="I38" s="192"/>
      <c r="J38" s="192"/>
      <c r="K38" s="192"/>
      <c r="L38" s="192"/>
      <c r="M38" s="192"/>
      <c r="N38" s="192"/>
      <c r="O38" s="192"/>
      <c r="P38" s="192"/>
      <c r="Q38" s="192"/>
      <c r="R38" s="192"/>
      <c r="S38" s="192"/>
      <c r="T38" s="192"/>
      <c r="U38" s="192"/>
      <c r="V38" s="198">
        <f>IFERROR(__xludf.DUMMYFUNCTION("""COMPUTED_VALUE"""),172.0)</f>
        <v>172</v>
      </c>
      <c r="W38" s="195">
        <f>IFERROR(__xludf.DUMMYFUNCTION("""COMPUTED_VALUE"""),26178.375999999997)</f>
        <v>26178.376</v>
      </c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</row>
    <row r="39">
      <c r="A39" s="192" t="str">
        <f>IF(AND(B39&lt;&gt;"", C39=TRUE, E39=Report!$B$1), B39, "")</f>
        <v/>
      </c>
      <c r="B39" s="197" t="str">
        <f>IF(OR(E39=Report!$B$1, F39=Report!$B$1, G39=Report!$B$1, H39=Report!$B$1), D39, "")</f>
        <v/>
      </c>
      <c r="C39" s="192" t="b">
        <f>IFERROR(__xludf.DUMMYFUNCTION("""COMPUTED_VALUE"""),FALSE)</f>
        <v>0</v>
      </c>
      <c r="D39" s="192" t="str">
        <f>IFERROR(__xludf.DUMMYFUNCTION("""COMPUTED_VALUE"""),"Kopic Jakub")</f>
        <v>Kopic Jakub</v>
      </c>
      <c r="E39" s="192" t="str">
        <f>IFERROR(__xludf.DUMMYFUNCTION("""COMPUTED_VALUE"""),"Malešice")</f>
        <v>Malešice</v>
      </c>
      <c r="F39" s="192" t="str">
        <f>IFERROR(__xludf.DUMMYFUNCTION("""COMPUTED_VALUE"""),"Prosek")</f>
        <v>Prosek</v>
      </c>
      <c r="G39" s="192" t="str">
        <f>IFERROR(__xludf.DUMMYFUNCTION("""COMPUTED_VALUE"""),"Libuš")</f>
        <v>Libuš</v>
      </c>
      <c r="H39" s="192" t="str">
        <f>IFERROR(__xludf.DUMMYFUNCTION("""COMPUTED_VALUE"""),"Prosek")</f>
        <v>Prosek</v>
      </c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8">
        <f>IFERROR(__xludf.DUMMYFUNCTION("""COMPUTED_VALUE"""),142.5)</f>
        <v>142.5</v>
      </c>
      <c r="W39" s="195">
        <f>IFERROR(__xludf.DUMMYFUNCTION("""COMPUTED_VALUE"""),22129.265)</f>
        <v>22129.265</v>
      </c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</row>
    <row r="40">
      <c r="A40" s="192" t="str">
        <f>IF(AND(B40&lt;&gt;"", C40=TRUE, E40=Report!$B$1), B40, "")</f>
        <v/>
      </c>
      <c r="B40" s="197" t="str">
        <f>IF(OR(E40=Report!$B$1, F40=Report!$B$1, G40=Report!$B$1, H40=Report!$B$1), D40, "")</f>
        <v/>
      </c>
      <c r="C40" s="192" t="b">
        <f>IFERROR(__xludf.DUMMYFUNCTION("""COMPUTED_VALUE"""),FALSE)</f>
        <v>0</v>
      </c>
      <c r="D40" s="192" t="str">
        <f>IFERROR(__xludf.DUMMYFUNCTION("""COMPUTED_VALUE"""),"Fáberová Kateřina")</f>
        <v>Fáberová Kateřina</v>
      </c>
      <c r="E40" s="192" t="str">
        <f>IFERROR(__xludf.DUMMYFUNCTION("""COMPUTED_VALUE"""),"Prosek")</f>
        <v>Prosek</v>
      </c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R40" s="192"/>
      <c r="S40" s="192"/>
      <c r="T40" s="192"/>
      <c r="U40" s="192"/>
      <c r="V40" s="198">
        <f>IFERROR(__xludf.DUMMYFUNCTION("""COMPUTED_VALUE"""),14.0)</f>
        <v>14</v>
      </c>
      <c r="W40" s="195">
        <f>IFERROR(__xludf.DUMMYFUNCTION("""COMPUTED_VALUE"""),2314.312)</f>
        <v>2314.312</v>
      </c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</row>
    <row r="41">
      <c r="A41" s="192" t="str">
        <f>IF(AND(B41&lt;&gt;"", C41=TRUE, E41=Report!$B$1), B41, "")</f>
        <v/>
      </c>
      <c r="B41" s="197" t="str">
        <f>IF(OR(E41=Report!$B$1, F41=Report!$B$1, G41=Report!$B$1, H41=Report!$B$1), D41, "")</f>
        <v/>
      </c>
      <c r="C41" s="192" t="b">
        <f>IFERROR(__xludf.DUMMYFUNCTION("""COMPUTED_VALUE"""),FALSE)</f>
        <v>0</v>
      </c>
      <c r="D41" s="192" t="str">
        <f>IFERROR(__xludf.DUMMYFUNCTION("""COMPUTED_VALUE"""),"Chlubnová Adéla")</f>
        <v>Chlubnová Adéla</v>
      </c>
      <c r="E41" s="192" t="str">
        <f>IFERROR(__xludf.DUMMYFUNCTION("""COMPUTED_VALUE"""),"Chodov")</f>
        <v>Chodov</v>
      </c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8">
        <f>IFERROR(__xludf.DUMMYFUNCTION("""COMPUTED_VALUE"""),157.0)</f>
        <v>157</v>
      </c>
      <c r="W41" s="195">
        <f>IFERROR(__xludf.DUMMYFUNCTION("""COMPUTED_VALUE"""),24119.506)</f>
        <v>24119.506</v>
      </c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</row>
    <row r="42">
      <c r="A42" s="192" t="str">
        <f>IF(AND(B42&lt;&gt;"", C42=TRUE, E42=Report!$B$1), B42, "")</f>
        <v/>
      </c>
      <c r="B42" s="197" t="str">
        <f>IF(OR(E42=Report!$B$1, F42=Report!$B$1, G42=Report!$B$1, H42=Report!$B$1), D42, "")</f>
        <v>Kuzníková Nicol</v>
      </c>
      <c r="C42" s="192" t="b">
        <f>IFERROR(__xludf.DUMMYFUNCTION("""COMPUTED_VALUE"""),FALSE)</f>
        <v>0</v>
      </c>
      <c r="D42" s="192" t="str">
        <f>IFERROR(__xludf.DUMMYFUNCTION("""COMPUTED_VALUE"""),"Kuzníková Nicol")</f>
        <v>Kuzníková Nicol</v>
      </c>
      <c r="E42" s="192" t="str">
        <f>IFERROR(__xludf.DUMMYFUNCTION("""COMPUTED_VALUE"""),"Zličín")</f>
        <v>Zličín</v>
      </c>
      <c r="F42" s="192"/>
      <c r="G42" s="192"/>
      <c r="H42" s="192"/>
      <c r="I42" s="192"/>
      <c r="J42" s="192"/>
      <c r="K42" s="192"/>
      <c r="L42" s="192"/>
      <c r="M42" s="192"/>
      <c r="N42" s="192"/>
      <c r="O42" s="192"/>
      <c r="P42" s="192"/>
      <c r="Q42" s="192"/>
      <c r="R42" s="192"/>
      <c r="S42" s="192"/>
      <c r="T42" s="192"/>
      <c r="U42" s="192"/>
      <c r="V42" s="198">
        <f>IFERROR(__xludf.DUMMYFUNCTION("""COMPUTED_VALUE"""),0.0)</f>
        <v>0</v>
      </c>
      <c r="W42" s="195">
        <f>IFERROR(__xludf.DUMMYFUNCTION("""COMPUTED_VALUE"""),0.0)</f>
        <v>0</v>
      </c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</row>
    <row r="43">
      <c r="A43" s="192" t="str">
        <f>IF(AND(B43&lt;&gt;"", C43=TRUE, E43=Report!$B$1), B43, "")</f>
        <v/>
      </c>
      <c r="B43" s="197" t="str">
        <f>IF(OR(E43=Report!$B$1, F43=Report!$B$1, G43=Report!$B$1, H43=Report!$B$1), D43, "")</f>
        <v/>
      </c>
      <c r="C43" s="192" t="b">
        <f>IFERROR(__xludf.DUMMYFUNCTION("""COMPUTED_VALUE"""),FALSE)</f>
        <v>0</v>
      </c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R43" s="192"/>
      <c r="S43" s="192"/>
      <c r="T43" s="192"/>
      <c r="U43" s="192"/>
      <c r="V43" s="192"/>
      <c r="W43" s="195">
        <f>IFERROR(__xludf.DUMMYFUNCTION("""COMPUTED_VALUE"""),65000.0)</f>
        <v>65000</v>
      </c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</row>
    <row r="44">
      <c r="A44" s="192"/>
      <c r="B44" s="199" t="str">
        <f>IF(OR(E44=Report!$B$1, F44=Report!$B$1, G44=Report!$B$1, H44=Report!$B$1), D44, "")</f>
        <v/>
      </c>
      <c r="C44" s="192" t="b">
        <f>IFERROR(__xludf.DUMMYFUNCTION("""COMPUTED_VALUE"""),FALSE)</f>
        <v>0</v>
      </c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2"/>
      <c r="O44" s="192"/>
      <c r="P44" s="192"/>
      <c r="Q44" s="192"/>
      <c r="R44" s="192"/>
      <c r="S44" s="192"/>
      <c r="T44" s="192"/>
      <c r="U44" s="192"/>
      <c r="V44" s="192"/>
      <c r="W44" s="195">
        <f>IFERROR(__xludf.DUMMYFUNCTION("""COMPUTED_VALUE"""),0.0)</f>
        <v>0</v>
      </c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</row>
    <row r="45">
      <c r="A45" s="192"/>
      <c r="B45" s="199" t="str">
        <f>IF(OR(E45=Report!$B$1, F45=Report!$B$1, G45=Report!$B$1, H45=Report!$B$1), D45, "")</f>
        <v/>
      </c>
      <c r="C45" s="192" t="b">
        <f>IFERROR(__xludf.DUMMYFUNCTION("""COMPUTED_VALUE"""),FALSE)</f>
        <v>0</v>
      </c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5">
        <f>IFERROR(__xludf.DUMMYFUNCTION("""COMPUTED_VALUE"""),0.0)</f>
        <v>0</v>
      </c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</row>
    <row r="46">
      <c r="A46" s="192"/>
      <c r="B46" s="199" t="str">
        <f>IF(OR(E46=Report!$B$1, F46=Report!$B$1, G46=Report!$B$1, H46=Report!$B$1), D46, "")</f>
        <v/>
      </c>
      <c r="C46" s="192" t="b">
        <f>IFERROR(__xludf.DUMMYFUNCTION("""COMPUTED_VALUE"""),FALSE)</f>
        <v>0</v>
      </c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5">
        <f>IFERROR(__xludf.DUMMYFUNCTION("""COMPUTED_VALUE"""),0.0)</f>
        <v>0</v>
      </c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</row>
    <row r="47">
      <c r="A47" s="192"/>
      <c r="B47" s="199" t="str">
        <f>IF(OR(E47=Report!$B$1, F47=Report!$B$1, G47=Report!$B$1, H47=Report!$B$1), D47, "")</f>
        <v/>
      </c>
      <c r="C47" s="192" t="b">
        <f>IFERROR(__xludf.DUMMYFUNCTION("""COMPUTED_VALUE"""),FALSE)</f>
        <v>0</v>
      </c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5">
        <f>IFERROR(__xludf.DUMMYFUNCTION("""COMPUTED_VALUE"""),0.0)</f>
        <v>0</v>
      </c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</row>
    <row r="48">
      <c r="A48" s="192"/>
      <c r="B48" s="199" t="str">
        <f>IF(OR(E48=Report!$B$1, F48=Report!$B$1, G48=Report!$B$1, H48=Report!$B$1), D48, "")</f>
        <v/>
      </c>
      <c r="C48" s="192" t="b">
        <f>IFERROR(__xludf.DUMMYFUNCTION("""COMPUTED_VALUE"""),FALSE)</f>
        <v>0</v>
      </c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5">
        <f>IFERROR(__xludf.DUMMYFUNCTION("""COMPUTED_VALUE"""),0.0)</f>
        <v>0</v>
      </c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</row>
    <row r="49">
      <c r="A49" s="192"/>
      <c r="B49" s="199" t="str">
        <f>IF(OR(E49=Report!$B$1, F49=Report!$B$1, G49=Report!$B$1, H49=Report!$B$1), D49, "")</f>
        <v/>
      </c>
      <c r="C49" s="192" t="b">
        <f>IFERROR(__xludf.DUMMYFUNCTION("""COMPUTED_VALUE"""),FALSE)</f>
        <v>0</v>
      </c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5">
        <f>IFERROR(__xludf.DUMMYFUNCTION("""COMPUTED_VALUE"""),0.0)</f>
        <v>0</v>
      </c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</row>
    <row r="50">
      <c r="A50" s="192"/>
      <c r="B50" s="199" t="str">
        <f>IF(OR(E50=Report!$B$1, F50=Report!$B$1, G50=Report!$B$1, H50=Report!$B$1), D50, "")</f>
        <v/>
      </c>
      <c r="C50" s="192" t="b">
        <f>IFERROR(__xludf.DUMMYFUNCTION("""COMPUTED_VALUE"""),FALSE)</f>
        <v>0</v>
      </c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5">
        <f>IFERROR(__xludf.DUMMYFUNCTION("""COMPUTED_VALUE"""),0.0)</f>
        <v>0</v>
      </c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</row>
    <row r="51">
      <c r="A51" s="192"/>
      <c r="B51" s="199" t="str">
        <f>IF(OR(E51=Report!$B$1, F51=Report!$B$1, G51=Report!$B$1, H51=Report!$B$1), D51, "")</f>
        <v/>
      </c>
      <c r="C51" s="192" t="b">
        <f>IFERROR(__xludf.DUMMYFUNCTION("""COMPUTED_VALUE"""),FALSE)</f>
        <v>0</v>
      </c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5">
        <f>IFERROR(__xludf.DUMMYFUNCTION("""COMPUTED_VALUE"""),0.0)</f>
        <v>0</v>
      </c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</row>
    <row r="52">
      <c r="A52" s="192"/>
      <c r="B52" s="199" t="str">
        <f>IF(OR(E52=Report!$B$1, F52=Report!$B$1, G52=Report!$B$1, H52=Report!$B$1), D52, "")</f>
        <v/>
      </c>
      <c r="C52" s="192" t="b">
        <f>IFERROR(__xludf.DUMMYFUNCTION("""COMPUTED_VALUE"""),FALSE)</f>
        <v>0</v>
      </c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5">
        <f>IFERROR(__xludf.DUMMYFUNCTION("""COMPUTED_VALUE"""),0.0)</f>
        <v>0</v>
      </c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</row>
    <row r="53">
      <c r="A53" s="192"/>
      <c r="B53" s="199" t="str">
        <f>IF(OR(E53=Report!$B$1, F53=Report!$B$1, G53=Report!$B$1, H53=Report!$B$1), D53, "")</f>
        <v/>
      </c>
      <c r="C53" s="192" t="b">
        <f>IFERROR(__xludf.DUMMYFUNCTION("""COMPUTED_VALUE"""),FALSE)</f>
        <v>0</v>
      </c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5">
        <f>IFERROR(__xludf.DUMMYFUNCTION("""COMPUTED_VALUE"""),0.0)</f>
        <v>0</v>
      </c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</row>
    <row r="54">
      <c r="A54" s="192"/>
      <c r="B54" s="199" t="str">
        <f>IF(OR(E54=Report!$B$1, F54=Report!$B$1, G54=Report!$B$1, H54=Report!$B$1), D54, "")</f>
        <v/>
      </c>
      <c r="C54" s="192" t="b">
        <f>IFERROR(__xludf.DUMMYFUNCTION("""COMPUTED_VALUE"""),FALSE)</f>
        <v>0</v>
      </c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5">
        <f>IFERROR(__xludf.DUMMYFUNCTION("""COMPUTED_VALUE"""),0.0)</f>
        <v>0</v>
      </c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</row>
    <row r="55">
      <c r="A55" s="192"/>
      <c r="B55" s="199" t="str">
        <f>IF(OR(E55=Report!$B$1, F55=Report!$B$1, G55=Report!$B$1, H55=Report!$B$1), D55, "")</f>
        <v/>
      </c>
      <c r="C55" s="192" t="b">
        <f>IFERROR(__xludf.DUMMYFUNCTION("""COMPUTED_VALUE"""),FALSE)</f>
        <v>0</v>
      </c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5">
        <f>IFERROR(__xludf.DUMMYFUNCTION("""COMPUTED_VALUE"""),0.0)</f>
        <v>0</v>
      </c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</row>
    <row r="56">
      <c r="A56" s="192"/>
      <c r="B56" s="199" t="str">
        <f>IF(OR(E56=Report!$B$1, F56=Report!$B$1, G56=Report!$B$1, H56=Report!$B$1), D56, "")</f>
        <v/>
      </c>
      <c r="C56" s="192" t="b">
        <f>IFERROR(__xludf.DUMMYFUNCTION("""COMPUTED_VALUE"""),FALSE)</f>
        <v>0</v>
      </c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5">
        <f>IFERROR(__xludf.DUMMYFUNCTION("""COMPUTED_VALUE"""),0.0)</f>
        <v>0</v>
      </c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</row>
    <row r="57">
      <c r="A57" s="192"/>
      <c r="B57" s="199" t="str">
        <f>IF(OR(E57=Report!$B$1, F57=Report!$B$1, G57=Report!$B$1, H57=Report!$B$1), D57, "")</f>
        <v/>
      </c>
      <c r="C57" s="192" t="b">
        <f>IFERROR(__xludf.DUMMYFUNCTION("""COMPUTED_VALUE"""),FALSE)</f>
        <v>0</v>
      </c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5">
        <f>IFERROR(__xludf.DUMMYFUNCTION("""COMPUTED_VALUE"""),0.0)</f>
        <v>0</v>
      </c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</row>
    <row r="58">
      <c r="A58" s="192"/>
      <c r="B58" s="199" t="str">
        <f>IF(OR(E58=Report!$B$1, F58=Report!$B$1, G58=Report!$B$1, H58=Report!$B$1), D58, "")</f>
        <v/>
      </c>
      <c r="C58" s="192"/>
      <c r="D58" s="192" t="str">
        <f>IFERROR(__xludf.DUMMYFUNCTION("""COMPUTED_VALUE"""),"End")</f>
        <v>End</v>
      </c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5">
        <f>IFERROR(__xludf.DUMMYFUNCTION("""COMPUTED_VALUE"""),0.0)</f>
        <v>0</v>
      </c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</row>
    <row r="59">
      <c r="A59" s="192"/>
      <c r="B59" s="199" t="str">
        <f>IF(OR(E59=Report!$B$1, F59=Report!$B$1, G59=Report!$B$1, H59=Report!$B$1), D59, "")</f>
        <v/>
      </c>
      <c r="C59" s="192"/>
      <c r="D59" s="192" t="str">
        <f>IFERROR(__xludf.DUMMYFUNCTION("""COMPUTED_VALUE"""),"Suma instor")</f>
        <v>Suma instor</v>
      </c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200">
        <f>IFERROR(__xludf.DUMMYFUNCTION("""COMPUTED_VALUE"""),0.0)</f>
        <v>0</v>
      </c>
      <c r="W59" s="195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</row>
    <row r="60">
      <c r="A60" s="192"/>
      <c r="B60" s="199" t="str">
        <f>IF(OR(E60=Report!$B$1, F60=Report!$B$1, G60=Report!$B$1, H60=Report!$B$1), D60, "")</f>
        <v/>
      </c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5">
        <f>IFERROR(__xludf.DUMMYFUNCTION("""COMPUTED_VALUE"""),3850.5)</f>
        <v>3850.5</v>
      </c>
      <c r="W60" s="195">
        <f>IFERROR(__xludf.DUMMYFUNCTION("""COMPUTED_VALUE"""),991884.3450000001)</f>
        <v>991884.345</v>
      </c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</row>
    <row r="61">
      <c r="A61" s="192"/>
      <c r="B61" s="197" t="str">
        <f>IF(OR(E61=Report!$B$1, F61=Report!$B$1, G61=Report!$B$1, H61=Report!$B$1), D61, "")</f>
        <v/>
      </c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5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</row>
    <row r="62">
      <c r="A62" s="192"/>
      <c r="B62" s="197" t="str">
        <f>IF(OR(E62=Report!$B$1, F62=Report!$B$1, G62=Report!$B$1, H62=Report!$B$1), D62, "")</f>
        <v/>
      </c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5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</row>
    <row r="63">
      <c r="A63" s="192"/>
      <c r="B63" s="197" t="str">
        <f>IF(OR(E63=Report!$B$1, F63=Report!$B$1, G63=Report!$B$1, H63=Report!$B$1), D63, "")</f>
        <v/>
      </c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 t="str">
        <f>IFERROR(__xludf.DUMMYFUNCTION("""COMPUTED_VALUE"""),"Sleva na popl.")</f>
        <v>Sleva na popl.</v>
      </c>
      <c r="W63" s="195" t="str">
        <f>IFERROR(__xludf.DUMMYFUNCTION("""COMPUTED_VALUE"""),"čistá")</f>
        <v>čistá</v>
      </c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</row>
    <row r="64">
      <c r="A64" s="192"/>
      <c r="B64" s="197" t="str">
        <f>IF(OR(E64=Report!$B$1, F64=Report!$B$1, G64=Report!$B$1, H64=Report!$B$1), D64, "")</f>
        <v/>
      </c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>
        <f>IFERROR(__xludf.DUMMYFUNCTION("""COMPUTED_VALUE"""),2570.0)</f>
        <v>2570</v>
      </c>
      <c r="W64" s="195" t="str">
        <f>IFERROR(__xludf.DUMMYFUNCTION("""COMPUTED_VALUE"""),"mzda/h")</f>
        <v>mzda/h</v>
      </c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</row>
    <row r="65">
      <c r="A65" s="192"/>
      <c r="B65" s="197" t="str">
        <f>IF(OR(E65=Report!$B$1, F65=Report!$B$1, G65=Report!$B$1, H65=Report!$B$1), D65, "")</f>
        <v/>
      </c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>
        <f>IFERROR(__xludf.DUMMYFUNCTION("""COMPUTED_VALUE"""),26058.0)</f>
        <v>26058</v>
      </c>
      <c r="W65" s="195">
        <f>IFERROR(__xludf.DUMMYFUNCTION("""COMPUTED_VALUE"""),130.29)</f>
        <v>130.29</v>
      </c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</row>
    <row r="66">
      <c r="A66" s="192"/>
      <c r="B66" s="197" t="str">
        <f>IF(OR(E66=Report!$B$1, F66=Report!$B$1, G66=Report!$B$1, H66=Report!$B$1), D66, "")</f>
        <v/>
      </c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5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</row>
    <row r="67">
      <c r="A67" s="192"/>
      <c r="B67" s="197" t="str">
        <f>IF(OR(E67=Report!$B$1, F67=Report!$B$1, G67=Report!$B$1, H67=Report!$B$1), D67, "")</f>
        <v/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5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</row>
    <row r="68">
      <c r="A68" s="192"/>
      <c r="B68" s="197" t="str">
        <f>IF(OR(E68=Report!$B$1, F68=Report!$B$1, G68=Report!$B$1, H68=Report!$B$1), D68, "")</f>
        <v/>
      </c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5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</row>
    <row r="69">
      <c r="A69" s="192"/>
      <c r="B69" s="197" t="str">
        <f>IF(OR(E69=Report!$B$1, F69=Report!$B$1, G69=Report!$B$1, H69=Report!$B$1), D69, "")</f>
        <v/>
      </c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5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</row>
    <row r="70">
      <c r="A70" s="192"/>
      <c r="B70" s="197" t="str">
        <f>IF(OR(E70=Report!$B$1, F70=Report!$B$1, G70=Report!$B$1, H70=Report!$B$1), D70, "")</f>
        <v/>
      </c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5" t="str">
        <f>IFERROR(__xludf.DUMMYFUNCTION("""COMPUTED_VALUE""")," ")</f>
        <v> </v>
      </c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</row>
    <row r="71">
      <c r="A71" s="192"/>
      <c r="B71" s="197" t="str">
        <f>IF(OR(E71=Report!$B$1, F71=Report!$B$1, G71=Report!$B$1, H71=Report!$B$1), D71, "")</f>
        <v/>
      </c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5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</row>
    <row r="72">
      <c r="A72" s="192"/>
      <c r="B72" s="197" t="str">
        <f>IF(OR(E72=Report!$B$1, F72=Report!$B$1, G72=Report!$B$1, H72=Report!$B$1), D72, "")</f>
        <v/>
      </c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5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</row>
    <row r="73">
      <c r="A73" s="192"/>
      <c r="B73" s="197" t="str">
        <f>IF(OR(E73=Report!$B$1, F73=Report!$B$1, G73=Report!$B$1, H73=Report!$B$1), D73, "")</f>
        <v/>
      </c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5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</row>
    <row r="74">
      <c r="A74" s="192"/>
      <c r="B74" s="197" t="str">
        <f>IF(OR(E74=Report!$B$1, F74=Report!$B$1, G74=Report!$B$1, H74=Report!$B$1), D74, "")</f>
        <v/>
      </c>
      <c r="C74" s="192" t="str">
        <f>IFERROR(__xludf.DUMMYFUNCTION("""COMPUTED_VALUE"""),"Manažer")</f>
        <v>Manažer</v>
      </c>
      <c r="D74" s="192" t="str">
        <f>IFERROR(__xludf.DUMMYFUNCTION("""COMPUTED_VALUE"""),"Kurýr")</f>
        <v>Kurýr</v>
      </c>
      <c r="E74" s="192" t="str">
        <f>IFERROR(__xludf.DUMMYFUNCTION("""COMPUTED_VALUE"""),"První domácí,          Pobočky max 4    ")</f>
        <v>První domácí,          Pobočky max 4    </v>
      </c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8">
        <f>IFERROR(__xludf.DUMMYFUNCTION("""COMPUTED_VALUE"""),0.0)</f>
        <v>0</v>
      </c>
      <c r="W74" s="195" t="str">
        <f>IFERROR(__xludf.DUMMYFUNCTION("""COMPUTED_VALUE"""),"Čistá mzda")</f>
        <v>Čistá mzda</v>
      </c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</row>
    <row r="75">
      <c r="A75" s="192"/>
      <c r="B75" s="197" t="str">
        <f>IF(OR(E75=Report!$B$1, F75=Report!$B$1, G75=Report!$B$1, H75=Report!$B$1), D75, "")</f>
        <v/>
      </c>
      <c r="C75" s="192" t="b">
        <f>IFERROR(__xludf.DUMMYFUNCTION("""COMPUTED_VALUE"""),FALSE)</f>
        <v>0</v>
      </c>
      <c r="D75" s="192" t="str">
        <f>IFERROR(__xludf.DUMMYFUNCTION("""COMPUTED_VALUE"""),"Jurkovič Martin")</f>
        <v>Jurkovič Martin</v>
      </c>
      <c r="E75" s="192" t="str">
        <f>IFERROR(__xludf.DUMMYFUNCTION("""COMPUTED_VALUE"""),"Libuš")</f>
        <v>Libuš</v>
      </c>
      <c r="F75" s="192" t="str">
        <f>IFERROR(__xludf.DUMMYFUNCTION("""COMPUTED_VALUE"""),"Chodov")</f>
        <v>Chodov</v>
      </c>
      <c r="G75" s="192" t="str">
        <f>IFERROR(__xludf.DUMMYFUNCTION("""COMPUTED_VALUE"""),"Malešice")</f>
        <v>Malešice</v>
      </c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8">
        <f>IFERROR(__xludf.DUMMYFUNCTION("""COMPUTED_VALUE"""),57.5)</f>
        <v>57.5</v>
      </c>
      <c r="W75" s="195">
        <f>IFERROR(__xludf.DUMMYFUNCTION("""COMPUTED_VALUE"""),8625.0)</f>
        <v>8625</v>
      </c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</row>
    <row r="76">
      <c r="A76" s="192"/>
      <c r="B76" s="197" t="str">
        <f>IF(OR(E76=Report!$B$1, F76=Report!$B$1, G76=Report!$B$1, H76=Report!$B$1), D76, "")</f>
        <v/>
      </c>
      <c r="C76" s="192" t="b">
        <f>IFERROR(__xludf.DUMMYFUNCTION("""COMPUTED_VALUE"""),FALSE)</f>
        <v>0</v>
      </c>
      <c r="D76" s="192" t="str">
        <f>IFERROR(__xludf.DUMMYFUNCTION("""COMPUTED_VALUE"""),"Navrátil Ondřej")</f>
        <v>Navrátil Ondřej</v>
      </c>
      <c r="E76" s="192" t="str">
        <f>IFERROR(__xludf.DUMMYFUNCTION("""COMPUTED_VALUE"""),"Chodov")</f>
        <v>Chodov</v>
      </c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8">
        <f>IFERROR(__xludf.DUMMYFUNCTION("""COMPUTED_VALUE"""),128.0)</f>
        <v>128</v>
      </c>
      <c r="W76" s="195">
        <f>IFERROR(__xludf.DUMMYFUNCTION("""COMPUTED_VALUE"""),21360.4)</f>
        <v>21360.4</v>
      </c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</row>
    <row r="77">
      <c r="A77" s="192"/>
      <c r="B77" s="197" t="str">
        <f>IF(OR(E77=Report!$B$1, F77=Report!$B$1, G77=Report!$B$1, H77=Report!$B$1), D77, "")</f>
        <v>Němec Filip</v>
      </c>
      <c r="C77" s="192" t="b">
        <f>IFERROR(__xludf.DUMMYFUNCTION("""COMPUTED_VALUE"""),FALSE)</f>
        <v>0</v>
      </c>
      <c r="D77" s="192" t="str">
        <f>IFERROR(__xludf.DUMMYFUNCTION("""COMPUTED_VALUE"""),"Němec Filip")</f>
        <v>Němec Filip</v>
      </c>
      <c r="E77" s="192" t="str">
        <f>IFERROR(__xludf.DUMMYFUNCTION("""COMPUTED_VALUE"""),"Zličín")</f>
        <v>Zličín</v>
      </c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8">
        <f>IFERROR(__xludf.DUMMYFUNCTION("""COMPUTED_VALUE"""),57.5)</f>
        <v>57.5</v>
      </c>
      <c r="W77" s="195">
        <f>IFERROR(__xludf.DUMMYFUNCTION("""COMPUTED_VALUE"""),8793.59)</f>
        <v>8793.59</v>
      </c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</row>
    <row r="78">
      <c r="A78" s="192"/>
      <c r="B78" s="197" t="str">
        <f>IF(OR(E78=Report!$B$1, F78=Report!$B$1, G78=Report!$B$1, H78=Report!$B$1), D78, "")</f>
        <v>Zimmer Jakub</v>
      </c>
      <c r="C78" s="192" t="b">
        <f>IFERROR(__xludf.DUMMYFUNCTION("""COMPUTED_VALUE"""),FALSE)</f>
        <v>0</v>
      </c>
      <c r="D78" s="192" t="str">
        <f>IFERROR(__xludf.DUMMYFUNCTION("""COMPUTED_VALUE"""),"Zimmer Jakub")</f>
        <v>Zimmer Jakub</v>
      </c>
      <c r="E78" s="192" t="str">
        <f>IFERROR(__xludf.DUMMYFUNCTION("""COMPUTED_VALUE"""),"Zličín")</f>
        <v>Zličín</v>
      </c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8">
        <f>IFERROR(__xludf.DUMMYFUNCTION("""COMPUTED_VALUE"""),67.0)</f>
        <v>67</v>
      </c>
      <c r="W78" s="195">
        <f>IFERROR(__xludf.DUMMYFUNCTION("""COMPUTED_VALUE"""),11845.6)</f>
        <v>11845.6</v>
      </c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</row>
    <row r="79">
      <c r="A79" s="192"/>
      <c r="B79" s="197" t="str">
        <f>IF(OR(E79=Report!$B$1, F79=Report!$B$1, G79=Report!$B$1, H79=Report!$B$1), D79, "")</f>
        <v>Nekolný Vladimír</v>
      </c>
      <c r="C79" s="192" t="b">
        <f>IFERROR(__xludf.DUMMYFUNCTION("""COMPUTED_VALUE"""),FALSE)</f>
        <v>0</v>
      </c>
      <c r="D79" s="192" t="str">
        <f>IFERROR(__xludf.DUMMYFUNCTION("""COMPUTED_VALUE"""),"Nekolný Vladimír")</f>
        <v>Nekolný Vladimír</v>
      </c>
      <c r="E79" s="192" t="str">
        <f>IFERROR(__xludf.DUMMYFUNCTION("""COMPUTED_VALUE"""),"Chodov")</f>
        <v>Chodov</v>
      </c>
      <c r="F79" s="192" t="str">
        <f>IFERROR(__xludf.DUMMYFUNCTION("""COMPUTED_VALUE"""),"Libuš")</f>
        <v>Libuš</v>
      </c>
      <c r="G79" s="192" t="str">
        <f>IFERROR(__xludf.DUMMYFUNCTION("""COMPUTED_VALUE"""),"Zličín")</f>
        <v>Zličín</v>
      </c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8">
        <f>IFERROR(__xludf.DUMMYFUNCTION("""COMPUTED_VALUE"""),40.0)</f>
        <v>40</v>
      </c>
      <c r="W79" s="195">
        <f>IFERROR(__xludf.DUMMYFUNCTION("""COMPUTED_VALUE"""),6117.28)</f>
        <v>6117.28</v>
      </c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</row>
    <row r="80">
      <c r="A80" s="192"/>
      <c r="B80" s="197" t="str">
        <f>IF(OR(E80=Report!$B$1, F80=Report!$B$1, G80=Report!$B$1, H80=Report!$B$1), D80, "")</f>
        <v/>
      </c>
      <c r="C80" s="192" t="b">
        <f>IFERROR(__xludf.DUMMYFUNCTION("""COMPUTED_VALUE"""),FALSE)</f>
        <v>0</v>
      </c>
      <c r="D80" s="192" t="str">
        <f>IFERROR(__xludf.DUMMYFUNCTION("""COMPUTED_VALUE"""),"Hanibal Filip")</f>
        <v>Hanibal Filip</v>
      </c>
      <c r="E80" s="192" t="str">
        <f>IFERROR(__xludf.DUMMYFUNCTION("""COMPUTED_VALUE"""),"Malešice")</f>
        <v>Malešice</v>
      </c>
      <c r="F80" s="192" t="str">
        <f>IFERROR(__xludf.DUMMYFUNCTION("""COMPUTED_VALUE"""),"Libuš")</f>
        <v>Libuš</v>
      </c>
      <c r="G80" s="192" t="str">
        <f>IFERROR(__xludf.DUMMYFUNCTION("""COMPUTED_VALUE"""),"Prosek")</f>
        <v>Prosek</v>
      </c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8">
        <f>IFERROR(__xludf.DUMMYFUNCTION("""COMPUTED_VALUE"""),125.5)</f>
        <v>125.5</v>
      </c>
      <c r="W80" s="195">
        <f>IFERROR(__xludf.DUMMYFUNCTION("""COMPUTED_VALUE"""),19795.878999999997)</f>
        <v>19795.879</v>
      </c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</row>
    <row r="81">
      <c r="A81" s="192"/>
      <c r="B81" s="197" t="str">
        <f>IF(OR(E81=Report!$B$1, F81=Report!$B$1, G81=Report!$B$1, H81=Report!$B$1), D81, "")</f>
        <v>Novák Jakub</v>
      </c>
      <c r="C81" s="192" t="b">
        <f>IFERROR(__xludf.DUMMYFUNCTION("""COMPUTED_VALUE"""),FALSE)</f>
        <v>0</v>
      </c>
      <c r="D81" s="192" t="str">
        <f>IFERROR(__xludf.DUMMYFUNCTION("""COMPUTED_VALUE"""),"Novák Jakub")</f>
        <v>Novák Jakub</v>
      </c>
      <c r="E81" s="192" t="str">
        <f>IFERROR(__xludf.DUMMYFUNCTION("""COMPUTED_VALUE"""),"Zličín")</f>
        <v>Zličín</v>
      </c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8">
        <f>IFERROR(__xludf.DUMMYFUNCTION("""COMPUTED_VALUE"""),135.5)</f>
        <v>135.5</v>
      </c>
      <c r="W81" s="195">
        <f>IFERROR(__xludf.DUMMYFUNCTION("""COMPUTED_VALUE"""),18483.12)</f>
        <v>18483.12</v>
      </c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</row>
    <row r="82">
      <c r="A82" s="192"/>
      <c r="B82" s="197" t="str">
        <f>IF(OR(E82=Report!$B$1, F82=Report!$B$1, G82=Report!$B$1, H82=Report!$B$1), D82, "")</f>
        <v>Černohorský Otakar</v>
      </c>
      <c r="C82" s="192" t="b">
        <f>IFERROR(__xludf.DUMMYFUNCTION("""COMPUTED_VALUE"""),FALSE)</f>
        <v>0</v>
      </c>
      <c r="D82" s="192" t="str">
        <f>IFERROR(__xludf.DUMMYFUNCTION("""COMPUTED_VALUE"""),"Černohorský Otakar")</f>
        <v>Černohorský Otakar</v>
      </c>
      <c r="E82" s="192" t="str">
        <f>IFERROR(__xludf.DUMMYFUNCTION("""COMPUTED_VALUE"""),"Zličín")</f>
        <v>Zličín</v>
      </c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8">
        <f>IFERROR(__xludf.DUMMYFUNCTION("""COMPUTED_VALUE"""),0.0)</f>
        <v>0</v>
      </c>
      <c r="W82" s="195">
        <f>IFERROR(__xludf.DUMMYFUNCTION("""COMPUTED_VALUE"""),0.0)</f>
        <v>0</v>
      </c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</row>
    <row r="83">
      <c r="A83" s="192"/>
      <c r="B83" s="197" t="str">
        <f>IF(OR(E83=Report!$B$1, F83=Report!$B$1, G83=Report!$B$1, H83=Report!$B$1), D83, "")</f>
        <v/>
      </c>
      <c r="C83" s="192" t="b">
        <f>IFERROR(__xludf.DUMMYFUNCTION("""COMPUTED_VALUE"""),FALSE)</f>
        <v>0</v>
      </c>
      <c r="D83" s="192" t="str">
        <f>IFERROR(__xludf.DUMMYFUNCTION("""COMPUTED_VALUE"""),"Nedvěd Dominik")</f>
        <v>Nedvěd Dominik</v>
      </c>
      <c r="E83" s="192" t="str">
        <f>IFERROR(__xludf.DUMMYFUNCTION("""COMPUTED_VALUE"""),"Libuš")</f>
        <v>Libuš</v>
      </c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8">
        <f>IFERROR(__xludf.DUMMYFUNCTION("""COMPUTED_VALUE"""),24.0)</f>
        <v>24</v>
      </c>
      <c r="W83" s="195">
        <f>IFERROR(__xludf.DUMMYFUNCTION("""COMPUTED_VALUE"""),3670.368)</f>
        <v>3670.368</v>
      </c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</row>
    <row r="84">
      <c r="A84" s="192"/>
      <c r="B84" s="197" t="str">
        <f>IF(OR(E84=Report!$B$1, F84=Report!$B$1, G84=Report!$B$1, H84=Report!$B$1), D84, "")</f>
        <v/>
      </c>
      <c r="C84" s="192" t="b">
        <f>IFERROR(__xludf.DUMMYFUNCTION("""COMPUTED_VALUE"""),FALSE)</f>
        <v>0</v>
      </c>
      <c r="D84" s="192" t="str">
        <f>IFERROR(__xludf.DUMMYFUNCTION("""COMPUTED_VALUE"""),"Lanský Zoltan")</f>
        <v>Lanský Zoltan</v>
      </c>
      <c r="E84" s="192" t="str">
        <f>IFERROR(__xludf.DUMMYFUNCTION("""COMPUTED_VALUE"""),"Chodov")</f>
        <v>Chodov</v>
      </c>
      <c r="F84" s="192" t="str">
        <f>IFERROR(__xludf.DUMMYFUNCTION("""COMPUTED_VALUE"""),"Libuš")</f>
        <v>Libuš</v>
      </c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8">
        <f>IFERROR(__xludf.DUMMYFUNCTION("""COMPUTED_VALUE"""),88.0)</f>
        <v>88</v>
      </c>
      <c r="W84" s="195">
        <f>IFERROR(__xludf.DUMMYFUNCTION("""COMPUTED_VALUE"""),14547.104)</f>
        <v>14547.104</v>
      </c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</row>
    <row r="85">
      <c r="A85" s="192"/>
      <c r="B85" s="197" t="str">
        <f>IF(OR(E85=Report!$B$1, F85=Report!$B$1, G85=Report!$B$1, H85=Report!$B$1), D85, "")</f>
        <v>Lowe Jana</v>
      </c>
      <c r="C85" s="192" t="b">
        <f>IFERROR(__xludf.DUMMYFUNCTION("""COMPUTED_VALUE"""),FALSE)</f>
        <v>0</v>
      </c>
      <c r="D85" s="192" t="str">
        <f>IFERROR(__xludf.DUMMYFUNCTION("""COMPUTED_VALUE"""),"Lowe Jana")</f>
        <v>Lowe Jana</v>
      </c>
      <c r="E85" s="192" t="str">
        <f>IFERROR(__xludf.DUMMYFUNCTION("""COMPUTED_VALUE"""),"Zličín")</f>
        <v>Zličín</v>
      </c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8">
        <f>IFERROR(__xludf.DUMMYFUNCTION("""COMPUTED_VALUE"""),41.5)</f>
        <v>41.5</v>
      </c>
      <c r="W85" s="195">
        <f>IFERROR(__xludf.DUMMYFUNCTION("""COMPUTED_VALUE"""),6225.0)</f>
        <v>6225</v>
      </c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</row>
    <row r="86">
      <c r="A86" s="192"/>
      <c r="B86" s="197" t="str">
        <f>IF(OR(E86=Report!$B$1, F86=Report!$B$1, G86=Report!$B$1, H86=Report!$B$1), D86, "")</f>
        <v/>
      </c>
      <c r="C86" s="192" t="b">
        <f>IFERROR(__xludf.DUMMYFUNCTION("""COMPUTED_VALUE"""),FALSE)</f>
        <v>0</v>
      </c>
      <c r="D86" s="192" t="str">
        <f>IFERROR(__xludf.DUMMYFUNCTION("""COMPUTED_VALUE"""),"Mikuš Pavel")</f>
        <v>Mikuš Pavel</v>
      </c>
      <c r="E86" s="192" t="str">
        <f>IFERROR(__xludf.DUMMYFUNCTION("""COMPUTED_VALUE"""),"Prosek")</f>
        <v>Prosek</v>
      </c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8">
        <f>IFERROR(__xludf.DUMMYFUNCTION("""COMPUTED_VALUE"""),0.0)</f>
        <v>0</v>
      </c>
      <c r="W86" s="195">
        <f>IFERROR(__xludf.DUMMYFUNCTION("""COMPUTED_VALUE"""),0.0)</f>
        <v>0</v>
      </c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</row>
    <row r="87">
      <c r="A87" s="192"/>
      <c r="B87" s="197" t="str">
        <f>IF(OR(E87=Report!$B$1, F87=Report!$B$1, G87=Report!$B$1, H87=Report!$B$1), D87, "")</f>
        <v/>
      </c>
      <c r="C87" s="192" t="b">
        <f>IFERROR(__xludf.DUMMYFUNCTION("""COMPUTED_VALUE"""),FALSE)</f>
        <v>0</v>
      </c>
      <c r="D87" s="192" t="str">
        <f>IFERROR(__xludf.DUMMYFUNCTION("""COMPUTED_VALUE"""),"Hyský Aleš")</f>
        <v>Hyský Aleš</v>
      </c>
      <c r="E87" s="192" t="str">
        <f>IFERROR(__xludf.DUMMYFUNCTION("""COMPUTED_VALUE"""),"Chodov")</f>
        <v>Chodov</v>
      </c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8">
        <f>IFERROR(__xludf.DUMMYFUNCTION("""COMPUTED_VALUE"""),19.0)</f>
        <v>19</v>
      </c>
      <c r="W87" s="195">
        <f>IFERROR(__xludf.DUMMYFUNCTION("""COMPUTED_VALUE"""),2905.708)</f>
        <v>2905.708</v>
      </c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</row>
    <row r="88">
      <c r="A88" s="192"/>
      <c r="B88" s="197" t="str">
        <f>IF(OR(E88=Report!$B$1, F88=Report!$B$1, G88=Report!$B$1, H88=Report!$B$1), D88, "")</f>
        <v/>
      </c>
      <c r="C88" s="192" t="b">
        <f>IFERROR(__xludf.DUMMYFUNCTION("""COMPUTED_VALUE"""),FALSE)</f>
        <v>0</v>
      </c>
      <c r="D88" s="192" t="str">
        <f>IFERROR(__xludf.DUMMYFUNCTION("""COMPUTED_VALUE"""),"Šmídová Sabina")</f>
        <v>Šmídová Sabina</v>
      </c>
      <c r="E88" s="192" t="str">
        <f>IFERROR(__xludf.DUMMYFUNCTION("""COMPUTED_VALUE"""),"Chodov")</f>
        <v>Chodov</v>
      </c>
      <c r="F88" s="192" t="str">
        <f>IFERROR(__xludf.DUMMYFUNCTION("""COMPUTED_VALUE"""),"Prosek")</f>
        <v>Prosek</v>
      </c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8">
        <f>IFERROR(__xludf.DUMMYFUNCTION("""COMPUTED_VALUE"""),5.0)</f>
        <v>5</v>
      </c>
      <c r="W88" s="195">
        <f>IFERROR(__xludf.DUMMYFUNCTION("""COMPUTED_VALUE"""),826.54)</f>
        <v>826.54</v>
      </c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</row>
    <row r="89">
      <c r="A89" s="192"/>
      <c r="B89" s="197" t="str">
        <f>IF(OR(E89=Report!$B$1, F89=Report!$B$1, G89=Report!$B$1, H89=Report!$B$1), D89, "")</f>
        <v/>
      </c>
      <c r="C89" s="192" t="b">
        <f>IFERROR(__xludf.DUMMYFUNCTION("""COMPUTED_VALUE"""),FALSE)</f>
        <v>0</v>
      </c>
      <c r="D89" s="192" t="str">
        <f>IFERROR(__xludf.DUMMYFUNCTION("""COMPUTED_VALUE"""),"Lažek Jaroslav")</f>
        <v>Lažek Jaroslav</v>
      </c>
      <c r="E89" s="192" t="str">
        <f>IFERROR(__xludf.DUMMYFUNCTION("""COMPUTED_VALUE"""),"Libuš")</f>
        <v>Libuš</v>
      </c>
      <c r="F89" s="192" t="str">
        <f>IFERROR(__xludf.DUMMYFUNCTION("""COMPUTED_VALUE"""),"Chodov")</f>
        <v>Chodov</v>
      </c>
      <c r="G89" s="192" t="str">
        <f>IFERROR(__xludf.DUMMYFUNCTION("""COMPUTED_VALUE"""),"Malešice")</f>
        <v>Malešice</v>
      </c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8">
        <f>IFERROR(__xludf.DUMMYFUNCTION("""COMPUTED_VALUE"""),68.5)</f>
        <v>68.5</v>
      </c>
      <c r="W89" s="195">
        <f>IFERROR(__xludf.DUMMYFUNCTION("""COMPUTED_VALUE"""),11645.0)</f>
        <v>11645</v>
      </c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</row>
    <row r="90">
      <c r="A90" s="192"/>
      <c r="B90" s="197" t="str">
        <f>IF(OR(E90=Report!$B$1, F90=Report!$B$1, G90=Report!$B$1, H90=Report!$B$1), D90, "")</f>
        <v>Kormash Liubov</v>
      </c>
      <c r="C90" s="192" t="b">
        <f>IFERROR(__xludf.DUMMYFUNCTION("""COMPUTED_VALUE"""),FALSE)</f>
        <v>0</v>
      </c>
      <c r="D90" s="192" t="str">
        <f>IFERROR(__xludf.DUMMYFUNCTION("""COMPUTED_VALUE"""),"Kormash Liubov")</f>
        <v>Kormash Liubov</v>
      </c>
      <c r="E90" s="192" t="str">
        <f>IFERROR(__xludf.DUMMYFUNCTION("""COMPUTED_VALUE"""),"Zličín")</f>
        <v>Zličín</v>
      </c>
      <c r="F90" s="192" t="str">
        <f>IFERROR(__xludf.DUMMYFUNCTION("""COMPUTED_VALUE"""),"Prosek")</f>
        <v>Prosek</v>
      </c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8">
        <f>IFERROR(__xludf.DUMMYFUNCTION("""COMPUTED_VALUE"""),140.0)</f>
        <v>140</v>
      </c>
      <c r="W90" s="195">
        <f>IFERROR(__xludf.DUMMYFUNCTION("""COMPUTED_VALUE"""),22400.0)</f>
        <v>22400</v>
      </c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</row>
    <row r="91">
      <c r="A91" s="192"/>
      <c r="B91" s="197" t="str">
        <f>IF(OR(E91=Report!$B$1, F91=Report!$B$1, G91=Report!$B$1, H91=Report!$B$1), D91, "")</f>
        <v/>
      </c>
      <c r="C91" s="192" t="b">
        <f>IFERROR(__xludf.DUMMYFUNCTION("""COMPUTED_VALUE"""),FALSE)</f>
        <v>0</v>
      </c>
      <c r="D91" s="192" t="str">
        <f>IFERROR(__xludf.DUMMYFUNCTION("""COMPUTED_VALUE"""),"Čermák Jakub")</f>
        <v>Čermák Jakub</v>
      </c>
      <c r="E91" s="192" t="str">
        <f>IFERROR(__xludf.DUMMYFUNCTION("""COMPUTED_VALUE"""),"Chodov")</f>
        <v>Chodov</v>
      </c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8">
        <f>IFERROR(__xludf.DUMMYFUNCTION("""COMPUTED_VALUE"""),0.0)</f>
        <v>0</v>
      </c>
      <c r="W91" s="195">
        <f>IFERROR(__xludf.DUMMYFUNCTION("""COMPUTED_VALUE"""),0.0)</f>
        <v>0</v>
      </c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</row>
    <row r="92">
      <c r="A92" s="192"/>
      <c r="B92" s="197" t="str">
        <f>IF(OR(E92=Report!$B$1, F92=Report!$B$1, G92=Report!$B$1, H92=Report!$B$1), D92, "")</f>
        <v>Killiakov Andrei</v>
      </c>
      <c r="C92" s="192" t="b">
        <f>IFERROR(__xludf.DUMMYFUNCTION("""COMPUTED_VALUE"""),FALSE)</f>
        <v>0</v>
      </c>
      <c r="D92" s="192" t="str">
        <f>IFERROR(__xludf.DUMMYFUNCTION("""COMPUTED_VALUE"""),"Killiakov Andrei")</f>
        <v>Killiakov Andrei</v>
      </c>
      <c r="E92" s="192" t="str">
        <f>IFERROR(__xludf.DUMMYFUNCTION("""COMPUTED_VALUE"""),"Zličín")</f>
        <v>Zličín</v>
      </c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8">
        <f>IFERROR(__xludf.DUMMYFUNCTION("""COMPUTED_VALUE"""),0.0)</f>
        <v>0</v>
      </c>
      <c r="W92" s="195">
        <f>IFERROR(__xludf.DUMMYFUNCTION("""COMPUTED_VALUE"""),0.0)</f>
        <v>0</v>
      </c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</row>
    <row r="93">
      <c r="A93" s="192"/>
      <c r="B93" s="197" t="str">
        <f>IF(OR(E93=Report!$B$1, F93=Report!$B$1, G93=Report!$B$1, H93=Report!$B$1), D93, "")</f>
        <v/>
      </c>
      <c r="C93" s="192" t="b">
        <f>IFERROR(__xludf.DUMMYFUNCTION("""COMPUTED_VALUE"""),FALSE)</f>
        <v>0</v>
      </c>
      <c r="D93" s="192" t="str">
        <f>IFERROR(__xludf.DUMMYFUNCTION("""COMPUTED_VALUE"""),"Chlubna Tomáš")</f>
        <v>Chlubna Tomáš</v>
      </c>
      <c r="E93" s="192" t="str">
        <f>IFERROR(__xludf.DUMMYFUNCTION("""COMPUTED_VALUE"""),"Chodov")</f>
        <v>Chodov</v>
      </c>
      <c r="F93" s="192" t="str">
        <f>IFERROR(__xludf.DUMMYFUNCTION("""COMPUTED_VALUE"""),"Libuš")</f>
        <v>Libuš</v>
      </c>
      <c r="G93" s="192" t="str">
        <f>IFERROR(__xludf.DUMMYFUNCTION("""COMPUTED_VALUE"""),"Výroba")</f>
        <v>Výroba</v>
      </c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8">
        <f>IFERROR(__xludf.DUMMYFUNCTION("""COMPUTED_VALUE"""),202.0)</f>
        <v>202</v>
      </c>
      <c r="W93" s="195">
        <f>IFERROR(__xludf.DUMMYFUNCTION("""COMPUTED_VALUE"""),30296.116)</f>
        <v>30296.116</v>
      </c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</row>
    <row r="94">
      <c r="A94" s="192"/>
      <c r="B94" s="197" t="str">
        <f>IF(OR(E94=Report!$B$1, F94=Report!$B$1, G94=Report!$B$1, H94=Report!$B$1), D94, "")</f>
        <v>Vychivskyi Volodymyr</v>
      </c>
      <c r="C94" s="192" t="b">
        <f>IFERROR(__xludf.DUMMYFUNCTION("""COMPUTED_VALUE"""),FALSE)</f>
        <v>0</v>
      </c>
      <c r="D94" s="192" t="str">
        <f>IFERROR(__xludf.DUMMYFUNCTION("""COMPUTED_VALUE"""),"Vychivskyi Volodymyr")</f>
        <v>Vychivskyi Volodymyr</v>
      </c>
      <c r="E94" s="192" t="str">
        <f>IFERROR(__xludf.DUMMYFUNCTION("""COMPUTED_VALUE"""),"Malešice")</f>
        <v>Malešice</v>
      </c>
      <c r="F94" s="192" t="str">
        <f>IFERROR(__xludf.DUMMYFUNCTION("""COMPUTED_VALUE"""),"Prosek")</f>
        <v>Prosek</v>
      </c>
      <c r="G94" s="192" t="str">
        <f>IFERROR(__xludf.DUMMYFUNCTION("""COMPUTED_VALUE"""),"Zličín")</f>
        <v>Zličín</v>
      </c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8">
        <f>IFERROR(__xludf.DUMMYFUNCTION("""COMPUTED_VALUE"""),191.5)</f>
        <v>191.5</v>
      </c>
      <c r="W94" s="195">
        <f>IFERROR(__xludf.DUMMYFUNCTION("""COMPUTED_VALUE"""),28854.907)</f>
        <v>28854.907</v>
      </c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</row>
    <row r="95">
      <c r="A95" s="192"/>
      <c r="B95" s="197" t="str">
        <f>IF(OR(E95=Report!$B$1, F95=Report!$B$1, G95=Report!$B$1, H95=Report!$B$1), D95, "")</f>
        <v/>
      </c>
      <c r="C95" s="192" t="b">
        <f>IFERROR(__xludf.DUMMYFUNCTION("""COMPUTED_VALUE"""),FALSE)</f>
        <v>0</v>
      </c>
      <c r="D95" s="192" t="str">
        <f>IFERROR(__xludf.DUMMYFUNCTION("""COMPUTED_VALUE"""),"Dvořák Radim")</f>
        <v>Dvořák Radim</v>
      </c>
      <c r="E95" s="192" t="str">
        <f>IFERROR(__xludf.DUMMYFUNCTION("""COMPUTED_VALUE"""),"Prosek")</f>
        <v>Prosek</v>
      </c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8">
        <f>IFERROR(__xludf.DUMMYFUNCTION("""COMPUTED_VALUE"""),0.0)</f>
        <v>0</v>
      </c>
      <c r="W95" s="195">
        <f>IFERROR(__xludf.DUMMYFUNCTION("""COMPUTED_VALUE"""),0.0)</f>
        <v>0</v>
      </c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</row>
    <row r="96">
      <c r="A96" s="192"/>
      <c r="B96" s="197" t="str">
        <f>IF(OR(E96=Report!$B$1, F96=Report!$B$1, G96=Report!$B$1, H96=Report!$B$1), D96, "")</f>
        <v/>
      </c>
      <c r="C96" s="192" t="b">
        <f>IFERROR(__xludf.DUMMYFUNCTION("""COMPUTED_VALUE"""),FALSE)</f>
        <v>0</v>
      </c>
      <c r="D96" s="192" t="str">
        <f>IFERROR(__xludf.DUMMYFUNCTION("""COMPUTED_VALUE"""),"Hřebík Martin")</f>
        <v>Hřebík Martin</v>
      </c>
      <c r="E96" s="192" t="str">
        <f>IFERROR(__xludf.DUMMYFUNCTION("""COMPUTED_VALUE"""),"Výroba")</f>
        <v>Výroba</v>
      </c>
      <c r="F96" s="192" t="str">
        <f>IFERROR(__xludf.DUMMYFUNCTION("""COMPUTED_VALUE"""),"Chodov")</f>
        <v>Chodov</v>
      </c>
      <c r="G96" s="192" t="str">
        <f>IFERROR(__xludf.DUMMYFUNCTION("""COMPUTED_VALUE"""),"Prosek")</f>
        <v>Prosek</v>
      </c>
      <c r="H96" s="192" t="str">
        <f>IFERROR(__xludf.DUMMYFUNCTION("""COMPUTED_VALUE"""),"Libuš")</f>
        <v>Libuš</v>
      </c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8">
        <f>IFERROR(__xludf.DUMMYFUNCTION("""COMPUTED_VALUE"""),131.0)</f>
        <v>131</v>
      </c>
      <c r="W96" s="195">
        <f>IFERROR(__xludf.DUMMYFUNCTION("""COMPUTED_VALUE"""),45325.5)</f>
        <v>45325.5</v>
      </c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</row>
    <row r="97">
      <c r="A97" s="192"/>
      <c r="B97" s="197" t="str">
        <f>IF(OR(E97=Report!$B$1, F97=Report!$B$1, G97=Report!$B$1, H97=Report!$B$1), D97, "")</f>
        <v/>
      </c>
      <c r="C97" s="192" t="b">
        <f>IFERROR(__xludf.DUMMYFUNCTION("""COMPUTED_VALUE"""),FALSE)</f>
        <v>0</v>
      </c>
      <c r="D97" s="192" t="str">
        <f>IFERROR(__xludf.DUMMYFUNCTION("""COMPUTED_VALUE"""),"Eszenyiová Patrícia")</f>
        <v>Eszenyiová Patrícia</v>
      </c>
      <c r="E97" s="192" t="str">
        <f>IFERROR(__xludf.DUMMYFUNCTION("""COMPUTED_VALUE"""),"Libuš")</f>
        <v>Libuš</v>
      </c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8">
        <f>IFERROR(__xludf.DUMMYFUNCTION("""COMPUTED_VALUE"""),74.5)</f>
        <v>74.5</v>
      </c>
      <c r="W97" s="195">
        <f>IFERROR(__xludf.DUMMYFUNCTION("""COMPUTED_VALUE"""),12315.446)</f>
        <v>12315.446</v>
      </c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</row>
    <row r="98">
      <c r="A98" s="192"/>
      <c r="B98" s="197" t="str">
        <f>IF(OR(E98=Report!$B$1, F98=Report!$B$1, G98=Report!$B$1, H98=Report!$B$1), D98, "")</f>
        <v/>
      </c>
      <c r="C98" s="192" t="b">
        <f>IFERROR(__xludf.DUMMYFUNCTION("""COMPUTED_VALUE"""),FALSE)</f>
        <v>0</v>
      </c>
      <c r="D98" s="192" t="str">
        <f>IFERROR(__xludf.DUMMYFUNCTION("""COMPUTED_VALUE"""),"Reischl Jan")</f>
        <v>Reischl Jan</v>
      </c>
      <c r="E98" s="192" t="str">
        <f>IFERROR(__xludf.DUMMYFUNCTION("""COMPUTED_VALUE"""),"Malešice")</f>
        <v>Malešice</v>
      </c>
      <c r="F98" s="192" t="str">
        <f>IFERROR(__xludf.DUMMYFUNCTION("""COMPUTED_VALUE"""),"Chodov")</f>
        <v>Chodov</v>
      </c>
      <c r="G98" s="192" t="str">
        <f>IFERROR(__xludf.DUMMYFUNCTION("""COMPUTED_VALUE"""),"Libuš")</f>
        <v>Libuš</v>
      </c>
      <c r="H98" s="192" t="str">
        <f>IFERROR(__xludf.DUMMYFUNCTION("""COMPUTED_VALUE"""),"Prosek")</f>
        <v>Prosek</v>
      </c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8">
        <f>IFERROR(__xludf.DUMMYFUNCTION("""COMPUTED_VALUE"""),31.0)</f>
        <v>31</v>
      </c>
      <c r="W98" s="195">
        <f>IFERROR(__xludf.DUMMYFUNCTION("""COMPUTED_VALUE"""),4384.64)</f>
        <v>4384.64</v>
      </c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</row>
    <row r="99">
      <c r="A99" s="192"/>
      <c r="B99" s="197" t="str">
        <f>IF(OR(E99=Report!$B$1, F99=Report!$B$1, G99=Report!$B$1, H99=Report!$B$1), D99, "")</f>
        <v/>
      </c>
      <c r="C99" s="192" t="b">
        <f>IFERROR(__xludf.DUMMYFUNCTION("""COMPUTED_VALUE"""),FALSE)</f>
        <v>0</v>
      </c>
      <c r="D99" s="192" t="str">
        <f>IFERROR(__xludf.DUMMYFUNCTION("""COMPUTED_VALUE"""),"Mikešová Adéla")</f>
        <v>Mikešová Adéla</v>
      </c>
      <c r="E99" s="192" t="str">
        <f>IFERROR(__xludf.DUMMYFUNCTION("""COMPUTED_VALUE"""),"Bolevec")</f>
        <v>Bolevec</v>
      </c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8">
        <f>IFERROR(__xludf.DUMMYFUNCTION("""COMPUTED_VALUE"""),69.5)</f>
        <v>69.5</v>
      </c>
      <c r="W99" s="195">
        <f>IFERROR(__xludf.DUMMYFUNCTION("""COMPUTED_VALUE"""),9830.08)</f>
        <v>9830.08</v>
      </c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</row>
    <row r="100">
      <c r="A100" s="192"/>
      <c r="B100" s="197" t="str">
        <f>IF(OR(E100=Report!$B$1, F100=Report!$B$1, G100=Report!$B$1, H100=Report!$B$1), D100, "")</f>
        <v/>
      </c>
      <c r="C100" s="192" t="b">
        <f>IFERROR(__xludf.DUMMYFUNCTION("""COMPUTED_VALUE"""),FALSE)</f>
        <v>0</v>
      </c>
      <c r="D100" s="192" t="str">
        <f>IFERROR(__xludf.DUMMYFUNCTION("""COMPUTED_VALUE"""),"Pražák Aleš")</f>
        <v>Pražák Aleš</v>
      </c>
      <c r="E100" s="192" t="str">
        <f>IFERROR(__xludf.DUMMYFUNCTION("""COMPUTED_VALUE"""),"Chodov")</f>
        <v>Chodov</v>
      </c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8">
        <f>IFERROR(__xludf.DUMMYFUNCTION("""COMPUTED_VALUE"""),0.0)</f>
        <v>0</v>
      </c>
      <c r="W100" s="195">
        <f>IFERROR(__xludf.DUMMYFUNCTION("""COMPUTED_VALUE"""),0.0)</f>
        <v>0</v>
      </c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</row>
    <row r="101">
      <c r="A101" s="192"/>
      <c r="B101" s="197" t="str">
        <f>IF(OR(E101=Report!$B$1, F101=Report!$B$1, G101=Report!$B$1, H101=Report!$B$1), D101, "")</f>
        <v/>
      </c>
      <c r="C101" s="192" t="b">
        <f>IFERROR(__xludf.DUMMYFUNCTION("""COMPUTED_VALUE"""),FALSE)</f>
        <v>0</v>
      </c>
      <c r="D101" s="192" t="str">
        <f>IFERROR(__xludf.DUMMYFUNCTION("""COMPUTED_VALUE"""),"Chyský David")</f>
        <v>Chyský David</v>
      </c>
      <c r="E101" s="192" t="str">
        <f>IFERROR(__xludf.DUMMYFUNCTION("""COMPUTED_VALUE"""),"Chodov")</f>
        <v>Chodov</v>
      </c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8">
        <f>IFERROR(__xludf.DUMMYFUNCTION("""COMPUTED_VALUE"""),8.0)</f>
        <v>8</v>
      </c>
      <c r="W101" s="195">
        <f>IFERROR(__xludf.DUMMYFUNCTION("""COMPUTED_VALUE"""),1223.456)</f>
        <v>1223.456</v>
      </c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</row>
    <row r="102">
      <c r="A102" s="192"/>
      <c r="B102" s="197" t="str">
        <f>IF(OR(E102=Report!$B$1, F102=Report!$B$1, G102=Report!$B$1, H102=Report!$B$1), D102, "")</f>
        <v/>
      </c>
      <c r="C102" s="192" t="b">
        <f>IFERROR(__xludf.DUMMYFUNCTION("""COMPUTED_VALUE"""),FALSE)</f>
        <v>0</v>
      </c>
      <c r="D102" s="192" t="str">
        <f>IFERROR(__xludf.DUMMYFUNCTION("""COMPUTED_VALUE"""),"Kináč Jozef")</f>
        <v>Kináč Jozef</v>
      </c>
      <c r="E102" s="192" t="str">
        <f>IFERROR(__xludf.DUMMYFUNCTION("""COMPUTED_VALUE"""),"Prosek")</f>
        <v>Prosek</v>
      </c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8">
        <f>IFERROR(__xludf.DUMMYFUNCTION("""COMPUTED_VALUE"""),0.0)</f>
        <v>0</v>
      </c>
      <c r="W102" s="195">
        <f>IFERROR(__xludf.DUMMYFUNCTION("""COMPUTED_VALUE"""),0.0)</f>
        <v>0</v>
      </c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</row>
    <row r="103">
      <c r="A103" s="192"/>
      <c r="B103" s="197" t="str">
        <f>IF(OR(E103=Report!$B$1, F103=Report!$B$1, G103=Report!$B$1, H103=Report!$B$1), D103, "")</f>
        <v/>
      </c>
      <c r="C103" s="192" t="b">
        <f>IFERROR(__xludf.DUMMYFUNCTION("""COMPUTED_VALUE"""),FALSE)</f>
        <v>0</v>
      </c>
      <c r="D103" s="192" t="str">
        <f>IFERROR(__xludf.DUMMYFUNCTION("""COMPUTED_VALUE"""),"Bednařík Peter")</f>
        <v>Bednařík Peter</v>
      </c>
      <c r="E103" s="192" t="str">
        <f>IFERROR(__xludf.DUMMYFUNCTION("""COMPUTED_VALUE"""),"Prosek")</f>
        <v>Prosek</v>
      </c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8">
        <f>IFERROR(__xludf.DUMMYFUNCTION("""COMPUTED_VALUE"""),0.0)</f>
        <v>0</v>
      </c>
      <c r="W103" s="195">
        <f>IFERROR(__xludf.DUMMYFUNCTION("""COMPUTED_VALUE"""),0.0)</f>
        <v>0</v>
      </c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</row>
    <row r="104">
      <c r="A104" s="192"/>
      <c r="B104" s="197" t="str">
        <f>IF(OR(E104=Report!$B$1, F104=Report!$B$1, G104=Report!$B$1, H104=Report!$B$1), D104, "")</f>
        <v/>
      </c>
      <c r="C104" s="192" t="b">
        <f>IFERROR(__xludf.DUMMYFUNCTION("""COMPUTED_VALUE"""),FALSE)</f>
        <v>0</v>
      </c>
      <c r="D104" s="192" t="str">
        <f>IFERROR(__xludf.DUMMYFUNCTION("""COMPUTED_VALUE"""),"Kulinič Michail")</f>
        <v>Kulinič Michail</v>
      </c>
      <c r="E104" s="192" t="str">
        <f>IFERROR(__xludf.DUMMYFUNCTION("""COMPUTED_VALUE"""),"Prosek")</f>
        <v>Prosek</v>
      </c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8">
        <f>IFERROR(__xludf.DUMMYFUNCTION("""COMPUTED_VALUE"""),51.0)</f>
        <v>51</v>
      </c>
      <c r="W104" s="195">
        <f>IFERROR(__xludf.DUMMYFUNCTION("""COMPUTED_VALUE"""),7799.532)</f>
        <v>7799.532</v>
      </c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</row>
    <row r="105">
      <c r="A105" s="192"/>
      <c r="B105" s="197" t="str">
        <f>IF(OR(E105=Report!$B$1, F105=Report!$B$1, G105=Report!$B$1, H105=Report!$B$1), D105, "")</f>
        <v/>
      </c>
      <c r="C105" s="192" t="b">
        <f>IFERROR(__xludf.DUMMYFUNCTION("""COMPUTED_VALUE"""),FALSE)</f>
        <v>0</v>
      </c>
      <c r="D105" s="192" t="str">
        <f>IFERROR(__xludf.DUMMYFUNCTION("""COMPUTED_VALUE"""),"Kalina Filip")</f>
        <v>Kalina Filip</v>
      </c>
      <c r="E105" s="192" t="str">
        <f>IFERROR(__xludf.DUMMYFUNCTION("""COMPUTED_VALUE"""),"Malešice")</f>
        <v>Malešice</v>
      </c>
      <c r="F105" s="192" t="str">
        <f>IFERROR(__xludf.DUMMYFUNCTION("""COMPUTED_VALUE"""),"Libuš")</f>
        <v>Libuš</v>
      </c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8">
        <f>IFERROR(__xludf.DUMMYFUNCTION("""COMPUTED_VALUE"""),109.0)</f>
        <v>109</v>
      </c>
      <c r="W105" s="195">
        <f>IFERROR(__xludf.DUMMYFUNCTION("""COMPUTED_VALUE"""),16411.038)</f>
        <v>16411.038</v>
      </c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</row>
    <row r="106">
      <c r="A106" s="192"/>
      <c r="B106" s="197" t="str">
        <f>IF(OR(E106=Report!$B$1, F106=Report!$B$1, G106=Report!$B$1, H106=Report!$B$1), D106, "")</f>
        <v/>
      </c>
      <c r="C106" s="192" t="b">
        <f>IFERROR(__xludf.DUMMYFUNCTION("""COMPUTED_VALUE"""),FALSE)</f>
        <v>0</v>
      </c>
      <c r="D106" s="192" t="str">
        <f>IFERROR(__xludf.DUMMYFUNCTION("""COMPUTED_VALUE"""),"Čonka Ludovít")</f>
        <v>Čonka Ludovít</v>
      </c>
      <c r="E106" s="192" t="str">
        <f>IFERROR(__xludf.DUMMYFUNCTION("""COMPUTED_VALUE"""),"Prosek")</f>
        <v>Prosek</v>
      </c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8">
        <f>IFERROR(__xludf.DUMMYFUNCTION("""COMPUTED_VALUE"""),0.0)</f>
        <v>0</v>
      </c>
      <c r="W106" s="195">
        <f>IFERROR(__xludf.DUMMYFUNCTION("""COMPUTED_VALUE"""),0.0)</f>
        <v>0</v>
      </c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</row>
    <row r="107">
      <c r="A107" s="192"/>
      <c r="B107" s="197" t="str">
        <f>IF(OR(E107=Report!$B$1, F107=Report!$B$1, G107=Report!$B$1, H107=Report!$B$1), D107, "")</f>
        <v/>
      </c>
      <c r="C107" s="192" t="b">
        <f>IFERROR(__xludf.DUMMYFUNCTION("""COMPUTED_VALUE"""),FALSE)</f>
        <v>0</v>
      </c>
      <c r="D107" s="192" t="str">
        <f>IFERROR(__xludf.DUMMYFUNCTION("""COMPUTED_VALUE"""),"Kaločai Rudolf")</f>
        <v>Kaločai Rudolf</v>
      </c>
      <c r="E107" s="192" t="str">
        <f>IFERROR(__xludf.DUMMYFUNCTION("""COMPUTED_VALUE"""),"Bolevec")</f>
        <v>Bolevec</v>
      </c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8">
        <f>IFERROR(__xludf.DUMMYFUNCTION("""COMPUTED_VALUE"""),138.5)</f>
        <v>138.5</v>
      </c>
      <c r="W107" s="195">
        <f>IFERROR(__xludf.DUMMYFUNCTION("""COMPUTED_VALUE"""),19390.0)</f>
        <v>19390</v>
      </c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</row>
    <row r="108">
      <c r="A108" s="192"/>
      <c r="B108" s="197" t="str">
        <f>IF(OR(E108=Report!$B$1, F108=Report!$B$1, G108=Report!$B$1, H108=Report!$B$1), D108, "")</f>
        <v/>
      </c>
      <c r="C108" s="192" t="b">
        <f>IFERROR(__xludf.DUMMYFUNCTION("""COMPUTED_VALUE"""),FALSE)</f>
        <v>0</v>
      </c>
      <c r="D108" s="192" t="str">
        <f>IFERROR(__xludf.DUMMYFUNCTION("""COMPUTED_VALUE"""),"Dušek Sam")</f>
        <v>Dušek Sam</v>
      </c>
      <c r="E108" s="192" t="str">
        <f>IFERROR(__xludf.DUMMYFUNCTION("""COMPUTED_VALUE"""),"Libuš")</f>
        <v>Libuš</v>
      </c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8">
        <f>IFERROR(__xludf.DUMMYFUNCTION("""COMPUTED_VALUE"""),126.5)</f>
        <v>126.5</v>
      </c>
      <c r="W108" s="195">
        <f>IFERROR(__xludf.DUMMYFUNCTION("""COMPUTED_VALUE"""),19933.137)</f>
        <v>19933.137</v>
      </c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</row>
    <row r="109">
      <c r="A109" s="192"/>
      <c r="B109" s="197" t="str">
        <f>IF(OR(E109=Report!$B$1, F109=Report!$B$1, G109=Report!$B$1, H109=Report!$B$1), D109, "")</f>
        <v/>
      </c>
      <c r="C109" s="192" t="b">
        <f>IFERROR(__xludf.DUMMYFUNCTION("""COMPUTED_VALUE"""),FALSE)</f>
        <v>0</v>
      </c>
      <c r="D109" s="192" t="str">
        <f>IFERROR(__xludf.DUMMYFUNCTION("""COMPUTED_VALUE"""),"Kačena Stanislav")</f>
        <v>Kačena Stanislav</v>
      </c>
      <c r="E109" s="192" t="str">
        <f>IFERROR(__xludf.DUMMYFUNCTION("""COMPUTED_VALUE"""),"Prosek")</f>
        <v>Prosek</v>
      </c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8">
        <f>IFERROR(__xludf.DUMMYFUNCTION("""COMPUTED_VALUE"""),12.0)</f>
        <v>12</v>
      </c>
      <c r="W109" s="195">
        <f>IFERROR(__xludf.DUMMYFUNCTION("""COMPUTED_VALUE"""),1835.184)</f>
        <v>1835.184</v>
      </c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</row>
    <row r="110">
      <c r="A110" s="192"/>
      <c r="B110" s="197" t="str">
        <f>IF(OR(E110=Report!$B$1, F110=Report!$B$1, G110=Report!$B$1, H110=Report!$B$1), D110, "")</f>
        <v/>
      </c>
      <c r="C110" s="192" t="b">
        <f>IFERROR(__xludf.DUMMYFUNCTION("""COMPUTED_VALUE"""),FALSE)</f>
        <v>0</v>
      </c>
      <c r="D110" s="192" t="str">
        <f>IFERROR(__xludf.DUMMYFUNCTION("""COMPUTED_VALUE"""),"Cieslar Marek")</f>
        <v>Cieslar Marek</v>
      </c>
      <c r="E110" s="192" t="str">
        <f>IFERROR(__xludf.DUMMYFUNCTION("""COMPUTED_VALUE"""),"Libuš")</f>
        <v>Libuš</v>
      </c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8">
        <f>IFERROR(__xludf.DUMMYFUNCTION("""COMPUTED_VALUE"""),20.0)</f>
        <v>20</v>
      </c>
      <c r="W110" s="195">
        <f>IFERROR(__xludf.DUMMYFUNCTION("""COMPUTED_VALUE"""),3058.64)</f>
        <v>3058.64</v>
      </c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</row>
    <row r="111">
      <c r="A111" s="192"/>
      <c r="B111" s="197" t="str">
        <f>IF(OR(E111=Report!$B$1, F111=Report!$B$1, G111=Report!$B$1, H111=Report!$B$1), D111, "")</f>
        <v>Banga Adam</v>
      </c>
      <c r="C111" s="192" t="b">
        <f>IFERROR(__xludf.DUMMYFUNCTION("""COMPUTED_VALUE"""),FALSE)</f>
        <v>0</v>
      </c>
      <c r="D111" s="192" t="str">
        <f>IFERROR(__xludf.DUMMYFUNCTION("""COMPUTED_VALUE"""),"Banga Adam")</f>
        <v>Banga Adam</v>
      </c>
      <c r="E111" s="192" t="str">
        <f>IFERROR(__xludf.DUMMYFUNCTION("""COMPUTED_VALUE"""),"Zličín")</f>
        <v>Zličín</v>
      </c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8">
        <f>IFERROR(__xludf.DUMMYFUNCTION("""COMPUTED_VALUE"""),0.0)</f>
        <v>0</v>
      </c>
      <c r="W111" s="195">
        <f>IFERROR(__xludf.DUMMYFUNCTION("""COMPUTED_VALUE"""),0.0)</f>
        <v>0</v>
      </c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</row>
    <row r="112">
      <c r="A112" s="192"/>
      <c r="B112" s="197" t="str">
        <f>IF(OR(E112=Report!$B$1, F112=Report!$B$1, G112=Report!$B$1, H112=Report!$B$1), D112, "")</f>
        <v/>
      </c>
      <c r="C112" s="192" t="b">
        <f>IFERROR(__xludf.DUMMYFUNCTION("""COMPUTED_VALUE"""),FALSE)</f>
        <v>0</v>
      </c>
      <c r="D112" s="192" t="str">
        <f>IFERROR(__xludf.DUMMYFUNCTION("""COMPUTED_VALUE"""),"Vopatová Anna")</f>
        <v>Vopatová Anna</v>
      </c>
      <c r="E112" s="192" t="str">
        <f>IFERROR(__xludf.DUMMYFUNCTION("""COMPUTED_VALUE"""),"Bolevec")</f>
        <v>Bolevec</v>
      </c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8">
        <f>IFERROR(__xludf.DUMMYFUNCTION("""COMPUTED_VALUE"""),32.5)</f>
        <v>32.5</v>
      </c>
      <c r="W112" s="195">
        <f>IFERROR(__xludf.DUMMYFUNCTION("""COMPUTED_VALUE"""),4596.8)</f>
        <v>4596.8</v>
      </c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</row>
    <row r="113">
      <c r="A113" s="192"/>
      <c r="B113" s="197" t="str">
        <f>IF(OR(E113=Report!$B$1, F113=Report!$B$1, G113=Report!$B$1, H113=Report!$B$1), D113, "")</f>
        <v/>
      </c>
      <c r="C113" s="192" t="b">
        <f>IFERROR(__xludf.DUMMYFUNCTION("""COMPUTED_VALUE"""),FALSE)</f>
        <v>0</v>
      </c>
      <c r="D113" s="192" t="str">
        <f>IFERROR(__xludf.DUMMYFUNCTION("""COMPUTED_VALUE"""),"Vopatová Šárka")</f>
        <v>Vopatová Šárka</v>
      </c>
      <c r="E113" s="192" t="str">
        <f>IFERROR(__xludf.DUMMYFUNCTION("""COMPUTED_VALUE"""),"Bolevec")</f>
        <v>Bolevec</v>
      </c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8">
        <f>IFERROR(__xludf.DUMMYFUNCTION("""COMPUTED_VALUE"""),10.0)</f>
        <v>10</v>
      </c>
      <c r="W113" s="195">
        <f>IFERROR(__xludf.DUMMYFUNCTION("""COMPUTED_VALUE"""),1414.4)</f>
        <v>1414.4</v>
      </c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</row>
    <row r="114">
      <c r="A114" s="192"/>
      <c r="B114" s="197" t="str">
        <f>IF(OR(E114=Report!$B$1, F114=Report!$B$1, G114=Report!$B$1, H114=Report!$B$1), D114, "")</f>
        <v/>
      </c>
      <c r="C114" s="192" t="b">
        <f>IFERROR(__xludf.DUMMYFUNCTION("""COMPUTED_VALUE"""),FALSE)</f>
        <v>0</v>
      </c>
      <c r="D114" s="192" t="str">
        <f>IFERROR(__xludf.DUMMYFUNCTION("""COMPUTED_VALUE"""),"Richterová Monika")</f>
        <v>Richterová Monika</v>
      </c>
      <c r="E114" s="192" t="str">
        <f>IFERROR(__xludf.DUMMYFUNCTION("""COMPUTED_VALUE"""),"Malešice")</f>
        <v>Malešice</v>
      </c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8">
        <f>IFERROR(__xludf.DUMMYFUNCTION("""COMPUTED_VALUE"""),0.0)</f>
        <v>0</v>
      </c>
      <c r="W114" s="195">
        <f>IFERROR(__xludf.DUMMYFUNCTION("""COMPUTED_VALUE"""),0.0)</f>
        <v>0</v>
      </c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</row>
    <row r="115">
      <c r="A115" s="192"/>
      <c r="B115" s="197" t="str">
        <f>IF(OR(E115=Report!$B$1, F115=Report!$B$1, G115=Report!$B$1, H115=Report!$B$1), D115, "")</f>
        <v/>
      </c>
      <c r="C115" s="192" t="b">
        <f>IFERROR(__xludf.DUMMYFUNCTION("""COMPUTED_VALUE"""),FALSE)</f>
        <v>0</v>
      </c>
      <c r="D115" s="192" t="str">
        <f>IFERROR(__xludf.DUMMYFUNCTION("""COMPUTED_VALUE"""),"Serin David")</f>
        <v>Serin David</v>
      </c>
      <c r="E115" s="192" t="str">
        <f>IFERROR(__xludf.DUMMYFUNCTION("""COMPUTED_VALUE"""),"Libuš")</f>
        <v>Libuš</v>
      </c>
      <c r="F115" s="192" t="str">
        <f>IFERROR(__xludf.DUMMYFUNCTION("""COMPUTED_VALUE"""),"Malešice")</f>
        <v>Malešice</v>
      </c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8">
        <f>IFERROR(__xludf.DUMMYFUNCTION("""COMPUTED_VALUE"""),44.5)</f>
        <v>44.5</v>
      </c>
      <c r="W115" s="195">
        <f>IFERROR(__xludf.DUMMYFUNCTION("""COMPUTED_VALUE"""),6805.474)</f>
        <v>6805.474</v>
      </c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</row>
    <row r="116">
      <c r="A116" s="192"/>
      <c r="B116" s="197" t="str">
        <f>IF(OR(E116=Report!$B$1, F116=Report!$B$1, G116=Report!$B$1, H116=Report!$B$1), D116, "")</f>
        <v/>
      </c>
      <c r="C116" s="192" t="b">
        <f>IFERROR(__xludf.DUMMYFUNCTION("""COMPUTED_VALUE"""),FALSE)</f>
        <v>0</v>
      </c>
      <c r="D116" s="192" t="str">
        <f>IFERROR(__xludf.DUMMYFUNCTION("""COMPUTED_VALUE"""),"Fabera Tomáš")</f>
        <v>Fabera Tomáš</v>
      </c>
      <c r="E116" s="192" t="str">
        <f>IFERROR(__xludf.DUMMYFUNCTION("""COMPUTED_VALUE"""),"Chodov")</f>
        <v>Chodov</v>
      </c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8">
        <f>IFERROR(__xludf.DUMMYFUNCTION("""COMPUTED_VALUE"""),14.0)</f>
        <v>14</v>
      </c>
      <c r="W116" s="195">
        <f>IFERROR(__xludf.DUMMYFUNCTION("""COMPUTED_VALUE"""),2141.048)</f>
        <v>2141.048</v>
      </c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</row>
    <row r="117">
      <c r="A117" s="192"/>
      <c r="B117" s="197" t="str">
        <f>IF(OR(E117=Report!$B$1, F117=Report!$B$1, G117=Report!$B$1, H117=Report!$B$1), D117, "")</f>
        <v/>
      </c>
      <c r="C117" s="192" t="b">
        <f>IFERROR(__xludf.DUMMYFUNCTION("""COMPUTED_VALUE"""),FALSE)</f>
        <v>0</v>
      </c>
      <c r="D117" s="192" t="str">
        <f>IFERROR(__xludf.DUMMYFUNCTION("""COMPUTED_VALUE"""),"Hendrych Rostislav")</f>
        <v>Hendrych Rostislav</v>
      </c>
      <c r="E117" s="192" t="str">
        <f>IFERROR(__xludf.DUMMYFUNCTION("""COMPUTED_VALUE"""),"Malešice")</f>
        <v>Malešice</v>
      </c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8">
        <f>IFERROR(__xludf.DUMMYFUNCTION("""COMPUTED_VALUE"""),183.5)</f>
        <v>183.5</v>
      </c>
      <c r="W117" s="195">
        <f>IFERROR(__xludf.DUMMYFUNCTION("""COMPUTED_VALUE"""),27756.843)</f>
        <v>27756.843</v>
      </c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</row>
    <row r="118">
      <c r="A118" s="192"/>
      <c r="B118" s="197" t="str">
        <f>IF(OR(E118=Report!$B$1, F118=Report!$B$1, G118=Report!$B$1, H118=Report!$B$1), D118, "")</f>
        <v/>
      </c>
      <c r="C118" s="192" t="b">
        <f>IFERROR(__xludf.DUMMYFUNCTION("""COMPUTED_VALUE"""),FALSE)</f>
        <v>0</v>
      </c>
      <c r="D118" s="192" t="str">
        <f>IFERROR(__xludf.DUMMYFUNCTION("""COMPUTED_VALUE"""),"Novák Dalibor")</f>
        <v>Novák Dalibor</v>
      </c>
      <c r="E118" s="192" t="str">
        <f>IFERROR(__xludf.DUMMYFUNCTION("""COMPUTED_VALUE"""),"Libuš")</f>
        <v>Libuš</v>
      </c>
      <c r="F118" s="192" t="str">
        <f>IFERROR(__xludf.DUMMYFUNCTION("""COMPUTED_VALUE"""),"Prosek")</f>
        <v>Prosek</v>
      </c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8">
        <f>IFERROR(__xludf.DUMMYFUNCTION("""COMPUTED_VALUE"""),0.0)</f>
        <v>0</v>
      </c>
      <c r="W118" s="195">
        <f>IFERROR(__xludf.DUMMYFUNCTION("""COMPUTED_VALUE"""),0.0)</f>
        <v>0</v>
      </c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</row>
    <row r="119">
      <c r="A119" s="192"/>
      <c r="B119" s="197" t="str">
        <f>IF(OR(E119=Report!$B$1, F119=Report!$B$1, G119=Report!$B$1, H119=Report!$B$1), D119, "")</f>
        <v/>
      </c>
      <c r="C119" s="192" t="b">
        <f>IFERROR(__xludf.DUMMYFUNCTION("""COMPUTED_VALUE"""),FALSE)</f>
        <v>0</v>
      </c>
      <c r="D119" s="192" t="str">
        <f>IFERROR(__xludf.DUMMYFUNCTION("""COMPUTED_VALUE"""),"Světlík František")</f>
        <v>Světlík František</v>
      </c>
      <c r="E119" s="192" t="str">
        <f>IFERROR(__xludf.DUMMYFUNCTION("""COMPUTED_VALUE"""),"Bolevec")</f>
        <v>Bolevec</v>
      </c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8">
        <f>IFERROR(__xludf.DUMMYFUNCTION("""COMPUTED_VALUE"""),73.5)</f>
        <v>73.5</v>
      </c>
      <c r="W119" s="195">
        <f>IFERROR(__xludf.DUMMYFUNCTION("""COMPUTED_VALUE"""),10395.84)</f>
        <v>10395.84</v>
      </c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</row>
    <row r="120">
      <c r="A120" s="192"/>
      <c r="B120" s="197" t="str">
        <f>IF(OR(E120=Report!$B$1, F120=Report!$B$1, G120=Report!$B$1, H120=Report!$B$1), D120, "")</f>
        <v/>
      </c>
      <c r="C120" s="192" t="b">
        <f>IFERROR(__xludf.DUMMYFUNCTION("""COMPUTED_VALUE"""),FALSE)</f>
        <v>0</v>
      </c>
      <c r="D120" s="192" t="str">
        <f>IFERROR(__xludf.DUMMYFUNCTION("""COMPUTED_VALUE"""),"Ženíšek Lukáš")</f>
        <v>Ženíšek Lukáš</v>
      </c>
      <c r="E120" s="192" t="str">
        <f>IFERROR(__xludf.DUMMYFUNCTION("""COMPUTED_VALUE"""),"Bolevec")</f>
        <v>Bolevec</v>
      </c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8">
        <f>IFERROR(__xludf.DUMMYFUNCTION("""COMPUTED_VALUE"""),9.0)</f>
        <v>9</v>
      </c>
      <c r="W120" s="195">
        <f>IFERROR(__xludf.DUMMYFUNCTION("""COMPUTED_VALUE"""),1272.96)</f>
        <v>1272.96</v>
      </c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</row>
    <row r="121">
      <c r="A121" s="192"/>
      <c r="B121" s="197" t="str">
        <f>IF(OR(E121=Report!$B$1, F121=Report!$B$1, G121=Report!$B$1, H121=Report!$B$1), D121, "")</f>
        <v/>
      </c>
      <c r="C121" s="192" t="b">
        <f>IFERROR(__xludf.DUMMYFUNCTION("""COMPUTED_VALUE"""),FALSE)</f>
        <v>0</v>
      </c>
      <c r="D121" s="192" t="str">
        <f>IFERROR(__xludf.DUMMYFUNCTION("""COMPUTED_VALUE"""),"Přibyl Jan")</f>
        <v>Přibyl Jan</v>
      </c>
      <c r="E121" s="192" t="str">
        <f>IFERROR(__xludf.DUMMYFUNCTION("""COMPUTED_VALUE"""),"Chodov")</f>
        <v>Chodov</v>
      </c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8">
        <f>IFERROR(__xludf.DUMMYFUNCTION("""COMPUTED_VALUE"""),10.0)</f>
        <v>10</v>
      </c>
      <c r="W121" s="195">
        <f>IFERROR(__xludf.DUMMYFUNCTION("""COMPUTED_VALUE"""),1529.32)</f>
        <v>1529.32</v>
      </c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</row>
    <row r="122">
      <c r="A122" s="192"/>
      <c r="B122" s="197" t="str">
        <f>IF(OR(E122=Report!$B$1, F122=Report!$B$1, G122=Report!$B$1, H122=Report!$B$1), D122, "")</f>
        <v/>
      </c>
      <c r="C122" s="192" t="b">
        <f>IFERROR(__xludf.DUMMYFUNCTION("""COMPUTED_VALUE"""),FALSE)</f>
        <v>0</v>
      </c>
      <c r="D122" s="192" t="str">
        <f>IFERROR(__xludf.DUMMYFUNCTION("""COMPUTED_VALUE"""),"Roth Stanislav st.")</f>
        <v>Roth Stanislav st.</v>
      </c>
      <c r="E122" s="192" t="str">
        <f>IFERROR(__xludf.DUMMYFUNCTION("""COMPUTED_VALUE"""),"Bolevec")</f>
        <v>Bolevec</v>
      </c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8">
        <f>IFERROR(__xludf.DUMMYFUNCTION("""COMPUTED_VALUE"""),0.0)</f>
        <v>0</v>
      </c>
      <c r="W122" s="195">
        <f>IFERROR(__xludf.DUMMYFUNCTION("""COMPUTED_VALUE"""),29728.0)</f>
        <v>29728</v>
      </c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</row>
    <row r="123">
      <c r="A123" s="192"/>
      <c r="B123" s="197" t="str">
        <f>IF(OR(E123=Report!$B$1, F123=Report!$B$1, G123=Report!$B$1, H123=Report!$B$1), D123, "")</f>
        <v/>
      </c>
      <c r="C123" s="192" t="b">
        <f>IFERROR(__xludf.DUMMYFUNCTION("""COMPUTED_VALUE"""),FALSE)</f>
        <v>0</v>
      </c>
      <c r="D123" s="192" t="str">
        <f>IFERROR(__xludf.DUMMYFUNCTION("""COMPUTED_VALUE"""),"Hrach Michal")</f>
        <v>Hrach Michal</v>
      </c>
      <c r="E123" s="192" t="str">
        <f>IFERROR(__xludf.DUMMYFUNCTION("""COMPUTED_VALUE"""),"Chodov")</f>
        <v>Chodov</v>
      </c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8">
        <f>IFERROR(__xludf.DUMMYFUNCTION("""COMPUTED_VALUE"""),0.0)</f>
        <v>0</v>
      </c>
      <c r="W123" s="195">
        <f>IFERROR(__xludf.DUMMYFUNCTION("""COMPUTED_VALUE"""),0.0)</f>
        <v>0</v>
      </c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</row>
    <row r="124">
      <c r="A124" s="192"/>
      <c r="B124" s="197" t="str">
        <f>IF(OR(E124=Report!$B$1, F124=Report!$B$1, G124=Report!$B$1, H124=Report!$B$1), D124, "")</f>
        <v>Kvapil Filip Leon</v>
      </c>
      <c r="C124" s="192" t="b">
        <f>IFERROR(__xludf.DUMMYFUNCTION("""COMPUTED_VALUE"""),FALSE)</f>
        <v>0</v>
      </c>
      <c r="D124" s="192" t="str">
        <f>IFERROR(__xludf.DUMMYFUNCTION("""COMPUTED_VALUE"""),"Kvapil Filip Leon")</f>
        <v>Kvapil Filip Leon</v>
      </c>
      <c r="E124" s="192" t="str">
        <f>IFERROR(__xludf.DUMMYFUNCTION("""COMPUTED_VALUE"""),"Zličín")</f>
        <v>Zličín</v>
      </c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8">
        <f>IFERROR(__xludf.DUMMYFUNCTION("""COMPUTED_VALUE"""),0.0)</f>
        <v>0</v>
      </c>
      <c r="W124" s="195">
        <f>IFERROR(__xludf.DUMMYFUNCTION("""COMPUTED_VALUE"""),0.0)</f>
        <v>0</v>
      </c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</row>
    <row r="125">
      <c r="A125" s="192"/>
      <c r="B125" s="197" t="str">
        <f>IF(OR(E125=Report!$B$1, F125=Report!$B$1, G125=Report!$B$1, H125=Report!$B$1), D125, "")</f>
        <v>Vaníková Anna</v>
      </c>
      <c r="C125" s="192" t="b">
        <f>IFERROR(__xludf.DUMMYFUNCTION("""COMPUTED_VALUE"""),FALSE)</f>
        <v>0</v>
      </c>
      <c r="D125" s="192" t="str">
        <f>IFERROR(__xludf.DUMMYFUNCTION("""COMPUTED_VALUE"""),"Vaníková Anna")</f>
        <v>Vaníková Anna</v>
      </c>
      <c r="E125" s="192" t="str">
        <f>IFERROR(__xludf.DUMMYFUNCTION("""COMPUTED_VALUE"""),"Zličín")</f>
        <v>Zličín</v>
      </c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8">
        <f>IFERROR(__xludf.DUMMYFUNCTION("""COMPUTED_VALUE"""),75.5)</f>
        <v>75.5</v>
      </c>
      <c r="W125" s="195">
        <f>IFERROR(__xludf.DUMMYFUNCTION("""COMPUTED_VALUE"""),11546.366)</f>
        <v>11546.366</v>
      </c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</row>
    <row r="126">
      <c r="A126" s="192"/>
      <c r="B126" s="197" t="str">
        <f>IF(OR(E126=Report!$B$1, F126=Report!$B$1, G126=Report!$B$1, H126=Report!$B$1), D126, "")</f>
        <v/>
      </c>
      <c r="C126" s="192" t="b">
        <f>IFERROR(__xludf.DUMMYFUNCTION("""COMPUTED_VALUE"""),FALSE)</f>
        <v>0</v>
      </c>
      <c r="D126" s="192" t="str">
        <f>IFERROR(__xludf.DUMMYFUNCTION("""COMPUTED_VALUE"""),"Irena Kovacsova")</f>
        <v>Irena Kovacsova</v>
      </c>
      <c r="E126" s="192" t="str">
        <f>IFERROR(__xludf.DUMMYFUNCTION("""COMPUTED_VALUE"""),"Bolevec")</f>
        <v>Bolevec</v>
      </c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8">
        <f>IFERROR(__xludf.DUMMYFUNCTION("""COMPUTED_VALUE"""),0.0)</f>
        <v>0</v>
      </c>
      <c r="W126" s="195">
        <f>IFERROR(__xludf.DUMMYFUNCTION("""COMPUTED_VALUE"""),0.0)</f>
        <v>0</v>
      </c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</row>
    <row r="127">
      <c r="A127" s="192"/>
      <c r="B127" s="197" t="str">
        <f>IF(OR(E127=Report!$B$1, F127=Report!$B$1, G127=Report!$B$1, H127=Report!$B$1), D127, "")</f>
        <v/>
      </c>
      <c r="C127" s="192" t="b">
        <f>IFERROR(__xludf.DUMMYFUNCTION("""COMPUTED_VALUE"""),FALSE)</f>
        <v>0</v>
      </c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5">
        <f>IFERROR(__xludf.DUMMYFUNCTION("""COMPUTED_VALUE"""),0.0)</f>
        <v>0</v>
      </c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</row>
    <row r="128">
      <c r="A128" s="192"/>
      <c r="B128" s="197" t="str">
        <f>IF(OR(E128=Report!$B$1, F128=Report!$B$1, G128=Report!$B$1, H128=Report!$B$1), D128, "")</f>
        <v/>
      </c>
      <c r="C128" s="192" t="b">
        <f>IFERROR(__xludf.DUMMYFUNCTION("""COMPUTED_VALUE"""),FALSE)</f>
        <v>0</v>
      </c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5">
        <f>IFERROR(__xludf.DUMMYFUNCTION("""COMPUTED_VALUE"""),0.0)</f>
        <v>0</v>
      </c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</row>
    <row r="129">
      <c r="A129" s="192"/>
      <c r="B129" s="197" t="str">
        <f>IF(OR(E129=Report!$B$1, F129=Report!$B$1, G129=Report!$B$1, H129=Report!$B$1), D129, "")</f>
        <v/>
      </c>
      <c r="C129" s="192" t="b">
        <f>IFERROR(__xludf.DUMMYFUNCTION("""COMPUTED_VALUE"""),FALSE)</f>
        <v>0</v>
      </c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5">
        <f>IFERROR(__xludf.DUMMYFUNCTION("""COMPUTED_VALUE"""),0.0)</f>
        <v>0</v>
      </c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</row>
    <row r="130">
      <c r="A130" s="192"/>
      <c r="B130" s="197" t="str">
        <f>IF(OR(E130=Report!$B$1, F130=Report!$B$1, G130=Report!$B$1, H130=Report!$B$1), D130, "")</f>
        <v/>
      </c>
      <c r="C130" s="192" t="b">
        <f>IFERROR(__xludf.DUMMYFUNCTION("""COMPUTED_VALUE"""),FALSE)</f>
        <v>0</v>
      </c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8">
        <f>IFERROR(__xludf.DUMMYFUNCTION("""COMPUTED_VALUE"""),0.0)</f>
        <v>0</v>
      </c>
      <c r="W130" s="195">
        <f>IFERROR(__xludf.DUMMYFUNCTION("""COMPUTED_VALUE"""),0.0)</f>
        <v>0</v>
      </c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</row>
    <row r="131">
      <c r="A131" s="192"/>
      <c r="B131" s="197" t="str">
        <f>IF(OR(E131=Report!$B$1, F131=Report!$B$1, G131=Report!$B$1, H131=Report!$B$1), D131, "")</f>
        <v/>
      </c>
      <c r="C131" s="192" t="b">
        <f>IFERROR(__xludf.DUMMYFUNCTION("""COMPUTED_VALUE"""),FALSE)</f>
        <v>0</v>
      </c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5">
        <f>IFERROR(__xludf.DUMMYFUNCTION("""COMPUTED_VALUE"""),0.0)</f>
        <v>0</v>
      </c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</row>
    <row r="132">
      <c r="A132" s="192"/>
      <c r="B132" s="197" t="str">
        <f>IF(OR(E132=Report!$B$1, F132=Report!$B$1, G132=Report!$B$1, H132=Report!$B$1), D132, "")</f>
        <v/>
      </c>
      <c r="C132" s="192" t="b">
        <f>IFERROR(__xludf.DUMMYFUNCTION("""COMPUTED_VALUE"""),FALSE)</f>
        <v>0</v>
      </c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5">
        <f>IFERROR(__xludf.DUMMYFUNCTION("""COMPUTED_VALUE"""),0.0)</f>
        <v>0</v>
      </c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</row>
    <row r="133">
      <c r="A133" s="192"/>
      <c r="B133" s="197" t="str">
        <f>IF(OR(E133=Report!$B$1, F133=Report!$B$1, G133=Report!$B$1, H133=Report!$B$1), D133, "")</f>
        <v/>
      </c>
      <c r="C133" s="192" t="b">
        <f>IFERROR(__xludf.DUMMYFUNCTION("""COMPUTED_VALUE"""),FALSE)</f>
        <v>0</v>
      </c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8">
        <f>IFERROR(__xludf.DUMMYFUNCTION("""COMPUTED_VALUE"""),0.0)</f>
        <v>0</v>
      </c>
      <c r="W133" s="195">
        <f>IFERROR(__xludf.DUMMYFUNCTION("""COMPUTED_VALUE"""),0.0)</f>
        <v>0</v>
      </c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</row>
    <row r="134">
      <c r="A134" s="192"/>
      <c r="B134" s="197" t="str">
        <f>IF(OR(E134=Report!$B$1, F134=Report!$B$1, G134=Report!$B$1, H134=Report!$B$1), D134, "")</f>
        <v/>
      </c>
      <c r="C134" s="192" t="b">
        <f>IFERROR(__xludf.DUMMYFUNCTION("""COMPUTED_VALUE"""),FALSE)</f>
        <v>0</v>
      </c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8">
        <f>IFERROR(__xludf.DUMMYFUNCTION("""COMPUTED_VALUE"""),0.0)</f>
        <v>0</v>
      </c>
      <c r="W134" s="195">
        <f>IFERROR(__xludf.DUMMYFUNCTION("""COMPUTED_VALUE"""),0.0)</f>
        <v>0</v>
      </c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</row>
    <row r="135">
      <c r="A135" s="192"/>
      <c r="B135" s="197" t="str">
        <f>IF(OR(E135=Report!$B$1, F135=Report!$B$1, G135=Report!$B$1, H135=Report!$B$1), D135, "")</f>
        <v/>
      </c>
      <c r="C135" s="192" t="b">
        <f>IFERROR(__xludf.DUMMYFUNCTION("""COMPUTED_VALUE"""),FALSE)</f>
        <v>0</v>
      </c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8">
        <f>IFERROR(__xludf.DUMMYFUNCTION("""COMPUTED_VALUE"""),0.0)</f>
        <v>0</v>
      </c>
      <c r="W135" s="195">
        <f>IFERROR(__xludf.DUMMYFUNCTION("""COMPUTED_VALUE"""),0.0)</f>
        <v>0</v>
      </c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</row>
    <row r="136">
      <c r="A136" s="192"/>
      <c r="B136" s="197" t="str">
        <f>IF(OR(E136=Report!$B$1, F136=Report!$B$1, G136=Report!$B$1, H136=Report!$B$1), D136, "")</f>
        <v/>
      </c>
      <c r="C136" s="192" t="b">
        <f>IFERROR(__xludf.DUMMYFUNCTION("""COMPUTED_VALUE"""),FALSE)</f>
        <v>0</v>
      </c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8">
        <f>IFERROR(__xludf.DUMMYFUNCTION("""COMPUTED_VALUE"""),0.0)</f>
        <v>0</v>
      </c>
      <c r="W136" s="195">
        <f>IFERROR(__xludf.DUMMYFUNCTION("""COMPUTED_VALUE"""),0.0)</f>
        <v>0</v>
      </c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</row>
    <row r="137">
      <c r="A137" s="192"/>
      <c r="B137" s="197" t="str">
        <f>IF(OR(E137=Report!$B$1, F137=Report!$B$1, G137=Report!$B$1, H137=Report!$B$1), D137, "")</f>
        <v/>
      </c>
      <c r="C137" s="192" t="b">
        <f>IFERROR(__xludf.DUMMYFUNCTION("""COMPUTED_VALUE"""),FALSE)</f>
        <v>0</v>
      </c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8">
        <f>IFERROR(__xludf.DUMMYFUNCTION("""COMPUTED_VALUE"""),0.0)</f>
        <v>0</v>
      </c>
      <c r="W137" s="195">
        <f>IFERROR(__xludf.DUMMYFUNCTION("""COMPUTED_VALUE"""),0.0)</f>
        <v>0</v>
      </c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</row>
    <row r="138">
      <c r="A138" s="192"/>
      <c r="B138" s="197" t="str">
        <f>IF(OR(E138=Report!$B$1, F138=Report!$B$1, G138=Report!$B$1, H138=Report!$B$1), D138, "")</f>
        <v/>
      </c>
      <c r="C138" s="192" t="b">
        <f>IFERROR(__xludf.DUMMYFUNCTION("""COMPUTED_VALUE"""),FALSE)</f>
        <v>0</v>
      </c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8">
        <f>IFERROR(__xludf.DUMMYFUNCTION("""COMPUTED_VALUE"""),0.0)</f>
        <v>0</v>
      </c>
      <c r="W138" s="195">
        <f>IFERROR(__xludf.DUMMYFUNCTION("""COMPUTED_VALUE"""),0.0)</f>
        <v>0</v>
      </c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</row>
    <row r="139">
      <c r="A139" s="192"/>
      <c r="B139" s="197" t="str">
        <f>IF(OR(E139=Report!$B$1, F139=Report!$B$1, G139=Report!$B$1, H139=Report!$B$1), D139, "")</f>
        <v/>
      </c>
      <c r="C139" s="192" t="b">
        <f>IFERROR(__xludf.DUMMYFUNCTION("""COMPUTED_VALUE"""),FALSE)</f>
        <v>0</v>
      </c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8">
        <f>IFERROR(__xludf.DUMMYFUNCTION("""COMPUTED_VALUE"""),0.0)</f>
        <v>0</v>
      </c>
      <c r="W139" s="195">
        <f>IFERROR(__xludf.DUMMYFUNCTION("""COMPUTED_VALUE"""),0.0)</f>
        <v>0</v>
      </c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</row>
    <row r="140">
      <c r="A140" s="192"/>
      <c r="B140" s="197" t="str">
        <f>IF(OR(E140=Report!$B$1, F140=Report!$B$1, G140=Report!$B$1, H140=Report!$B$1), D140, "")</f>
        <v/>
      </c>
      <c r="C140" s="192" t="b">
        <f>IFERROR(__xludf.DUMMYFUNCTION("""COMPUTED_VALUE"""),FALSE)</f>
        <v>0</v>
      </c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5">
        <f>IFERROR(__xludf.DUMMYFUNCTION("""COMPUTED_VALUE"""),0.0)</f>
        <v>0</v>
      </c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</row>
    <row r="141">
      <c r="A141" s="192"/>
      <c r="B141" s="197" t="str">
        <f>IF(OR(E141=Report!$B$1, F141=Report!$B$1, G141=Report!$B$1, H141=Report!$B$1), D141, "")</f>
        <v/>
      </c>
      <c r="C141" s="192" t="b">
        <f>IFERROR(__xludf.DUMMYFUNCTION("""COMPUTED_VALUE"""),FALSE)</f>
        <v>0</v>
      </c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8">
        <f>IFERROR(__xludf.DUMMYFUNCTION("""COMPUTED_VALUE"""),0.0)</f>
        <v>0</v>
      </c>
      <c r="W141" s="195">
        <f>IFERROR(__xludf.DUMMYFUNCTION("""COMPUTED_VALUE"""),0.0)</f>
        <v>0</v>
      </c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</row>
    <row r="142">
      <c r="A142" s="192"/>
      <c r="B142" s="197" t="str">
        <f>IF(OR(E142=Report!$B$1, F142=Report!$B$1, G142=Report!$B$1, H142=Report!$B$1), D142, "")</f>
        <v/>
      </c>
      <c r="C142" s="192" t="b">
        <f>IFERROR(__xludf.DUMMYFUNCTION("""COMPUTED_VALUE"""),FALSE)</f>
        <v>0</v>
      </c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8">
        <f>IFERROR(__xludf.DUMMYFUNCTION("""COMPUTED_VALUE"""),0.0)</f>
        <v>0</v>
      </c>
      <c r="W142" s="195">
        <f>IFERROR(__xludf.DUMMYFUNCTION("""COMPUTED_VALUE"""),0.0)</f>
        <v>0</v>
      </c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</row>
    <row r="143">
      <c r="A143" s="192"/>
      <c r="B143" s="197" t="str">
        <f>IF(OR(E143=Report!$B$1, F143=Report!$B$1, G143=Report!$B$1, H143=Report!$B$1), D143, "")</f>
        <v/>
      </c>
      <c r="C143" s="192" t="b">
        <f>IFERROR(__xludf.DUMMYFUNCTION("""COMPUTED_VALUE"""),FALSE)</f>
        <v>0</v>
      </c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8">
        <f>IFERROR(__xludf.DUMMYFUNCTION("""COMPUTED_VALUE"""),0.0)</f>
        <v>0</v>
      </c>
      <c r="W143" s="195">
        <f>IFERROR(__xludf.DUMMYFUNCTION("""COMPUTED_VALUE"""),0.0)</f>
        <v>0</v>
      </c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</row>
    <row r="144">
      <c r="A144" s="192"/>
      <c r="B144" s="197" t="str">
        <f>IF(OR(E144=Report!$B$1, F144=Report!$B$1, G144=Report!$B$1, H144=Report!$B$1), D144, "")</f>
        <v/>
      </c>
      <c r="C144" s="192" t="b">
        <f>IFERROR(__xludf.DUMMYFUNCTION("""COMPUTED_VALUE"""),FALSE)</f>
        <v>0</v>
      </c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8">
        <f>IFERROR(__xludf.DUMMYFUNCTION("""COMPUTED_VALUE"""),0.0)</f>
        <v>0</v>
      </c>
      <c r="W144" s="195">
        <f>IFERROR(__xludf.DUMMYFUNCTION("""COMPUTED_VALUE"""),0.0)</f>
        <v>0</v>
      </c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</row>
    <row r="145">
      <c r="A145" s="192"/>
      <c r="B145" s="197" t="str">
        <f>IF(OR(E145=Report!$B$1, F145=Report!$B$1, G145=Report!$B$1, H145=Report!$B$1), D145, "")</f>
        <v/>
      </c>
      <c r="C145" s="192" t="b">
        <f>IFERROR(__xludf.DUMMYFUNCTION("""COMPUTED_VALUE"""),FALSE)</f>
        <v>0</v>
      </c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8">
        <f>IFERROR(__xludf.DUMMYFUNCTION("""COMPUTED_VALUE"""),0.0)</f>
        <v>0</v>
      </c>
      <c r="W145" s="195">
        <f>IFERROR(__xludf.DUMMYFUNCTION("""COMPUTED_VALUE"""),0.0)</f>
        <v>0</v>
      </c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</row>
    <row r="146">
      <c r="A146" s="192"/>
      <c r="B146" s="197" t="str">
        <f>IF(OR(E146=Report!$B$1, F146=Report!$B$1, G146=Report!$B$1, H146=Report!$B$1), D146, "")</f>
        <v/>
      </c>
      <c r="C146" s="192" t="b">
        <f>IFERROR(__xludf.DUMMYFUNCTION("""COMPUTED_VALUE"""),FALSE)</f>
        <v>0</v>
      </c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8">
        <f>IFERROR(__xludf.DUMMYFUNCTION("""COMPUTED_VALUE"""),0.0)</f>
        <v>0</v>
      </c>
      <c r="W146" s="195">
        <f>IFERROR(__xludf.DUMMYFUNCTION("""COMPUTED_VALUE"""),0.0)</f>
        <v>0</v>
      </c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</row>
    <row r="147">
      <c r="A147" s="192"/>
      <c r="B147" s="197" t="str">
        <f>IF(OR(E147=Report!$B$1, F147=Report!$B$1, G147=Report!$B$1, H147=Report!$B$1), D147, "")</f>
        <v/>
      </c>
      <c r="C147" s="192" t="b">
        <f>IFERROR(__xludf.DUMMYFUNCTION("""COMPUTED_VALUE"""),FALSE)</f>
        <v>0</v>
      </c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5">
        <f>IFERROR(__xludf.DUMMYFUNCTION("""COMPUTED_VALUE"""),0.0)</f>
        <v>0</v>
      </c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</row>
    <row r="148">
      <c r="A148" s="192"/>
      <c r="B148" s="197" t="str">
        <f>IF(OR(E148=Report!$B$1, F148=Report!$B$1, G148=Report!$B$1, H148=Report!$B$1), D148, "")</f>
        <v/>
      </c>
      <c r="C148" s="192" t="b">
        <f>IFERROR(__xludf.DUMMYFUNCTION("""COMPUTED_VALUE"""),FALSE)</f>
        <v>0</v>
      </c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5">
        <f>IFERROR(__xludf.DUMMYFUNCTION("""COMPUTED_VALUE"""),0.0)</f>
        <v>0</v>
      </c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</row>
    <row r="149">
      <c r="A149" s="192"/>
      <c r="B149" s="197" t="str">
        <f>IF(OR(E149=Report!$B$1, F149=Report!$B$1, G149=Report!$B$1, H149=Report!$B$1), D149, "")</f>
        <v/>
      </c>
      <c r="C149" s="192" t="b">
        <f>IFERROR(__xludf.DUMMYFUNCTION("""COMPUTED_VALUE"""),FALSE)</f>
        <v>0</v>
      </c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5">
        <f>IFERROR(__xludf.DUMMYFUNCTION("""COMPUTED_VALUE"""),0.0)</f>
        <v>0</v>
      </c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</row>
    <row r="150">
      <c r="A150" s="192"/>
      <c r="B150" s="197" t="str">
        <f>IF(OR(E150=Report!$B$1, F150=Report!$B$1, G150=Report!$B$1, H150=Report!$B$1), D150, "")</f>
        <v/>
      </c>
      <c r="C150" s="192" t="b">
        <f>IFERROR(__xludf.DUMMYFUNCTION("""COMPUTED_VALUE"""),FALSE)</f>
        <v>0</v>
      </c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201">
        <f>IFERROR(__xludf.DUMMYFUNCTION("""COMPUTED_VALUE"""),0.0)</f>
        <v>0</v>
      </c>
      <c r="W150" s="195">
        <f>IFERROR(__xludf.DUMMYFUNCTION("""COMPUTED_VALUE"""),0.0)</f>
        <v>0</v>
      </c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</row>
    <row r="151">
      <c r="A151" s="192"/>
      <c r="B151" s="197" t="str">
        <f>IF(OR(E151=Report!$B$1, F151=Report!$B$1, G151=Report!$B$1, H151=Report!$B$1), D151, "")</f>
        <v/>
      </c>
      <c r="C151" s="192" t="b">
        <f>IFERROR(__xludf.DUMMYFUNCTION("""COMPUTED_VALUE"""),FALSE)</f>
        <v>0</v>
      </c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201">
        <f>IFERROR(__xludf.DUMMYFUNCTION("""COMPUTED_VALUE"""),0.0)</f>
        <v>0</v>
      </c>
      <c r="W151" s="195">
        <f>IFERROR(__xludf.DUMMYFUNCTION("""COMPUTED_VALUE"""),0.0)</f>
        <v>0</v>
      </c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</row>
    <row r="152">
      <c r="A152" s="192"/>
      <c r="B152" s="197" t="str">
        <f>IF(OR(E152=Report!$B$1, F152=Report!$B$1, G152=Report!$B$1, H152=Report!$B$1), D152, "")</f>
        <v/>
      </c>
      <c r="C152" s="192" t="b">
        <f>IFERROR(__xludf.DUMMYFUNCTION("""COMPUTED_VALUE"""),FALSE)</f>
        <v>0</v>
      </c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201">
        <f>IFERROR(__xludf.DUMMYFUNCTION("""COMPUTED_VALUE"""),0.0)</f>
        <v>0</v>
      </c>
      <c r="W152" s="195">
        <f>IFERROR(__xludf.DUMMYFUNCTION("""COMPUTED_VALUE"""),0.0)</f>
        <v>0</v>
      </c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</row>
    <row r="153">
      <c r="A153" s="192"/>
      <c r="B153" s="197" t="str">
        <f>IF(OR(E153=Report!$B$1, F153=Report!$B$1, G153=Report!$B$1, H153=Report!$B$1), D153, "")</f>
        <v/>
      </c>
      <c r="C153" s="192" t="b">
        <f>IFERROR(__xludf.DUMMYFUNCTION("""COMPUTED_VALUE"""),FALSE)</f>
        <v>0</v>
      </c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201">
        <f>IFERROR(__xludf.DUMMYFUNCTION("""COMPUTED_VALUE"""),0.0)</f>
        <v>0</v>
      </c>
      <c r="W153" s="195">
        <f>IFERROR(__xludf.DUMMYFUNCTION("""COMPUTED_VALUE"""),0.0)</f>
        <v>0</v>
      </c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</row>
    <row r="154">
      <c r="A154" s="192"/>
      <c r="B154" s="197" t="str">
        <f>IF(OR(E154=Report!$B$1, F154=Report!$B$1, G154=Report!$B$1, H154=Report!$B$1), D154, "")</f>
        <v/>
      </c>
      <c r="C154" s="192" t="b">
        <f>IFERROR(__xludf.DUMMYFUNCTION("""COMPUTED_VALUE"""),FALSE)</f>
        <v>0</v>
      </c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201">
        <f>IFERROR(__xludf.DUMMYFUNCTION("""COMPUTED_VALUE"""),0.0)</f>
        <v>0</v>
      </c>
      <c r="W154" s="195">
        <f>IFERROR(__xludf.DUMMYFUNCTION("""COMPUTED_VALUE"""),0.0)</f>
        <v>0</v>
      </c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</row>
    <row r="155">
      <c r="A155" s="192"/>
      <c r="B155" s="197" t="str">
        <f>IF(OR(E155=Report!$B$1, F155=Report!$B$1, G155=Report!$B$1, H155=Report!$B$1), D155, "")</f>
        <v/>
      </c>
      <c r="C155" s="192" t="b">
        <f>IFERROR(__xludf.DUMMYFUNCTION("""COMPUTED_VALUE"""),FALSE)</f>
        <v>0</v>
      </c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201">
        <f>IFERROR(__xludf.DUMMYFUNCTION("""COMPUTED_VALUE"""),0.0)</f>
        <v>0</v>
      </c>
      <c r="W155" s="195">
        <f>IFERROR(__xludf.DUMMYFUNCTION("""COMPUTED_VALUE"""),0.0)</f>
        <v>0</v>
      </c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</row>
    <row r="156">
      <c r="A156" s="192"/>
      <c r="B156" s="197" t="str">
        <f>IF(OR(E156=Report!$B$1, F156=Report!$B$1, G156=Report!$B$1, H156=Report!$B$1), D156, "")</f>
        <v/>
      </c>
      <c r="C156" s="192" t="b">
        <f>IFERROR(__xludf.DUMMYFUNCTION("""COMPUTED_VALUE"""),FALSE)</f>
        <v>0</v>
      </c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201">
        <f>IFERROR(__xludf.DUMMYFUNCTION("""COMPUTED_VALUE"""),0.0)</f>
        <v>0</v>
      </c>
      <c r="W156" s="195">
        <f>IFERROR(__xludf.DUMMYFUNCTION("""COMPUTED_VALUE"""),0.0)</f>
        <v>0</v>
      </c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</row>
    <row r="157">
      <c r="A157" s="192"/>
      <c r="B157" s="197" t="str">
        <f>IF(OR(E157=Report!$B$1, F157=Report!$B$1, G157=Report!$B$1, H157=Report!$B$1), D157, "")</f>
        <v/>
      </c>
      <c r="C157" s="192" t="b">
        <f>IFERROR(__xludf.DUMMYFUNCTION("""COMPUTED_VALUE"""),FALSE)</f>
        <v>0</v>
      </c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201">
        <f>IFERROR(__xludf.DUMMYFUNCTION("""COMPUTED_VALUE"""),0.0)</f>
        <v>0</v>
      </c>
      <c r="W157" s="195">
        <f>IFERROR(__xludf.DUMMYFUNCTION("""COMPUTED_VALUE"""),0.0)</f>
        <v>0</v>
      </c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</row>
    <row r="158">
      <c r="A158" s="192"/>
      <c r="B158" s="197" t="str">
        <f>IF(OR(E158=Report!$B$1, F158=Report!$B$1, G158=Report!$B$1, H158=Report!$B$1), D158, "")</f>
        <v/>
      </c>
      <c r="C158" s="192" t="b">
        <f>IFERROR(__xludf.DUMMYFUNCTION("""COMPUTED_VALUE"""),FALSE)</f>
        <v>0</v>
      </c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201">
        <f>IFERROR(__xludf.DUMMYFUNCTION("""COMPUTED_VALUE"""),0.0)</f>
        <v>0</v>
      </c>
      <c r="W158" s="195">
        <f>IFERROR(__xludf.DUMMYFUNCTION("""COMPUTED_VALUE"""),0.0)</f>
        <v>0</v>
      </c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</row>
    <row r="159">
      <c r="A159" s="192"/>
      <c r="B159" s="197" t="str">
        <f>IF(OR(E159=Report!$B$1, F159=Report!$B$1, G159=Report!$B$1, H159=Report!$B$1), D159, "")</f>
        <v/>
      </c>
      <c r="C159" s="192" t="b">
        <f>IFERROR(__xludf.DUMMYFUNCTION("""COMPUTED_VALUE"""),FALSE)</f>
        <v>0</v>
      </c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201">
        <f>IFERROR(__xludf.DUMMYFUNCTION("""COMPUTED_VALUE"""),0.0)</f>
        <v>0</v>
      </c>
      <c r="W159" s="195">
        <f>IFERROR(__xludf.DUMMYFUNCTION("""COMPUTED_VALUE"""),0.0)</f>
        <v>0</v>
      </c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</row>
    <row r="160">
      <c r="A160" s="192"/>
      <c r="B160" s="197" t="str">
        <f>IF(OR(E160=Report!$B$1, F160=Report!$B$1, G160=Report!$B$1, H160=Report!$B$1), D160, "")</f>
        <v/>
      </c>
      <c r="C160" s="192" t="b">
        <f>IFERROR(__xludf.DUMMYFUNCTION("""COMPUTED_VALUE"""),FALSE)</f>
        <v>0</v>
      </c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201">
        <f>IFERROR(__xludf.DUMMYFUNCTION("""COMPUTED_VALUE"""),0.0)</f>
        <v>0</v>
      </c>
      <c r="W160" s="195">
        <f>IFERROR(__xludf.DUMMYFUNCTION("""COMPUTED_VALUE"""),0.0)</f>
        <v>0</v>
      </c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</row>
    <row r="161">
      <c r="A161" s="192"/>
      <c r="B161" s="197" t="str">
        <f>IF(OR(E161=Report!$B$1, F161=Report!$B$1, G161=Report!$B$1, H161=Report!$B$1), D161, "")</f>
        <v/>
      </c>
      <c r="C161" s="192" t="b">
        <f>IFERROR(__xludf.DUMMYFUNCTION("""COMPUTED_VALUE"""),FALSE)</f>
        <v>0</v>
      </c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201">
        <f>IFERROR(__xludf.DUMMYFUNCTION("""COMPUTED_VALUE"""),0.0)</f>
        <v>0</v>
      </c>
      <c r="W161" s="195">
        <f>IFERROR(__xludf.DUMMYFUNCTION("""COMPUTED_VALUE"""),0.0)</f>
        <v>0</v>
      </c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</row>
    <row r="162">
      <c r="A162" s="192"/>
      <c r="B162" s="197" t="str">
        <f>IF(OR(E162=Report!$B$1, F162=Report!$B$1, G162=Report!$B$1, H162=Report!$B$1), D162, "")</f>
        <v/>
      </c>
      <c r="C162" s="192" t="b">
        <f>IFERROR(__xludf.DUMMYFUNCTION("""COMPUTED_VALUE"""),FALSE)</f>
        <v>0</v>
      </c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201">
        <f>IFERROR(__xludf.DUMMYFUNCTION("""COMPUTED_VALUE"""),0.0)</f>
        <v>0</v>
      </c>
      <c r="W162" s="195">
        <f>IFERROR(__xludf.DUMMYFUNCTION("""COMPUTED_VALUE"""),0.0)</f>
        <v>0</v>
      </c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</row>
    <row r="163">
      <c r="A163" s="192"/>
      <c r="B163" s="197" t="str">
        <f>IF(OR(E163=Report!$B$1, F163=Report!$B$1, G163=Report!$B$1, H163=Report!$B$1), D163, "")</f>
        <v/>
      </c>
      <c r="C163" s="192" t="b">
        <f>IFERROR(__xludf.DUMMYFUNCTION("""COMPUTED_VALUE"""),FALSE)</f>
        <v>0</v>
      </c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201">
        <f>IFERROR(__xludf.DUMMYFUNCTION("""COMPUTED_VALUE"""),0.0)</f>
        <v>0</v>
      </c>
      <c r="W163" s="195">
        <f>IFERROR(__xludf.DUMMYFUNCTION("""COMPUTED_VALUE"""),0.0)</f>
        <v>0</v>
      </c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</row>
    <row r="164">
      <c r="A164" s="192"/>
      <c r="B164" s="197" t="str">
        <f>IF(OR(E164=Report!$B$1, F164=Report!$B$1, G164=Report!$B$1, H164=Report!$B$1), D164, "")</f>
        <v/>
      </c>
      <c r="C164" s="192" t="b">
        <f>IFERROR(__xludf.DUMMYFUNCTION("""COMPUTED_VALUE"""),FALSE)</f>
        <v>0</v>
      </c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201">
        <f>IFERROR(__xludf.DUMMYFUNCTION("""COMPUTED_VALUE"""),0.0)</f>
        <v>0</v>
      </c>
      <c r="W164" s="195">
        <f>IFERROR(__xludf.DUMMYFUNCTION("""COMPUTED_VALUE"""),0.0)</f>
        <v>0</v>
      </c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</row>
    <row r="165">
      <c r="A165" s="192"/>
      <c r="B165" s="197" t="str">
        <f>IF(OR(E165=Report!$B$1, F165=Report!$B$1, G165=Report!$B$1, H165=Report!$B$1), D165, "")</f>
        <v/>
      </c>
      <c r="C165" s="192" t="b">
        <f>IFERROR(__xludf.DUMMYFUNCTION("""COMPUTED_VALUE"""),FALSE)</f>
        <v>0</v>
      </c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201">
        <f>IFERROR(__xludf.DUMMYFUNCTION("""COMPUTED_VALUE"""),0.0)</f>
        <v>0</v>
      </c>
      <c r="W165" s="195">
        <f>IFERROR(__xludf.DUMMYFUNCTION("""COMPUTED_VALUE"""),0.0)</f>
        <v>0</v>
      </c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</row>
    <row r="166">
      <c r="A166" s="192"/>
      <c r="B166" s="197" t="str">
        <f>IF(OR(E166=Report!$B$1, F166=Report!$B$1, G166=Report!$B$1, H166=Report!$B$1), D166, "")</f>
        <v/>
      </c>
      <c r="C166" s="192" t="b">
        <f>IFERROR(__xludf.DUMMYFUNCTION("""COMPUTED_VALUE"""),FALSE)</f>
        <v>0</v>
      </c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201">
        <f>IFERROR(__xludf.DUMMYFUNCTION("""COMPUTED_VALUE"""),0.0)</f>
        <v>0</v>
      </c>
      <c r="W166" s="195">
        <f>IFERROR(__xludf.DUMMYFUNCTION("""COMPUTED_VALUE"""),0.0)</f>
        <v>0</v>
      </c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</row>
    <row r="167">
      <c r="A167" s="192"/>
      <c r="B167" s="197" t="str">
        <f>IF(OR(E167=Report!$B$1, F167=Report!$B$1, G167=Report!$B$1, H167=Report!$B$1), D167, "")</f>
        <v/>
      </c>
      <c r="C167" s="192" t="b">
        <f>IFERROR(__xludf.DUMMYFUNCTION("""COMPUTED_VALUE"""),FALSE)</f>
        <v>0</v>
      </c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201">
        <f>IFERROR(__xludf.DUMMYFUNCTION("""COMPUTED_VALUE"""),0.0)</f>
        <v>0</v>
      </c>
      <c r="W167" s="195">
        <f>IFERROR(__xludf.DUMMYFUNCTION("""COMPUTED_VALUE"""),0.0)</f>
        <v>0</v>
      </c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</row>
    <row r="168">
      <c r="A168" s="192"/>
      <c r="B168" s="197" t="str">
        <f>IF(OR(E168=Report!$B$1, F168=Report!$B$1, G168=Report!$B$1, H168=Report!$B$1), D168, "")</f>
        <v/>
      </c>
      <c r="C168" s="192" t="b">
        <f>IFERROR(__xludf.DUMMYFUNCTION("""COMPUTED_VALUE"""),FALSE)</f>
        <v>0</v>
      </c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201">
        <f>IFERROR(__xludf.DUMMYFUNCTION("""COMPUTED_VALUE"""),0.0)</f>
        <v>0</v>
      </c>
      <c r="W168" s="195">
        <f>IFERROR(__xludf.DUMMYFUNCTION("""COMPUTED_VALUE"""),0.0)</f>
        <v>0</v>
      </c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</row>
    <row r="169">
      <c r="A169" s="192"/>
      <c r="B169" s="197" t="str">
        <f>IF(OR(E169=Report!$B$1, F169=Report!$B$1, G169=Report!$B$1, H169=Report!$B$1), D169, "")</f>
        <v/>
      </c>
      <c r="C169" s="192" t="b">
        <f>IFERROR(__xludf.DUMMYFUNCTION("""COMPUTED_VALUE"""),FALSE)</f>
        <v>0</v>
      </c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201">
        <f>IFERROR(__xludf.DUMMYFUNCTION("""COMPUTED_VALUE"""),0.0)</f>
        <v>0</v>
      </c>
      <c r="W169" s="195">
        <f>IFERROR(__xludf.DUMMYFUNCTION("""COMPUTED_VALUE"""),0.0)</f>
        <v>0</v>
      </c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</row>
    <row r="170">
      <c r="A170" s="192"/>
      <c r="B170" s="197" t="str">
        <f>IF(OR(E170=Report!$B$1, F170=Report!$B$1, G170=Report!$B$1, H170=Report!$B$1), D170, "")</f>
        <v/>
      </c>
      <c r="C170" s="192" t="b">
        <f>IFERROR(__xludf.DUMMYFUNCTION("""COMPUTED_VALUE"""),FALSE)</f>
        <v>0</v>
      </c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201">
        <f>IFERROR(__xludf.DUMMYFUNCTION("""COMPUTED_VALUE"""),0.0)</f>
        <v>0</v>
      </c>
      <c r="W170" s="195">
        <f>IFERROR(__xludf.DUMMYFUNCTION("""COMPUTED_VALUE"""),0.0)</f>
        <v>0</v>
      </c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</row>
    <row r="171">
      <c r="A171" s="192"/>
      <c r="B171" s="197" t="str">
        <f>IF(OR(E171=Report!$B$1, F171=Report!$B$1, G171=Report!$B$1, H171=Report!$B$1), D171, "")</f>
        <v/>
      </c>
      <c r="C171" s="192" t="b">
        <f>IFERROR(__xludf.DUMMYFUNCTION("""COMPUTED_VALUE"""),FALSE)</f>
        <v>0</v>
      </c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201">
        <f>IFERROR(__xludf.DUMMYFUNCTION("""COMPUTED_VALUE"""),0.0)</f>
        <v>0</v>
      </c>
      <c r="W171" s="195">
        <f>IFERROR(__xludf.DUMMYFUNCTION("""COMPUTED_VALUE"""),0.0)</f>
        <v>0</v>
      </c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</row>
    <row r="172">
      <c r="A172" s="192"/>
      <c r="B172" s="197" t="str">
        <f>IF(OR(E172=Report!$B$1, F172=Report!$B$1, G172=Report!$B$1, H172=Report!$B$1), D172, "")</f>
        <v/>
      </c>
      <c r="C172" s="192" t="b">
        <f>IFERROR(__xludf.DUMMYFUNCTION("""COMPUTED_VALUE"""),FALSE)</f>
        <v>0</v>
      </c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201">
        <f>IFERROR(__xludf.DUMMYFUNCTION("""COMPUTED_VALUE"""),0.0)</f>
        <v>0</v>
      </c>
      <c r="W172" s="195">
        <f>IFERROR(__xludf.DUMMYFUNCTION("""COMPUTED_VALUE"""),0.0)</f>
        <v>0</v>
      </c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</row>
    <row r="173">
      <c r="A173" s="192"/>
      <c r="B173" s="197" t="str">
        <f>IF(OR(E173=Report!$B$1, F173=Report!$B$1, G173=Report!$B$1, H173=Report!$B$1), D173, "")</f>
        <v/>
      </c>
      <c r="C173" s="192" t="b">
        <f>IFERROR(__xludf.DUMMYFUNCTION("""COMPUTED_VALUE"""),FALSE)</f>
        <v>0</v>
      </c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201">
        <f>IFERROR(__xludf.DUMMYFUNCTION("""COMPUTED_VALUE"""),0.0)</f>
        <v>0</v>
      </c>
      <c r="W173" s="195">
        <f>IFERROR(__xludf.DUMMYFUNCTION("""COMPUTED_VALUE"""),0.0)</f>
        <v>0</v>
      </c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</row>
    <row r="174">
      <c r="A174" s="192"/>
      <c r="B174" s="197" t="str">
        <f>IF(OR(E174=Report!$B$1, F174=Report!$B$1, G174=Report!$B$1, H174=Report!$B$1), D174, "")</f>
        <v/>
      </c>
      <c r="C174" s="192" t="b">
        <f>IFERROR(__xludf.DUMMYFUNCTION("""COMPUTED_VALUE"""),FALSE)</f>
        <v>0</v>
      </c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201">
        <f>IFERROR(__xludf.DUMMYFUNCTION("""COMPUTED_VALUE"""),0.0)</f>
        <v>0</v>
      </c>
      <c r="W174" s="195">
        <f>IFERROR(__xludf.DUMMYFUNCTION("""COMPUTED_VALUE"""),0.0)</f>
        <v>0</v>
      </c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</row>
    <row r="175">
      <c r="A175" s="192"/>
      <c r="B175" s="197" t="str">
        <f>IF(OR(E175=Report!$B$1, F175=Report!$B$1, G175=Report!$B$1, H175=Report!$B$1), D175, "")</f>
        <v/>
      </c>
      <c r="C175" s="192" t="b">
        <f>IFERROR(__xludf.DUMMYFUNCTION("""COMPUTED_VALUE"""),FALSE)</f>
        <v>0</v>
      </c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201">
        <f>IFERROR(__xludf.DUMMYFUNCTION("""COMPUTED_VALUE"""),0.0)</f>
        <v>0</v>
      </c>
      <c r="W175" s="195">
        <f>IFERROR(__xludf.DUMMYFUNCTION("""COMPUTED_VALUE"""),0.0)</f>
        <v>0</v>
      </c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</row>
    <row r="176">
      <c r="A176" s="192"/>
      <c r="B176" s="197" t="str">
        <f>IF(OR(E176=Report!$B$1, F176=Report!$B$1, G176=Report!$B$1, H176=Report!$B$1), D176, "")</f>
        <v/>
      </c>
      <c r="C176" s="192" t="b">
        <f>IFERROR(__xludf.DUMMYFUNCTION("""COMPUTED_VALUE"""),FALSE)</f>
        <v>0</v>
      </c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201">
        <f>IFERROR(__xludf.DUMMYFUNCTION("""COMPUTED_VALUE"""),0.0)</f>
        <v>0</v>
      </c>
      <c r="W176" s="195">
        <f>IFERROR(__xludf.DUMMYFUNCTION("""COMPUTED_VALUE"""),0.0)</f>
        <v>0</v>
      </c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</row>
    <row r="177">
      <c r="A177" s="192"/>
      <c r="B177" s="197" t="str">
        <f>IF(OR(E177=Report!$B$1, F177=Report!$B$1, G177=Report!$B$1, H177=Report!$B$1), D177, "")</f>
        <v/>
      </c>
      <c r="C177" s="192" t="b">
        <f>IFERROR(__xludf.DUMMYFUNCTION("""COMPUTED_VALUE"""),FALSE)</f>
        <v>0</v>
      </c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201">
        <f>IFERROR(__xludf.DUMMYFUNCTION("""COMPUTED_VALUE"""),0.0)</f>
        <v>0</v>
      </c>
      <c r="W177" s="195">
        <f>IFERROR(__xludf.DUMMYFUNCTION("""COMPUTED_VALUE"""),0.0)</f>
        <v>0</v>
      </c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</row>
    <row r="178">
      <c r="A178" s="192"/>
      <c r="B178" s="197" t="str">
        <f>IF(OR(E178=Report!$B$1, F178=Report!$B$1, G178=Report!$B$1, H178=Report!$B$1), D178, "")</f>
        <v/>
      </c>
      <c r="C178" s="192" t="b">
        <f>IFERROR(__xludf.DUMMYFUNCTION("""COMPUTED_VALUE"""),FALSE)</f>
        <v>0</v>
      </c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201">
        <f>IFERROR(__xludf.DUMMYFUNCTION("""COMPUTED_VALUE"""),0.0)</f>
        <v>0</v>
      </c>
      <c r="W178" s="195">
        <f>IFERROR(__xludf.DUMMYFUNCTION("""COMPUTED_VALUE"""),0.0)</f>
        <v>0</v>
      </c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</row>
    <row r="179">
      <c r="A179" s="192"/>
      <c r="B179" s="197" t="str">
        <f>IF(OR(E179=Report!$B$1, F179=Report!$B$1, G179=Report!$B$1, H179=Report!$B$1), D179, "")</f>
        <v/>
      </c>
      <c r="C179" s="192" t="b">
        <f>IFERROR(__xludf.DUMMYFUNCTION("""COMPUTED_VALUE"""),FALSE)</f>
        <v>0</v>
      </c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201">
        <f>IFERROR(__xludf.DUMMYFUNCTION("""COMPUTED_VALUE"""),0.0)</f>
        <v>0</v>
      </c>
      <c r="W179" s="195">
        <f>IFERROR(__xludf.DUMMYFUNCTION("""COMPUTED_VALUE"""),0.0)</f>
        <v>0</v>
      </c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</row>
    <row r="180">
      <c r="A180" s="192"/>
      <c r="B180" s="192"/>
      <c r="C180" s="192" t="b">
        <f>IFERROR(__xludf.DUMMYFUNCTION("""COMPUTED_VALUE"""),FALSE)</f>
        <v>0</v>
      </c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201">
        <f>IFERROR(__xludf.DUMMYFUNCTION("""COMPUTED_VALUE"""),0.0)</f>
        <v>0</v>
      </c>
      <c r="W180" s="195">
        <f>IFERROR(__xludf.DUMMYFUNCTION("""COMPUTED_VALUE"""),0.0)</f>
        <v>0</v>
      </c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</row>
    <row r="181">
      <c r="A181" s="192"/>
      <c r="B181" s="192"/>
      <c r="C181" s="192" t="b">
        <f>IFERROR(__xludf.DUMMYFUNCTION("""COMPUTED_VALUE"""),FALSE)</f>
        <v>0</v>
      </c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201">
        <f>IFERROR(__xludf.DUMMYFUNCTION("""COMPUTED_VALUE"""),0.0)</f>
        <v>0</v>
      </c>
      <c r="W181" s="195">
        <f>IFERROR(__xludf.DUMMYFUNCTION("""COMPUTED_VALUE"""),0.0)</f>
        <v>0</v>
      </c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</row>
    <row r="182">
      <c r="A182" s="192"/>
      <c r="B182" s="192"/>
      <c r="C182" s="192" t="b">
        <f>IFERROR(__xludf.DUMMYFUNCTION("""COMPUTED_VALUE"""),FALSE)</f>
        <v>0</v>
      </c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201">
        <f>IFERROR(__xludf.DUMMYFUNCTION("""COMPUTED_VALUE"""),0.0)</f>
        <v>0</v>
      </c>
      <c r="W182" s="195">
        <f>IFERROR(__xludf.DUMMYFUNCTION("""COMPUTED_VALUE"""),0.0)</f>
        <v>0</v>
      </c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</row>
    <row r="183">
      <c r="A183" s="192"/>
      <c r="B183" s="192"/>
      <c r="C183" s="192" t="b">
        <f>IFERROR(__xludf.DUMMYFUNCTION("""COMPUTED_VALUE"""),FALSE)</f>
        <v>0</v>
      </c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201">
        <f>IFERROR(__xludf.DUMMYFUNCTION("""COMPUTED_VALUE"""),0.0)</f>
        <v>0</v>
      </c>
      <c r="W183" s="195">
        <f>IFERROR(__xludf.DUMMYFUNCTION("""COMPUTED_VALUE"""),0.0)</f>
        <v>0</v>
      </c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</row>
    <row r="184">
      <c r="A184" s="192"/>
      <c r="B184" s="192"/>
      <c r="C184" s="192" t="b">
        <f>IFERROR(__xludf.DUMMYFUNCTION("""COMPUTED_VALUE"""),FALSE)</f>
        <v>0</v>
      </c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201">
        <f>IFERROR(__xludf.DUMMYFUNCTION("""COMPUTED_VALUE"""),0.0)</f>
        <v>0</v>
      </c>
      <c r="W184" s="195">
        <f>IFERROR(__xludf.DUMMYFUNCTION("""COMPUTED_VALUE"""),0.0)</f>
        <v>0</v>
      </c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</row>
    <row r="185">
      <c r="A185" s="192"/>
      <c r="B185" s="192"/>
      <c r="C185" s="192" t="b">
        <f>IFERROR(__xludf.DUMMYFUNCTION("""COMPUTED_VALUE"""),FALSE)</f>
        <v>0</v>
      </c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201">
        <f>IFERROR(__xludf.DUMMYFUNCTION("""COMPUTED_VALUE"""),0.0)</f>
        <v>0</v>
      </c>
      <c r="W185" s="195">
        <f>IFERROR(__xludf.DUMMYFUNCTION("""COMPUTED_VALUE"""),0.0)</f>
        <v>0</v>
      </c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</row>
    <row r="186">
      <c r="A186" s="192"/>
      <c r="B186" s="192"/>
      <c r="C186" s="192" t="b">
        <f>IFERROR(__xludf.DUMMYFUNCTION("""COMPUTED_VALUE"""),FALSE)</f>
        <v>0</v>
      </c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201">
        <f>IFERROR(__xludf.DUMMYFUNCTION("""COMPUTED_VALUE"""),0.0)</f>
        <v>0</v>
      </c>
      <c r="W186" s="195">
        <f>IFERROR(__xludf.DUMMYFUNCTION("""COMPUTED_VALUE"""),0.0)</f>
        <v>0</v>
      </c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</row>
    <row r="187">
      <c r="A187" s="192"/>
      <c r="B187" s="192"/>
      <c r="C187" s="192" t="b">
        <f>IFERROR(__xludf.DUMMYFUNCTION("""COMPUTED_VALUE"""),FALSE)</f>
        <v>0</v>
      </c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201">
        <f>IFERROR(__xludf.DUMMYFUNCTION("""COMPUTED_VALUE"""),0.0)</f>
        <v>0</v>
      </c>
      <c r="W187" s="195">
        <f>IFERROR(__xludf.DUMMYFUNCTION("""COMPUTED_VALUE"""),0.0)</f>
        <v>0</v>
      </c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</row>
    <row r="188">
      <c r="A188" s="192"/>
      <c r="B188" s="192"/>
      <c r="C188" s="192" t="b">
        <f>IFERROR(__xludf.DUMMYFUNCTION("""COMPUTED_VALUE"""),FALSE)</f>
        <v>0</v>
      </c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201">
        <f>IFERROR(__xludf.DUMMYFUNCTION("""COMPUTED_VALUE"""),0.0)</f>
        <v>0</v>
      </c>
      <c r="W188" s="195">
        <f>IFERROR(__xludf.DUMMYFUNCTION("""COMPUTED_VALUE"""),0.0)</f>
        <v>0</v>
      </c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</row>
    <row r="189">
      <c r="A189" s="192"/>
      <c r="B189" s="192"/>
      <c r="C189" s="192" t="b">
        <f>IFERROR(__xludf.DUMMYFUNCTION("""COMPUTED_VALUE"""),FALSE)</f>
        <v>0</v>
      </c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201">
        <f>IFERROR(__xludf.DUMMYFUNCTION("""COMPUTED_VALUE"""),0.0)</f>
        <v>0</v>
      </c>
      <c r="W189" s="195">
        <f>IFERROR(__xludf.DUMMYFUNCTION("""COMPUTED_VALUE"""),0.0)</f>
        <v>0</v>
      </c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</row>
    <row r="190">
      <c r="A190" s="192"/>
      <c r="B190" s="192"/>
      <c r="C190" s="192" t="b">
        <f>IFERROR(__xludf.DUMMYFUNCTION("""COMPUTED_VALUE"""),FALSE)</f>
        <v>0</v>
      </c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201">
        <f>IFERROR(__xludf.DUMMYFUNCTION("""COMPUTED_VALUE"""),0.0)</f>
        <v>0</v>
      </c>
      <c r="W190" s="195">
        <f>IFERROR(__xludf.DUMMYFUNCTION("""COMPUTED_VALUE"""),0.0)</f>
        <v>0</v>
      </c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</row>
    <row r="191">
      <c r="A191" s="192"/>
      <c r="B191" s="192"/>
      <c r="C191" s="192" t="b">
        <f>IFERROR(__xludf.DUMMYFUNCTION("""COMPUTED_VALUE"""),FALSE)</f>
        <v>0</v>
      </c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201">
        <f>IFERROR(__xludf.DUMMYFUNCTION("""COMPUTED_VALUE"""),0.0)</f>
        <v>0</v>
      </c>
      <c r="W191" s="195">
        <f>IFERROR(__xludf.DUMMYFUNCTION("""COMPUTED_VALUE"""),0.0)</f>
        <v>0</v>
      </c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</row>
    <row r="192">
      <c r="A192" s="192"/>
      <c r="B192" s="192"/>
      <c r="C192" s="192" t="b">
        <f>IFERROR(__xludf.DUMMYFUNCTION("""COMPUTED_VALUE"""),FALSE)</f>
        <v>0</v>
      </c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201">
        <f>IFERROR(__xludf.DUMMYFUNCTION("""COMPUTED_VALUE"""),0.0)</f>
        <v>0</v>
      </c>
      <c r="W192" s="195">
        <f>IFERROR(__xludf.DUMMYFUNCTION("""COMPUTED_VALUE"""),0.0)</f>
        <v>0</v>
      </c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</row>
    <row r="193">
      <c r="A193" s="192"/>
      <c r="B193" s="192"/>
      <c r="C193" s="192" t="b">
        <f>IFERROR(__xludf.DUMMYFUNCTION("""COMPUTED_VALUE"""),FALSE)</f>
        <v>0</v>
      </c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201">
        <f>IFERROR(__xludf.DUMMYFUNCTION("""COMPUTED_VALUE"""),0.0)</f>
        <v>0</v>
      </c>
      <c r="W193" s="195" t="str">
        <f>IFERROR(__xludf.DUMMYFUNCTION("""COMPUTED_VALUE"""),"")</f>
        <v/>
      </c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</row>
    <row r="194">
      <c r="A194" s="192"/>
      <c r="B194" s="192"/>
      <c r="C194" s="192"/>
      <c r="D194" s="192" t="str">
        <f>IFERROR(__xludf.DUMMYFUNCTION("""COMPUTED_VALUE"""),"End")</f>
        <v>End</v>
      </c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201">
        <f>IFERROR(__xludf.DUMMYFUNCTION("""COMPUTED_VALUE"""),0.0)</f>
        <v>0</v>
      </c>
      <c r="W194" s="195" t="str">
        <f>IFERROR(__xludf.DUMMYFUNCTION("""COMPUTED_VALUE"""),"")</f>
        <v/>
      </c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</row>
    <row r="195">
      <c r="A195" s="192"/>
      <c r="B195" s="192"/>
      <c r="C195" s="192"/>
      <c r="D195" s="192" t="str">
        <f>IFERROR(__xludf.DUMMYFUNCTION("""COMPUTED_VALUE"""),"Celkem kurýr")</f>
        <v>Celkem kurýr</v>
      </c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5" t="str">
        <f>IFERROR(__xludf.DUMMYFUNCTION("""COMPUTED_VALUE"""),"")</f>
        <v/>
      </c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</row>
    <row r="196">
      <c r="A196" s="192"/>
      <c r="B196" s="192"/>
      <c r="C196" s="192"/>
      <c r="D196" s="192" t="str">
        <f>IFERROR(__xludf.DUMMYFUNCTION("""COMPUTED_VALUE"""),"Celkem inst + kurýr")</f>
        <v>Celkem inst + kurýr</v>
      </c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5">
        <f>IFERROR(__xludf.DUMMYFUNCTION("""COMPUTED_VALUE"""),2614.0)</f>
        <v>2614</v>
      </c>
      <c r="W196" s="195">
        <f>IFERROR(__xludf.DUMMYFUNCTION("""COMPUTED_VALUE"""),455085.3160000001)</f>
        <v>455085.316</v>
      </c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5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5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5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5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5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5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5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5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5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5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5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5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5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5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5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5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5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5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5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5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5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5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5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5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5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5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5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5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5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5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5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5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5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5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5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5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5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5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5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5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5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5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5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5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5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5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5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5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5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5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5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5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5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5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5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5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5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5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5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5"/>
      <c r="X256" s="192"/>
      <c r="Y256" s="192"/>
      <c r="Z256" s="192"/>
      <c r="AA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5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5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5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5"/>
      <c r="X260" s="192"/>
      <c r="Y260" s="192"/>
      <c r="Z260" s="192"/>
      <c r="AA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5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5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5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5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5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5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5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5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5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5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5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5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5"/>
      <c r="X273" s="192"/>
      <c r="Y273" s="192"/>
      <c r="Z273" s="192"/>
      <c r="AA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5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5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5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5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5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5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5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5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5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5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5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5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5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5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5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5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5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5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5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5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5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5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5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5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5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5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5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5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5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5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5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5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5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5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5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5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5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R311" s="192"/>
      <c r="S311" s="192"/>
      <c r="T311" s="192"/>
      <c r="U311" s="192"/>
      <c r="V311" s="192"/>
      <c r="W311" s="195"/>
      <c r="X311" s="192"/>
      <c r="Y311" s="192"/>
      <c r="Z311" s="192"/>
      <c r="AA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5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5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5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5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5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5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5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5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5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5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5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5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5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5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5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5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R328" s="192"/>
      <c r="S328" s="192"/>
      <c r="T328" s="192"/>
      <c r="U328" s="192"/>
      <c r="V328" s="192"/>
      <c r="W328" s="195"/>
      <c r="X328" s="192"/>
      <c r="Y328" s="192"/>
      <c r="Z328" s="192"/>
      <c r="AA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5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5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5"/>
      <c r="X331" s="192"/>
      <c r="Y331" s="192"/>
      <c r="Z331" s="192"/>
      <c r="AA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5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5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5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5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5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5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5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5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5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5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5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5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R344" s="192"/>
      <c r="S344" s="192"/>
      <c r="T344" s="192"/>
      <c r="U344" s="192"/>
      <c r="V344" s="192"/>
      <c r="W344" s="195"/>
      <c r="X344" s="192"/>
      <c r="Y344" s="192"/>
      <c r="Z344" s="192"/>
      <c r="AA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R345" s="192"/>
      <c r="S345" s="192"/>
      <c r="T345" s="192"/>
      <c r="U345" s="192"/>
      <c r="V345" s="192"/>
      <c r="W345" s="195"/>
      <c r="X345" s="192"/>
      <c r="Y345" s="192"/>
      <c r="Z345" s="192"/>
      <c r="AA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5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5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R348" s="192"/>
      <c r="S348" s="192"/>
      <c r="T348" s="192"/>
      <c r="U348" s="192"/>
      <c r="V348" s="192"/>
      <c r="W348" s="195"/>
      <c r="X348" s="192"/>
      <c r="Y348" s="192"/>
      <c r="Z348" s="192"/>
      <c r="AA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5"/>
      <c r="X349" s="192"/>
      <c r="Y349" s="192"/>
      <c r="Z349" s="192"/>
      <c r="AA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R350" s="192"/>
      <c r="S350" s="192"/>
      <c r="T350" s="192"/>
      <c r="U350" s="192"/>
      <c r="V350" s="192"/>
      <c r="W350" s="195"/>
      <c r="X350" s="192"/>
      <c r="Y350" s="192"/>
      <c r="Z350" s="192"/>
      <c r="AA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5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R352" s="192"/>
      <c r="S352" s="192"/>
      <c r="T352" s="192"/>
      <c r="U352" s="192"/>
      <c r="V352" s="192"/>
      <c r="W352" s="195"/>
      <c r="X352" s="192"/>
      <c r="Y352" s="192"/>
      <c r="Z352" s="192"/>
      <c r="AA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5"/>
      <c r="X353" s="192"/>
      <c r="Y353" s="192"/>
      <c r="Z353" s="192"/>
      <c r="AA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R354" s="192"/>
      <c r="S354" s="192"/>
      <c r="T354" s="192"/>
      <c r="U354" s="192"/>
      <c r="V354" s="192"/>
      <c r="W354" s="195"/>
      <c r="X354" s="192"/>
      <c r="Y354" s="192"/>
      <c r="Z354" s="192"/>
      <c r="AA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5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N356" s="192"/>
      <c r="O356" s="192"/>
      <c r="P356" s="192"/>
      <c r="Q356" s="192"/>
      <c r="R356" s="192"/>
      <c r="S356" s="192"/>
      <c r="T356" s="192"/>
      <c r="U356" s="192"/>
      <c r="V356" s="192"/>
      <c r="W356" s="195"/>
      <c r="X356" s="192"/>
      <c r="Y356" s="192"/>
      <c r="Z356" s="192"/>
      <c r="AA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5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5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5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5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R361" s="192"/>
      <c r="S361" s="192"/>
      <c r="T361" s="192"/>
      <c r="U361" s="192"/>
      <c r="V361" s="192"/>
      <c r="W361" s="195"/>
      <c r="X361" s="192"/>
      <c r="Y361" s="192"/>
      <c r="Z361" s="192"/>
      <c r="AA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5"/>
      <c r="X362" s="192"/>
      <c r="Y362" s="192"/>
      <c r="Z362" s="192"/>
      <c r="AA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N363" s="192"/>
      <c r="O363" s="192"/>
      <c r="P363" s="192"/>
      <c r="Q363" s="192"/>
      <c r="R363" s="192"/>
      <c r="S363" s="192"/>
      <c r="T363" s="192"/>
      <c r="U363" s="192"/>
      <c r="V363" s="192"/>
      <c r="W363" s="195"/>
      <c r="X363" s="192"/>
      <c r="Y363" s="192"/>
      <c r="Z363" s="192"/>
      <c r="AA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5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5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R366" s="192"/>
      <c r="S366" s="192"/>
      <c r="T366" s="192"/>
      <c r="U366" s="192"/>
      <c r="V366" s="192"/>
      <c r="W366" s="195"/>
      <c r="X366" s="192"/>
      <c r="Y366" s="192"/>
      <c r="Z366" s="192"/>
      <c r="AA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R367" s="192"/>
      <c r="S367" s="192"/>
      <c r="T367" s="192"/>
      <c r="U367" s="192"/>
      <c r="V367" s="192"/>
      <c r="W367" s="195"/>
      <c r="X367" s="192"/>
      <c r="Y367" s="192"/>
      <c r="Z367" s="192"/>
      <c r="AA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R368" s="192"/>
      <c r="S368" s="192"/>
      <c r="T368" s="192"/>
      <c r="U368" s="192"/>
      <c r="V368" s="192"/>
      <c r="W368" s="195"/>
      <c r="X368" s="192"/>
      <c r="Y368" s="192"/>
      <c r="Z368" s="192"/>
      <c r="AA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R369" s="192"/>
      <c r="S369" s="192"/>
      <c r="T369" s="192"/>
      <c r="U369" s="192"/>
      <c r="V369" s="192"/>
      <c r="W369" s="195"/>
      <c r="X369" s="192"/>
      <c r="Y369" s="192"/>
      <c r="Z369" s="192"/>
      <c r="AA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5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R371" s="192"/>
      <c r="S371" s="192"/>
      <c r="T371" s="192"/>
      <c r="U371" s="192"/>
      <c r="V371" s="192"/>
      <c r="W371" s="195"/>
      <c r="X371" s="192"/>
      <c r="Y371" s="192"/>
      <c r="Z371" s="192"/>
      <c r="AA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5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R373" s="192"/>
      <c r="S373" s="192"/>
      <c r="T373" s="192"/>
      <c r="U373" s="192"/>
      <c r="V373" s="192"/>
      <c r="W373" s="195"/>
      <c r="X373" s="192"/>
      <c r="Y373" s="192"/>
      <c r="Z373" s="192"/>
      <c r="AA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5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R375" s="192"/>
      <c r="S375" s="192"/>
      <c r="T375" s="192"/>
      <c r="U375" s="192"/>
      <c r="V375" s="192"/>
      <c r="W375" s="195"/>
      <c r="X375" s="192"/>
      <c r="Y375" s="192"/>
      <c r="Z375" s="192"/>
      <c r="AA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5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R377" s="192"/>
      <c r="S377" s="192"/>
      <c r="T377" s="192"/>
      <c r="U377" s="192"/>
      <c r="V377" s="192"/>
      <c r="W377" s="195"/>
      <c r="X377" s="192"/>
      <c r="Y377" s="192"/>
      <c r="Z377" s="192"/>
      <c r="AA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R378" s="192"/>
      <c r="S378" s="192"/>
      <c r="T378" s="192"/>
      <c r="U378" s="192"/>
      <c r="V378" s="192"/>
      <c r="W378" s="195"/>
      <c r="X378" s="192"/>
      <c r="Y378" s="192"/>
      <c r="Z378" s="192"/>
      <c r="AA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5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5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5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5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N383" s="192"/>
      <c r="O383" s="192"/>
      <c r="P383" s="192"/>
      <c r="Q383" s="192"/>
      <c r="R383" s="192"/>
      <c r="S383" s="192"/>
      <c r="T383" s="192"/>
      <c r="U383" s="192"/>
      <c r="V383" s="192"/>
      <c r="W383" s="195"/>
      <c r="X383" s="192"/>
      <c r="Y383" s="192"/>
      <c r="Z383" s="192"/>
      <c r="AA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N384" s="192"/>
      <c r="O384" s="192"/>
      <c r="P384" s="192"/>
      <c r="Q384" s="192"/>
      <c r="R384" s="192"/>
      <c r="S384" s="192"/>
      <c r="T384" s="192"/>
      <c r="U384" s="192"/>
      <c r="V384" s="192"/>
      <c r="W384" s="195"/>
      <c r="X384" s="192"/>
      <c r="Y384" s="192"/>
      <c r="Z384" s="192"/>
      <c r="AA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5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R386" s="192"/>
      <c r="S386" s="192"/>
      <c r="T386" s="192"/>
      <c r="U386" s="192"/>
      <c r="V386" s="192"/>
      <c r="W386" s="195"/>
      <c r="X386" s="192"/>
      <c r="Y386" s="192"/>
      <c r="Z386" s="192"/>
      <c r="AA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R387" s="192"/>
      <c r="S387" s="192"/>
      <c r="T387" s="192"/>
      <c r="U387" s="192"/>
      <c r="V387" s="192"/>
      <c r="W387" s="195"/>
      <c r="X387" s="192"/>
      <c r="Y387" s="192"/>
      <c r="Z387" s="192"/>
      <c r="AA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R388" s="192"/>
      <c r="S388" s="192"/>
      <c r="T388" s="192"/>
      <c r="U388" s="192"/>
      <c r="V388" s="192"/>
      <c r="W388" s="195"/>
      <c r="X388" s="192"/>
      <c r="Y388" s="192"/>
      <c r="Z388" s="192"/>
      <c r="AA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5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R390" s="192"/>
      <c r="S390" s="192"/>
      <c r="T390" s="192"/>
      <c r="U390" s="192"/>
      <c r="V390" s="192"/>
      <c r="W390" s="195"/>
      <c r="X390" s="192"/>
      <c r="Y390" s="192"/>
      <c r="Z390" s="192"/>
      <c r="AA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5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5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5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5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5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5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5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5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5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R400" s="192"/>
      <c r="S400" s="192"/>
      <c r="T400" s="192"/>
      <c r="U400" s="192"/>
      <c r="V400" s="192"/>
      <c r="W400" s="195"/>
      <c r="X400" s="192"/>
      <c r="Y400" s="192"/>
      <c r="Z400" s="192"/>
      <c r="AA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N401" s="192"/>
      <c r="O401" s="192"/>
      <c r="P401" s="192"/>
      <c r="Q401" s="192"/>
      <c r="R401" s="192"/>
      <c r="S401" s="192"/>
      <c r="T401" s="192"/>
      <c r="U401" s="192"/>
      <c r="V401" s="192"/>
      <c r="W401" s="195"/>
      <c r="X401" s="192"/>
      <c r="Y401" s="192"/>
      <c r="Z401" s="192"/>
      <c r="AA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5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5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R404" s="192"/>
      <c r="S404" s="192"/>
      <c r="T404" s="192"/>
      <c r="U404" s="192"/>
      <c r="V404" s="192"/>
      <c r="W404" s="195"/>
      <c r="X404" s="192"/>
      <c r="Y404" s="192"/>
      <c r="Z404" s="192"/>
      <c r="AA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R405" s="192"/>
      <c r="S405" s="192"/>
      <c r="T405" s="192"/>
      <c r="U405" s="192"/>
      <c r="V405" s="192"/>
      <c r="W405" s="195"/>
      <c r="X405" s="192"/>
      <c r="Y405" s="192"/>
      <c r="Z405" s="192"/>
      <c r="AA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5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5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R408" s="192"/>
      <c r="S408" s="192"/>
      <c r="T408" s="192"/>
      <c r="U408" s="192"/>
      <c r="V408" s="192"/>
      <c r="W408" s="195"/>
      <c r="X408" s="192"/>
      <c r="Y408" s="192"/>
      <c r="Z408" s="192"/>
      <c r="AA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N409" s="192"/>
      <c r="O409" s="192"/>
      <c r="P409" s="192"/>
      <c r="Q409" s="192"/>
      <c r="R409" s="192"/>
      <c r="S409" s="192"/>
      <c r="T409" s="192"/>
      <c r="U409" s="192"/>
      <c r="V409" s="192"/>
      <c r="W409" s="195"/>
      <c r="X409" s="192"/>
      <c r="Y409" s="192"/>
      <c r="Z409" s="192"/>
      <c r="AA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5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N411" s="192"/>
      <c r="O411" s="192"/>
      <c r="P411" s="192"/>
      <c r="Q411" s="192"/>
      <c r="R411" s="192"/>
      <c r="S411" s="192"/>
      <c r="T411" s="192"/>
      <c r="U411" s="192"/>
      <c r="V411" s="192"/>
      <c r="W411" s="195"/>
      <c r="X411" s="192"/>
      <c r="Y411" s="192"/>
      <c r="Z411" s="192"/>
      <c r="AA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N412" s="192"/>
      <c r="O412" s="192"/>
      <c r="P412" s="192"/>
      <c r="Q412" s="192"/>
      <c r="R412" s="192"/>
      <c r="S412" s="192"/>
      <c r="T412" s="192"/>
      <c r="U412" s="192"/>
      <c r="V412" s="192"/>
      <c r="W412" s="195"/>
      <c r="X412" s="192"/>
      <c r="Y412" s="192"/>
      <c r="Z412" s="192"/>
      <c r="AA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N413" s="192"/>
      <c r="O413" s="192"/>
      <c r="P413" s="192"/>
      <c r="Q413" s="192"/>
      <c r="R413" s="192"/>
      <c r="S413" s="192"/>
      <c r="T413" s="192"/>
      <c r="U413" s="192"/>
      <c r="V413" s="192"/>
      <c r="W413" s="195"/>
      <c r="X413" s="192"/>
      <c r="Y413" s="192"/>
      <c r="Z413" s="192"/>
      <c r="AA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</row>
    <row r="414">
      <c r="A414" s="192"/>
      <c r="B414" s="192"/>
      <c r="C414" s="192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N414" s="192"/>
      <c r="O414" s="192"/>
      <c r="P414" s="192"/>
      <c r="Q414" s="192"/>
      <c r="R414" s="192"/>
      <c r="S414" s="192"/>
      <c r="T414" s="192"/>
      <c r="U414" s="192"/>
      <c r="V414" s="192"/>
      <c r="W414" s="195"/>
      <c r="X414" s="192"/>
      <c r="Y414" s="192"/>
      <c r="Z414" s="192"/>
      <c r="AA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N415" s="192"/>
      <c r="O415" s="192"/>
      <c r="P415" s="192"/>
      <c r="Q415" s="192"/>
      <c r="R415" s="192"/>
      <c r="S415" s="192"/>
      <c r="T415" s="192"/>
      <c r="U415" s="192"/>
      <c r="V415" s="192"/>
      <c r="W415" s="195"/>
      <c r="X415" s="192"/>
      <c r="Y415" s="192"/>
      <c r="Z415" s="192"/>
      <c r="AA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5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5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5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5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5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5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5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5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5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5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5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5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5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5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5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5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5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5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5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5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5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5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5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5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5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5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5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5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5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5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5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5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5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5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5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5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5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5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5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5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5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5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5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5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5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5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5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5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5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5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5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5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5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5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5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5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5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5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5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5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5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5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5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5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5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5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5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5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5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5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5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5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5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5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5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5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5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5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5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5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5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5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5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5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5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5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5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5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5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5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5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5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5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5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5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5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5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5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5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5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5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5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5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5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5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5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5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5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5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5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5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5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5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5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5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5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5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5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5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5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5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5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5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5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5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5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5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5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5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5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5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5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5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5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5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5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5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5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5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5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5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5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5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5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5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5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5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5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5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5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5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5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5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5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5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5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5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5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5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5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5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5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5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5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5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5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5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5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5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5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5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5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5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5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5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5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5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5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5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5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5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5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5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5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5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5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5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5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5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5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5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5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5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5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5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5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5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5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5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5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5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5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5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5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5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5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5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5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5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5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5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5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5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5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5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5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5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5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5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5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5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5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5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5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5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5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5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5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5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5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5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5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5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5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5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5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5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5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5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5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5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5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5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5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5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5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5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5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5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5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5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5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5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5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5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5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5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5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5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5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5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5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5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5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5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5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5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5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5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5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5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5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5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5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5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5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5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5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5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5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5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5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5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5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5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5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5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5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5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5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5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5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5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5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5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5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5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5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5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5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5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5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5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5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5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5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5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5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5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5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5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5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5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5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5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5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5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</row>
    <row r="733">
      <c r="A733" s="192"/>
      <c r="B733" s="192"/>
      <c r="C733" s="192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5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5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5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5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</row>
    <row r="737">
      <c r="A737" s="192"/>
      <c r="B737" s="192"/>
      <c r="C737" s="192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5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5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5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5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5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5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5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5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5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5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5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5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5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5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5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5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5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5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5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5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5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5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5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5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5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5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5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5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5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5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5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5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5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5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5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5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5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5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5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5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5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5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5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5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5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5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5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5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5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5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5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5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5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5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5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5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5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5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5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5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5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5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5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5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5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5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5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5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5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5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5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5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5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5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5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5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5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5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5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5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5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5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5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5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5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5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5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5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5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5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5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5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5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5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5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5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5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5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5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5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5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5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5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5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5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5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5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5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5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5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5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5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5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5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5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5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5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5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5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5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5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5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5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5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5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5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5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5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5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5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5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5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5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5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5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5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5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5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5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5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5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5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5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5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5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5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5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5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5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5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5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5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5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5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5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5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5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5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5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5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5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5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5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5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5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5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5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5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5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5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5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5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5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5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5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5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5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5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5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5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5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5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5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5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5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5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5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5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5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5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5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5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5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5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5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5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5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5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5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5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5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5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5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5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5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5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5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5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5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5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5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5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5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5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5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5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5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5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5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5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5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5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5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5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5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5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5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5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5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5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5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5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5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5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5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5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5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5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5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5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5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5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5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5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5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5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5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5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5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5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5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5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5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5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5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5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5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5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5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5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5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5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5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5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1483</v>
      </c>
      <c r="B1" s="11"/>
      <c r="C1" s="11"/>
      <c r="D1" s="11"/>
      <c r="E1" s="11"/>
      <c r="F1" s="11"/>
      <c r="G1" s="11"/>
      <c r="H1" s="12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1484</v>
      </c>
      <c r="B2" s="1" t="s">
        <v>69</v>
      </c>
      <c r="C2" s="1" t="s">
        <v>61</v>
      </c>
      <c r="D2" s="1" t="s">
        <v>73</v>
      </c>
      <c r="E2" s="1" t="s">
        <v>1485</v>
      </c>
      <c r="F2" s="1" t="s">
        <v>39</v>
      </c>
      <c r="G2" s="1" t="s">
        <v>1486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130</v>
      </c>
      <c r="AB2" s="1" t="s">
        <v>131</v>
      </c>
    </row>
    <row r="3">
      <c r="A3" s="1" t="s">
        <v>72</v>
      </c>
      <c r="B3" s="1" t="s">
        <v>1487</v>
      </c>
      <c r="C3" s="1" t="s">
        <v>1488</v>
      </c>
      <c r="I3" s="188"/>
      <c r="J3" s="188"/>
      <c r="K3" s="188"/>
      <c r="L3" s="188"/>
      <c r="M3" s="188"/>
      <c r="O3" s="188"/>
      <c r="P3" s="188"/>
      <c r="Q3" s="188"/>
      <c r="S3" s="188"/>
      <c r="T3" s="188"/>
      <c r="U3" s="188"/>
      <c r="V3" s="188"/>
      <c r="Y3" s="188"/>
      <c r="Z3" s="188"/>
      <c r="AB3" s="1">
        <v>0.0</v>
      </c>
    </row>
    <row r="4">
      <c r="A4" s="1" t="s">
        <v>110</v>
      </c>
      <c r="B4" s="1" t="s">
        <v>1489</v>
      </c>
      <c r="D4" s="1" t="s">
        <v>1490</v>
      </c>
      <c r="F4" s="1" t="s">
        <v>1491</v>
      </c>
      <c r="I4" s="188"/>
      <c r="J4" s="188"/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>
        <v>0.0</v>
      </c>
    </row>
    <row r="5">
      <c r="A5" s="1" t="s">
        <v>71</v>
      </c>
      <c r="B5" s="1" t="s">
        <v>1492</v>
      </c>
      <c r="F5" s="1" t="s">
        <v>1493</v>
      </c>
      <c r="I5" s="188"/>
      <c r="J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>
        <v>-8.0</v>
      </c>
    </row>
    <row r="6">
      <c r="A6" s="1" t="s">
        <v>1494</v>
      </c>
      <c r="B6" s="1" t="s">
        <v>1488</v>
      </c>
      <c r="C6" s="1" t="s">
        <v>1495</v>
      </c>
      <c r="E6" s="1" t="s">
        <v>1496</v>
      </c>
      <c r="F6" s="1" t="s">
        <v>1497</v>
      </c>
      <c r="G6" s="1" t="s">
        <v>1498</v>
      </c>
      <c r="H6" s="1" t="s">
        <v>1488</v>
      </c>
      <c r="I6" s="188"/>
      <c r="J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>
        <v>-9.0</v>
      </c>
    </row>
    <row r="7">
      <c r="A7" s="1" t="s">
        <v>44</v>
      </c>
      <c r="C7" s="1" t="s">
        <v>1497</v>
      </c>
      <c r="F7" s="1" t="s">
        <v>1498</v>
      </c>
      <c r="G7" s="1" t="s">
        <v>1499</v>
      </c>
      <c r="H7" s="1" t="s">
        <v>1488</v>
      </c>
      <c r="I7" s="188"/>
      <c r="J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>
        <v>-38.0</v>
      </c>
    </row>
    <row r="8">
      <c r="A8" s="1" t="s">
        <v>65</v>
      </c>
      <c r="C8" s="1" t="s">
        <v>1491</v>
      </c>
      <c r="E8" s="1" t="s">
        <v>1491</v>
      </c>
      <c r="G8" s="1" t="s">
        <v>1500</v>
      </c>
      <c r="H8" s="1" t="s">
        <v>1501</v>
      </c>
      <c r="I8" s="188"/>
      <c r="J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>
        <v>-6.0</v>
      </c>
    </row>
    <row r="9">
      <c r="A9" s="1" t="s">
        <v>1502</v>
      </c>
      <c r="C9" s="1" t="s">
        <v>1501</v>
      </c>
      <c r="E9" s="1" t="s">
        <v>1501</v>
      </c>
      <c r="H9" s="1" t="s">
        <v>1491</v>
      </c>
      <c r="I9" s="188"/>
      <c r="J9" s="188"/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>
        <v>1.0</v>
      </c>
    </row>
    <row r="10">
      <c r="A10" s="1" t="s">
        <v>40</v>
      </c>
      <c r="D10" s="1" t="s">
        <v>1497</v>
      </c>
      <c r="E10" s="1" t="s">
        <v>1488</v>
      </c>
      <c r="F10" s="1" t="s">
        <v>1503</v>
      </c>
      <c r="G10" s="1" t="s">
        <v>1503</v>
      </c>
      <c r="H10" s="1" t="s">
        <v>1495</v>
      </c>
      <c r="I10" s="188"/>
      <c r="J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>
        <v>-7.0</v>
      </c>
    </row>
    <row r="11">
      <c r="A11" s="1" t="s">
        <v>52</v>
      </c>
      <c r="D11" s="1" t="s">
        <v>1488</v>
      </c>
      <c r="E11" s="1" t="s">
        <v>1497</v>
      </c>
      <c r="F11" s="1" t="s">
        <v>1497</v>
      </c>
      <c r="I11" s="188"/>
      <c r="J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>
        <v>2.0</v>
      </c>
    </row>
    <row r="12">
      <c r="A12" s="1" t="s">
        <v>114</v>
      </c>
      <c r="D12" s="1" t="s">
        <v>1488</v>
      </c>
      <c r="G12" s="1" t="s">
        <v>1497</v>
      </c>
      <c r="H12" s="1" t="s">
        <v>1504</v>
      </c>
      <c r="I12" s="188"/>
      <c r="J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>
        <v>-2.0</v>
      </c>
    </row>
    <row r="13">
      <c r="A13" s="1" t="s">
        <v>1505</v>
      </c>
      <c r="E13" s="1" t="s">
        <v>1506</v>
      </c>
      <c r="F13" s="1" t="s">
        <v>1507</v>
      </c>
      <c r="I13" s="188"/>
      <c r="J13" s="188"/>
      <c r="K13" s="188"/>
      <c r="L13" s="188"/>
      <c r="M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>
        <v>4.0</v>
      </c>
    </row>
    <row r="14">
      <c r="A14" s="188"/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3.0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T15" s="188"/>
      <c r="U15" s="188"/>
      <c r="V15" s="188"/>
      <c r="W15" s="188"/>
      <c r="X15" s="188"/>
      <c r="Y15" s="188"/>
      <c r="Z15" s="188"/>
      <c r="AB15" s="1">
        <v>-8.0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>
        <v>-5.0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-6.0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2.0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" t="s">
        <v>1508</v>
      </c>
      <c r="AB19" s="1">
        <v>-11.0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0.0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5.0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T22" s="188"/>
      <c r="U22" s="188"/>
      <c r="V22" s="188"/>
      <c r="W22" s="188"/>
      <c r="X22" s="188"/>
      <c r="Y22" s="188"/>
      <c r="Z22" s="188"/>
      <c r="AB22" s="1">
        <v>-7.0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1.0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-2.0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-1.0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-7.0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>
        <v>-9.0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0.0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" t="s">
        <v>1509</v>
      </c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T31" s="188"/>
      <c r="U31" s="188"/>
      <c r="V31" s="188"/>
      <c r="W31" s="188"/>
      <c r="X31" s="188"/>
      <c r="Y31" s="188"/>
      <c r="Z31" s="188"/>
      <c r="AB31" s="1">
        <v>-7.0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-2.0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T33" s="188"/>
      <c r="U33" s="188"/>
      <c r="V33" s="188"/>
      <c r="W33" s="188"/>
      <c r="X33" s="188"/>
      <c r="Y33" s="188"/>
      <c r="Z33" s="188"/>
      <c r="AB33" s="1">
        <v>-8.0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" t="s">
        <v>1510</v>
      </c>
      <c r="AB34" s="1">
        <v>0.0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O35" s="188"/>
      <c r="P35" s="188"/>
      <c r="Q35" s="188"/>
      <c r="S35" s="188"/>
      <c r="T35" s="188"/>
      <c r="U35" s="188"/>
      <c r="V35" s="188"/>
      <c r="W35" s="188"/>
      <c r="X35" s="188"/>
      <c r="Y35" s="188"/>
      <c r="Z35" s="188"/>
      <c r="AB35" s="1">
        <v>1.0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Y36" s="188"/>
      <c r="Z36" s="188"/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4.0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" t="s">
        <v>1511</v>
      </c>
      <c r="AB38" s="1">
        <v>-12.0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1512</v>
      </c>
      <c r="AB39" s="1">
        <v>0.0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O40" s="188"/>
      <c r="P40" s="188"/>
      <c r="Q40" s="188"/>
      <c r="S40" s="188"/>
      <c r="T40" s="188"/>
      <c r="U40" s="188"/>
      <c r="V40" s="188"/>
      <c r="W40" s="188"/>
      <c r="X40" s="188"/>
      <c r="Y40" s="188"/>
      <c r="Z40" s="188"/>
      <c r="AB40" s="1">
        <v>-2.0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-10.0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" t="s">
        <v>1513</v>
      </c>
      <c r="AB42" s="1">
        <v>6.0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-7.0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-2.0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>
        <v>0.0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-2.0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" t="s">
        <v>1514</v>
      </c>
      <c r="AB48" s="1">
        <v>-13.0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T49" s="188"/>
      <c r="U49" s="188"/>
      <c r="V49" s="188"/>
      <c r="W49" s="188"/>
      <c r="X49" s="188"/>
      <c r="Y49" s="188"/>
      <c r="Z49" s="188"/>
      <c r="AB49" s="1">
        <v>-6.0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-6.0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" t="s">
        <v>1515</v>
      </c>
      <c r="AB52" s="1">
        <v>5.0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O53" s="188"/>
      <c r="P53" s="188"/>
      <c r="Q53" s="188"/>
      <c r="S53" s="188"/>
      <c r="T53" s="188"/>
      <c r="U53" s="188"/>
      <c r="V53" s="188"/>
      <c r="W53" s="188"/>
      <c r="X53" s="188"/>
      <c r="Y53" s="188"/>
      <c r="Z53" s="188"/>
      <c r="AB53" s="1">
        <v>0.0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T55" s="188"/>
      <c r="U55" s="188"/>
      <c r="V55" s="188"/>
      <c r="W55" s="188"/>
      <c r="X55" s="188"/>
      <c r="Y55" s="188"/>
      <c r="Z55" s="188"/>
      <c r="AB55" s="1">
        <v>-8.0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>
        <v>-11.0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-6.0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" t="s">
        <v>1516</v>
      </c>
      <c r="AB59" s="1">
        <v>-9.0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T60" s="188"/>
      <c r="U60" s="188"/>
      <c r="V60" s="188"/>
      <c r="W60" s="188"/>
      <c r="X60" s="188"/>
      <c r="Y60" s="188"/>
      <c r="Z60" s="188"/>
      <c r="AB60" s="1">
        <v>-9.0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-8.0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" t="s">
        <v>1517</v>
      </c>
      <c r="AB63" s="1">
        <v>-19.0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-12.0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T65" s="188"/>
      <c r="U65" s="188"/>
      <c r="V65" s="188"/>
      <c r="W65" s="188"/>
      <c r="X65" s="188"/>
      <c r="Y65" s="188"/>
      <c r="Z65" s="188"/>
      <c r="AB65" s="1">
        <v>-7.0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>
        <v>-9.0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O67" s="188"/>
      <c r="P67" s="188"/>
      <c r="Q67" s="188"/>
      <c r="S67" s="188"/>
      <c r="T67" s="188"/>
      <c r="U67" s="188"/>
      <c r="V67" s="188"/>
      <c r="W67" s="188"/>
      <c r="X67" s="188"/>
      <c r="Y67" s="188"/>
      <c r="Z67" s="188"/>
      <c r="AB67" s="1">
        <v>-9.0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-11.0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3.0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" t="s">
        <v>1518</v>
      </c>
      <c r="AB70" s="1">
        <v>-14.0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>
        <v>-2.0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1.0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>
        <v>-1.0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T75" s="188"/>
      <c r="U75" s="188"/>
      <c r="V75" s="188"/>
      <c r="W75" s="188"/>
      <c r="X75" s="188"/>
      <c r="Y75" s="188"/>
      <c r="Z75" s="188"/>
      <c r="AB75" s="1">
        <v>-9.0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O76" s="188"/>
      <c r="P76" s="188"/>
      <c r="Q76" s="188"/>
      <c r="S76" s="188"/>
      <c r="T76" s="188"/>
      <c r="U76" s="188"/>
      <c r="V76" s="188"/>
      <c r="W76" s="188"/>
      <c r="X76" s="188"/>
      <c r="Y76" s="188"/>
      <c r="Z76" s="188"/>
      <c r="AB76" s="1">
        <v>0.0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T77" s="188"/>
      <c r="U77" s="188"/>
      <c r="V77" s="188"/>
      <c r="W77" s="188"/>
      <c r="X77" s="188"/>
      <c r="Y77" s="188"/>
      <c r="Z77" s="188"/>
      <c r="AB77" s="1">
        <v>-7.0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0.0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-8.0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T82" s="188"/>
      <c r="U82" s="188"/>
      <c r="V82" s="188"/>
      <c r="W82" s="188"/>
      <c r="X82" s="188"/>
      <c r="Y82" s="188"/>
      <c r="Z82" s="188"/>
      <c r="AB82" s="1">
        <v>-7.0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O83" s="188"/>
      <c r="P83" s="188"/>
      <c r="Q83" s="188"/>
      <c r="S83" s="188"/>
      <c r="T83" s="188"/>
      <c r="U83" s="188"/>
      <c r="V83" s="188"/>
      <c r="W83" s="188"/>
      <c r="X83" s="188"/>
      <c r="Y83" s="188"/>
      <c r="Z83" s="188"/>
      <c r="AB83" s="1">
        <v>0.0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-11.0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>
        <v>-13.0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1519</v>
      </c>
      <c r="AB86" s="1">
        <v>-21.0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 t="s">
        <v>1520</v>
      </c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 t="s">
        <v>1521</v>
      </c>
      <c r="AB88" s="1">
        <v>-10.0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1522</v>
      </c>
      <c r="AB89" s="1">
        <v>-6.0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-7.0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>
        <v>-2.0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" t="s">
        <v>1523</v>
      </c>
      <c r="AB92" s="1">
        <v>-17.0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-12.0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T94" s="188"/>
      <c r="U94" s="188"/>
      <c r="V94" s="188"/>
      <c r="W94" s="188"/>
      <c r="X94" s="188"/>
      <c r="Y94" s="188"/>
      <c r="Z94" s="188"/>
      <c r="AB94" s="1">
        <v>-4.0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-11.0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>
        <v>0.0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T98" s="188"/>
      <c r="U98" s="188"/>
      <c r="V98" s="188"/>
      <c r="W98" s="188"/>
      <c r="X98" s="188"/>
      <c r="Y98" s="188"/>
      <c r="Z98" s="188"/>
      <c r="AB98" s="1">
        <v>-9.0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O99" s="188"/>
      <c r="P99" s="188"/>
      <c r="Q99" s="188"/>
      <c r="S99" s="188"/>
      <c r="T99" s="188"/>
      <c r="U99" s="188"/>
      <c r="V99" s="188"/>
      <c r="W99" s="188"/>
      <c r="X99" s="188"/>
      <c r="Y99" s="188"/>
      <c r="Z99" s="188"/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T100" s="188"/>
      <c r="U100" s="188"/>
      <c r="V100" s="188"/>
      <c r="W100" s="188"/>
      <c r="X100" s="188"/>
      <c r="Y100" s="188"/>
      <c r="Z100" s="188"/>
      <c r="AB100" s="1">
        <v>-8.0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" t="s">
        <v>1524</v>
      </c>
      <c r="AB101" s="1">
        <v>-6.0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1525</v>
      </c>
      <c r="AB102" s="1">
        <v>1.0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-1.0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T104" s="188"/>
      <c r="U104" s="188"/>
      <c r="V104" s="188"/>
      <c r="W104" s="188"/>
      <c r="X104" s="188"/>
      <c r="Y104" s="188"/>
      <c r="Z104" s="188"/>
      <c r="AB104" s="1">
        <v>-5.0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" t="s">
        <v>1526</v>
      </c>
      <c r="AB105" s="1">
        <v>-2.0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1527</v>
      </c>
      <c r="AB107" s="1">
        <v>-12.0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O108" s="188"/>
      <c r="P108" s="188"/>
      <c r="Q108" s="188"/>
      <c r="S108" s="188"/>
      <c r="T108" s="188"/>
      <c r="U108" s="188"/>
      <c r="V108" s="188"/>
      <c r="W108" s="188"/>
      <c r="X108" s="188"/>
      <c r="Y108" s="188"/>
      <c r="Z108" s="188"/>
      <c r="AB108" s="1">
        <v>0.0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-1.0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" t="s">
        <v>1528</v>
      </c>
      <c r="AB110" s="1">
        <v>-14.0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1529</v>
      </c>
      <c r="AB111" s="1">
        <v>-6.0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 t="s">
        <v>1530</v>
      </c>
      <c r="AB112" s="1">
        <v>-11.0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T113" s="188"/>
      <c r="U113" s="188"/>
      <c r="V113" s="188"/>
      <c r="W113" s="188"/>
      <c r="X113" s="188"/>
      <c r="Y113" s="188"/>
      <c r="Z113" s="188"/>
      <c r="AB113" s="1">
        <v>-8.0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1531</v>
      </c>
      <c r="AB114" s="1">
        <v>-1.0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4.0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>
        <v>-7.0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" t="s">
        <v>1532</v>
      </c>
      <c r="AB117" s="1">
        <v>12.0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O118" s="188"/>
      <c r="P118" s="188"/>
      <c r="Q118" s="188"/>
      <c r="S118" s="188"/>
      <c r="T118" s="188"/>
      <c r="U118" s="188"/>
      <c r="V118" s="188"/>
      <c r="W118" s="188"/>
      <c r="X118" s="188"/>
      <c r="Y118" s="188"/>
      <c r="Z118" s="188"/>
      <c r="AB118" s="1">
        <v>-1.0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" t="s">
        <v>1533</v>
      </c>
      <c r="AB119" s="1">
        <v>-17.0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T120" s="188"/>
      <c r="U120" s="188"/>
      <c r="V120" s="188"/>
      <c r="W120" s="188"/>
      <c r="X120" s="188"/>
      <c r="Y120" s="188"/>
      <c r="Z120" s="188"/>
      <c r="AB120" s="1">
        <v>-5.0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>
        <v>-6.0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" t="s">
        <v>1534</v>
      </c>
      <c r="AB123" s="1">
        <v>-15.0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-6.0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>
        <v>0.0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-12.0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>
        <v>-11.0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" t="s">
        <v>1535</v>
      </c>
      <c r="AB128" s="1">
        <v>-11.0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T129" s="188"/>
      <c r="U129" s="188"/>
      <c r="V129" s="188"/>
      <c r="W129" s="188"/>
      <c r="X129" s="188"/>
      <c r="Y129" s="188"/>
      <c r="Z129" s="188"/>
      <c r="AB129" s="1">
        <v>-6.0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0.0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-8.0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>
        <v>-8.0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-8.0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T137" s="188"/>
      <c r="U137" s="188"/>
      <c r="V137" s="188"/>
      <c r="W137" s="188"/>
      <c r="X137" s="188"/>
      <c r="Y137" s="188"/>
      <c r="Z137" s="188"/>
      <c r="AB137" s="1">
        <v>-5.0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O138" s="188"/>
      <c r="P138" s="188"/>
      <c r="Q138" s="188"/>
      <c r="S138" s="188"/>
      <c r="T138" s="188"/>
      <c r="U138" s="188"/>
      <c r="V138" s="188"/>
      <c r="W138" s="188"/>
      <c r="X138" s="188"/>
      <c r="Y138" s="188"/>
      <c r="Z138" s="188"/>
      <c r="AB138" s="1">
        <v>0.0</v>
      </c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-10.0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>
        <v>-12.0</v>
      </c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" t="s">
        <v>1536</v>
      </c>
      <c r="AB141" s="1">
        <v>-10.0</v>
      </c>
    </row>
  </sheetData>
  <mergeCells count="1">
    <mergeCell ref="A1:H1"/>
  </mergeCells>
  <drawing r:id="rId1"/>
</worksheet>
</file>