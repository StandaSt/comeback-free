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<sst xmlns="http://schemas.openxmlformats.org/spreadsheetml/2006/main" count="5569" uniqueCount="1537">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</sst>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12:B21">
      <formula1>"Nedbal Michal,Ahurieva Viktoriia,Hanakova Ayuna,Veselý Ondřej,Kinkorová Petra,Pechová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""Mzdy!u1:v200"")"),46143.0)</f>
        <v>46143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IFERROR(__xludf.DUMMYFUNCTION("""COMPUTED_VALUE"""),223.0)</f>
        <v>223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IFERROR(__xludf.DUMMYFUNCTION("""COMPUTED_VALUE"""),177.5)</f>
        <v>177.5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IFERROR(__xludf.DUMMYFUNCTION("""COMPUTED_VALUE"""),110.5)</f>
        <v>110.5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>Ahurieva Viktoriia</v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IFERROR(__xludf.DUMMYFUNCTION("""COMPUTED_VALUE"""),"Zličín")</f>
        <v>Zličín</v>
      </c>
      <c r="H8" s="192" t="str">
        <f>IFERROR(__xludf.DUMMYFUNCTION("""COMPUTED_VALUE"""),"Prosek")</f>
        <v>Prosek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IFERROR(__xludf.DUMMYFUNCTION("""COMPUTED_VALUE"""),190.0)</f>
        <v>190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IFERROR(__xludf.DUMMYFUNCTION("""COMPUTED_VALUE"""),173.5)</f>
        <v>173.5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IFERROR(__xludf.DUMMYFUNCTION("""COMPUTED_VALUE"""),160.0)</f>
        <v>160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IFERROR(__xludf.DUMMYFUNCTION("""COMPUTED_VALUE"""),110.5)</f>
        <v>110.5</v>
      </c>
      <c r="W11" s="195">
        <f>IFERROR(__xludf.DUMMYFUNCTION("""COMPUTED_VALUE"""),20494.647)</f>
        <v>20494.647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IFERROR(__xludf.DUMMYFUNCTION("""COMPUTED_VALUE"""),110.0)</f>
        <v>110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 t="str">
        <f>IFERROR(__xludf.DUMMYFUNCTION("""COMPUTED_VALUE"""),"Prosek")</f>
        <v>Prosek</v>
      </c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IFERROR(__xludf.DUMMYFUNCTION("""COMPUTED_VALUE"""),54.5)</f>
        <v>54.5</v>
      </c>
      <c r="W14" s="195">
        <f>IFERROR(__xludf.DUMMYFUNCTION("""COMPUTED_VALUE"""),9009.286)</f>
        <v>9009.286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>Kinkorová Petra</v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IFERROR(__xludf.DUMMYFUNCTION("""COMPUTED_VALUE"""),"Zličín")</f>
        <v>Zličín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IFERROR(__xludf.DUMMYFUNCTION("""COMPUTED_VALUE"""),169.5)</f>
        <v>169.5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IFERROR(__xludf.DUMMYFUNCTION("""COMPUTED_VALUE"""),153.0)</f>
        <v>153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IFERROR(__xludf.DUMMYFUNCTION("""COMPUTED_VALUE"""),43.5)</f>
        <v>43.5</v>
      </c>
      <c r="W17" s="195">
        <f>IFERROR(__xludf.DUMMYFUNCTION("""COMPUTED_VALUE"""),7690.8)</f>
        <v>7690.8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/>
      </c>
      <c r="C18" s="192" t="b">
        <f>IFERROR(__xludf.DUMMYFUNCTION("""COMPUTED_VALUE"""),FALSE)</f>
        <v>0</v>
      </c>
      <c r="D18" s="192" t="str">
        <f>IFERROR(__xludf.DUMMYFUNCTION("""COMPUTED_VALUE"""),"Stepanenko Solomiia")</f>
        <v>Stepanenko Solomiia</v>
      </c>
      <c r="E18" s="192" t="str">
        <f>IFERROR(__xludf.DUMMYFUNCTION("""COMPUTED_VALUE"""),"Výroba")</f>
        <v>Výroba</v>
      </c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IFERROR(__xludf.DUMMYFUNCTION("""COMPUTED_VALUE"""),126.5)</f>
        <v>126.5</v>
      </c>
      <c r="W18" s="195">
        <f>IFERROR(__xludf.DUMMYFUNCTION("""COMPUTED_VALUE"""),22440.113999999998)</f>
        <v>22440.114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/>
      </c>
      <c r="C19" s="192" t="b">
        <f>IFERROR(__xludf.DUMMYFUNCTION("""COMPUTED_VALUE"""),FALSE)</f>
        <v>0</v>
      </c>
      <c r="D19" s="192" t="str">
        <f>IFERROR(__xludf.DUMMYFUNCTION("""COMPUTED_VALUE"""),"Rothová Anastasia")</f>
        <v>Rothová Anastasia</v>
      </c>
      <c r="E19" s="192" t="str">
        <f>IFERROR(__xludf.DUMMYFUNCTION("""COMPUTED_VALUE"""),"Bolevec")</f>
        <v>Bolevec</v>
      </c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IFERROR(__xludf.DUMMYFUNCTION("""COMPUTED_VALUE"""),153.5)</f>
        <v>153.5</v>
      </c>
      <c r="W19" s="195">
        <f>IFERROR(__xludf.DUMMYFUNCTION("""COMPUTED_VALUE"""),31300.595)</f>
        <v>31300.595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>Pánková Vendula</v>
      </c>
      <c r="C20" s="192" t="b">
        <f>IFERROR(__xludf.DUMMYFUNCTION("""COMPUTED_VALUE"""),FALSE)</f>
        <v>0</v>
      </c>
      <c r="D20" s="192" t="str">
        <f>IFERROR(__xludf.DUMMYFUNCTION("""COMPUTED_VALUE"""),"Pánková Vendula")</f>
        <v>Pánková Vendula</v>
      </c>
      <c r="E20" s="192" t="str">
        <f>IFERROR(__xludf.DUMMYFUNCTION("""COMPUTED_VALUE"""),"Zličín")</f>
        <v>Zličín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IFERROR(__xludf.DUMMYFUNCTION("""COMPUTED_VALUE"""),54.5)</f>
        <v>54.5</v>
      </c>
      <c r="W20" s="195">
        <f>IFERROR(__xludf.DUMMYFUNCTION("""COMPUTED_VALUE"""),9635.6)</f>
        <v>9635.6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>Hegedüs Erik</v>
      </c>
      <c r="C21" s="192" t="b">
        <f>IFERROR(__xludf.DUMMYFUNCTION("""COMPUTED_VALUE"""),TRUE)</f>
        <v>1</v>
      </c>
      <c r="D21" s="192" t="str">
        <f>IFERROR(__xludf.DUMMYFUNCTION("""COMPUTED_VALUE"""),"Hegedüs Erik")</f>
        <v>Hegedüs Erik</v>
      </c>
      <c r="E21" s="192" t="str">
        <f>IFERROR(__xludf.DUMMYFUNCTION("""COMPUTED_VALUE"""),"Libuš")</f>
        <v>Libuš</v>
      </c>
      <c r="F21" s="192" t="str">
        <f>IFERROR(__xludf.DUMMYFUNCTION("""COMPUTED_VALUE"""),"Chodov")</f>
        <v>Chodov</v>
      </c>
      <c r="G21" s="192" t="str">
        <f>IFERROR(__xludf.DUMMYFUNCTION("""COMPUTED_VALUE"""),"Malešice")</f>
        <v>Malešice</v>
      </c>
      <c r="H21" s="192" t="str">
        <f>IFERROR(__xludf.DUMMYFUNCTION("""COMPUTED_VALUE"""),"Zličín")</f>
        <v>Zličín</v>
      </c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IFERROR(__xludf.DUMMYFUNCTION("""COMPUTED_VALUE"""),156.0)</f>
        <v>156</v>
      </c>
      <c r="W21" s="195">
        <f>IFERROR(__xludf.DUMMYFUNCTION("""COMPUTED_VALUE"""),50001.08)</f>
        <v>50001.08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IFERROR(__xludf.DUMMYFUNCTION("""COMPUTED_VALUE"""),TRUE)</f>
        <v>1</v>
      </c>
      <c r="D22" s="192" t="str">
        <f>IFERROR(__xludf.DUMMYFUNCTION("""COMPUTED_VALUE"""),"Roth Stanislav ml.")</f>
        <v>Roth Stanislav ml.</v>
      </c>
      <c r="E22" s="192" t="str">
        <f>IFERROR(__xludf.DUMMYFUNCTION("""COMPUTED_VALUE"""),"Bolevec")</f>
        <v>Bolevec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IFERROR(__xludf.DUMMYFUNCTION("""COMPUTED_VALUE"""),255.5)</f>
        <v>255.5</v>
      </c>
      <c r="W22" s="195">
        <f>IFERROR(__xludf.DUMMYFUNCTION("""COMPUTED_VALUE"""),50001.08)</f>
        <v>50001.08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/>
      </c>
      <c r="C23" s="192" t="b">
        <f>IFERROR(__xludf.DUMMYFUNCTION("""COMPUTED_VALUE"""),FALSE)</f>
        <v>0</v>
      </c>
      <c r="D23" s="192" t="str">
        <f>IFERROR(__xludf.DUMMYFUNCTION("""COMPUTED_VALUE"""),"Makula Radek")</f>
        <v>Makula Radek</v>
      </c>
      <c r="E23" s="192" t="str">
        <f>IFERROR(__xludf.DUMMYFUNCTION("""COMPUTED_VALUE"""),"Prosek")</f>
        <v>Prosek</v>
      </c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IFERROR(__xludf.DUMMYFUNCTION("""COMPUTED_VALUE"""),52.0)</f>
        <v>52</v>
      </c>
      <c r="W23" s="195">
        <f>IFERROR(__xludf.DUMMYFUNCTION("""COMPUTED_VALUE"""),8596.016)</f>
        <v>8596.016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IFERROR(__xludf.DUMMYFUNCTION("""COMPUTED_VALUE"""),"Bubník Martin")</f>
        <v>Bubník Martin</v>
      </c>
      <c r="E24" s="192" t="str">
        <f>IFERROR(__xludf.DUMMYFUNCTION("""COMPUTED_VALUE"""),"Libuš")</f>
        <v>Libuš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IFERROR(__xludf.DUMMYFUNCTION("""COMPUTED_VALUE"""),176.0)</f>
        <v>176</v>
      </c>
      <c r="W24" s="195">
        <f>IFERROR(__xludf.DUMMYFUNCTION("""COMPUTED_VALUE"""),28406.8)</f>
        <v>28406.8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IFERROR(__xludf.DUMMYFUNCTION("""COMPUTED_VALUE"""),"Mirga Simon")</f>
        <v>Mirga Simon</v>
      </c>
      <c r="E25" s="192" t="str">
        <f>IFERROR(__xludf.DUMMYFUNCTION("""COMPUTED_VALUE"""),"Malešice")</f>
        <v>Malešice</v>
      </c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IFERROR(__xludf.DUMMYFUNCTION("""COMPUTED_VALUE"""),33.0)</f>
        <v>33</v>
      </c>
      <c r="W25" s="195">
        <f>IFERROR(__xludf.DUMMYFUNCTION("""COMPUTED_VALUE"""),5046.756)</f>
        <v>5046.756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IFERROR(__xludf.DUMMYFUNCTION("""COMPUTED_VALUE"""),0.0)</f>
        <v>0</v>
      </c>
      <c r="W26" s="195">
        <f>IFERROR(__xludf.DUMMYFUNCTION("""COMPUTED_VALUE"""),0.0)</f>
        <v>0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IFERROR(__xludf.DUMMYFUNCTION("""COMPUTED_VALUE"""),"Berdar Vasyl")</f>
        <v>Berdar Vasyl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IFERROR(__xludf.DUMMYFUNCTION("""COMPUTED_VALUE"""),59.5)</f>
        <v>59.5</v>
      </c>
      <c r="W27" s="195">
        <f>IFERROR(__xludf.DUMMYFUNCTION("""COMPUTED_VALUE"""),11255.972)</f>
        <v>11255.972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>Yarushynskyi Vladyslav</v>
      </c>
      <c r="C28" s="192" t="b">
        <f>IFERROR(__xludf.DUMMYFUNCTION("""COMPUTED_VALUE"""),FALSE)</f>
        <v>0</v>
      </c>
      <c r="D28" s="192" t="str">
        <f>IFERROR(__xludf.DUMMYFUNCTION("""COMPUTED_VALUE"""),"Yarushynskyi Vladyslav")</f>
        <v>Yarushynskyi Vladyslav</v>
      </c>
      <c r="E28" s="192" t="str">
        <f>IFERROR(__xludf.DUMMYFUNCTION("""COMPUTED_VALUE"""),"Malešice")</f>
        <v>Malešice</v>
      </c>
      <c r="F28" s="192" t="str">
        <f>IFERROR(__xludf.DUMMYFUNCTION("""COMPUTED_VALUE"""),"Chodov")</f>
        <v>Chodov</v>
      </c>
      <c r="G28" s="192" t="str">
        <f>IFERROR(__xludf.DUMMYFUNCTION("""COMPUTED_VALUE"""),"Zličín")</f>
        <v>Zličín</v>
      </c>
      <c r="H28" s="192" t="str">
        <f>IFERROR(__xludf.DUMMYFUNCTION("""COMPUTED_VALUE"""),"Prosek")</f>
        <v>Prosek</v>
      </c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IFERROR(__xludf.DUMMYFUNCTION("""COMPUTED_VALUE"""),166.5)</f>
        <v>166.5</v>
      </c>
      <c r="W28" s="195">
        <f>IFERROR(__xludf.DUMMYFUNCTION("""COMPUTED_VALUE"""),27012.2)</f>
        <v>27012.2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 t="str">
        <f>IFERROR(__xludf.DUMMYFUNCTION("""COMPUTED_VALUE"""),"Raboch Tomáš")</f>
        <v>Raboch Tomáš</v>
      </c>
      <c r="E29" s="192" t="str">
        <f>IFERROR(__xludf.DUMMYFUNCTION("""COMPUTED_VALUE"""),"Bolevec")</f>
        <v>Bolevec</v>
      </c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/>
      </c>
      <c r="C30" s="192" t="b">
        <f>IFERROR(__xludf.DUMMYFUNCTION("""COMPUTED_VALUE"""),FALSE)</f>
        <v>0</v>
      </c>
      <c r="D30" s="192" t="str">
        <f>IFERROR(__xludf.DUMMYFUNCTION("""COMPUTED_VALUE"""),"Židek Petr")</f>
        <v>Židek Petr</v>
      </c>
      <c r="E30" s="192" t="str">
        <f>IFERROR(__xludf.DUMMYFUNCTION("""COMPUTED_VALUE"""),"Chodov")</f>
        <v>Chodov</v>
      </c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IFERROR(__xludf.DUMMYFUNCTION("""COMPUTED_VALUE"""),169.5)</f>
        <v>169.5</v>
      </c>
      <c r="W30" s="195">
        <f>IFERROR(__xludf.DUMMYFUNCTION("""COMPUTED_VALUE"""),25835.231)</f>
        <v>25835.231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IFERROR(__xludf.DUMMYFUNCTION("""COMPUTED_VALUE"""),"Gorol Patrik")</f>
        <v>Gorol Patrik</v>
      </c>
      <c r="E31" s="192" t="str">
        <f>IFERROR(__xludf.DUMMYFUNCTION("""COMPUTED_VALUE"""),"Malešice")</f>
        <v>Malešice</v>
      </c>
      <c r="F31" s="192" t="str">
        <f>IFERROR(__xludf.DUMMYFUNCTION("""COMPUTED_VALUE"""),"Libuš")</f>
        <v>Libuš</v>
      </c>
      <c r="G31" s="192" t="str">
        <f>IFERROR(__xludf.DUMMYFUNCTION("""COMPUTED_VALUE"""),"Prosek")</f>
        <v>Prosek</v>
      </c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IFERROR(__xludf.DUMMYFUNCTION("""COMPUTED_VALUE"""),117.5)</f>
        <v>117.5</v>
      </c>
      <c r="W31" s="195">
        <f>IFERROR(__xludf.DUMMYFUNCTION("""COMPUTED_VALUE"""),17490.385000000002)</f>
        <v>17490.385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IFERROR(__xludf.DUMMYFUNCTION("""COMPUTED_VALUE"""),"Kratochvíl Kryštof")</f>
        <v>Kratochvíl Kryštof</v>
      </c>
      <c r="E32" s="192" t="str">
        <f>IFERROR(__xludf.DUMMYFUNCTION("""COMPUTED_VALUE"""),"Bolevec")</f>
        <v>Bolevec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IFERROR(__xludf.DUMMYFUNCTION("""COMPUTED_VALUE"""),"Hegedüs Gergö")</f>
        <v>Hegedüs Gergö</v>
      </c>
      <c r="E33" s="192" t="str">
        <f>IFERROR(__xludf.DUMMYFUNCTION("""COMPUTED_VALUE"""),"Libuš")</f>
        <v>Libuš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IFERROR(__xludf.DUMMYFUNCTION("""COMPUTED_VALUE"""),"Barvínková Eliška")</f>
        <v>Barvínková Eliška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IFERROR(__xludf.DUMMYFUNCTION("""COMPUTED_VALUE"""),"Kursheva Diana")</f>
        <v>Kursheva Diana</v>
      </c>
      <c r="E35" s="192" t="str">
        <f>IFERROR(__xludf.DUMMYFUNCTION("""COMPUTED_VALUE"""),"Výroba")</f>
        <v>Výroba</v>
      </c>
      <c r="F35" s="192" t="str">
        <f>IFERROR(__xludf.DUMMYFUNCTION("""COMPUTED_VALUE"""),"Chodov")</f>
        <v>Chodov</v>
      </c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IFERROR(__xludf.DUMMYFUNCTION("""COMPUTED_VALUE"""),134.0)</f>
        <v>134</v>
      </c>
      <c r="W35" s="195">
        <f>IFERROR(__xludf.DUMMYFUNCTION("""COMPUTED_VALUE"""),20962.572)</f>
        <v>20962.572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IFERROR(__xludf.DUMMYFUNCTION("""COMPUTED_VALUE"""),"Tůma Vladimír")</f>
        <v>Tůma Vladimír</v>
      </c>
      <c r="E36" s="192" t="str">
        <f>IFERROR(__xludf.DUMMYFUNCTION("""COMPUTED_VALUE"""),"Bolevec")</f>
        <v>Bolevec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IFERROR(__xludf.DUMMYFUNCTION("""COMPUTED_VALUE"""),25.0)</f>
        <v>25</v>
      </c>
      <c r="W36" s="195">
        <f>IFERROR(__xludf.DUMMYFUNCTION("""COMPUTED_VALUE"""),4132.7)</f>
        <v>4132.7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IFERROR(__xludf.DUMMYFUNCTION("""COMPUTED_VALUE"""),"Kubík Martin")</f>
        <v>Kubík Martin</v>
      </c>
      <c r="E37" s="192" t="str">
        <f>IFERROR(__xludf.DUMMYFUNCTION("""COMPUTED_VALUE"""),"Libuš")</f>
        <v>Libuš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IFERROR(__xludf.DUMMYFUNCTION("""COMPUTED_VALUE"""),37.5)</f>
        <v>37.5</v>
      </c>
      <c r="W37" s="195">
        <f>IFERROR(__xludf.DUMMYFUNCTION("""COMPUTED_VALUE"""),6199.05)</f>
        <v>6199.05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>Putna Jaroslav</v>
      </c>
      <c r="C38" s="192" t="b">
        <f>IFERROR(__xludf.DUMMYFUNCTION("""COMPUTED_VALUE"""),FALSE)</f>
        <v>0</v>
      </c>
      <c r="D38" s="192" t="str">
        <f>IFERROR(__xludf.DUMMYFUNCTION("""COMPUTED_VALUE"""),"Putna Jaroslav")</f>
        <v>Putna Jaroslav</v>
      </c>
      <c r="E38" s="192" t="str">
        <f>IFERROR(__xludf.DUMMYFUNCTION("""COMPUTED_VALUE"""),"Zličín")</f>
        <v>Zličín</v>
      </c>
      <c r="F38" s="192" t="str">
        <f>IFERROR(__xludf.DUMMYFUNCTION("""COMPUTED_VALUE"""),"Prosek")</f>
        <v>Prosek</v>
      </c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IFERROR(__xludf.DUMMYFUNCTION("""COMPUTED_VALUE"""),154.5)</f>
        <v>154.5</v>
      </c>
      <c r="W38" s="195">
        <f>IFERROR(__xludf.DUMMYFUNCTION("""COMPUTED_VALUE"""),23776.361)</f>
        <v>23776.361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 t="str">
        <f>IFERROR(__xludf.DUMMYFUNCTION("""COMPUTED_VALUE"""),"Kopic Jakub")</f>
        <v>Kopic Jakub</v>
      </c>
      <c r="E39" s="192" t="str">
        <f>IFERROR(__xludf.DUMMYFUNCTION("""COMPUTED_VALUE"""),"Malešice")</f>
        <v>Malešice</v>
      </c>
      <c r="F39" s="192" t="str">
        <f>IFERROR(__xludf.DUMMYFUNCTION("""COMPUTED_VALUE"""),"Prosek")</f>
        <v>Prosek</v>
      </c>
      <c r="G39" s="192" t="str">
        <f>IFERROR(__xludf.DUMMYFUNCTION("""COMPUTED_VALUE"""),"Libuš")</f>
        <v>Libuš</v>
      </c>
      <c r="H39" s="192" t="str">
        <f>IFERROR(__xludf.DUMMYFUNCTION("""COMPUTED_VALUE"""),"Prosek")</f>
        <v>Prosek</v>
      </c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IFERROR(__xludf.DUMMYFUNCTION("""COMPUTED_VALUE"""),164.0)</f>
        <v>164</v>
      </c>
      <c r="W39" s="195">
        <f>IFERROR(__xludf.DUMMYFUNCTION("""COMPUTED_VALUE"""),25080.311999999998)</f>
        <v>25080.312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 t="str">
        <f>IFERROR(__xludf.DUMMYFUNCTION("""COMPUTED_VALUE"""),"Fáberová Kateřina")</f>
        <v>Fáberová Kateřina</v>
      </c>
      <c r="E40" s="192" t="str">
        <f>IFERROR(__xludf.DUMMYFUNCTION("""COMPUTED_VALUE"""),"Prosek")</f>
        <v>Prosek</v>
      </c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IFERROR(__xludf.DUMMYFUNCTION("""COMPUTED_VALUE"""),23.0)</f>
        <v>23</v>
      </c>
      <c r="W40" s="195">
        <f>IFERROR(__xludf.DUMMYFUNCTION("""COMPUTED_VALUE"""),3802.084)</f>
        <v>3802.084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 t="str">
        <f>IFERROR(__xludf.DUMMYFUNCTION("""COMPUTED_VALUE"""),"Chlubnová Adéla")</f>
        <v>Chlubnová Adéla</v>
      </c>
      <c r="E41" s="192" t="str">
        <f>IFERROR(__xludf.DUMMYFUNCTION("""COMPUTED_VALUE"""),"Chodov")</f>
        <v>Chodov</v>
      </c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IFERROR(__xludf.DUMMYFUNCTION("""COMPUTED_VALUE"""),150.5)</f>
        <v>150.5</v>
      </c>
      <c r="W41" s="195">
        <f>IFERROR(__xludf.DUMMYFUNCTION("""COMPUTED_VALUE"""),23227.328999999998)</f>
        <v>23227.329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/>
      </c>
      <c r="C42" s="192" t="b">
        <f>IFERROR(__xludf.DUMMYFUNCTION("""COMPUTED_VALUE"""),FALSE)</f>
        <v>0</v>
      </c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IFERROR(__xludf.DUMMYFUNCTION("""COMPUTED_VALUE"""),0.0)</f>
        <v>0</v>
      </c>
      <c r="W42" s="195">
        <f>IFERROR(__xludf.DUMMYFUNCTION("""COMPUTED_VALUE"""),0.0)</f>
        <v>0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5">
        <f>IFERROR(__xludf.DUMMYFUNCTION("""COMPUTED_VALUE"""),0.0)</f>
        <v>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IFERROR(__xludf.DUMMYFUNCTION("""COMPUTED_VALUE"""),3884.0)</f>
        <v>3884</v>
      </c>
      <c r="W60" s="195">
        <f>IFERROR(__xludf.DUMMYFUNCTION("""COMPUTED_VALUE"""),909421.29)</f>
        <v>909421.29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IFERROR(__xludf.DUMMYFUNCTION("""COMPUTED_VALUE"""),26058.0)</f>
        <v>26058</v>
      </c>
      <c r="W65" s="195">
        <f>IFERROR(__xludf.DUMMYFUNCTION("""COMPUTED_VALUE"""),130.29)</f>
        <v>130.29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IFERROR(__xludf.DUMMYFUNCTION("""COMPUTED_VALUE"""),92.5)</f>
        <v>92.5</v>
      </c>
      <c r="W75" s="195">
        <f>IFERROR(__xludf.DUMMYFUNCTION("""COMPUTED_VALUE"""),13875.0)</f>
        <v>13875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IFERROR(__xludf.DUMMYFUNCTION("""COMPUTED_VALUE"""),131.0)</f>
        <v>131</v>
      </c>
      <c r="W76" s="195">
        <f>IFERROR(__xludf.DUMMYFUNCTION("""COMPUTED_VALUE"""),21800.8)</f>
        <v>21800.8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IFERROR(__xludf.DUMMYFUNCTION("""COMPUTED_VALUE"""),7.0)</f>
        <v>7</v>
      </c>
      <c r="W77" s="195">
        <f>IFERROR(__xludf.DUMMYFUNCTION("""COMPUTED_VALUE"""),1070.524)</f>
        <v>1070.524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IFERROR(__xludf.DUMMYFUNCTION("""COMPUTED_VALUE"""),30.0)</f>
        <v>30</v>
      </c>
      <c r="W78" s="195">
        <f>IFERROR(__xludf.DUMMYFUNCTION("""COMPUTED_VALUE"""),5304.0)</f>
        <v>5304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IFERROR(__xludf.DUMMYFUNCTION("""COMPUTED_VALUE"""),23.0)</f>
        <v>23</v>
      </c>
      <c r="W79" s="195">
        <f>IFERROR(__xludf.DUMMYFUNCTION("""COMPUTED_VALUE"""),3517.436)</f>
        <v>3517.436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IFERROR(__xludf.DUMMYFUNCTION("""COMPUTED_VALUE"""),82.5)</f>
        <v>82.5</v>
      </c>
      <c r="W80" s="195">
        <f>IFERROR(__xludf.DUMMYFUNCTION("""COMPUTED_VALUE"""),13637.91)</f>
        <v>13637.91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 t="str">
        <f>IFERROR(__xludf.DUMMYFUNCTION("""COMPUTED_VALUE"""),"Malešice")</f>
        <v>Malešice</v>
      </c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IFERROR(__xludf.DUMMYFUNCTION("""COMPUTED_VALUE"""),149.5)</f>
        <v>149.5</v>
      </c>
      <c r="W81" s="195">
        <f>IFERROR(__xludf.DUMMYFUNCTION("""COMPUTED_VALUE"""),21553.808999999997)</f>
        <v>21553.809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IFERROR(__xludf.DUMMYFUNCTION("""COMPUTED_VALUE"""),30.5)</f>
        <v>30.5</v>
      </c>
      <c r="W83" s="195">
        <f>IFERROR(__xludf.DUMMYFUNCTION("""COMPUTED_VALUE"""),4664.426)</f>
        <v>4664.426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IFERROR(__xludf.DUMMYFUNCTION("""COMPUTED_VALUE"""),51.5)</f>
        <v>51.5</v>
      </c>
      <c r="W84" s="195">
        <f>IFERROR(__xludf.DUMMYFUNCTION("""COMPUTED_VALUE"""),8513.362000000001)</f>
        <v>8513.362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IFERROR(__xludf.DUMMYFUNCTION("""COMPUTED_VALUE"""),40.0)</f>
        <v>40</v>
      </c>
      <c r="W85" s="195">
        <f>IFERROR(__xludf.DUMMYFUNCTION("""COMPUTED_VALUE"""),6000.0)</f>
        <v>6000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IFERROR(__xludf.DUMMYFUNCTION("""COMPUTED_VALUE"""),"Mikuš Pavel")</f>
        <v>Mikuš Pavel</v>
      </c>
      <c r="E86" s="192" t="str">
        <f>IFERROR(__xludf.DUMMYFUNCTION("""COMPUTED_VALUE"""),"Prosek")</f>
        <v>Prosek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IFERROR(__xludf.DUMMYFUNCTION("""COMPUTED_VALUE"""),"Hyský Aleš")</f>
        <v>Hyský Aleš</v>
      </c>
      <c r="E87" s="192" t="str">
        <f>IFERROR(__xludf.DUMMYFUNCTION("""COMPUTED_VALUE"""),"Chodov")</f>
        <v>Chodov</v>
      </c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IFERROR(__xludf.DUMMYFUNCTION("""COMPUTED_VALUE"""),18.0)</f>
        <v>18</v>
      </c>
      <c r="W87" s="195">
        <f>IFERROR(__xludf.DUMMYFUNCTION("""COMPUTED_VALUE"""),2752.776)</f>
        <v>2752.776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/>
      </c>
      <c r="C88" s="192" t="b">
        <f>IFERROR(__xludf.DUMMYFUNCTION("""COMPUTED_VALUE"""),FALSE)</f>
        <v>0</v>
      </c>
      <c r="D88" s="192" t="str">
        <f>IFERROR(__xludf.DUMMYFUNCTION("""COMPUTED_VALUE"""),"Šmídová Sabina")</f>
        <v>Šmídová Sabina</v>
      </c>
      <c r="E88" s="192" t="str">
        <f>IFERROR(__xludf.DUMMYFUNCTION("""COMPUTED_VALUE"""),"Chodov")</f>
        <v>Chodov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IFERROR(__xludf.DUMMYFUNCTION("""COMPUTED_VALUE"""),0.0)</f>
        <v>0</v>
      </c>
      <c r="W88" s="195">
        <f>IFERROR(__xludf.DUMMYFUNCTION("""COMPUTED_VALUE"""),0.0)</f>
        <v>0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IFERROR(__xludf.DUMMYFUNCTION("""COMPUTED_VALUE"""),"Lažek Jaroslav")</f>
        <v>Lažek Jaroslav</v>
      </c>
      <c r="E89" s="192" t="str">
        <f>IFERROR(__xludf.DUMMYFUNCTION("""COMPUTED_VALUE"""),"Libuš")</f>
        <v>Libuš</v>
      </c>
      <c r="F89" s="192" t="str">
        <f>IFERROR(__xludf.DUMMYFUNCTION("""COMPUTED_VALUE"""),"Chodov")</f>
        <v>Chodov</v>
      </c>
      <c r="G89" s="192" t="str">
        <f>IFERROR(__xludf.DUMMYFUNCTION("""COMPUTED_VALUE"""),"Malešice")</f>
        <v>Malešice</v>
      </c>
      <c r="H89" s="192" t="str">
        <f>IFERROR(__xludf.DUMMYFUNCTION("""COMPUTED_VALUE"""),"Výroba")</f>
        <v>Výroba</v>
      </c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IFERROR(__xludf.DUMMYFUNCTION("""COMPUTED_VALUE"""),76.0)</f>
        <v>76</v>
      </c>
      <c r="W89" s="195">
        <f>IFERROR(__xludf.DUMMYFUNCTION("""COMPUTED_VALUE"""),12920.0)</f>
        <v>12920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Kormash Liubov</v>
      </c>
      <c r="C90" s="192" t="b">
        <f>IFERROR(__xludf.DUMMYFUNCTION("""COMPUTED_VALUE"""),FALSE)</f>
        <v>0</v>
      </c>
      <c r="D90" s="192" t="str">
        <f>IFERROR(__xludf.DUMMYFUNCTION("""COMPUTED_VALUE"""),"Kormash Liubov")</f>
        <v>Kormash Liubov</v>
      </c>
      <c r="E90" s="192" t="str">
        <f>IFERROR(__xludf.DUMMYFUNCTION("""COMPUTED_VALUE"""),"Zličín")</f>
        <v>Zličín</v>
      </c>
      <c r="F90" s="192" t="str">
        <f>IFERROR(__xludf.DUMMYFUNCTION("""COMPUTED_VALUE"""),"Prosek")</f>
        <v>Prosek</v>
      </c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IFERROR(__xludf.DUMMYFUNCTION("""COMPUTED_VALUE"""),117.0)</f>
        <v>117</v>
      </c>
      <c r="W90" s="195">
        <f>IFERROR(__xludf.DUMMYFUNCTION("""COMPUTED_VALUE"""),18720.0)</f>
        <v>18720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IFERROR(__xludf.DUMMYFUNCTION("""COMPUTED_VALUE"""),0.0)</f>
        <v>0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/>
      </c>
      <c r="C92" s="192" t="b">
        <f>IFERROR(__xludf.DUMMYFUNCTION("""COMPUTED_VALUE"""),FALSE)</f>
        <v>0</v>
      </c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IFERROR(__xludf.DUMMYFUNCTION("""COMPUTED_VALUE"""),"Chlubna Tomáš")</f>
        <v>Chlubna Tomáš</v>
      </c>
      <c r="E93" s="192" t="str">
        <f>IFERROR(__xludf.DUMMYFUNCTION("""COMPUTED_VALUE"""),"Chodov")</f>
        <v>Chodov</v>
      </c>
      <c r="F93" s="192" t="str">
        <f>IFERROR(__xludf.DUMMYFUNCTION("""COMPUTED_VALUE"""),"Libuš")</f>
        <v>Libuš</v>
      </c>
      <c r="G93" s="192" t="str">
        <f>IFERROR(__xludf.DUMMYFUNCTION("""COMPUTED_VALUE"""),"Výroba")</f>
        <v>Výroba</v>
      </c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IFERROR(__xludf.DUMMYFUNCTION("""COMPUTED_VALUE"""),194.5)</f>
        <v>194.5</v>
      </c>
      <c r="W93" s="195">
        <f>IFERROR(__xludf.DUMMYFUNCTION("""COMPUTED_VALUE"""),29266.680999999997)</f>
        <v>29266.681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>Vychivskyi Volodymyr</v>
      </c>
      <c r="C94" s="192" t="b">
        <f>IFERROR(__xludf.DUMMYFUNCTION("""COMPUTED_VALUE"""),FALSE)</f>
        <v>0</v>
      </c>
      <c r="D94" s="192" t="str">
        <f>IFERROR(__xludf.DUMMYFUNCTION("""COMPUTED_VALUE"""),"Vychivskyi Volodymyr")</f>
        <v>Vychivskyi Volodymyr</v>
      </c>
      <c r="E94" s="192" t="str">
        <f>IFERROR(__xludf.DUMMYFUNCTION("""COMPUTED_VALUE"""),"Malešice")</f>
        <v>Malešice</v>
      </c>
      <c r="F94" s="192" t="str">
        <f>IFERROR(__xludf.DUMMYFUNCTION("""COMPUTED_VALUE"""),"Prosek")</f>
        <v>Prosek</v>
      </c>
      <c r="G94" s="192" t="str">
        <f>IFERROR(__xludf.DUMMYFUNCTION("""COMPUTED_VALUE"""),"Zličín")</f>
        <v>Zličín</v>
      </c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IFERROR(__xludf.DUMMYFUNCTION("""COMPUTED_VALUE"""),242.0)</f>
        <v>242</v>
      </c>
      <c r="W94" s="195">
        <f>IFERROR(__xludf.DUMMYFUNCTION("""COMPUTED_VALUE"""),35786.436)</f>
        <v>35786.436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IFERROR(__xludf.DUMMYFUNCTION("""COMPUTED_VALUE"""),"Hřebík Martin")</f>
        <v>Hřebík Martin</v>
      </c>
      <c r="E96" s="192" t="str">
        <f>IFERROR(__xludf.DUMMYFUNCTION("""COMPUTED_VALUE"""),"Výroba")</f>
        <v>Výroba</v>
      </c>
      <c r="F96" s="192" t="str">
        <f>IFERROR(__xludf.DUMMYFUNCTION("""COMPUTED_VALUE"""),"Chodov")</f>
        <v>Chodov</v>
      </c>
      <c r="G96" s="192" t="str">
        <f>IFERROR(__xludf.DUMMYFUNCTION("""COMPUTED_VALUE"""),"Prosek")</f>
        <v>Prosek</v>
      </c>
      <c r="H96" s="192" t="str">
        <f>IFERROR(__xludf.DUMMYFUNCTION("""COMPUTED_VALUE"""),"Libuš")</f>
        <v>Libuš</v>
      </c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IFERROR(__xludf.DUMMYFUNCTION("""COMPUTED_VALUE"""),130.0)</f>
        <v>130</v>
      </c>
      <c r="W96" s="195">
        <f>IFERROR(__xludf.DUMMYFUNCTION("""COMPUTED_VALUE"""),44995.2)</f>
        <v>44995.2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IFERROR(__xludf.DUMMYFUNCTION("""COMPUTED_VALUE"""),"Eszenyiová Patrícia")</f>
        <v>Eszenyiová Patrícia</v>
      </c>
      <c r="E97" s="192" t="str">
        <f>IFERROR(__xludf.DUMMYFUNCTION("""COMPUTED_VALUE"""),"Libuš")</f>
        <v>Libuš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IFERROR(__xludf.DUMMYFUNCTION("""COMPUTED_VALUE"""),70.0)</f>
        <v>70</v>
      </c>
      <c r="W97" s="195">
        <f>IFERROR(__xludf.DUMMYFUNCTION("""COMPUTED_VALUE"""),11571.56)</f>
        <v>11571.56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IFERROR(__xludf.DUMMYFUNCTION("""COMPUTED_VALUE"""),"Reischl Jan")</f>
        <v>Reischl Jan</v>
      </c>
      <c r="E98" s="192" t="str">
        <f>IFERROR(__xludf.DUMMYFUNCTION("""COMPUTED_VALUE"""),"Malešice")</f>
        <v>Malešice</v>
      </c>
      <c r="F98" s="192" t="str">
        <f>IFERROR(__xludf.DUMMYFUNCTION("""COMPUTED_VALUE"""),"Chodov")</f>
        <v>Chodov</v>
      </c>
      <c r="G98" s="192" t="str">
        <f>IFERROR(__xludf.DUMMYFUNCTION("""COMPUTED_VALUE"""),"Libuš")</f>
        <v>Libuš</v>
      </c>
      <c r="H98" s="192" t="str">
        <f>IFERROR(__xludf.DUMMYFUNCTION("""COMPUTED_VALUE"""),"Prosek")</f>
        <v>Prosek</v>
      </c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IFERROR(__xludf.DUMMYFUNCTION("""COMPUTED_VALUE"""),24.5)</f>
        <v>24.5</v>
      </c>
      <c r="W98" s="195">
        <f>IFERROR(__xludf.DUMMYFUNCTION("""COMPUTED_VALUE"""),3465.2799999999997)</f>
        <v>3465.28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/>
      </c>
      <c r="C99" s="192" t="b">
        <f>IFERROR(__xludf.DUMMYFUNCTION("""COMPUTED_VALUE"""),FALSE)</f>
        <v>0</v>
      </c>
      <c r="D99" s="192" t="str">
        <f>IFERROR(__xludf.DUMMYFUNCTION("""COMPUTED_VALUE"""),"Mikešová Adéla")</f>
        <v>Mikešová Adéla</v>
      </c>
      <c r="E99" s="192" t="str">
        <f>IFERROR(__xludf.DUMMYFUNCTION("""COMPUTED_VALUE"""),"Bolevec")</f>
        <v>Bolevec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IFERROR(__xludf.DUMMYFUNCTION("""COMPUTED_VALUE"""),53.0)</f>
        <v>53</v>
      </c>
      <c r="W99" s="195">
        <f>IFERROR(__xludf.DUMMYFUNCTION("""COMPUTED_VALUE"""),7496.32)</f>
        <v>7496.32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IFERROR(__xludf.DUMMYFUNCTION("""COMPUTED_VALUE"""),"Pražák Aleš")</f>
        <v>Pražák Aleš</v>
      </c>
      <c r="E100" s="192" t="str">
        <f>IFERROR(__xludf.DUMMYFUNCTION("""COMPUTED_VALUE"""),"Chodov")</f>
        <v>Chodov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IFERROR(__xludf.DUMMYFUNCTION("""COMPUTED_VALUE"""),"Chyský David")</f>
        <v>Chyský David</v>
      </c>
      <c r="E101" s="192" t="str">
        <f>IFERROR(__xludf.DUMMYFUNCTION("""COMPUTED_VALUE"""),"Chodov")</f>
        <v>Chodov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IFERROR(__xludf.DUMMYFUNCTION("""COMPUTED_VALUE"""),0.0)</f>
        <v>0</v>
      </c>
      <c r="W101" s="195">
        <f>IFERROR(__xludf.DUMMYFUNCTION("""COMPUTED_VALUE"""),0.0)</f>
        <v>0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IFERROR(__xludf.DUMMYFUNCTION("""COMPUTED_VALUE"""),"Kulinič Michail")</f>
        <v>Kulinič Michail</v>
      </c>
      <c r="E104" s="192" t="str">
        <f>IFERROR(__xludf.DUMMYFUNCTION("""COMPUTED_VALUE"""),"Prosek")</f>
        <v>Prosek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IFERROR(__xludf.DUMMYFUNCTION("""COMPUTED_VALUE"""),0.0)</f>
        <v>0</v>
      </c>
      <c r="W104" s="195">
        <f>IFERROR(__xludf.DUMMYFUNCTION("""COMPUTED_VALUE"""),0.0)</f>
        <v>0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IFERROR(__xludf.DUMMYFUNCTION("""COMPUTED_VALUE"""),"Kalina Filip")</f>
        <v>Kalina Filip</v>
      </c>
      <c r="E105" s="192" t="str">
        <f>IFERROR(__xludf.DUMMYFUNCTION("""COMPUTED_VALUE"""),"Malešice")</f>
        <v>Malešice</v>
      </c>
      <c r="F105" s="192" t="str">
        <f>IFERROR(__xludf.DUMMYFUNCTION("""COMPUTED_VALUE"""),"Libuš")</f>
        <v>Libuš</v>
      </c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IFERROR(__xludf.DUMMYFUNCTION("""COMPUTED_VALUE"""),98.0)</f>
        <v>98</v>
      </c>
      <c r="W105" s="195">
        <f>IFERROR(__xludf.DUMMYFUNCTION("""COMPUTED_VALUE"""),14987.336)</f>
        <v>14987.336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IFERROR(__xludf.DUMMYFUNCTION("""COMPUTED_VALUE"""),"Kaločai Rudolf")</f>
        <v>Kaločai Rudolf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IFERROR(__xludf.DUMMYFUNCTION("""COMPUTED_VALUE"""),198.0)</f>
        <v>198</v>
      </c>
      <c r="W107" s="195">
        <f>IFERROR(__xludf.DUMMYFUNCTION("""COMPUTED_VALUE"""),27720.0)</f>
        <v>27720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IFERROR(__xludf.DUMMYFUNCTION("""COMPUTED_VALUE"""),"Dušek Sam")</f>
        <v>Dušek Sam</v>
      </c>
      <c r="E108" s="192" t="str">
        <f>IFERROR(__xludf.DUMMYFUNCTION("""COMPUTED_VALUE"""),"Libuš")</f>
        <v>Libuš</v>
      </c>
      <c r="F108" s="192" t="str">
        <f>IFERROR(__xludf.DUMMYFUNCTION("""COMPUTED_VALUE"""),"Malešice")</f>
        <v>Malešice</v>
      </c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IFERROR(__xludf.DUMMYFUNCTION("""COMPUTED_VALUE"""),76.5)</f>
        <v>76.5</v>
      </c>
      <c r="W108" s="195">
        <f>IFERROR(__xludf.DUMMYFUNCTION("""COMPUTED_VALUE"""),12646.062)</f>
        <v>12646.062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/>
      </c>
      <c r="C109" s="192" t="b">
        <f>IFERROR(__xludf.DUMMYFUNCTION("""COMPUTED_VALUE"""),FALSE)</f>
        <v>0</v>
      </c>
      <c r="D109" s="192" t="str">
        <f>IFERROR(__xludf.DUMMYFUNCTION("""COMPUTED_VALUE"""),"Kačena Stanislav")</f>
        <v>Kačena Stanislav</v>
      </c>
      <c r="E109" s="192" t="str">
        <f>IFERROR(__xludf.DUMMYFUNCTION("""COMPUTED_VALUE"""),"Prosek")</f>
        <v>Prosek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IFERROR(__xludf.DUMMYFUNCTION("""COMPUTED_VALUE"""),19.0)</f>
        <v>19</v>
      </c>
      <c r="W109" s="195">
        <f>IFERROR(__xludf.DUMMYFUNCTION("""COMPUTED_VALUE"""),2905.708)</f>
        <v>2905.708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IFERROR(__xludf.DUMMYFUNCTION("""COMPUTED_VALUE"""),"Cieslar Marek")</f>
        <v>Cieslar Marek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IFERROR(__xludf.DUMMYFUNCTION("""COMPUTED_VALUE"""),60.0)</f>
        <v>60</v>
      </c>
      <c r="W110" s="195">
        <f>IFERROR(__xludf.DUMMYFUNCTION("""COMPUTED_VALUE"""),8486.4)</f>
        <v>8486.4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Banga Adam</v>
      </c>
      <c r="C111" s="192" t="b">
        <f>IFERROR(__xludf.DUMMYFUNCTION("""COMPUTED_VALUE"""),FALSE)</f>
        <v>0</v>
      </c>
      <c r="D111" s="192" t="str">
        <f>IFERROR(__xludf.DUMMYFUNCTION("""COMPUTED_VALUE"""),"Banga Adam")</f>
        <v>Banga Adam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IFERROR(__xludf.DUMMYFUNCTION("""COMPUTED_VALUE"""),15.0)</f>
        <v>15</v>
      </c>
      <c r="W111" s="195">
        <f>IFERROR(__xludf.DUMMYFUNCTION("""COMPUTED_VALUE"""),2293.98)</f>
        <v>2293.98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IFERROR(__xludf.DUMMYFUNCTION("""COMPUTED_VALUE"""),"Vopatová Anna")</f>
        <v>Vopatová Anna</v>
      </c>
      <c r="E112" s="192" t="str">
        <f>IFERROR(__xludf.DUMMYFUNCTION("""COMPUTED_VALUE"""),"Bolevec")</f>
        <v>Bolevec</v>
      </c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IFERROR(__xludf.DUMMYFUNCTION("""COMPUTED_VALUE"""),8.5)</f>
        <v>8.5</v>
      </c>
      <c r="W112" s="195">
        <f>IFERROR(__xludf.DUMMYFUNCTION("""COMPUTED_VALUE"""),1202.24)</f>
        <v>1202.24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IFERROR(__xludf.DUMMYFUNCTION("""COMPUTED_VALUE"""),"Vopatová Šárka")</f>
        <v>Vopatová Šárka</v>
      </c>
      <c r="E113" s="192" t="str">
        <f>IFERROR(__xludf.DUMMYFUNCTION("""COMPUTED_VALUE"""),"Bolevec")</f>
        <v>Bolevec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IFERROR(__xludf.DUMMYFUNCTION("""COMPUTED_VALUE"""),24.0)</f>
        <v>24</v>
      </c>
      <c r="W113" s="195">
        <f>IFERROR(__xludf.DUMMYFUNCTION("""COMPUTED_VALUE"""),3394.56)</f>
        <v>3394.56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IFERROR(__xludf.DUMMYFUNCTION("""COMPUTED_VALUE"""),"Richterová Monika")</f>
        <v>Richterová Monika</v>
      </c>
      <c r="E114" s="192" t="str">
        <f>IFERROR(__xludf.DUMMYFUNCTION("""COMPUTED_VALUE"""),"Malešice")</f>
        <v>Malešice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IFERROR(__xludf.DUMMYFUNCTION("""COMPUTED_VALUE"""),"Serin David")</f>
        <v>Serin David</v>
      </c>
      <c r="E115" s="192" t="str">
        <f>IFERROR(__xludf.DUMMYFUNCTION("""COMPUTED_VALUE"""),"Libuš")</f>
        <v>Libuš</v>
      </c>
      <c r="F115" s="192" t="str">
        <f>IFERROR(__xludf.DUMMYFUNCTION("""COMPUTED_VALUE"""),"Malešice")</f>
        <v>Malešice</v>
      </c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IFERROR(__xludf.DUMMYFUNCTION("""COMPUTED_VALUE"""),44.5)</f>
        <v>44.5</v>
      </c>
      <c r="W115" s="195">
        <f>IFERROR(__xludf.DUMMYFUNCTION("""COMPUTED_VALUE"""),7356.206)</f>
        <v>7356.206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/>
      </c>
      <c r="C116" s="192" t="b">
        <f>IFERROR(__xludf.DUMMYFUNCTION("""COMPUTED_VALUE"""),FALSE)</f>
        <v>0</v>
      </c>
      <c r="D116" s="192" t="str">
        <f>IFERROR(__xludf.DUMMYFUNCTION("""COMPUTED_VALUE"""),"Fabera Tomáš")</f>
        <v>Fabera Tomáš</v>
      </c>
      <c r="E116" s="192" t="str">
        <f>IFERROR(__xludf.DUMMYFUNCTION("""COMPUTED_VALUE"""),"Chodov")</f>
        <v>Chodov</v>
      </c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IFERROR(__xludf.DUMMYFUNCTION("""COMPUTED_VALUE"""),16.5)</f>
        <v>16.5</v>
      </c>
      <c r="W116" s="195">
        <f>IFERROR(__xludf.DUMMYFUNCTION("""COMPUTED_VALUE"""),2523.378)</f>
        <v>2523.378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 t="str">
        <f>IFERROR(__xludf.DUMMYFUNCTION("""COMPUTED_VALUE"""),"Hendrych Rostislav")</f>
        <v>Hendrych Rostislav</v>
      </c>
      <c r="E117" s="192" t="str">
        <f>IFERROR(__xludf.DUMMYFUNCTION("""COMPUTED_VALUE"""),"Malešice")</f>
        <v>Malešice</v>
      </c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IFERROR(__xludf.DUMMYFUNCTION("""COMPUTED_VALUE"""),182.0)</f>
        <v>182</v>
      </c>
      <c r="W117" s="195">
        <f>IFERROR(__xludf.DUMMYFUNCTION("""COMPUTED_VALUE"""),27550.956)</f>
        <v>27550.956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 t="str">
        <f>IFERROR(__xludf.DUMMYFUNCTION("""COMPUTED_VALUE"""),"Světlík František")</f>
        <v>Světlík František</v>
      </c>
      <c r="E119" s="192" t="str">
        <f>IFERROR(__xludf.DUMMYFUNCTION("""COMPUTED_VALUE"""),"Bolevec")</f>
        <v>Bolevec</v>
      </c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IFERROR(__xludf.DUMMYFUNCTION("""COMPUTED_VALUE"""),32.0)</f>
        <v>32</v>
      </c>
      <c r="W119" s="195">
        <f>IFERROR(__xludf.DUMMYFUNCTION("""COMPUTED_VALUE"""),4526.08)</f>
        <v>4526.08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 t="str">
        <f>IFERROR(__xludf.DUMMYFUNCTION("""COMPUTED_VALUE"""),"Ženíšek Lukáš")</f>
        <v>Ženíšek Lukáš</v>
      </c>
      <c r="E120" s="192" t="str">
        <f>IFERROR(__xludf.DUMMYFUNCTION("""COMPUTED_VALUE"""),"Bolevec")</f>
        <v>Bolevec</v>
      </c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IFERROR(__xludf.DUMMYFUNCTION("""COMPUTED_VALUE"""),30.5)</f>
        <v>30.5</v>
      </c>
      <c r="W120" s="195">
        <f>IFERROR(__xludf.DUMMYFUNCTION("""COMPUTED_VALUE"""),4313.92)</f>
        <v>4313.92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/>
      <c r="E121" s="192" t="str">
        <f>IFERROR(__xludf.DUMMYFUNCTION("""COMPUTED_VALUE"""),"Chodov")</f>
        <v>Chodov</v>
      </c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IFERROR(__xludf.DUMMYFUNCTION("""COMPUTED_VALUE"""),0.0)</f>
        <v>0</v>
      </c>
      <c r="W121" s="195">
        <f>IFERROR(__xludf.DUMMYFUNCTION("""COMPUTED_VALUE"""),0.0)</f>
        <v>0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 t="str">
        <f>IFERROR(__xludf.DUMMYFUNCTION("""COMPUTED_VALUE"""),"Roth Stanislav st.")</f>
        <v>Roth Stanislav st.</v>
      </c>
      <c r="E122" s="192" t="str">
        <f>IFERROR(__xludf.DUMMYFUNCTION("""COMPUTED_VALUE"""),"Bolevec")</f>
        <v>Bolevec</v>
      </c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IFERROR(__xludf.DUMMYFUNCTION("""COMPUTED_VALUE"""),29728.0)</f>
        <v>29728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/>
      </c>
      <c r="C124" s="192" t="b">
        <f>IFERROR(__xludf.DUMMYFUNCTION("""COMPUTED_VALUE"""),FALSE)</f>
        <v>0</v>
      </c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>Vaníková Anna</v>
      </c>
      <c r="C125" s="192" t="b">
        <f>IFERROR(__xludf.DUMMYFUNCTION("""COMPUTED_VALUE"""),FALSE)</f>
        <v>0</v>
      </c>
      <c r="D125" s="192" t="str">
        <f>IFERROR(__xludf.DUMMYFUNCTION("""COMPUTED_VALUE"""),"Vaníková Anna")</f>
        <v>Vaníková Anna</v>
      </c>
      <c r="E125" s="192" t="str">
        <f>IFERROR(__xludf.DUMMYFUNCTION("""COMPUTED_VALUE"""),"Zličín")</f>
        <v>Zličín</v>
      </c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IFERROR(__xludf.DUMMYFUNCTION("""COMPUTED_VALUE"""),53.0)</f>
        <v>53</v>
      </c>
      <c r="W125" s="195">
        <f>IFERROR(__xludf.DUMMYFUNCTION("""COMPUTED_VALUE"""),8105.396)</f>
        <v>8105.396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 t="str">
        <f>IFERROR(__xludf.DUMMYFUNCTION("""COMPUTED_VALUE"""),"Břicháč Pavel")</f>
        <v>Břicháč Pavel</v>
      </c>
      <c r="E126" s="192" t="str">
        <f>IFERROR(__xludf.DUMMYFUNCTION("""COMPUTED_VALUE"""),"Libuš")</f>
        <v>Libuš</v>
      </c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IFERROR(__xludf.DUMMYFUNCTION("""COMPUTED_VALUE"""),65.5)</f>
        <v>65.5</v>
      </c>
      <c r="W126" s="195">
        <f>IFERROR(__xludf.DUMMYFUNCTION("""COMPUTED_VALUE"""),10017.046)</f>
        <v>10017.046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>Čerešňák Michal</v>
      </c>
      <c r="C127" s="192" t="b">
        <f>IFERROR(__xludf.DUMMYFUNCTION("""COMPUTED_VALUE"""),FALSE)</f>
        <v>0</v>
      </c>
      <c r="D127" s="192" t="str">
        <f>IFERROR(__xludf.DUMMYFUNCTION("""COMPUTED_VALUE"""),"Čerešňák Michal")</f>
        <v>Čerešňák Michal</v>
      </c>
      <c r="E127" s="192" t="str">
        <f>IFERROR(__xludf.DUMMYFUNCTION("""COMPUTED_VALUE"""),"Zličín")</f>
        <v>Zličín</v>
      </c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8">
        <f>IFERROR(__xludf.DUMMYFUNCTION("""COMPUTED_VALUE"""),19.0)</f>
        <v>19</v>
      </c>
      <c r="W127" s="195">
        <f>IFERROR(__xludf.DUMMYFUNCTION("""COMPUTED_VALUE"""),3230.0)</f>
        <v>3230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5">
        <f>IFERROR(__xludf.DUMMYFUNCTION("""COMPUTED_VALUE"""),0.0)</f>
        <v>0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5">
        <f>IFERROR(__xludf.DUMMYFUNCTION("""COMPUTED_VALUE"""),0.0)</f>
        <v>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5">
        <f>IFERROR(__xludf.DUMMYFUNCTION("""COMPUTED_VALUE"""),0.0)</f>
        <v>0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/>
      </c>
      <c r="C132" s="192" t="b">
        <f>IFERROR(__xludf.DUMMYFUNCTION("""COMPUTED_VALUE"""),FALSE)</f>
        <v>0</v>
      </c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5">
        <f>IFERROR(__xludf.DUMMYFUNCTION("""COMPUTED_VALUE"""),0.0)</f>
        <v>0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IFERROR(__xludf.DUMMYFUNCTION("""COMPUTED_VALUE"""),2504.5)</f>
        <v>2504.5</v>
      </c>
      <c r="W196" s="195">
        <f>IFERROR(__xludf.DUMMYFUNCTION("""COMPUTED_VALUE"""),437898.78799999994)</f>
        <v>437898.788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