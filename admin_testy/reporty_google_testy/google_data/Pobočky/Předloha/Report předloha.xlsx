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<sst xmlns="http://schemas.openxmlformats.org/spreadsheetml/2006/main" count="5569" uniqueCount="1537">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</sst>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25:B31">
      <formula1>"Němec Filip,Zimmer Jakub,Nekolný Vladimír,Novák Jakub,Černohorský Otakar,Lowe Jana,Kormash Liubov,Killiakov Andrei,Vychivskyi Volodymyr,Banga Adam,Kvapil Filip Leon,Vaníková Anna"</formula1>
    </dataValidation>
    <dataValidation type="list" allowBlank="1" sqref="B12:B21">
      <formula1>"Nedbal Michal,Hanakova Ayuna,Veselý Ondřej,Kinkorová Petra,Pechová Barbora,Pánková Vendula,Yarushynskyi Vladyslav,Putna Jaroslav,Kuzníková Nicol"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""Mzdy!u1:v200"")"),46143.0)</f>
        <v>46143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IFERROR(__xludf.DUMMYFUNCTION("""COMPUTED_VALUE"""),5.0)</f>
        <v>5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IFERROR(__xludf.DUMMYFUNCTION("""COMPUTED_VALUE"""),0.0)</f>
        <v>0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IFERROR(__xludf.DUMMYFUNCTION("""COMPUTED_VALUE"""),8.0)</f>
        <v>8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IFERROR(__xludf.DUMMYFUNCTION("""COMPUTED_VALUE"""),"Chodov")</f>
        <v>Chodov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IFERROR(__xludf.DUMMYFUNCTION("""COMPUTED_VALUE"""),8.5)</f>
        <v>8.5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IFERROR(__xludf.DUMMYFUNCTION("""COMPUTED_VALUE"""),9.0)</f>
        <v>9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IFERROR(__xludf.DUMMYFUNCTION("""COMPUTED_VALUE"""),11.0)</f>
        <v>11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IFERROR(__xludf.DUMMYFUNCTION("""COMPUTED_VALUE"""),7.0)</f>
        <v>7</v>
      </c>
      <c r="W11" s="195">
        <f>IFERROR(__xludf.DUMMYFUNCTION("""COMPUTED_VALUE"""),1367.548)</f>
        <v>1367.548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IFERROR(__xludf.DUMMYFUNCTION("""COMPUTED_VALUE"""),8.5)</f>
        <v>8.5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IFERROR(__xludf.DUMMYFUNCTION("""COMPUTED_VALUE"""),0.0)</f>
        <v>0</v>
      </c>
      <c r="W14" s="195">
        <f>IFERROR(__xludf.DUMMYFUNCTION("""COMPUTED_VALUE"""),0.0)</f>
        <v>0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IFERROR(__xludf.DUMMYFUNCTION("""COMPUTED_VALUE"""),10.0)</f>
        <v>10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IFERROR(__xludf.DUMMYFUNCTION("""COMPUTED_VALUE"""),0.0)</f>
        <v>0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IFERROR(__xludf.DUMMYFUNCTION("""COMPUTED_VALUE"""),6.5)</f>
        <v>6.5</v>
      </c>
      <c r="W17" s="195">
        <f>IFERROR(__xludf.DUMMYFUNCTION("""COMPUTED_VALUE"""),1149.2)</f>
        <v>1149.2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IFERROR(__xludf.DUMMYFUNCTION("""COMPUTED_VALUE"""),8.0)</f>
        <v>8</v>
      </c>
      <c r="W18" s="195">
        <f>IFERROR(__xludf.DUMMYFUNCTION("""COMPUTED_VALUE"""),1513.408)</f>
        <v>1513.408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IFERROR(__xludf.DUMMYFUNCTION("""COMPUTED_VALUE"""),0.0)</f>
        <v>0</v>
      </c>
      <c r="W19" s="195">
        <f>IFERROR(__xludf.DUMMYFUNCTION("""COMPUTED_VALUE"""),0.0)</f>
        <v>0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IFERROR(__xludf.DUMMYFUNCTION("""COMPUTED_VALUE"""),9.5)</f>
        <v>9.5</v>
      </c>
      <c r="W20" s="195">
        <f>IFERROR(__xludf.DUMMYFUNCTION("""COMPUTED_VALUE"""),1679.6)</f>
        <v>1679.6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/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/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IFERROR(__xludf.DUMMYFUNCTION("""COMPUTED_VALUE"""),9.0)</f>
        <v>9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IFERROR(__xludf.DUMMYFUNCTION("""COMPUTED_VALUE"""),17.0)</f>
        <v>17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IFERROR(__xludf.DUMMYFUNCTION("""COMPUTED_VALUE"""),11.0)</f>
        <v>11</v>
      </c>
      <c r="W23" s="195">
        <f>IFERROR(__xludf.DUMMYFUNCTION("""COMPUTED_VALUE"""),1818.388)</f>
        <v>1818.388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IFERROR(__xludf.DUMMYFUNCTION("""COMPUTED_VALUE"""),10.5)</f>
        <v>10.5</v>
      </c>
      <c r="W24" s="195">
        <f>IFERROR(__xludf.DUMMYFUNCTION("""COMPUTED_VALUE"""),1856.4)</f>
        <v>1856.4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IFERROR(__xludf.DUMMYFUNCTION("""COMPUTED_VALUE"""),0.0)</f>
        <v>0</v>
      </c>
      <c r="W25" s="195">
        <f>IFERROR(__xludf.DUMMYFUNCTION("""COMPUTED_VALUE"""),0.0)</f>
        <v>0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IFERROR(__xludf.DUMMYFUNCTION("""COMPUTED_VALUE"""),0.0)</f>
        <v>0</v>
      </c>
      <c r="W27" s="195">
        <f>IFERROR(__xludf.DUMMYFUNCTION("""COMPUTED_VALUE"""),0.0)</f>
        <v>0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IFERROR(__xludf.DUMMYFUNCTION("""COMPUTED_VALUE"""),"Chodov")</f>
        <v>Chodov</v>
      </c>
      <c r="F28" s="192" t="str">
        <f>IFERROR(__xludf.DUMMYFUNCTION("""COMPUTED_VALUE"""),"Malešice")</f>
        <v>Malešice</v>
      </c>
      <c r="G28" s="192" t="str">
        <f>IFERROR(__xludf.DUMMYFUNCTION("""COMPUTED_VALUE"""),"Zličín")</f>
        <v>Zličín</v>
      </c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IFERROR(__xludf.DUMMYFUNCTION("""COMPUTED_VALUE"""),0.0)</f>
        <v>0</v>
      </c>
      <c r="W28" s="195">
        <f>IFERROR(__xludf.DUMMYFUNCTION("""COMPUTED_VALUE"""),0.0)</f>
        <v>0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IFERROR(__xludf.DUMMYFUNCTION("""COMPUTED_VALUE"""),12.0)</f>
        <v>12</v>
      </c>
      <c r="W30" s="195">
        <f>IFERROR(__xludf.DUMMYFUNCTION("""COMPUTED_VALUE"""),1983.696)</f>
        <v>1983.696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IFERROR(__xludf.DUMMYFUNCTION("""COMPUTED_VALUE"""),6.0)</f>
        <v>6</v>
      </c>
      <c r="W31" s="195">
        <f>IFERROR(__xludf.DUMMYFUNCTION("""COMPUTED_VALUE"""),917.592)</f>
        <v>917.592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IFERROR(__xludf.DUMMYFUNCTION("""COMPUTED_VALUE"""),8.0)</f>
        <v>8</v>
      </c>
      <c r="W35" s="195">
        <f>IFERROR(__xludf.DUMMYFUNCTION("""COMPUTED_VALUE"""),1322.464)</f>
        <v>1322.464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IFERROR(__xludf.DUMMYFUNCTION("""COMPUTED_VALUE"""),0.0)</f>
        <v>0</v>
      </c>
      <c r="W36" s="195">
        <f>IFERROR(__xludf.DUMMYFUNCTION("""COMPUTED_VALUE"""),0.0)</f>
        <v>0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IFERROR(__xludf.DUMMYFUNCTION("""COMPUTED_VALUE"""),10.5)</f>
        <v>10.5</v>
      </c>
      <c r="W37" s="195">
        <f>IFERROR(__xludf.DUMMYFUNCTION("""COMPUTED_VALUE"""),1735.734)</f>
        <v>1735.734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IFERROR(__xludf.DUMMYFUNCTION("""COMPUTED_VALUE"""),0.0)</f>
        <v>0</v>
      </c>
      <c r="W38" s="195">
        <f>IFERROR(__xludf.DUMMYFUNCTION("""COMPUTED_VALUE"""),0.0)</f>
        <v>0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IFERROR(__xludf.DUMMYFUNCTION("""COMPUTED_VALUE"""),0.0)</f>
        <v>0</v>
      </c>
      <c r="W39" s="195">
        <f>IFERROR(__xludf.DUMMYFUNCTION("""COMPUTED_VALUE"""),0.0)</f>
        <v>0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IFERROR(__xludf.DUMMYFUNCTION("""COMPUTED_VALUE"""),0.0)</f>
        <v>0</v>
      </c>
      <c r="W40" s="195">
        <f>IFERROR(__xludf.DUMMYFUNCTION("""COMPUTED_VALUE"""),0.0)</f>
        <v>0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IFERROR(__xludf.DUMMYFUNCTION("""COMPUTED_VALUE"""),9.0)</f>
        <v>9</v>
      </c>
      <c r="W41" s="195">
        <f>IFERROR(__xludf.DUMMYFUNCTION("""COMPUTED_VALUE"""),1487.772)</f>
        <v>1487.772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>Kuzníková Nicol</v>
      </c>
      <c r="C42" s="192" t="b">
        <f>IFERROR(__xludf.DUMMYFUNCTION("""COMPUTED_VALUE"""),FALSE)</f>
        <v>0</v>
      </c>
      <c r="D42" s="192" t="str">
        <f>IFERROR(__xludf.DUMMYFUNCTION("""COMPUTED_VALUE"""),"Kuzníková Nicol")</f>
        <v>Kuzníková Nicol</v>
      </c>
      <c r="E42" s="192" t="str">
        <f>IFERROR(__xludf.DUMMYFUNCTION("""COMPUTED_VALUE"""),"Zličín")</f>
        <v>Zličín</v>
      </c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IFERROR(__xludf.DUMMYFUNCTION("""COMPUTED_VALUE"""),184.0)</f>
        <v>184</v>
      </c>
      <c r="W60" s="195">
        <f>IFERROR(__xludf.DUMMYFUNCTION("""COMPUTED_VALUE"""),594858.282)</f>
        <v>594858.282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IFERROR(__xludf.DUMMYFUNCTION("""COMPUTED_VALUE"""),26058.0)</f>
        <v>26058</v>
      </c>
      <c r="W65" s="195">
        <f>IFERROR(__xludf.DUMMYFUNCTION("""COMPUTED_VALUE"""),130.29)</f>
        <v>130.29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IFERROR(__xludf.DUMMYFUNCTION("""COMPUTED_VALUE"""),0.0)</f>
        <v>0</v>
      </c>
      <c r="W75" s="195">
        <f>IFERROR(__xludf.DUMMYFUNCTION("""COMPUTED_VALUE"""),0.0)</f>
        <v>0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IFERROR(__xludf.DUMMYFUNCTION("""COMPUTED_VALUE"""),0.0)</f>
        <v>0</v>
      </c>
      <c r="W76" s="195">
        <f>IFERROR(__xludf.DUMMYFUNCTION("""COMPUTED_VALUE"""),0.0)</f>
        <v>0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IFERROR(__xludf.DUMMYFUNCTION("""COMPUTED_VALUE"""),7.0)</f>
        <v>7</v>
      </c>
      <c r="W77" s="195">
        <f>IFERROR(__xludf.DUMMYFUNCTION("""COMPUTED_VALUE"""),1070.524)</f>
        <v>1070.524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IFERROR(__xludf.DUMMYFUNCTION("""COMPUTED_VALUE"""),0.0)</f>
        <v>0</v>
      </c>
      <c r="W78" s="195">
        <f>IFERROR(__xludf.DUMMYFUNCTION("""COMPUTED_VALUE"""),0.0)</f>
        <v>0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IFERROR(__xludf.DUMMYFUNCTION("""COMPUTED_VALUE"""),0.0)</f>
        <v>0</v>
      </c>
      <c r="W79" s="195">
        <f>IFERROR(__xludf.DUMMYFUNCTION("""COMPUTED_VALUE"""),0.0)</f>
        <v>0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IFERROR(__xludf.DUMMYFUNCTION("""COMPUTED_VALUE"""),0.0)</f>
        <v>0</v>
      </c>
      <c r="W80" s="195">
        <f>IFERROR(__xludf.DUMMYFUNCTION("""COMPUTED_VALUE"""),0.0)</f>
        <v>0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IFERROR(__xludf.DUMMYFUNCTION("""COMPUTED_VALUE"""),0.0)</f>
        <v>0</v>
      </c>
      <c r="W81" s="195">
        <f>IFERROR(__xludf.DUMMYFUNCTION("""COMPUTED_VALUE"""),0.0)</f>
        <v>0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IFERROR(__xludf.DUMMYFUNCTION("""COMPUTED_VALUE"""),0.0)</f>
        <v>0</v>
      </c>
      <c r="W83" s="195">
        <f>IFERROR(__xludf.DUMMYFUNCTION("""COMPUTED_VALUE"""),0.0)</f>
        <v>0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IFERROR(__xludf.DUMMYFUNCTION("""COMPUTED_VALUE"""),0.0)</f>
        <v>0</v>
      </c>
      <c r="W84" s="195">
        <f>IFERROR(__xludf.DUMMYFUNCTION("""COMPUTED_VALUE"""),0.0)</f>
        <v>0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IFERROR(__xludf.DUMMYFUNCTION("""COMPUTED_VALUE"""),0.0)</f>
        <v>0</v>
      </c>
      <c r="W85" s="195">
        <f>IFERROR(__xludf.DUMMYFUNCTION("""COMPUTED_VALUE"""),0.0)</f>
        <v>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IFERROR(__xludf.DUMMYFUNCTION("""COMPUTED_VALUE"""),0.0)</f>
        <v>0</v>
      </c>
      <c r="W87" s="195">
        <f>IFERROR(__xludf.DUMMYFUNCTION("""COMPUTED_VALUE"""),0.0)</f>
        <v>0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IFERROR(__xludf.DUMMYFUNCTION("""COMPUTED_VALUE"""),8.0)</f>
        <v>8</v>
      </c>
      <c r="W89" s="195">
        <f>IFERROR(__xludf.DUMMYFUNCTION("""COMPUTED_VALUE"""),1360.0)</f>
        <v>1360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IFERROR(__xludf.DUMMYFUNCTION("""COMPUTED_VALUE"""),10.0)</f>
        <v>10</v>
      </c>
      <c r="W90" s="195">
        <f>IFERROR(__xludf.DUMMYFUNCTION("""COMPUTED_VALUE"""),1600.0)</f>
        <v>1600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>Killiakov Andrei</v>
      </c>
      <c r="C92" s="192" t="b">
        <f>IFERROR(__xludf.DUMMYFUNCTION("""COMPUTED_VALUE"""),FALSE)</f>
        <v>0</v>
      </c>
      <c r="D92" s="192" t="str">
        <f>IFERROR(__xludf.DUMMYFUNCTION("""COMPUTED_VALUE"""),"Killiakov Andrei")</f>
        <v>Killiakov Andrei</v>
      </c>
      <c r="E92" s="192" t="str">
        <f>IFERROR(__xludf.DUMMYFUNCTION("""COMPUTED_VALUE"""),"Zličín")</f>
        <v>Zličín</v>
      </c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IFERROR(__xludf.DUMMYFUNCTION("""COMPUTED_VALUE"""),10.0)</f>
        <v>10</v>
      </c>
      <c r="W93" s="195">
        <f>IFERROR(__xludf.DUMMYFUNCTION("""COMPUTED_VALUE"""),1653.08)</f>
        <v>1653.08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IFERROR(__xludf.DUMMYFUNCTION("""COMPUTED_VALUE"""),14.0)</f>
        <v>14</v>
      </c>
      <c r="W94" s="195">
        <f>IFERROR(__xludf.DUMMYFUNCTION("""COMPUTED_VALUE"""),2314.312)</f>
        <v>2314.312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IFERROR(__xludf.DUMMYFUNCTION("""COMPUTED_VALUE"""),0.0)</f>
        <v>0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IFERROR(__xludf.DUMMYFUNCTION("""COMPUTED_VALUE"""),0.0)</f>
        <v>0</v>
      </c>
      <c r="W97" s="195">
        <f>IFERROR(__xludf.DUMMYFUNCTION("""COMPUTED_VALUE"""),0.0)</f>
        <v>0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IFERROR(__xludf.DUMMYFUNCTION("""COMPUTED_VALUE"""),0.0)</f>
        <v>0</v>
      </c>
      <c r="W98" s="195">
        <f>IFERROR(__xludf.DUMMYFUNCTION("""COMPUTED_VALUE"""),0.0)</f>
        <v>0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IFERROR(__xludf.DUMMYFUNCTION("""COMPUTED_VALUE"""),9.0)</f>
        <v>9</v>
      </c>
      <c r="W99" s="195">
        <f>IFERROR(__xludf.DUMMYFUNCTION("""COMPUTED_VALUE"""),1272.96)</f>
        <v>1272.96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IFERROR(__xludf.DUMMYFUNCTION("""COMPUTED_VALUE"""),10.0)</f>
        <v>10</v>
      </c>
      <c r="W105" s="195">
        <f>IFERROR(__xludf.DUMMYFUNCTION("""COMPUTED_VALUE"""),1529.32)</f>
        <v>1529.32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IFERROR(__xludf.DUMMYFUNCTION("""COMPUTED_VALUE"""),0.0)</f>
        <v>0</v>
      </c>
      <c r="W107" s="195">
        <f>IFERROR(__xludf.DUMMYFUNCTION("""COMPUTED_VALUE"""),0.0)</f>
        <v>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IFERROR(__xludf.DUMMYFUNCTION("""COMPUTED_VALUE"""),4.5)</f>
        <v>4.5</v>
      </c>
      <c r="W108" s="195">
        <f>IFERROR(__xludf.DUMMYFUNCTION("""COMPUTED_VALUE"""),743.886)</f>
        <v>743.886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IFERROR(__xludf.DUMMYFUNCTION("""COMPUTED_VALUE"""),0.0)</f>
        <v>0</v>
      </c>
      <c r="W109" s="195">
        <f>IFERROR(__xludf.DUMMYFUNCTION("""COMPUTED_VALUE"""),0.0)</f>
        <v>0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IFERROR(__xludf.DUMMYFUNCTION("""COMPUTED_VALUE"""),5.0)</f>
        <v>5</v>
      </c>
      <c r="W110" s="195">
        <f>IFERROR(__xludf.DUMMYFUNCTION("""COMPUTED_VALUE"""),764.66)</f>
        <v>764.66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IFERROR(__xludf.DUMMYFUNCTION("""COMPUTED_VALUE"""),0.0)</f>
        <v>0</v>
      </c>
      <c r="W111" s="195">
        <f>IFERROR(__xludf.DUMMYFUNCTION("""COMPUTED_VALUE"""),0.0)</f>
        <v>0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IFERROR(__xludf.DUMMYFUNCTION("""COMPUTED_VALUE"""),0.0)</f>
        <v>0</v>
      </c>
      <c r="W112" s="195">
        <f>IFERROR(__xludf.DUMMYFUNCTION("""COMPUTED_VALUE"""),0.0)</f>
        <v>0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IFERROR(__xludf.DUMMYFUNCTION("""COMPUTED_VALUE"""),0.0)</f>
        <v>0</v>
      </c>
      <c r="W113" s="195">
        <f>IFERROR(__xludf.DUMMYFUNCTION("""COMPUTED_VALUE"""),0.0)</f>
        <v>0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IFERROR(__xludf.DUMMYFUNCTION("""COMPUTED_VALUE"""),5.0)</f>
        <v>5</v>
      </c>
      <c r="W115" s="195">
        <f>IFERROR(__xludf.DUMMYFUNCTION("""COMPUTED_VALUE"""),826.54)</f>
        <v>826.54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IFERROR(__xludf.DUMMYFUNCTION("""COMPUTED_VALUE"""),0.0)</f>
        <v>0</v>
      </c>
      <c r="W116" s="195">
        <f>IFERROR(__xludf.DUMMYFUNCTION("""COMPUTED_VALUE"""),0.0)</f>
        <v>0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IFERROR(__xludf.DUMMYFUNCTION("""COMPUTED_VALUE"""),8.5)</f>
        <v>8.5</v>
      </c>
      <c r="W117" s="195">
        <f>IFERROR(__xludf.DUMMYFUNCTION("""COMPUTED_VALUE"""),1405.118)</f>
        <v>1405.118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IFERROR(__xludf.DUMMYFUNCTION("""COMPUTED_VALUE"""),0.0)</f>
        <v>0</v>
      </c>
      <c r="W119" s="195">
        <f>IFERROR(__xludf.DUMMYFUNCTION("""COMPUTED_VALUE"""),0.0)</f>
        <v>0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IFERROR(__xludf.DUMMYFUNCTION("""COMPUTED_VALUE"""),5.0)</f>
        <v>5</v>
      </c>
      <c r="W120" s="195">
        <f>IFERROR(__xludf.DUMMYFUNCTION("""COMPUTED_VALUE"""),707.2)</f>
        <v>707.2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 t="str">
        <f>IFERROR(__xludf.DUMMYFUNCTION("""COMPUTED_VALUE"""),"Přibyl Jan")</f>
        <v>Přibyl Jan</v>
      </c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 t="str">
        <f>IFERROR(__xludf.DUMMYFUNCTION("""COMPUTED_VALUE"""),"Hrach Michal")</f>
        <v>Hrach Michal</v>
      </c>
      <c r="E123" s="192" t="str">
        <f>IFERROR(__xludf.DUMMYFUNCTION("""COMPUTED_VALUE"""),"Chodov")</f>
        <v>Chodov</v>
      </c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>Kvapil Filip Leon</v>
      </c>
      <c r="C124" s="192" t="b">
        <f>IFERROR(__xludf.DUMMYFUNCTION("""COMPUTED_VALUE"""),FALSE)</f>
        <v>0</v>
      </c>
      <c r="D124" s="192" t="str">
        <f>IFERROR(__xludf.DUMMYFUNCTION("""COMPUTED_VALUE"""),"Kvapil Filip Leon")</f>
        <v>Kvapil Filip Leon</v>
      </c>
      <c r="E124" s="192" t="str">
        <f>IFERROR(__xludf.DUMMYFUNCTION("""COMPUTED_VALUE"""),"Zličín")</f>
        <v>Zličín</v>
      </c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IFERROR(__xludf.DUMMYFUNCTION("""COMPUTED_VALUE"""),0.0)</f>
        <v>0</v>
      </c>
      <c r="W125" s="195">
        <f>IFERROR(__xludf.DUMMYFUNCTION("""COMPUTED_VALUE"""),0.0)</f>
        <v>0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IFERROR(__xludf.DUMMYFUNCTION("""COMPUTED_VALUE"""),"Irena Kovacsova")</f>
        <v>Irena Kovacsova</v>
      </c>
      <c r="E126" s="192" t="str">
        <f>IFERROR(__xludf.DUMMYFUNCTION("""COMPUTED_VALUE"""),"Bolevec")</f>
        <v>Bolevec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IFERROR(__xludf.DUMMYFUNCTION("""COMPUTED_VALUE"""),0.0)</f>
        <v>0</v>
      </c>
      <c r="W126" s="195">
        <f>IFERROR(__xludf.DUMMYFUNCTION("""COMPUTED_VALUE"""),0.0)</f>
        <v>0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/>
      </c>
      <c r="C127" s="192" t="b">
        <f>IFERROR(__xludf.DUMMYFUNCTION("""COMPUTED_VALUE"""),FALSE)</f>
        <v>0</v>
      </c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5">
        <f>IFERROR(__xludf.DUMMYFUNCTION("""COMPUTED_VALUE"""),0.0)</f>
        <v>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5">
        <f>IFERROR(__xludf.DUMMYFUNCTION("""COMPUTED_VALUE"""),0.0)</f>
        <v>0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5">
        <f>IFERROR(__xludf.DUMMYFUNCTION("""COMPUTED_VALUE"""),0.0)</f>
        <v>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IFERROR(__xludf.DUMMYFUNCTION("""COMPUTED_VALUE"""),96.0)</f>
        <v>96</v>
      </c>
      <c r="W196" s="195">
        <f>IFERROR(__xludf.DUMMYFUNCTION("""COMPUTED_VALUE"""),89970.79999999999)</f>
        <v>89970.8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