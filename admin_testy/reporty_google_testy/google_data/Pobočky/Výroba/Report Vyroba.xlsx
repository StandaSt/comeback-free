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<sst xmlns="http://schemas.openxmlformats.org/spreadsheetml/2006/main" count="131" uniqueCount="70">
  <si>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</si>
  <si>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</si>
  <si>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</si>
  <si>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</si>
  <si>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</si>
  <si>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</si>
  <si>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</si>
  <si>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</si>
  <si>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</si>
  <si>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</si>
  <si>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</si>
  <si>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</si>
  <si>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Suroviny</t>
  </si>
  <si>
    <t>Ostatní</t>
  </si>
  <si>
    <t>Vyber datum    &lt;----------&gt;</t>
  </si>
  <si>
    <t>Celkem hodin</t>
  </si>
  <si>
    <t>Počet dní</t>
  </si>
  <si>
    <t>Paziak Viktoriia</t>
  </si>
  <si>
    <t>Stepanenko Solomiia</t>
  </si>
  <si>
    <t>Kursheva Diana</t>
  </si>
  <si>
    <t>Hřebík Martin</t>
  </si>
  <si>
    <t>Lažek Jaroslav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</si>
  <si>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</si>
  <si>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</si>
  <si>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</si>
  <si>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</si>
  <si>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</si>
  <si>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</si>
  <si>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</si>
  <si>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</si>
  <si>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</si>
  <si>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</si>
  <si>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</si>
  <si>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</si>
  <si>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10:00</t>
  </si>
  <si>
    <t>11:00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</si>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</sst>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46176.0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J15"),40004.0)</f>
        <v>40004</v>
      </c>
      <c r="H2" s="16"/>
      <c r="K2" s="16"/>
    </row>
    <row r="3">
      <c r="A3" s="17"/>
      <c r="B3" s="18" t="str">
        <f>CHOOSE(WEEKDAY(D1), "Neděle", "Pondělí", "Úterý", "Středa", "Čtvrtek", "Pátek", "Sobota")</f>
        <v>Středa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/>
      <c r="C14" s="40"/>
      <c r="D14" s="40"/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0:00</v>
      </c>
      <c r="G14" s="43" t="s">
        <v>12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0</v>
      </c>
      <c r="B15" s="47"/>
      <c r="C15" s="40"/>
      <c r="D15" s="40"/>
      <c r="E15" s="40"/>
      <c r="F15" s="42" t="str">
        <f t="shared" si="1"/>
        <v>0:00</v>
      </c>
      <c r="G15" s="48" t="s">
        <v>13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0</v>
      </c>
      <c r="B16" s="39"/>
      <c r="C16" s="40"/>
      <c r="D16" s="40"/>
      <c r="E16" s="52"/>
      <c r="F16" s="53" t="str">
        <f t="shared" si="1"/>
        <v>0:00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Viktoriia,Ahurieva Viktoriia,Stepanenko Solomiia,Kursheva Diana,Lažek Jaroslav,Chlubna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46143.0</v>
      </c>
      <c r="D1" s="63" t="s">
        <v>14</v>
      </c>
      <c r="E1" s="62">
        <v>46173.0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1224796.0</v>
      </c>
      <c r="H2" s="16"/>
    </row>
    <row r="3">
      <c r="A3" s="66"/>
      <c r="B3" s="67" t="str">
        <f>CHOOSE(WEEKDAY(C1), "Neděle", "Pondělí", "Úterý", "Středa", "Čtvrtek", "Pátek", "Sobota")</f>
        <v>Pátek</v>
      </c>
      <c r="C3" s="10"/>
      <c r="D3" s="67" t="str">
        <f>CHOOSE(WEEKDAY(E1), "Neděle", "Pondělí", "Úterý", "Středa", "Čtvrtek", "Pátek", "Sobota")</f>
        <v>Neděle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15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12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13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16</v>
      </c>
      <c r="D9" s="79" t="s">
        <v>10</v>
      </c>
      <c r="F9" s="64"/>
    </row>
    <row r="10" ht="18.75" customHeight="1">
      <c r="A10" s="71"/>
      <c r="B10" s="80" t="s">
        <v>17</v>
      </c>
      <c r="C10" s="81">
        <v>15.0</v>
      </c>
      <c r="D10" s="82">
        <v>118.0</v>
      </c>
    </row>
    <row r="11" ht="18.75" customHeight="1">
      <c r="A11" s="71"/>
      <c r="B11" s="80" t="s">
        <v>18</v>
      </c>
      <c r="C11" s="81">
        <v>16.0</v>
      </c>
      <c r="D11" s="82">
        <v>126.0</v>
      </c>
    </row>
    <row r="12" ht="18.75" customHeight="1">
      <c r="A12" s="71"/>
      <c r="B12" s="80" t="s">
        <v>19</v>
      </c>
      <c r="C12" s="81">
        <v>18.0</v>
      </c>
      <c r="D12" s="82">
        <v>142.0</v>
      </c>
    </row>
    <row r="13" ht="18.75" customHeight="1">
      <c r="A13" s="71"/>
      <c r="B13" s="80" t="s">
        <v>20</v>
      </c>
      <c r="C13" s="81">
        <v>11.0</v>
      </c>
      <c r="D13" s="83">
        <v>116.0</v>
      </c>
    </row>
    <row r="14" ht="18.75" customHeight="1">
      <c r="A14" s="71"/>
      <c r="B14" s="80" t="s">
        <v>21</v>
      </c>
      <c r="C14" s="81">
        <v>1.0</v>
      </c>
      <c r="D14" s="83">
        <v>13.0</v>
      </c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""Mzdy!u1:v200"")"),46143.0)</f>
        <v>46143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22</v>
      </c>
      <c r="B4" s="88" t="s">
        <v>23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IFERROR(__xludf.DUMMYFUNCTION("""COMPUTED_VALUE"""),256.5)</f>
        <v>256.5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IFERROR(__xludf.DUMMYFUNCTION("""COMPUTED_VALUE"""),208.0)</f>
        <v>208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IFERROR(__xludf.DUMMYFUNCTION("""COMPUTED_VALUE"""),119.0)</f>
        <v>119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>Ahurieva Viktoriia</v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IFERROR(__xludf.DUMMYFUNCTION("""COMPUTED_VALUE"""),"Výroba")</f>
        <v>Výroba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IFERROR(__xludf.DUMMYFUNCTION("""COMPUTED_VALUE"""),206.5)</f>
        <v>206.5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IFERROR(__xludf.DUMMYFUNCTION("""COMPUTED_VALUE"""),193.5)</f>
        <v>193.5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IFERROR(__xludf.DUMMYFUNCTION("""COMPUTED_VALUE"""),178.5)</f>
        <v>178.5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IFERROR(__xludf.DUMMYFUNCTION("""COMPUTED_VALUE"""),117.5)</f>
        <v>117.5</v>
      </c>
      <c r="W11" s="87">
        <f>IFERROR(__xludf.DUMMYFUNCTION("""COMPUTED_VALUE"""),21630.145)</f>
        <v>21630.145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IFERROR(__xludf.DUMMYFUNCTION("""COMPUTED_VALUE"""),148.5)</f>
        <v>148.5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 t="str">
        <f>IFERROR(__xludf.DUMMYFUNCTION("""COMPUTED_VALUE"""),"Prosek")</f>
        <v>Prosek</v>
      </c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IFERROR(__xludf.DUMMYFUNCTION("""COMPUTED_VALUE"""),63.5)</f>
        <v>63.5</v>
      </c>
      <c r="W14" s="87">
        <f>IFERROR(__xludf.DUMMYFUNCTION("""COMPUTED_VALUE"""),10497.058)</f>
        <v>10497.058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IFERROR(__xludf.DUMMYFUNCTION("""COMPUTED_VALUE"""),"Zličín")</f>
        <v>Zličín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IFERROR(__xludf.DUMMYFUNCTION("""COMPUTED_VALUE"""),183.0)</f>
        <v>183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IFERROR(__xludf.DUMMYFUNCTION("""COMPUTED_VALUE"""),159.0)</f>
        <v>159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IFERROR(__xludf.DUMMYFUNCTION("""COMPUTED_VALUE"""),43.5)</f>
        <v>43.5</v>
      </c>
      <c r="W17" s="87">
        <f>IFERROR(__xludf.DUMMYFUNCTION("""COMPUTED_VALUE"""),7690.8)</f>
        <v>7690.8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>Stepanenko Solomiia</v>
      </c>
      <c r="C18" s="84" t="b">
        <f>IFERROR(__xludf.DUMMYFUNCTION("""COMPUTED_VALUE"""),FALSE)</f>
        <v>0</v>
      </c>
      <c r="D18" s="84" t="str">
        <f>IFERROR(__xludf.DUMMYFUNCTION("""COMPUTED_VALUE"""),"Stepanenko Solomiia")</f>
        <v>Stepanenko Solomiia</v>
      </c>
      <c r="E18" s="84" t="str">
        <f>IFERROR(__xludf.DUMMYFUNCTION("""COMPUTED_VALUE"""),"Výroba")</f>
        <v>Výroba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IFERROR(__xludf.DUMMYFUNCTION("""COMPUTED_VALUE"""),126.5)</f>
        <v>126.5</v>
      </c>
      <c r="W18" s="87">
        <f>IFERROR(__xludf.DUMMYFUNCTION("""COMPUTED_VALUE"""),22440.113999999998)</f>
        <v>22440.114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IFERROR(__xludf.DUMMYFUNCTION("""COMPUTED_VALUE"""),FALSE)</f>
        <v>0</v>
      </c>
      <c r="D19" s="84" t="str">
        <f>IFERROR(__xludf.DUMMYFUNCTION("""COMPUTED_VALUE"""),"Rothová Anastasia")</f>
        <v>Rothová Anastasia</v>
      </c>
      <c r="E19" s="84" t="str">
        <f>IFERROR(__xludf.DUMMYFUNCTION("""COMPUTED_VALUE"""),"Bolevec")</f>
        <v>Bolevec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IFERROR(__xludf.DUMMYFUNCTION("""COMPUTED_VALUE"""),184.0)</f>
        <v>184</v>
      </c>
      <c r="W19" s="87">
        <f>IFERROR(__xludf.DUMMYFUNCTION("""COMPUTED_VALUE"""),37009.28)</f>
        <v>37009.28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IFERROR(__xludf.DUMMYFUNCTION("""COMPUTED_VALUE"""),FALSE)</f>
        <v>0</v>
      </c>
      <c r="D20" s="84" t="str">
        <f>IFERROR(__xludf.DUMMYFUNCTION("""COMPUTED_VALUE"""),"Pánková Vendula")</f>
        <v>Pánková Vendula</v>
      </c>
      <c r="E20" s="84" t="str">
        <f>IFERROR(__xludf.DUMMYFUNCTION("""COMPUTED_VALUE"""),"Zličín")</f>
        <v>Zličín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IFERROR(__xludf.DUMMYFUNCTION("""COMPUTED_VALUE"""),59.5)</f>
        <v>59.5</v>
      </c>
      <c r="W20" s="87">
        <f>IFERROR(__xludf.DUMMYFUNCTION("""COMPUTED_VALUE"""),10519.6)</f>
        <v>10519.6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IFERROR(__xludf.DUMMYFUNCTION("""COMPUTED_VALUE"""),TRUE)</f>
        <v>1</v>
      </c>
      <c r="D21" s="84" t="str">
        <f>IFERROR(__xludf.DUMMYFUNCTION("""COMPUTED_VALUE"""),"Hegedüs Erik")</f>
        <v>Hegedüs Erik</v>
      </c>
      <c r="E21" s="84" t="str">
        <f>IFERROR(__xludf.DUMMYFUNCTION("""COMPUTED_VALUE"""),"Libuš")</f>
        <v>Libuš</v>
      </c>
      <c r="F21" s="84" t="str">
        <f>IFERROR(__xludf.DUMMYFUNCTION("""COMPUTED_VALUE"""),"Chodov")</f>
        <v>Chodov</v>
      </c>
      <c r="G21" s="84" t="str">
        <f>IFERROR(__xludf.DUMMYFUNCTION("""COMPUTED_VALUE"""),"Malešice")</f>
        <v>Malešice</v>
      </c>
      <c r="H21" s="84" t="str">
        <f>IFERROR(__xludf.DUMMYFUNCTION("""COMPUTED_VALUE"""),"Zličín")</f>
        <v>Zličín</v>
      </c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IFERROR(__xludf.DUMMYFUNCTION("""COMPUTED_VALUE"""),185.0)</f>
        <v>185</v>
      </c>
      <c r="W21" s="87">
        <f>IFERROR(__xludf.DUMMYFUNCTION("""COMPUTED_VALUE"""),50001.08)</f>
        <v>50001.08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IFERROR(__xludf.DUMMYFUNCTION("""COMPUTED_VALUE"""),TRUE)</f>
        <v>1</v>
      </c>
      <c r="D22" s="84" t="str">
        <f>IFERROR(__xludf.DUMMYFUNCTION("""COMPUTED_VALUE"""),"Roth Stanislav ml.")</f>
        <v>Roth Stanislav ml.</v>
      </c>
      <c r="E22" s="84" t="str">
        <f>IFERROR(__xludf.DUMMYFUNCTION("""COMPUTED_VALUE"""),"Bolevec")</f>
        <v>Bolevec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IFERROR(__xludf.DUMMYFUNCTION("""COMPUTED_VALUE"""),273.5)</f>
        <v>273.5</v>
      </c>
      <c r="W22" s="87">
        <f>IFERROR(__xludf.DUMMYFUNCTION("""COMPUTED_VALUE"""),50001.08)</f>
        <v>50001.08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IFERROR(__xludf.DUMMYFUNCTION("""COMPUTED_VALUE"""),"Makula Radek")</f>
        <v>Makula Radek</v>
      </c>
      <c r="E23" s="84" t="str">
        <f>IFERROR(__xludf.DUMMYFUNCTION("""COMPUTED_VALUE"""),"Prosek")</f>
        <v>Prosek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IFERROR(__xludf.DUMMYFUNCTION("""COMPUTED_VALUE"""),52.0)</f>
        <v>52</v>
      </c>
      <c r="W23" s="87">
        <f>IFERROR(__xludf.DUMMYFUNCTION("""COMPUTED_VALUE"""),8596.016)</f>
        <v>8596.016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IFERROR(__xludf.DUMMYFUNCTION("""COMPUTED_VALUE"""),"Bubník Martin")</f>
        <v>Bubník Martin</v>
      </c>
      <c r="E24" s="84" t="str">
        <f>IFERROR(__xludf.DUMMYFUNCTION("""COMPUTED_VALUE"""),"Libuš")</f>
        <v>Libuš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IFERROR(__xludf.DUMMYFUNCTION("""COMPUTED_VALUE"""),201.5)</f>
        <v>201.5</v>
      </c>
      <c r="W24" s="87">
        <f>IFERROR(__xludf.DUMMYFUNCTION("""COMPUTED_VALUE"""),32150.199999999997)</f>
        <v>32150.2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IFERROR(__xludf.DUMMYFUNCTION("""COMPUTED_VALUE"""),"Mirga Simon")</f>
        <v>Mirga Simon</v>
      </c>
      <c r="E25" s="84" t="str">
        <f>IFERROR(__xludf.DUMMYFUNCTION("""COMPUTED_VALUE"""),"Malešice")</f>
        <v>Malešice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IFERROR(__xludf.DUMMYFUNCTION("""COMPUTED_VALUE"""),33.0)</f>
        <v>33</v>
      </c>
      <c r="W25" s="87">
        <f>IFERROR(__xludf.DUMMYFUNCTION("""COMPUTED_VALUE"""),5046.756)</f>
        <v>5046.756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IFERROR(__xludf.DUMMYFUNCTION("""COMPUTED_VALUE"""),"Berdar Vasyl")</f>
        <v>Berdar Vasyl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IFERROR(__xludf.DUMMYFUNCTION("""COMPUTED_VALUE"""),71.5)</f>
        <v>71.5</v>
      </c>
      <c r="W27" s="87">
        <f>IFERROR(__xludf.DUMMYFUNCTION("""COMPUTED_VALUE"""),13526.084)</f>
        <v>13526.084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/>
      </c>
      <c r="C28" s="84" t="b">
        <f>IFERROR(__xludf.DUMMYFUNCTION("""COMPUTED_VALUE"""),FALSE)</f>
        <v>0</v>
      </c>
      <c r="D28" s="84" t="str">
        <f>IFERROR(__xludf.DUMMYFUNCTION("""COMPUTED_VALUE"""),"Yarushynskyi Vladyslav")</f>
        <v>Yarushynskyi Vladyslav</v>
      </c>
      <c r="E28" s="84" t="str">
        <f>IFERROR(__xludf.DUMMYFUNCTION("""COMPUTED_VALUE"""),"Malešice")</f>
        <v>Malešice</v>
      </c>
      <c r="F28" s="84" t="str">
        <f>IFERROR(__xludf.DUMMYFUNCTION("""COMPUTED_VALUE"""),"Chodov")</f>
        <v>Chodov</v>
      </c>
      <c r="G28" s="84" t="str">
        <f>IFERROR(__xludf.DUMMYFUNCTION("""COMPUTED_VALUE"""),"Zličín")</f>
        <v>Zličín</v>
      </c>
      <c r="H28" s="84" t="str">
        <f>IFERROR(__xludf.DUMMYFUNCTION("""COMPUTED_VALUE"""),"Prosek")</f>
        <v>Prosek</v>
      </c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IFERROR(__xludf.DUMMYFUNCTION("""COMPUTED_VALUE"""),192.5)</f>
        <v>192.5</v>
      </c>
      <c r="W28" s="87">
        <f>IFERROR(__xludf.DUMMYFUNCTION("""COMPUTED_VALUE"""),30829.0)</f>
        <v>30829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 t="str">
        <f>IFERROR(__xludf.DUMMYFUNCTION("""COMPUTED_VALUE"""),"Raboch Tomáš")</f>
        <v>Raboch Tomáš</v>
      </c>
      <c r="E29" s="84" t="str">
        <f>IFERROR(__xludf.DUMMYFUNCTION("""COMPUTED_VALUE"""),"Bolevec")</f>
        <v>Bolevec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IFERROR(__xludf.DUMMYFUNCTION("""COMPUTED_VALUE"""),"Židek Petr")</f>
        <v>Židek Petr</v>
      </c>
      <c r="E30" s="84" t="str">
        <f>IFERROR(__xludf.DUMMYFUNCTION("""COMPUTED_VALUE"""),"Chodov")</f>
        <v>Chodov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IFERROR(__xludf.DUMMYFUNCTION("""COMPUTED_VALUE"""),185.0)</f>
        <v>185</v>
      </c>
      <c r="W30" s="87">
        <f>IFERROR(__xludf.DUMMYFUNCTION("""COMPUTED_VALUE"""),27962.73)</f>
        <v>27962.73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IFERROR(__xludf.DUMMYFUNCTION("""COMPUTED_VALUE"""),"Gorol Patrik")</f>
        <v>Gorol Patrik</v>
      </c>
      <c r="E31" s="84" t="str">
        <f>IFERROR(__xludf.DUMMYFUNCTION("""COMPUTED_VALUE"""),"Malešice")</f>
        <v>Malešice</v>
      </c>
      <c r="F31" s="84" t="str">
        <f>IFERROR(__xludf.DUMMYFUNCTION("""COMPUTED_VALUE"""),"Libuš")</f>
        <v>Libuš</v>
      </c>
      <c r="G31" s="84" t="str">
        <f>IFERROR(__xludf.DUMMYFUNCTION("""COMPUTED_VALUE"""),"Prosek")</f>
        <v>Prosek</v>
      </c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IFERROR(__xludf.DUMMYFUNCTION("""COMPUTED_VALUE"""),131.5)</f>
        <v>131.5</v>
      </c>
      <c r="W31" s="87">
        <f>IFERROR(__xludf.DUMMYFUNCTION("""COMPUTED_VALUE"""),19268.133)</f>
        <v>19268.133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IFERROR(__xludf.DUMMYFUNCTION("""COMPUTED_VALUE"""),"Kratochvíl Kryštof")</f>
        <v>Kratochvíl Kryštof</v>
      </c>
      <c r="E32" s="84" t="str">
        <f>IFERROR(__xludf.DUMMYFUNCTION("""COMPUTED_VALUE"""),"Bolevec")</f>
        <v>Bolevec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IFERROR(__xludf.DUMMYFUNCTION("""COMPUTED_VALUE"""),"Hegedüs Gergö")</f>
        <v>Hegedüs Gergö</v>
      </c>
      <c r="E33" s="84" t="str">
        <f>IFERROR(__xludf.DUMMYFUNCTION("""COMPUTED_VALUE"""),"Libuš")</f>
        <v>Libuš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IFERROR(__xludf.DUMMYFUNCTION("""COMPUTED_VALUE"""),"Barvínková Eliška")</f>
        <v>Barvínková Eliška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>Kursheva Diana</v>
      </c>
      <c r="C35" s="84" t="b">
        <f>IFERROR(__xludf.DUMMYFUNCTION("""COMPUTED_VALUE"""),FALSE)</f>
        <v>0</v>
      </c>
      <c r="D35" s="84" t="str">
        <f>IFERROR(__xludf.DUMMYFUNCTION("""COMPUTED_VALUE"""),"Kursheva Diana")</f>
        <v>Kursheva Diana</v>
      </c>
      <c r="E35" s="84" t="str">
        <f>IFERROR(__xludf.DUMMYFUNCTION("""COMPUTED_VALUE"""),"Výroba")</f>
        <v>Výroba</v>
      </c>
      <c r="F35" s="84" t="str">
        <f>IFERROR(__xludf.DUMMYFUNCTION("""COMPUTED_VALUE"""),"Chodov")</f>
        <v>Chodov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IFERROR(__xludf.DUMMYFUNCTION("""COMPUTED_VALUE"""),142.5)</f>
        <v>142.5</v>
      </c>
      <c r="W35" s="87">
        <f>IFERROR(__xludf.DUMMYFUNCTION("""COMPUTED_VALUE"""),22129.265)</f>
        <v>22129.265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IFERROR(__xludf.DUMMYFUNCTION("""COMPUTED_VALUE"""),"Tůma Vladimír")</f>
        <v>Tůma Vladimír</v>
      </c>
      <c r="E36" s="84" t="str">
        <f>IFERROR(__xludf.DUMMYFUNCTION("""COMPUTED_VALUE"""),"Bolevec")</f>
        <v>Bolevec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IFERROR(__xludf.DUMMYFUNCTION("""COMPUTED_VALUE"""),25.0)</f>
        <v>25</v>
      </c>
      <c r="W36" s="87">
        <f>IFERROR(__xludf.DUMMYFUNCTION("""COMPUTED_VALUE"""),4132.7)</f>
        <v>4132.7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/>
      </c>
      <c r="C37" s="84" t="b">
        <f>IFERROR(__xludf.DUMMYFUNCTION("""COMPUTED_VALUE"""),FALSE)</f>
        <v>0</v>
      </c>
      <c r="D37" s="84" t="str">
        <f>IFERROR(__xludf.DUMMYFUNCTION("""COMPUTED_VALUE"""),"Kubík Martin")</f>
        <v>Kubík Martin</v>
      </c>
      <c r="E37" s="84" t="str">
        <f>IFERROR(__xludf.DUMMYFUNCTION("""COMPUTED_VALUE"""),"Libuš")</f>
        <v>Libuš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IFERROR(__xludf.DUMMYFUNCTION("""COMPUTED_VALUE"""),37.5)</f>
        <v>37.5</v>
      </c>
      <c r="W37" s="87">
        <f>IFERROR(__xludf.DUMMYFUNCTION("""COMPUTED_VALUE"""),6199.05)</f>
        <v>6199.05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IFERROR(__xludf.DUMMYFUNCTION("""COMPUTED_VALUE"""),"Putna Jaroslav")</f>
        <v>Putna Jaroslav</v>
      </c>
      <c r="E38" s="84" t="str">
        <f>IFERROR(__xludf.DUMMYFUNCTION("""COMPUTED_VALUE"""),"Zličín")</f>
        <v>Zličín</v>
      </c>
      <c r="F38" s="84" t="str">
        <f>IFERROR(__xludf.DUMMYFUNCTION("""COMPUTED_VALUE"""),"Prosek")</f>
        <v>Prosek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IFERROR(__xludf.DUMMYFUNCTION("""COMPUTED_VALUE"""),182.5)</f>
        <v>182.5</v>
      </c>
      <c r="W38" s="87">
        <f>IFERROR(__xludf.DUMMYFUNCTION("""COMPUTED_VALUE"""),27619.585)</f>
        <v>27619.585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 t="str">
        <f>IFERROR(__xludf.DUMMYFUNCTION("""COMPUTED_VALUE"""),"Kopic Jakub")</f>
        <v>Kopic Jakub</v>
      </c>
      <c r="E39" s="84" t="str">
        <f>IFERROR(__xludf.DUMMYFUNCTION("""COMPUTED_VALUE"""),"Malešice")</f>
        <v>Malešice</v>
      </c>
      <c r="F39" s="84" t="str">
        <f>IFERROR(__xludf.DUMMYFUNCTION("""COMPUTED_VALUE"""),"Prosek")</f>
        <v>Prosek</v>
      </c>
      <c r="G39" s="84" t="str">
        <f>IFERROR(__xludf.DUMMYFUNCTION("""COMPUTED_VALUE"""),"Libuš")</f>
        <v>Libuš</v>
      </c>
      <c r="H39" s="84" t="str">
        <f>IFERROR(__xludf.DUMMYFUNCTION("""COMPUTED_VALUE"""),"Prosek")</f>
        <v>Prosek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IFERROR(__xludf.DUMMYFUNCTION("""COMPUTED_VALUE"""),188.5)</f>
        <v>188.5</v>
      </c>
      <c r="W39" s="87">
        <f>IFERROR(__xludf.DUMMYFUNCTION("""COMPUTED_VALUE"""),28443.133)</f>
        <v>28443.133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 t="str">
        <f>IFERROR(__xludf.DUMMYFUNCTION("""COMPUTED_VALUE"""),"Fáberová Kateřina")</f>
        <v>Fáberová Kateřina</v>
      </c>
      <c r="E40" s="84" t="str">
        <f>IFERROR(__xludf.DUMMYFUNCTION("""COMPUTED_VALUE"""),"Prosek")</f>
        <v>Prosek</v>
      </c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IFERROR(__xludf.DUMMYFUNCTION("""COMPUTED_VALUE"""),40.0)</f>
        <v>40</v>
      </c>
      <c r="W40" s="87">
        <f>IFERROR(__xludf.DUMMYFUNCTION("""COMPUTED_VALUE"""),6612.32)</f>
        <v>6612.32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 t="str">
        <f>IFERROR(__xludf.DUMMYFUNCTION("""COMPUTED_VALUE"""),"Chlubnová Adéla")</f>
        <v>Chlubnová Adéla</v>
      </c>
      <c r="E41" s="84" t="str">
        <f>IFERROR(__xludf.DUMMYFUNCTION("""COMPUTED_VALUE"""),"Chodov")</f>
        <v>Chodov</v>
      </c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IFERROR(__xludf.DUMMYFUNCTION("""COMPUTED_VALUE"""),165.5)</f>
        <v>165.5</v>
      </c>
      <c r="W41" s="87">
        <f>IFERROR(__xludf.DUMMYFUNCTION("""COMPUTED_VALUE"""),25286.199)</f>
        <v>25286.199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IFERROR(__xludf.DUMMYFUNCTION("""COMPUTED_VALUE"""),0.0)</f>
        <v>0</v>
      </c>
      <c r="W42" s="87">
        <f>IFERROR(__xludf.DUMMYFUNCTION("""COMPUTED_VALUE"""),0.0)</f>
        <v>0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IFERROR(__xludf.DUMMYFUNCTION("""COMPUTED_VALUE"""),4354.0)</f>
        <v>4354</v>
      </c>
      <c r="W60" s="87">
        <f>IFERROR(__xludf.DUMMYFUNCTION("""COMPUTED_VALUE"""),945614.6479999999)</f>
        <v>945614.648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IFERROR(__xludf.DUMMYFUNCTION("""COMPUTED_VALUE"""),26058.0)</f>
        <v>26058</v>
      </c>
      <c r="W65" s="87">
        <f>IFERROR(__xludf.DUMMYFUNCTION("""COMPUTED_VALUE"""),130.29)</f>
        <v>130.29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IFERROR(__xludf.DUMMYFUNCTION("""COMPUTED_VALUE"""),106.5)</f>
        <v>106.5</v>
      </c>
      <c r="W75" s="87">
        <f>IFERROR(__xludf.DUMMYFUNCTION("""COMPUTED_VALUE"""),15975.0)</f>
        <v>15975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IFERROR(__xludf.DUMMYFUNCTION("""COMPUTED_VALUE"""),138.0)</f>
        <v>138</v>
      </c>
      <c r="W76" s="87">
        <f>IFERROR(__xludf.DUMMYFUNCTION("""COMPUTED_VALUE"""),22828.4)</f>
        <v>22828.4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IFERROR(__xludf.DUMMYFUNCTION("""COMPUTED_VALUE"""),7.0)</f>
        <v>7</v>
      </c>
      <c r="W77" s="87">
        <f>IFERROR(__xludf.DUMMYFUNCTION("""COMPUTED_VALUE"""),1070.524)</f>
        <v>1070.524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IFERROR(__xludf.DUMMYFUNCTION("""COMPUTED_VALUE"""),30.0)</f>
        <v>30</v>
      </c>
      <c r="W78" s="87">
        <f>IFERROR(__xludf.DUMMYFUNCTION("""COMPUTED_VALUE"""),5304.0)</f>
        <v>5304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IFERROR(__xludf.DUMMYFUNCTION("""COMPUTED_VALUE"""),23.0)</f>
        <v>23</v>
      </c>
      <c r="W79" s="87">
        <f>IFERROR(__xludf.DUMMYFUNCTION("""COMPUTED_VALUE"""),3517.436)</f>
        <v>3517.436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IFERROR(__xludf.DUMMYFUNCTION("""COMPUTED_VALUE"""),98.0)</f>
        <v>98</v>
      </c>
      <c r="W80" s="87">
        <f>IFERROR(__xludf.DUMMYFUNCTION("""COMPUTED_VALUE"""),16021.284000000001)</f>
        <v>16021.284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 t="str">
        <f>IFERROR(__xludf.DUMMYFUNCTION("""COMPUTED_VALUE"""),"Malešice")</f>
        <v>Malešice</v>
      </c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IFERROR(__xludf.DUMMYFUNCTION("""COMPUTED_VALUE"""),168.0)</f>
        <v>168</v>
      </c>
      <c r="W81" s="87">
        <f>IFERROR(__xludf.DUMMYFUNCTION("""COMPUTED_VALUE"""),23902.976000000002)</f>
        <v>23902.976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IFERROR(__xludf.DUMMYFUNCTION("""COMPUTED_VALUE"""),30.5)</f>
        <v>30.5</v>
      </c>
      <c r="W83" s="87">
        <f>IFERROR(__xludf.DUMMYFUNCTION("""COMPUTED_VALUE"""),4664.426)</f>
        <v>4664.426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IFERROR(__xludf.DUMMYFUNCTION("""COMPUTED_VALUE"""),58.5)</f>
        <v>58.5</v>
      </c>
      <c r="W84" s="87">
        <f>IFERROR(__xludf.DUMMYFUNCTION("""COMPUTED_VALUE"""),9670.518)</f>
        <v>9670.518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IFERROR(__xludf.DUMMYFUNCTION("""COMPUTED_VALUE"""),44.0)</f>
        <v>44</v>
      </c>
      <c r="W85" s="87">
        <f>IFERROR(__xludf.DUMMYFUNCTION("""COMPUTED_VALUE"""),6600.0)</f>
        <v>6600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IFERROR(__xludf.DUMMYFUNCTION("""COMPUTED_VALUE"""),"Mikuš Pavel")</f>
        <v>Mikuš Pavel</v>
      </c>
      <c r="E86" s="84" t="str">
        <f>IFERROR(__xludf.DUMMYFUNCTION("""COMPUTED_VALUE"""),"Prosek")</f>
        <v>Prosek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/>
      </c>
      <c r="C87" s="84" t="b">
        <f>IFERROR(__xludf.DUMMYFUNCTION("""COMPUTED_VALUE"""),FALSE)</f>
        <v>0</v>
      </c>
      <c r="D87" s="84" t="str">
        <f>IFERROR(__xludf.DUMMYFUNCTION("""COMPUTED_VALUE"""),"Hyský Aleš")</f>
        <v>Hyský Aleš</v>
      </c>
      <c r="E87" s="84" t="str">
        <f>IFERROR(__xludf.DUMMYFUNCTION("""COMPUTED_VALUE"""),"Chodov")</f>
        <v>Chodov</v>
      </c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IFERROR(__xludf.DUMMYFUNCTION("""COMPUTED_VALUE"""),18.0)</f>
        <v>18</v>
      </c>
      <c r="W87" s="87">
        <f>IFERROR(__xludf.DUMMYFUNCTION("""COMPUTED_VALUE"""),2752.776)</f>
        <v>2752.776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IFERROR(__xludf.DUMMYFUNCTION("""COMPUTED_VALUE"""),"Šmídová Sabina")</f>
        <v>Šmídová Sabina</v>
      </c>
      <c r="E88" s="84" t="str">
        <f>IFERROR(__xludf.DUMMYFUNCTION("""COMPUTED_VALUE"""),"Chodov")</f>
        <v>Chodov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>Lažek Jaroslav</v>
      </c>
      <c r="C89" s="84" t="b">
        <f>IFERROR(__xludf.DUMMYFUNCTION("""COMPUTED_VALUE"""),FALSE)</f>
        <v>0</v>
      </c>
      <c r="D89" s="84" t="str">
        <f>IFERROR(__xludf.DUMMYFUNCTION("""COMPUTED_VALUE"""),"Lažek Jaroslav")</f>
        <v>Lažek Jaroslav</v>
      </c>
      <c r="E89" s="84" t="str">
        <f>IFERROR(__xludf.DUMMYFUNCTION("""COMPUTED_VALUE"""),"Libuš")</f>
        <v>Libuš</v>
      </c>
      <c r="F89" s="84" t="str">
        <f>IFERROR(__xludf.DUMMYFUNCTION("""COMPUTED_VALUE"""),"Chodov")</f>
        <v>Chodov</v>
      </c>
      <c r="G89" s="84" t="str">
        <f>IFERROR(__xludf.DUMMYFUNCTION("""COMPUTED_VALUE"""),"Malešice")</f>
        <v>Malešice</v>
      </c>
      <c r="H89" s="84" t="str">
        <f>IFERROR(__xludf.DUMMYFUNCTION("""COMPUTED_VALUE"""),"Výroba")</f>
        <v>Výroba</v>
      </c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IFERROR(__xludf.DUMMYFUNCTION("""COMPUTED_VALUE"""),78.0)</f>
        <v>78</v>
      </c>
      <c r="W89" s="87">
        <f>IFERROR(__xludf.DUMMYFUNCTION("""COMPUTED_VALUE"""),13260.0)</f>
        <v>13260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IFERROR(__xludf.DUMMYFUNCTION("""COMPUTED_VALUE"""),"Kormash Liubov")</f>
        <v>Kormash Liubov</v>
      </c>
      <c r="E90" s="84" t="str">
        <f>IFERROR(__xludf.DUMMYFUNCTION("""COMPUTED_VALUE"""),"Zličín")</f>
        <v>Zličín</v>
      </c>
      <c r="F90" s="84" t="str">
        <f>IFERROR(__xludf.DUMMYFUNCTION("""COMPUTED_VALUE"""),"Prosek")</f>
        <v>Prosek</v>
      </c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IFERROR(__xludf.DUMMYFUNCTION("""COMPUTED_VALUE"""),141.0)</f>
        <v>141</v>
      </c>
      <c r="W90" s="87">
        <f>IFERROR(__xludf.DUMMYFUNCTION("""COMPUTED_VALUE"""),22560.0)</f>
        <v>22560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/>
      </c>
      <c r="C91" s="84" t="b">
        <f>IFERROR(__xludf.DUMMYFUNCTION("""COMPUTED_VALUE"""),FALSE)</f>
        <v>0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IFERROR(__xludf.DUMMYFUNCTION("""COMPUTED_VALUE"""),0.0)</f>
        <v>0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>Chlubna Tomáš</v>
      </c>
      <c r="C93" s="84" t="b">
        <f>IFERROR(__xludf.DUMMYFUNCTION("""COMPUTED_VALUE"""),FALSE)</f>
        <v>0</v>
      </c>
      <c r="D93" s="84" t="str">
        <f>IFERROR(__xludf.DUMMYFUNCTION("""COMPUTED_VALUE"""),"Chlubna Tomáš")</f>
        <v>Chlubna Tomáš</v>
      </c>
      <c r="E93" s="84" t="str">
        <f>IFERROR(__xludf.DUMMYFUNCTION("""COMPUTED_VALUE"""),"Chodov")</f>
        <v>Chodov</v>
      </c>
      <c r="F93" s="84" t="str">
        <f>IFERROR(__xludf.DUMMYFUNCTION("""COMPUTED_VALUE"""),"Libuš")</f>
        <v>Libuš</v>
      </c>
      <c r="G93" s="84" t="str">
        <f>IFERROR(__xludf.DUMMYFUNCTION("""COMPUTED_VALUE"""),"Výroba")</f>
        <v>Výroba</v>
      </c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IFERROR(__xludf.DUMMYFUNCTION("""COMPUTED_VALUE"""),228.0)</f>
        <v>228</v>
      </c>
      <c r="W93" s="87">
        <f>IFERROR(__xludf.DUMMYFUNCTION("""COMPUTED_VALUE"""),33864.824)</f>
        <v>33864.824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IFERROR(__xludf.DUMMYFUNCTION("""COMPUTED_VALUE"""),"Vychivskyi Volodymyr")</f>
        <v>Vychivskyi Volodymyr</v>
      </c>
      <c r="E94" s="84" t="str">
        <f>IFERROR(__xludf.DUMMYFUNCTION("""COMPUTED_VALUE"""),"Malešice")</f>
        <v>Malešice</v>
      </c>
      <c r="F94" s="84" t="str">
        <f>IFERROR(__xludf.DUMMYFUNCTION("""COMPUTED_VALUE"""),"Prosek")</f>
        <v>Prosek</v>
      </c>
      <c r="G94" s="84" t="str">
        <f>IFERROR(__xludf.DUMMYFUNCTION("""COMPUTED_VALUE"""),"Zličín")</f>
        <v>Zličín</v>
      </c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IFERROR(__xludf.DUMMYFUNCTION("""COMPUTED_VALUE"""),281.0)</f>
        <v>281</v>
      </c>
      <c r="W94" s="87">
        <f>IFERROR(__xludf.DUMMYFUNCTION("""COMPUTED_VALUE"""),41139.49800000001)</f>
        <v>41139.498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>Hřebík Martin</v>
      </c>
      <c r="C96" s="84" t="b">
        <f>IFERROR(__xludf.DUMMYFUNCTION("""COMPUTED_VALUE"""),FALSE)</f>
        <v>0</v>
      </c>
      <c r="D96" s="84" t="str">
        <f>IFERROR(__xludf.DUMMYFUNCTION("""COMPUTED_VALUE"""),"Hřebík Martin")</f>
        <v>Hřebík Martin</v>
      </c>
      <c r="E96" s="84" t="str">
        <f>IFERROR(__xludf.DUMMYFUNCTION("""COMPUTED_VALUE"""),"Výroba")</f>
        <v>Výroba</v>
      </c>
      <c r="F96" s="84" t="str">
        <f>IFERROR(__xludf.DUMMYFUNCTION("""COMPUTED_VALUE"""),"Chodov")</f>
        <v>Chodov</v>
      </c>
      <c r="G96" s="84" t="str">
        <f>IFERROR(__xludf.DUMMYFUNCTION("""COMPUTED_VALUE"""),"Prosek")</f>
        <v>Prosek</v>
      </c>
      <c r="H96" s="84" t="str">
        <f>IFERROR(__xludf.DUMMYFUNCTION("""COMPUTED_VALUE"""),"Libuš")</f>
        <v>Libuš</v>
      </c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IFERROR(__xludf.DUMMYFUNCTION("""COMPUTED_VALUE"""),142.0)</f>
        <v>142</v>
      </c>
      <c r="W96" s="87">
        <f>IFERROR(__xludf.DUMMYFUNCTION("""COMPUTED_VALUE"""),44995.2)</f>
        <v>44995.2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IFERROR(__xludf.DUMMYFUNCTION("""COMPUTED_VALUE"""),"Eszenyiová Patrícia")</f>
        <v>Eszenyiová Patrícia</v>
      </c>
      <c r="E97" s="84" t="str">
        <f>IFERROR(__xludf.DUMMYFUNCTION("""COMPUTED_VALUE"""),"Libuš")</f>
        <v>Libuš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IFERROR(__xludf.DUMMYFUNCTION("""COMPUTED_VALUE"""),75.5)</f>
        <v>75.5</v>
      </c>
      <c r="W97" s="87">
        <f>IFERROR(__xludf.DUMMYFUNCTION("""COMPUTED_VALUE"""),12480.754)</f>
        <v>12480.754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IFERROR(__xludf.DUMMYFUNCTION("""COMPUTED_VALUE"""),"Reischl Jan")</f>
        <v>Reischl Jan</v>
      </c>
      <c r="E98" s="84" t="str">
        <f>IFERROR(__xludf.DUMMYFUNCTION("""COMPUTED_VALUE"""),"Malešice")</f>
        <v>Malešice</v>
      </c>
      <c r="F98" s="84" t="str">
        <f>IFERROR(__xludf.DUMMYFUNCTION("""COMPUTED_VALUE"""),"Chodov")</f>
        <v>Chodov</v>
      </c>
      <c r="G98" s="84" t="str">
        <f>IFERROR(__xludf.DUMMYFUNCTION("""COMPUTED_VALUE"""),"Libuš")</f>
        <v>Libuš</v>
      </c>
      <c r="H98" s="84" t="str">
        <f>IFERROR(__xludf.DUMMYFUNCTION("""COMPUTED_VALUE"""),"Prosek")</f>
        <v>Prosek</v>
      </c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IFERROR(__xludf.DUMMYFUNCTION("""COMPUTED_VALUE"""),24.5)</f>
        <v>24.5</v>
      </c>
      <c r="W98" s="87">
        <f>IFERROR(__xludf.DUMMYFUNCTION("""COMPUTED_VALUE"""),3465.2799999999997)</f>
        <v>3465.28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IFERROR(__xludf.DUMMYFUNCTION("""COMPUTED_VALUE"""),"Mikešová Adéla")</f>
        <v>Mikešová Adéla</v>
      </c>
      <c r="E99" s="84" t="str">
        <f>IFERROR(__xludf.DUMMYFUNCTION("""COMPUTED_VALUE"""),"Bolevec")</f>
        <v>Bolevec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IFERROR(__xludf.DUMMYFUNCTION("""COMPUTED_VALUE"""),53.0)</f>
        <v>53</v>
      </c>
      <c r="W99" s="87">
        <f>IFERROR(__xludf.DUMMYFUNCTION("""COMPUTED_VALUE"""),7496.32)</f>
        <v>7496.32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IFERROR(__xludf.DUMMYFUNCTION("""COMPUTED_VALUE"""),"Pražák Aleš")</f>
        <v>Pražák Aleš</v>
      </c>
      <c r="E100" s="84" t="str">
        <f>IFERROR(__xludf.DUMMYFUNCTION("""COMPUTED_VALUE"""),"Chodov")</f>
        <v>Chodov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IFERROR(__xludf.DUMMYFUNCTION("""COMPUTED_VALUE"""),"Chyský David")</f>
        <v>Chyský David</v>
      </c>
      <c r="E101" s="84" t="str">
        <f>IFERROR(__xludf.DUMMYFUNCTION("""COMPUTED_VALUE"""),"Chodov")</f>
        <v>Chodov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IFERROR(__xludf.DUMMYFUNCTION("""COMPUTED_VALUE"""),"Kulinič Michail")</f>
        <v>Kulinič Michail</v>
      </c>
      <c r="E104" s="84" t="str">
        <f>IFERROR(__xludf.DUMMYFUNCTION("""COMPUTED_VALUE"""),"Prosek")</f>
        <v>Prosek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IFERROR(__xludf.DUMMYFUNCTION("""COMPUTED_VALUE"""),"Kalina Filip")</f>
        <v>Kalina Filip</v>
      </c>
      <c r="E105" s="84" t="str">
        <f>IFERROR(__xludf.DUMMYFUNCTION("""COMPUTED_VALUE"""),"Malešice")</f>
        <v>Malešice</v>
      </c>
      <c r="F105" s="84" t="str">
        <f>IFERROR(__xludf.DUMMYFUNCTION("""COMPUTED_VALUE"""),"Libuš")</f>
        <v>Libuš</v>
      </c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IFERROR(__xludf.DUMMYFUNCTION("""COMPUTED_VALUE"""),107.0)</f>
        <v>107</v>
      </c>
      <c r="W105" s="87">
        <f>IFERROR(__xludf.DUMMYFUNCTION("""COMPUTED_VALUE"""),16157.074)</f>
        <v>16157.074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IFERROR(__xludf.DUMMYFUNCTION("""COMPUTED_VALUE"""),"Kaločai Rudolf")</f>
        <v>Kaločai Rudolf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IFERROR(__xludf.DUMMYFUNCTION("""COMPUTED_VALUE"""),215.0)</f>
        <v>215</v>
      </c>
      <c r="W107" s="87">
        <f>IFERROR(__xludf.DUMMYFUNCTION("""COMPUTED_VALUE"""),30100.0)</f>
        <v>30100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IFERROR(__xludf.DUMMYFUNCTION("""COMPUTED_VALUE"""),"Dušek Sam")</f>
        <v>Dušek Sam</v>
      </c>
      <c r="E108" s="84" t="str">
        <f>IFERROR(__xludf.DUMMYFUNCTION("""COMPUTED_VALUE"""),"Libuš")</f>
        <v>Libuš</v>
      </c>
      <c r="F108" s="84" t="str">
        <f>IFERROR(__xludf.DUMMYFUNCTION("""COMPUTED_VALUE"""),"Malešice")</f>
        <v>Malešice</v>
      </c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IFERROR(__xludf.DUMMYFUNCTION("""COMPUTED_VALUE"""),76.5)</f>
        <v>76.5</v>
      </c>
      <c r="W108" s="87">
        <f>IFERROR(__xludf.DUMMYFUNCTION("""COMPUTED_VALUE"""),12646.062)</f>
        <v>12646.062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IFERROR(__xludf.DUMMYFUNCTION("""COMPUTED_VALUE"""),"Kačena Stanislav")</f>
        <v>Kačena Stanislav</v>
      </c>
      <c r="E109" s="84" t="str">
        <f>IFERROR(__xludf.DUMMYFUNCTION("""COMPUTED_VALUE"""),"Prosek")</f>
        <v>Prosek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IFERROR(__xludf.DUMMYFUNCTION("""COMPUTED_VALUE"""),19.0)</f>
        <v>19</v>
      </c>
      <c r="W109" s="87">
        <f>IFERROR(__xludf.DUMMYFUNCTION("""COMPUTED_VALUE"""),2905.708)</f>
        <v>2905.708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IFERROR(__xludf.DUMMYFUNCTION("""COMPUTED_VALUE"""),"Cieslar Marek")</f>
        <v>Cieslar Marek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IFERROR(__xludf.DUMMYFUNCTION("""COMPUTED_VALUE"""),60.0)</f>
        <v>60</v>
      </c>
      <c r="W110" s="87">
        <f>IFERROR(__xludf.DUMMYFUNCTION("""COMPUTED_VALUE"""),8486.4)</f>
        <v>8486.4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IFERROR(__xludf.DUMMYFUNCTION("""COMPUTED_VALUE"""),"Banga Adam")</f>
        <v>Banga Adam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IFERROR(__xludf.DUMMYFUNCTION("""COMPUTED_VALUE"""),15.0)</f>
        <v>15</v>
      </c>
      <c r="W111" s="87">
        <f>IFERROR(__xludf.DUMMYFUNCTION("""COMPUTED_VALUE"""),2293.98)</f>
        <v>2293.98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IFERROR(__xludf.DUMMYFUNCTION("""COMPUTED_VALUE"""),"Vopatová Anna")</f>
        <v>Vopatová Anna</v>
      </c>
      <c r="E112" s="84" t="str">
        <f>IFERROR(__xludf.DUMMYFUNCTION("""COMPUTED_VALUE"""),"Bolevec")</f>
        <v>Bolevec</v>
      </c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IFERROR(__xludf.DUMMYFUNCTION("""COMPUTED_VALUE"""),17.5)</f>
        <v>17.5</v>
      </c>
      <c r="W112" s="87">
        <f>IFERROR(__xludf.DUMMYFUNCTION("""COMPUTED_VALUE"""),2475.2)</f>
        <v>2475.2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IFERROR(__xludf.DUMMYFUNCTION("""COMPUTED_VALUE"""),"Vopatová Šárka")</f>
        <v>Vopatová Šárka</v>
      </c>
      <c r="E113" s="84" t="str">
        <f>IFERROR(__xludf.DUMMYFUNCTION("""COMPUTED_VALUE"""),"Bolevec")</f>
        <v>Bolevec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IFERROR(__xludf.DUMMYFUNCTION("""COMPUTED_VALUE"""),24.0)</f>
        <v>24</v>
      </c>
      <c r="W113" s="87">
        <f>IFERROR(__xludf.DUMMYFUNCTION("""COMPUTED_VALUE"""),3394.56)</f>
        <v>3394.56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IFERROR(__xludf.DUMMYFUNCTION("""COMPUTED_VALUE"""),"Richterová Monika")</f>
        <v>Richterová Monika</v>
      </c>
      <c r="E114" s="84" t="str">
        <f>IFERROR(__xludf.DUMMYFUNCTION("""COMPUTED_VALUE"""),"Malešice")</f>
        <v>Malešice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IFERROR(__xludf.DUMMYFUNCTION("""COMPUTED_VALUE"""),"Serin David")</f>
        <v>Serin David</v>
      </c>
      <c r="E115" s="84" t="str">
        <f>IFERROR(__xludf.DUMMYFUNCTION("""COMPUTED_VALUE"""),"Libuš")</f>
        <v>Libuš</v>
      </c>
      <c r="F115" s="84" t="str">
        <f>IFERROR(__xludf.DUMMYFUNCTION("""COMPUTED_VALUE"""),"Malešice")</f>
        <v>Malešice</v>
      </c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IFERROR(__xludf.DUMMYFUNCTION("""COMPUTED_VALUE"""),58.0)</f>
        <v>58</v>
      </c>
      <c r="W115" s="87">
        <f>IFERROR(__xludf.DUMMYFUNCTION("""COMPUTED_VALUE"""),9587.864)</f>
        <v>9587.864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IFERROR(__xludf.DUMMYFUNCTION("""COMPUTED_VALUE"""),"Fabera Tomáš")</f>
        <v>Fabera Tomáš</v>
      </c>
      <c r="E116" s="84" t="str">
        <f>IFERROR(__xludf.DUMMYFUNCTION("""COMPUTED_VALUE"""),"Chodov")</f>
        <v>Chodov</v>
      </c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IFERROR(__xludf.DUMMYFUNCTION("""COMPUTED_VALUE"""),16.5)</f>
        <v>16.5</v>
      </c>
      <c r="W116" s="87">
        <f>IFERROR(__xludf.DUMMYFUNCTION("""COMPUTED_VALUE"""),2523.378)</f>
        <v>2523.378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 t="str">
        <f>IFERROR(__xludf.DUMMYFUNCTION("""COMPUTED_VALUE"""),"Hendrych Rostislav")</f>
        <v>Hendrych Rostislav</v>
      </c>
      <c r="E117" s="84" t="str">
        <f>IFERROR(__xludf.DUMMYFUNCTION("""COMPUTED_VALUE"""),"Malešice")</f>
        <v>Malešice</v>
      </c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IFERROR(__xludf.DUMMYFUNCTION("""COMPUTED_VALUE"""),218.0)</f>
        <v>218</v>
      </c>
      <c r="W117" s="87">
        <f>IFERROR(__xludf.DUMMYFUNCTION("""COMPUTED_VALUE"""),32492.244)</f>
        <v>32492.244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 t="str">
        <f>IFERROR(__xludf.DUMMYFUNCTION("""COMPUTED_VALUE"""),"Světlík František")</f>
        <v>Světlík František</v>
      </c>
      <c r="E119" s="84" t="str">
        <f>IFERROR(__xludf.DUMMYFUNCTION("""COMPUTED_VALUE"""),"Bolevec")</f>
        <v>Bolevec</v>
      </c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IFERROR(__xludf.DUMMYFUNCTION("""COMPUTED_VALUE"""),48.0)</f>
        <v>48</v>
      </c>
      <c r="W119" s="87">
        <f>IFERROR(__xludf.DUMMYFUNCTION("""COMPUTED_VALUE"""),6789.12)</f>
        <v>6789.12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 t="str">
        <f>IFERROR(__xludf.DUMMYFUNCTION("""COMPUTED_VALUE"""),"Ženíšek Lukáš")</f>
        <v>Ženíšek Lukáš</v>
      </c>
      <c r="E120" s="84" t="str">
        <f>IFERROR(__xludf.DUMMYFUNCTION("""COMPUTED_VALUE"""),"Bolevec")</f>
        <v>Bolevec</v>
      </c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IFERROR(__xludf.DUMMYFUNCTION("""COMPUTED_VALUE"""),30.5)</f>
        <v>30.5</v>
      </c>
      <c r="W120" s="87">
        <f>IFERROR(__xludf.DUMMYFUNCTION("""COMPUTED_VALUE"""),4313.92)</f>
        <v>4313.92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/>
      <c r="E121" s="84" t="str">
        <f>IFERROR(__xludf.DUMMYFUNCTION("""COMPUTED_VALUE"""),"Chodov")</f>
        <v>Chodov</v>
      </c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 t="str">
        <f>IFERROR(__xludf.DUMMYFUNCTION("""COMPUTED_VALUE"""),"Roth Stanislav st.")</f>
        <v>Roth Stanislav st.</v>
      </c>
      <c r="E122" s="84" t="str">
        <f>IFERROR(__xludf.DUMMYFUNCTION("""COMPUTED_VALUE"""),"Bolevec")</f>
        <v>Bolevec</v>
      </c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IFERROR(__xludf.DUMMYFUNCTION("""COMPUTED_VALUE"""),29728.0)</f>
        <v>29728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 t="str">
        <f>IFERROR(__xludf.DUMMYFUNCTION("""COMPUTED_VALUE"""),"Vaníková Anna")</f>
        <v>Vaníková Anna</v>
      </c>
      <c r="E125" s="84" t="str">
        <f>IFERROR(__xludf.DUMMYFUNCTION("""COMPUTED_VALUE"""),"Zličín")</f>
        <v>Zličín</v>
      </c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IFERROR(__xludf.DUMMYFUNCTION("""COMPUTED_VALUE"""),53.0)</f>
        <v>53</v>
      </c>
      <c r="W125" s="87">
        <f>IFERROR(__xludf.DUMMYFUNCTION("""COMPUTED_VALUE"""),8105.396)</f>
        <v>8105.396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 t="str">
        <f>IFERROR(__xludf.DUMMYFUNCTION("""COMPUTED_VALUE"""),"Břicháč Pavel")</f>
        <v>Břicháč Pavel</v>
      </c>
      <c r="E126" s="84" t="str">
        <f>IFERROR(__xludf.DUMMYFUNCTION("""COMPUTED_VALUE"""),"Libuš")</f>
        <v>Libuš</v>
      </c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IFERROR(__xludf.DUMMYFUNCTION("""COMPUTED_VALUE"""),81.5)</f>
        <v>81.5</v>
      </c>
      <c r="W126" s="87">
        <f>IFERROR(__xludf.DUMMYFUNCTION("""COMPUTED_VALUE"""),12463.958)</f>
        <v>12463.958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 t="str">
        <f>IFERROR(__xludf.DUMMYFUNCTION("""COMPUTED_VALUE"""),"Čerešňák Michal")</f>
        <v>Čerešňák Michal</v>
      </c>
      <c r="E127" s="84" t="str">
        <f>IFERROR(__xludf.DUMMYFUNCTION("""COMPUTED_VALUE"""),"Zličín")</f>
        <v>Zličín</v>
      </c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90">
        <f>IFERROR(__xludf.DUMMYFUNCTION("""COMPUTED_VALUE"""),42.0)</f>
        <v>42</v>
      </c>
      <c r="W127" s="87">
        <f>IFERROR(__xludf.DUMMYFUNCTION("""COMPUTED_VALUE"""),7140.0)</f>
        <v>7140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 t="str">
        <f>IFERROR(__xludf.DUMMYFUNCTION("""COMPUTED_VALUE"""),"Weindling Josef")</f>
        <v>Weindling Josef</v>
      </c>
      <c r="E128" s="84" t="str">
        <f>IFERROR(__xludf.DUMMYFUNCTION("""COMPUTED_VALUE"""),"Libuš")</f>
        <v>Libuš</v>
      </c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7">
        <f>IFERROR(__xludf.DUMMYFUNCTION("""COMPUTED_VALUE"""),0.0)</f>
        <v>0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 t="str">
        <f>IFERROR(__xludf.DUMMYFUNCTION("""COMPUTED_VALUE"""),"Fux Vojtěch")</f>
        <v>Fux Vojtěch</v>
      </c>
      <c r="E129" s="84" t="str">
        <f>IFERROR(__xludf.DUMMYFUNCTION("""COMPUTED_VALUE"""),"Chodov")</f>
        <v>Chodov</v>
      </c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7">
        <f>IFERROR(__xludf.DUMMYFUNCTION("""COMPUTED_VALUE"""),0.0)</f>
        <v>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7">
        <f>IFERROR(__xludf.DUMMYFUNCTION("""COMPUTED_VALUE"""),0.0)</f>
        <v>0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7">
        <f>IFERROR(__xludf.DUMMYFUNCTION("""COMPUTED_VALUE"""),0.0)</f>
        <v>0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IFERROR(__xludf.DUMMYFUNCTION("""COMPUTED_VALUE"""),2826.0)</f>
        <v>2826</v>
      </c>
      <c r="W196" s="87">
        <f>IFERROR(__xludf.DUMMYFUNCTION("""COMPUTED_VALUE"""),483172.0800000001)</f>
        <v>483172.08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24</v>
      </c>
      <c r="C1" s="94" t="s">
        <v>4</v>
      </c>
      <c r="D1" s="94" t="s">
        <v>7</v>
      </c>
      <c r="E1" s="94" t="s">
        <v>8</v>
      </c>
      <c r="F1" s="94" t="s">
        <v>25</v>
      </c>
      <c r="G1" s="94" t="s">
        <v>10</v>
      </c>
      <c r="H1" s="94" t="s">
        <v>26</v>
      </c>
      <c r="I1" s="94" t="s">
        <v>27</v>
      </c>
      <c r="J1" s="94" t="s">
        <v>12</v>
      </c>
      <c r="K1" s="94" t="s">
        <v>13</v>
      </c>
    </row>
    <row r="2">
      <c r="A2" s="95">
        <v>45528.0</v>
      </c>
      <c r="B2" s="94" t="s">
        <v>28</v>
      </c>
      <c r="C2" s="94" t="s">
        <v>29</v>
      </c>
      <c r="D2" s="96" t="s">
        <v>30</v>
      </c>
      <c r="E2" s="96" t="s">
        <v>31</v>
      </c>
      <c r="F2" s="96" t="s">
        <v>32</v>
      </c>
      <c r="G2" s="96" t="s">
        <v>33</v>
      </c>
      <c r="H2" s="97">
        <v>3728.0</v>
      </c>
    </row>
    <row r="3">
      <c r="A3" s="95">
        <v>45528.0</v>
      </c>
      <c r="B3" s="94" t="s">
        <v>28</v>
      </c>
      <c r="C3" s="94" t="s">
        <v>18</v>
      </c>
      <c r="D3" s="96" t="s">
        <v>34</v>
      </c>
      <c r="E3" s="96" t="s">
        <v>35</v>
      </c>
      <c r="F3" s="96" t="s">
        <v>32</v>
      </c>
      <c r="G3" s="96" t="s">
        <v>33</v>
      </c>
      <c r="H3" s="97">
        <v>3728.0</v>
      </c>
    </row>
    <row r="4">
      <c r="A4" s="95">
        <v>45528.0</v>
      </c>
      <c r="B4" s="94" t="s">
        <v>28</v>
      </c>
      <c r="C4" s="94" t="s">
        <v>20</v>
      </c>
      <c r="D4" s="96" t="s">
        <v>36</v>
      </c>
      <c r="E4" s="96" t="s">
        <v>34</v>
      </c>
      <c r="G4" s="96" t="s">
        <v>36</v>
      </c>
      <c r="H4" s="97">
        <v>3728.0</v>
      </c>
    </row>
    <row r="5">
      <c r="A5" s="95">
        <v>45528.0</v>
      </c>
      <c r="B5" s="94" t="s">
        <v>28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37</v>
      </c>
      <c r="C6" s="94" t="s">
        <v>29</v>
      </c>
      <c r="D6" s="96" t="s">
        <v>30</v>
      </c>
      <c r="E6" s="96" t="s">
        <v>31</v>
      </c>
      <c r="F6" s="96" t="s">
        <v>32</v>
      </c>
      <c r="G6" s="96" t="s">
        <v>33</v>
      </c>
      <c r="H6" s="97">
        <v>3728.0</v>
      </c>
    </row>
    <row r="7">
      <c r="A7" s="95">
        <v>45526.0</v>
      </c>
      <c r="B7" s="94" t="s">
        <v>37</v>
      </c>
      <c r="C7" s="94" t="s">
        <v>18</v>
      </c>
      <c r="D7" s="96" t="s">
        <v>34</v>
      </c>
      <c r="E7" s="96" t="s">
        <v>35</v>
      </c>
      <c r="F7" s="96" t="s">
        <v>32</v>
      </c>
      <c r="G7" s="96" t="s">
        <v>33</v>
      </c>
      <c r="H7" s="97">
        <v>3728.0</v>
      </c>
    </row>
    <row r="8">
      <c r="A8" s="95">
        <v>45526.0</v>
      </c>
      <c r="B8" s="94" t="s">
        <v>37</v>
      </c>
      <c r="C8" s="94" t="s">
        <v>20</v>
      </c>
      <c r="D8" s="96" t="s">
        <v>36</v>
      </c>
      <c r="E8" s="96" t="s">
        <v>34</v>
      </c>
      <c r="G8" s="96" t="s">
        <v>36</v>
      </c>
      <c r="H8" s="97">
        <v>3728.0</v>
      </c>
    </row>
    <row r="9">
      <c r="A9" s="95">
        <v>45526.0</v>
      </c>
      <c r="B9" s="94" t="s">
        <v>37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37</v>
      </c>
      <c r="C10" s="94" t="s">
        <v>29</v>
      </c>
      <c r="D10" s="96" t="s">
        <v>30</v>
      </c>
      <c r="E10" s="96" t="s">
        <v>31</v>
      </c>
      <c r="F10" s="96" t="s">
        <v>32</v>
      </c>
      <c r="G10" s="96" t="s">
        <v>33</v>
      </c>
      <c r="H10" s="97">
        <v>3728.0</v>
      </c>
    </row>
    <row r="11">
      <c r="A11" s="95">
        <v>45526.0</v>
      </c>
      <c r="B11" s="94" t="s">
        <v>37</v>
      </c>
      <c r="C11" s="94" t="s">
        <v>18</v>
      </c>
      <c r="D11" s="96" t="s">
        <v>34</v>
      </c>
      <c r="E11" s="96" t="s">
        <v>35</v>
      </c>
      <c r="F11" s="96" t="s">
        <v>32</v>
      </c>
      <c r="G11" s="96" t="s">
        <v>33</v>
      </c>
      <c r="H11" s="97">
        <v>3728.0</v>
      </c>
    </row>
    <row r="12">
      <c r="A12" s="95">
        <v>45526.0</v>
      </c>
      <c r="B12" s="94" t="s">
        <v>37</v>
      </c>
      <c r="C12" s="94" t="s">
        <v>20</v>
      </c>
      <c r="D12" s="96" t="s">
        <v>36</v>
      </c>
      <c r="E12" s="96" t="s">
        <v>34</v>
      </c>
      <c r="G12" s="96" t="s">
        <v>36</v>
      </c>
      <c r="H12" s="97">
        <v>3728.0</v>
      </c>
    </row>
    <row r="13">
      <c r="A13" s="95">
        <v>45526.0</v>
      </c>
      <c r="B13" s="94" t="s">
        <v>37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38</v>
      </c>
    </row>
    <row r="15">
      <c r="A15" s="95">
        <v>45533.0</v>
      </c>
      <c r="B15" s="94" t="s">
        <v>37</v>
      </c>
    </row>
    <row r="16">
      <c r="A16" s="95">
        <v>45534.0</v>
      </c>
      <c r="B16" s="94" t="s">
        <v>39</v>
      </c>
    </row>
    <row r="17">
      <c r="A17" s="95">
        <v>45535.0</v>
      </c>
      <c r="B17" s="94" t="s">
        <v>28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40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41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42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43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44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45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46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47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48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49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50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51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52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53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54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55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56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57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58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59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60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61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62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63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64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65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66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67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68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69</v>
      </c>
      <c r="AB141" s="94">
        <v>-10.0</v>
      </c>
    </row>
  </sheetData>
  <mergeCells count="1">
    <mergeCell ref="A1:H1"/>
  </mergeCells>
  <drawing r:id="rId1"/>
</worksheet>
</file>