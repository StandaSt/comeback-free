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<sst xmlns="http://schemas.openxmlformats.org/spreadsheetml/2006/main" count="131" uniqueCount="70">
  <si>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</si>
  <si>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</si>
  <si>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</si>
  <si>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</si>
  <si>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</si>
  <si>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</si>
  <si>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</si>
  <si>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</si>
  <si>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</si>
  <si>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</si>
  <si>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</si>
  <si>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</si>
  <si>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Suroviny</t>
  </si>
  <si>
    <t>Ostatní</t>
  </si>
  <si>
    <t>Vyber datum    &lt;----------&gt;</t>
  </si>
  <si>
    <t>Celkem hodin</t>
  </si>
  <si>
    <t>Počet dní</t>
  </si>
  <si>
    <t>Paziak Viktoriia</t>
  </si>
  <si>
    <t>Stepanenko Solomiia</t>
  </si>
  <si>
    <t>Kursheva Diana</t>
  </si>
  <si>
    <t>Hřebík Martin</t>
  </si>
  <si>
    <t>Chlubna Tomáš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</si>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</sst>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46154.0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J15"),40004.0)</f>
        <v>40004</v>
      </c>
      <c r="H2" s="16"/>
      <c r="K2" s="16"/>
    </row>
    <row r="3">
      <c r="A3" s="17"/>
      <c r="B3" s="18" t="str">
        <f>CHOOSE(WEEKDAY(D1), "Neděle", "Pondělí", "Úterý", "Středa", "Čtvrtek", "Pátek", "Sobota")</f>
        <v>Úterý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/>
      <c r="C14" s="40"/>
      <c r="D14" s="40"/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0:00</v>
      </c>
      <c r="G14" s="43" t="s">
        <v>12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0</v>
      </c>
      <c r="B15" s="47"/>
      <c r="C15" s="40"/>
      <c r="D15" s="40"/>
      <c r="E15" s="40"/>
      <c r="F15" s="42" t="str">
        <f t="shared" si="1"/>
        <v>0:00</v>
      </c>
      <c r="G15" s="48" t="s">
        <v>13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/>
      <c r="C16" s="40"/>
      <c r="D16" s="40"/>
      <c r="E16" s="52"/>
      <c r="F16" s="53" t="str">
        <f t="shared" si="1"/>
        <v>0:00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Viktoriia,Stepanenko Solomiia,Kursheva Diana,Chlubna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46113.0</v>
      </c>
      <c r="D1" s="63" t="s">
        <v>14</v>
      </c>
      <c r="E1" s="62">
        <v>46142.0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1224118.75</v>
      </c>
      <c r="H2" s="16"/>
    </row>
    <row r="3">
      <c r="A3" s="66"/>
      <c r="B3" s="67" t="str">
        <f>CHOOSE(WEEKDAY(C1), "Neděle", "Pondělí", "Úterý", "Středa", "Čtvrtek", "Pátek", "Sobota")</f>
        <v>Středa</v>
      </c>
      <c r="C3" s="10"/>
      <c r="D3" s="67" t="str">
        <f>CHOOSE(WEEKDAY(E1), "Neděle", "Pondělí", "Úterý", "Středa", "Čtvrtek", "Pátek", "Sobota")</f>
        <v>Čtvrtek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15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12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13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16</v>
      </c>
      <c r="D9" s="79" t="s">
        <v>10</v>
      </c>
      <c r="F9" s="64"/>
    </row>
    <row r="10" ht="18.75" customHeight="1">
      <c r="A10" s="71"/>
      <c r="B10" s="80" t="s">
        <v>17</v>
      </c>
      <c r="C10" s="81">
        <v>22.0</v>
      </c>
      <c r="D10" s="82">
        <v>176.0</v>
      </c>
    </row>
    <row r="11" ht="18.75" customHeight="1">
      <c r="A11" s="71"/>
      <c r="B11" s="80" t="s">
        <v>18</v>
      </c>
      <c r="C11" s="81">
        <v>19.0</v>
      </c>
      <c r="D11" s="82">
        <v>151.0</v>
      </c>
    </row>
    <row r="12" ht="18.75" customHeight="1">
      <c r="A12" s="71"/>
      <c r="B12" s="80" t="s">
        <v>19</v>
      </c>
      <c r="C12" s="81">
        <v>14.0</v>
      </c>
      <c r="D12" s="82">
        <v>112.0</v>
      </c>
    </row>
    <row r="13" ht="18.75" customHeight="1">
      <c r="A13" s="71"/>
      <c r="B13" s="80" t="s">
        <v>20</v>
      </c>
      <c r="C13" s="81">
        <v>13.0</v>
      </c>
      <c r="D13" s="83">
        <v>111.0</v>
      </c>
    </row>
    <row r="14" ht="18.75" customHeight="1">
      <c r="A14" s="71"/>
      <c r="B14" s="80" t="s">
        <v>21</v>
      </c>
      <c r="C14" s="81">
        <v>4.0</v>
      </c>
      <c r="D14" s="83">
        <v>21.0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""Mzdy!u1:v200"")"),46143.0)</f>
        <v>46143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22</v>
      </c>
      <c r="B4" s="88" t="s">
        <v>23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IFERROR(__xludf.DUMMYFUNCTION("""COMPUTED_VALUE"""),57.0)</f>
        <v>57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IFERROR(__xludf.DUMMYFUNCTION("""COMPUTED_VALUE"""),68.5)</f>
        <v>68.5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IFERROR(__xludf.DUMMYFUNCTION("""COMPUTED_VALUE"""),40.0)</f>
        <v>40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/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IFERROR(__xludf.DUMMYFUNCTION("""COMPUTED_VALUE"""),"Chodov")</f>
        <v>Chodov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IFERROR(__xludf.DUMMYFUNCTION("""COMPUTED_VALUE"""),51.5)</f>
        <v>51.5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IFERROR(__xludf.DUMMYFUNCTION("""COMPUTED_VALUE"""),61.5)</f>
        <v>61.5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IFERROR(__xludf.DUMMYFUNCTION("""COMPUTED_VALUE"""),56.0)</f>
        <v>56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IFERROR(__xludf.DUMMYFUNCTION("""COMPUTED_VALUE"""),38.0)</f>
        <v>38</v>
      </c>
      <c r="W11" s="87">
        <f>IFERROR(__xludf.DUMMYFUNCTION("""COMPUTED_VALUE"""),7423.832)</f>
        <v>7423.832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IFERROR(__xludf.DUMMYFUNCTION("""COMPUTED_VALUE"""),66.0)</f>
        <v>66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IFERROR(__xludf.DUMMYFUNCTION("""COMPUTED_VALUE"""),12.0)</f>
        <v>12</v>
      </c>
      <c r="W14" s="87">
        <f>IFERROR(__xludf.DUMMYFUNCTION("""COMPUTED_VALUE"""),1983.696)</f>
        <v>1983.696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IFERROR(__xludf.DUMMYFUNCTION("""COMPUTED_VALUE"""),57.0)</f>
        <v>57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IFERROR(__xludf.DUMMYFUNCTION("""COMPUTED_VALUE"""),69.0)</f>
        <v>69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IFERROR(__xludf.DUMMYFUNCTION("""COMPUTED_VALUE"""),21.5)</f>
        <v>21.5</v>
      </c>
      <c r="W17" s="87">
        <f>IFERROR(__xludf.DUMMYFUNCTION("""COMPUTED_VALUE"""),3801.2)</f>
        <v>3801.2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IFERROR(__xludf.DUMMYFUNCTION("""COMPUTED_VALUE"""),49.0)</f>
        <v>49</v>
      </c>
      <c r="W18" s="87">
        <f>IFERROR(__xludf.DUMMYFUNCTION("""COMPUTED_VALUE"""),9269.624)</f>
        <v>9269.624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IFERROR(__xludf.DUMMYFUNCTION("""COMPUTED_VALUE"""),6.0)</f>
        <v>6</v>
      </c>
      <c r="W19" s="87">
        <f>IFERROR(__xludf.DUMMYFUNCTION("""COMPUTED_VALUE"""),1352.52)</f>
        <v>1352.52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IFERROR(__xludf.DUMMYFUNCTION("""COMPUTED_VALUE"""),33.5)</f>
        <v>33.5</v>
      </c>
      <c r="W20" s="87">
        <f>IFERROR(__xludf.DUMMYFUNCTION("""COMPUTED_VALUE"""),5922.8)</f>
        <v>5922.8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IFERROR(__xludf.DUMMYFUNCTION("""COMPUTED_VALUE"""),51.0)</f>
        <v>51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IFERROR(__xludf.DUMMYFUNCTION("""COMPUTED_VALUE"""),126.5)</f>
        <v>126.5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IFERROR(__xludf.DUMMYFUNCTION("""COMPUTED_VALUE"""),52.0)</f>
        <v>52</v>
      </c>
      <c r="W23" s="87">
        <f>IFERROR(__xludf.DUMMYFUNCTION("""COMPUTED_VALUE"""),8596.016)</f>
        <v>8596.016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IFERROR(__xludf.DUMMYFUNCTION("""COMPUTED_VALUE"""),55.0)</f>
        <v>55</v>
      </c>
      <c r="W24" s="87">
        <f>IFERROR(__xludf.DUMMYFUNCTION("""COMPUTED_VALUE"""),9724.0)</f>
        <v>9724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IFERROR(__xludf.DUMMYFUNCTION("""COMPUTED_VALUE"""),16.0)</f>
        <v>16</v>
      </c>
      <c r="W25" s="87">
        <f>IFERROR(__xludf.DUMMYFUNCTION("""COMPUTED_VALUE"""),2446.912)</f>
        <v>2446.912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IFERROR(__xludf.DUMMYFUNCTION("""COMPUTED_VALUE"""),34.0)</f>
        <v>34</v>
      </c>
      <c r="W27" s="87">
        <f>IFERROR(__xludf.DUMMYFUNCTION("""COMPUTED_VALUE"""),6431.984)</f>
        <v>6431.984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IFERROR(__xludf.DUMMYFUNCTION("""COMPUTED_VALUE"""),"Chodov")</f>
        <v>Chodov</v>
      </c>
      <c r="F28" s="84" t="str">
        <f>IFERROR(__xludf.DUMMYFUNCTION("""COMPUTED_VALUE"""),"Malešice")</f>
        <v>Malešice</v>
      </c>
      <c r="G28" s="84" t="str">
        <f>IFERROR(__xludf.DUMMYFUNCTION("""COMPUTED_VALUE"""),"Zličín")</f>
        <v>Zličín</v>
      </c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IFERROR(__xludf.DUMMYFUNCTION("""COMPUTED_VALUE"""),59.0)</f>
        <v>59</v>
      </c>
      <c r="W28" s="87">
        <f>IFERROR(__xludf.DUMMYFUNCTION("""COMPUTED_VALUE"""),10431.2)</f>
        <v>10431.2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IFERROR(__xludf.DUMMYFUNCTION("""COMPUTED_VALUE"""),66.0)</f>
        <v>66</v>
      </c>
      <c r="W30" s="87">
        <f>IFERROR(__xludf.DUMMYFUNCTION("""COMPUTED_VALUE"""),10910.328)</f>
        <v>10910.328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IFERROR(__xludf.DUMMYFUNCTION("""COMPUTED_VALUE"""),44.0)</f>
        <v>44</v>
      </c>
      <c r="W31" s="87">
        <f>IFERROR(__xludf.DUMMYFUNCTION("""COMPUTED_VALUE"""),6729.008)</f>
        <v>6729.008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IFERROR(__xludf.DUMMYFUNCTION("""COMPUTED_VALUE"""),33.0)</f>
        <v>33</v>
      </c>
      <c r="W35" s="87">
        <f>IFERROR(__xludf.DUMMYFUNCTION("""COMPUTED_VALUE"""),5455.164)</f>
        <v>5455.164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IFERROR(__xludf.DUMMYFUNCTION("""COMPUTED_VALUE"""),25.0)</f>
        <v>25</v>
      </c>
      <c r="W36" s="87">
        <f>IFERROR(__xludf.DUMMYFUNCTION("""COMPUTED_VALUE"""),4132.7)</f>
        <v>4132.7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IFERROR(__xludf.DUMMYFUNCTION("""COMPUTED_VALUE"""),21.5)</f>
        <v>21.5</v>
      </c>
      <c r="W37" s="87">
        <f>IFERROR(__xludf.DUMMYFUNCTION("""COMPUTED_VALUE"""),3554.122)</f>
        <v>3554.122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IFERROR(__xludf.DUMMYFUNCTION("""COMPUTED_VALUE"""),52.0)</f>
        <v>52</v>
      </c>
      <c r="W38" s="87">
        <f>IFERROR(__xludf.DUMMYFUNCTION("""COMPUTED_VALUE"""),8596.016)</f>
        <v>8596.016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IFERROR(__xludf.DUMMYFUNCTION("""COMPUTED_VALUE"""),56.0)</f>
        <v>56</v>
      </c>
      <c r="W39" s="87">
        <f>IFERROR(__xludf.DUMMYFUNCTION("""COMPUTED_VALUE"""),9257.248)</f>
        <v>9257.248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IFERROR(__xludf.DUMMYFUNCTION("""COMPUTED_VALUE"""),0.0)</f>
        <v>0</v>
      </c>
      <c r="W40" s="87">
        <f>IFERROR(__xludf.DUMMYFUNCTION("""COMPUTED_VALUE"""),0.0)</f>
        <v>0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IFERROR(__xludf.DUMMYFUNCTION("""COMPUTED_VALUE"""),58.0)</f>
        <v>58</v>
      </c>
      <c r="W41" s="87">
        <f>IFERROR(__xludf.DUMMYFUNCTION("""COMPUTED_VALUE"""),9587.864)</f>
        <v>9587.864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IFERROR(__xludf.DUMMYFUNCTION("""COMPUTED_VALUE"""),1435.5)</f>
        <v>1435.5</v>
      </c>
      <c r="W60" s="87">
        <f>IFERROR(__xludf.DUMMYFUNCTION("""COMPUTED_VALUE"""),703632.7139999998)</f>
        <v>703632.714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IFERROR(__xludf.DUMMYFUNCTION("""COMPUTED_VALUE"""),26058.0)</f>
        <v>26058</v>
      </c>
      <c r="W65" s="87">
        <f>IFERROR(__xludf.DUMMYFUNCTION("""COMPUTED_VALUE"""),130.29)</f>
        <v>130.29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IFERROR(__xludf.DUMMYFUNCTION("""COMPUTED_VALUE"""),34.0)</f>
        <v>34</v>
      </c>
      <c r="W75" s="87">
        <f>IFERROR(__xludf.DUMMYFUNCTION("""COMPUTED_VALUE"""),5100.0)</f>
        <v>5100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IFERROR(__xludf.DUMMYFUNCTION("""COMPUTED_VALUE"""),39.0)</f>
        <v>39</v>
      </c>
      <c r="W76" s="87">
        <f>IFERROR(__xludf.DUMMYFUNCTION("""COMPUTED_VALUE"""),6895.2)</f>
        <v>6895.2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IFERROR(__xludf.DUMMYFUNCTION("""COMPUTED_VALUE"""),7.0)</f>
        <v>7</v>
      </c>
      <c r="W77" s="87">
        <f>IFERROR(__xludf.DUMMYFUNCTION("""COMPUTED_VALUE"""),1070.524)</f>
        <v>1070.524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IFERROR(__xludf.DUMMYFUNCTION("""COMPUTED_VALUE"""),10.0)</f>
        <v>10</v>
      </c>
      <c r="W78" s="87">
        <f>IFERROR(__xludf.DUMMYFUNCTION("""COMPUTED_VALUE"""),1768.0)</f>
        <v>1768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IFERROR(__xludf.DUMMYFUNCTION("""COMPUTED_VALUE"""),7.0)</f>
        <v>7</v>
      </c>
      <c r="W79" s="87">
        <f>IFERROR(__xludf.DUMMYFUNCTION("""COMPUTED_VALUE"""),1070.524)</f>
        <v>1070.524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IFERROR(__xludf.DUMMYFUNCTION("""COMPUTED_VALUE"""),17.0)</f>
        <v>17</v>
      </c>
      <c r="W80" s="87">
        <f>IFERROR(__xludf.DUMMYFUNCTION("""COMPUTED_VALUE"""),2810.236)</f>
        <v>2810.236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IFERROR(__xludf.DUMMYFUNCTION("""COMPUTED_VALUE"""),50.5)</f>
        <v>50.5</v>
      </c>
      <c r="W81" s="87">
        <f>IFERROR(__xludf.DUMMYFUNCTION("""COMPUTED_VALUE"""),7723.066)</f>
        <v>7723.066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IFERROR(__xludf.DUMMYFUNCTION("""COMPUTED_VALUE"""),14.0)</f>
        <v>14</v>
      </c>
      <c r="W83" s="87">
        <f>IFERROR(__xludf.DUMMYFUNCTION("""COMPUTED_VALUE"""),2141.048)</f>
        <v>2141.048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IFERROR(__xludf.DUMMYFUNCTION("""COMPUTED_VALUE"""),12.0)</f>
        <v>12</v>
      </c>
      <c r="W84" s="87">
        <f>IFERROR(__xludf.DUMMYFUNCTION("""COMPUTED_VALUE"""),1983.696)</f>
        <v>1983.696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IFERROR(__xludf.DUMMYFUNCTION("""COMPUTED_VALUE"""),16.0)</f>
        <v>16</v>
      </c>
      <c r="W85" s="87">
        <f>IFERROR(__xludf.DUMMYFUNCTION("""COMPUTED_VALUE"""),2400.0)</f>
        <v>2400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IFERROR(__xludf.DUMMYFUNCTION("""COMPUTED_VALUE"""),5.0)</f>
        <v>5</v>
      </c>
      <c r="W87" s="87">
        <f>IFERROR(__xludf.DUMMYFUNCTION("""COMPUTED_VALUE"""),764.66)</f>
        <v>764.66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/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IFERROR(__xludf.DUMMYFUNCTION("""COMPUTED_VALUE"""),22.0)</f>
        <v>22</v>
      </c>
      <c r="W89" s="87">
        <f>IFERROR(__xludf.DUMMYFUNCTION("""COMPUTED_VALUE"""),3740.0)</f>
        <v>3740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IFERROR(__xludf.DUMMYFUNCTION("""COMPUTED_VALUE"""),61.0)</f>
        <v>61</v>
      </c>
      <c r="W90" s="87">
        <f>IFERROR(__xludf.DUMMYFUNCTION("""COMPUTED_VALUE"""),9760.0)</f>
        <v>9760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IFERROR(__xludf.DUMMYFUNCTION("""COMPUTED_VALUE"""),81.0)</f>
        <v>81</v>
      </c>
      <c r="W93" s="87">
        <f>IFERROR(__xludf.DUMMYFUNCTION("""COMPUTED_VALUE"""),13389.948)</f>
        <v>13389.948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IFERROR(__xludf.DUMMYFUNCTION("""COMPUTED_VALUE"""),63.0)</f>
        <v>63</v>
      </c>
      <c r="W94" s="87">
        <f>IFERROR(__xludf.DUMMYFUNCTION("""COMPUTED_VALUE"""),10414.404)</f>
        <v>10414.404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IFERROR(__xludf.DUMMYFUNCTION("""COMPUTED_VALUE"""),45.0)</f>
        <v>45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IFERROR(__xludf.DUMMYFUNCTION("""COMPUTED_VALUE"""),24.0)</f>
        <v>24</v>
      </c>
      <c r="W97" s="87">
        <f>IFERROR(__xludf.DUMMYFUNCTION("""COMPUTED_VALUE"""),3967.392)</f>
        <v>3967.392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IFERROR(__xludf.DUMMYFUNCTION("""COMPUTED_VALUE"""),6.0)</f>
        <v>6</v>
      </c>
      <c r="W98" s="87">
        <f>IFERROR(__xludf.DUMMYFUNCTION("""COMPUTED_VALUE"""),848.64)</f>
        <v>848.64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IFERROR(__xludf.DUMMYFUNCTION("""COMPUTED_VALUE"""),17.0)</f>
        <v>17</v>
      </c>
      <c r="W99" s="87">
        <f>IFERROR(__xludf.DUMMYFUNCTION("""COMPUTED_VALUE"""),2404.48)</f>
        <v>2404.48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IFERROR(__xludf.DUMMYFUNCTION("""COMPUTED_VALUE"""),37.0)</f>
        <v>37</v>
      </c>
      <c r="W105" s="87">
        <f>IFERROR(__xludf.DUMMYFUNCTION("""COMPUTED_VALUE"""),5658.484)</f>
        <v>5658.484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IFERROR(__xludf.DUMMYFUNCTION("""COMPUTED_VALUE"""),62.0)</f>
        <v>62</v>
      </c>
      <c r="W107" s="87">
        <f>IFERROR(__xludf.DUMMYFUNCTION("""COMPUTED_VALUE"""),8680.0)</f>
        <v>8680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IFERROR(__xludf.DUMMYFUNCTION("""COMPUTED_VALUE"""),42.5)</f>
        <v>42.5</v>
      </c>
      <c r="W108" s="87">
        <f>IFERROR(__xludf.DUMMYFUNCTION("""COMPUTED_VALUE"""),7025.59)</f>
        <v>7025.59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IFERROR(__xludf.DUMMYFUNCTION("""COMPUTED_VALUE"""),19.0)</f>
        <v>19</v>
      </c>
      <c r="W109" s="87">
        <f>IFERROR(__xludf.DUMMYFUNCTION("""COMPUTED_VALUE"""),2905.708)</f>
        <v>2905.708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IFERROR(__xludf.DUMMYFUNCTION("""COMPUTED_VALUE"""),45.0)</f>
        <v>45</v>
      </c>
      <c r="W110" s="87">
        <f>IFERROR(__xludf.DUMMYFUNCTION("""COMPUTED_VALUE"""),6364.8)</f>
        <v>6364.8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IFERROR(__xludf.DUMMYFUNCTION("""COMPUTED_VALUE"""),4.5)</f>
        <v>4.5</v>
      </c>
      <c r="W112" s="87">
        <f>IFERROR(__xludf.DUMMYFUNCTION("""COMPUTED_VALUE"""),636.48)</f>
        <v>636.48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IFERROR(__xludf.DUMMYFUNCTION("""COMPUTED_VALUE"""),6.0)</f>
        <v>6</v>
      </c>
      <c r="W113" s="87">
        <f>IFERROR(__xludf.DUMMYFUNCTION("""COMPUTED_VALUE"""),848.64)</f>
        <v>848.64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IFERROR(__xludf.DUMMYFUNCTION("""COMPUTED_VALUE"""),24.5)</f>
        <v>24.5</v>
      </c>
      <c r="W115" s="87">
        <f>IFERROR(__xludf.DUMMYFUNCTION("""COMPUTED_VALUE"""),4050.0460000000003)</f>
        <v>4050.046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IFERROR(__xludf.DUMMYFUNCTION("""COMPUTED_VALUE"""),5.5)</f>
        <v>5.5</v>
      </c>
      <c r="W116" s="87">
        <f>IFERROR(__xludf.DUMMYFUNCTION("""COMPUTED_VALUE"""),841.126)</f>
        <v>841.126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IFERROR(__xludf.DUMMYFUNCTION("""COMPUTED_VALUE"""),64.5)</f>
        <v>64.5</v>
      </c>
      <c r="W117" s="87">
        <f>IFERROR(__xludf.DUMMYFUNCTION("""COMPUTED_VALUE"""),10662.366)</f>
        <v>10662.366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IFERROR(__xludf.DUMMYFUNCTION("""COMPUTED_VALUE"""),25.0)</f>
        <v>25</v>
      </c>
      <c r="W119" s="87">
        <f>IFERROR(__xludf.DUMMYFUNCTION("""COMPUTED_VALUE"""),3536.0)</f>
        <v>3536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IFERROR(__xludf.DUMMYFUNCTION("""COMPUTED_VALUE"""),18.0)</f>
        <v>18</v>
      </c>
      <c r="W120" s="87">
        <f>IFERROR(__xludf.DUMMYFUNCTION("""COMPUTED_VALUE"""),2545.92)</f>
        <v>2545.92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IFERROR(__xludf.DUMMYFUNCTION("""COMPUTED_VALUE"""),19.0)</f>
        <v>19</v>
      </c>
      <c r="W125" s="87">
        <f>IFERROR(__xludf.DUMMYFUNCTION("""COMPUTED_VALUE"""),2905.708)</f>
        <v>2905.708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IFERROR(__xludf.DUMMYFUNCTION("""COMPUTED_VALUE"""),0.0)</f>
        <v>0</v>
      </c>
      <c r="W126" s="87">
        <f>IFERROR(__xludf.DUMMYFUNCTION("""COMPUTED_VALUE"""),0.0)</f>
        <v>0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7">
        <f>IFERROR(__xludf.DUMMYFUNCTION("""COMPUTED_VALUE"""),0.0)</f>
        <v>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IFERROR(__xludf.DUMMYFUNCTION("""COMPUTED_VALUE"""),903.0)</f>
        <v>903</v>
      </c>
      <c r="W196" s="87">
        <f>IFERROR(__xludf.DUMMYFUNCTION("""COMPUTED_VALUE"""),209635.88600000003)</f>
        <v>209635.886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24</v>
      </c>
      <c r="C1" s="94" t="s">
        <v>4</v>
      </c>
      <c r="D1" s="94" t="s">
        <v>7</v>
      </c>
      <c r="E1" s="94" t="s">
        <v>8</v>
      </c>
      <c r="F1" s="94" t="s">
        <v>25</v>
      </c>
      <c r="G1" s="94" t="s">
        <v>10</v>
      </c>
      <c r="H1" s="94" t="s">
        <v>26</v>
      </c>
      <c r="I1" s="94" t="s">
        <v>27</v>
      </c>
      <c r="J1" s="94" t="s">
        <v>12</v>
      </c>
      <c r="K1" s="94" t="s">
        <v>13</v>
      </c>
    </row>
    <row r="2">
      <c r="A2" s="95">
        <v>45528.0</v>
      </c>
      <c r="B2" s="94" t="s">
        <v>28</v>
      </c>
      <c r="C2" s="94" t="s">
        <v>29</v>
      </c>
      <c r="D2" s="96" t="s">
        <v>30</v>
      </c>
      <c r="E2" s="96" t="s">
        <v>31</v>
      </c>
      <c r="F2" s="96" t="s">
        <v>32</v>
      </c>
      <c r="G2" s="96" t="s">
        <v>33</v>
      </c>
      <c r="H2" s="97">
        <v>3728.0</v>
      </c>
    </row>
    <row r="3">
      <c r="A3" s="95">
        <v>45528.0</v>
      </c>
      <c r="B3" s="94" t="s">
        <v>28</v>
      </c>
      <c r="C3" s="94" t="s">
        <v>18</v>
      </c>
      <c r="D3" s="96" t="s">
        <v>34</v>
      </c>
      <c r="E3" s="96" t="s">
        <v>35</v>
      </c>
      <c r="F3" s="96" t="s">
        <v>32</v>
      </c>
      <c r="G3" s="96" t="s">
        <v>33</v>
      </c>
      <c r="H3" s="97">
        <v>3728.0</v>
      </c>
    </row>
    <row r="4">
      <c r="A4" s="95">
        <v>45528.0</v>
      </c>
      <c r="B4" s="94" t="s">
        <v>28</v>
      </c>
      <c r="C4" s="94" t="s">
        <v>20</v>
      </c>
      <c r="D4" s="96" t="s">
        <v>36</v>
      </c>
      <c r="E4" s="96" t="s">
        <v>34</v>
      </c>
      <c r="G4" s="96" t="s">
        <v>36</v>
      </c>
      <c r="H4" s="97">
        <v>3728.0</v>
      </c>
    </row>
    <row r="5">
      <c r="A5" s="95">
        <v>45528.0</v>
      </c>
      <c r="B5" s="94" t="s">
        <v>28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37</v>
      </c>
      <c r="C6" s="94" t="s">
        <v>29</v>
      </c>
      <c r="D6" s="96" t="s">
        <v>30</v>
      </c>
      <c r="E6" s="96" t="s">
        <v>31</v>
      </c>
      <c r="F6" s="96" t="s">
        <v>32</v>
      </c>
      <c r="G6" s="96" t="s">
        <v>33</v>
      </c>
      <c r="H6" s="97">
        <v>3728.0</v>
      </c>
    </row>
    <row r="7">
      <c r="A7" s="95">
        <v>45526.0</v>
      </c>
      <c r="B7" s="94" t="s">
        <v>37</v>
      </c>
      <c r="C7" s="94" t="s">
        <v>18</v>
      </c>
      <c r="D7" s="96" t="s">
        <v>34</v>
      </c>
      <c r="E7" s="96" t="s">
        <v>35</v>
      </c>
      <c r="F7" s="96" t="s">
        <v>32</v>
      </c>
      <c r="G7" s="96" t="s">
        <v>33</v>
      </c>
      <c r="H7" s="97">
        <v>3728.0</v>
      </c>
    </row>
    <row r="8">
      <c r="A8" s="95">
        <v>45526.0</v>
      </c>
      <c r="B8" s="94" t="s">
        <v>37</v>
      </c>
      <c r="C8" s="94" t="s">
        <v>20</v>
      </c>
      <c r="D8" s="96" t="s">
        <v>36</v>
      </c>
      <c r="E8" s="96" t="s">
        <v>34</v>
      </c>
      <c r="G8" s="96" t="s">
        <v>36</v>
      </c>
      <c r="H8" s="97">
        <v>3728.0</v>
      </c>
    </row>
    <row r="9">
      <c r="A9" s="95">
        <v>45526.0</v>
      </c>
      <c r="B9" s="94" t="s">
        <v>37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37</v>
      </c>
      <c r="C10" s="94" t="s">
        <v>29</v>
      </c>
      <c r="D10" s="96" t="s">
        <v>30</v>
      </c>
      <c r="E10" s="96" t="s">
        <v>31</v>
      </c>
      <c r="F10" s="96" t="s">
        <v>32</v>
      </c>
      <c r="G10" s="96" t="s">
        <v>33</v>
      </c>
      <c r="H10" s="97">
        <v>3728.0</v>
      </c>
    </row>
    <row r="11">
      <c r="A11" s="95">
        <v>45526.0</v>
      </c>
      <c r="B11" s="94" t="s">
        <v>37</v>
      </c>
      <c r="C11" s="94" t="s">
        <v>18</v>
      </c>
      <c r="D11" s="96" t="s">
        <v>34</v>
      </c>
      <c r="E11" s="96" t="s">
        <v>35</v>
      </c>
      <c r="F11" s="96" t="s">
        <v>32</v>
      </c>
      <c r="G11" s="96" t="s">
        <v>33</v>
      </c>
      <c r="H11" s="97">
        <v>3728.0</v>
      </c>
    </row>
    <row r="12">
      <c r="A12" s="95">
        <v>45526.0</v>
      </c>
      <c r="B12" s="94" t="s">
        <v>37</v>
      </c>
      <c r="C12" s="94" t="s">
        <v>20</v>
      </c>
      <c r="D12" s="96" t="s">
        <v>36</v>
      </c>
      <c r="E12" s="96" t="s">
        <v>34</v>
      </c>
      <c r="G12" s="96" t="s">
        <v>36</v>
      </c>
      <c r="H12" s="97">
        <v>3728.0</v>
      </c>
    </row>
    <row r="13">
      <c r="A13" s="95">
        <v>45526.0</v>
      </c>
      <c r="B13" s="94" t="s">
        <v>37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38</v>
      </c>
    </row>
    <row r="15">
      <c r="A15" s="95">
        <v>45533.0</v>
      </c>
      <c r="B15" s="94" t="s">
        <v>37</v>
      </c>
    </row>
    <row r="16">
      <c r="A16" s="95">
        <v>45534.0</v>
      </c>
      <c r="B16" s="94" t="s">
        <v>39</v>
      </c>
    </row>
    <row r="17">
      <c r="A17" s="95">
        <v>45535.0</v>
      </c>
      <c r="B17" s="94" t="s">
        <v>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40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41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42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43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44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45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46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47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48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49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50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51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52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53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54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55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56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57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58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59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60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61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62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63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64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65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66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67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68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69</v>
      </c>
      <c r="AB141" s="94">
        <v>-10.0</v>
      </c>
    </row>
  </sheetData>
  <mergeCells count="1">
    <mergeCell ref="A1:H1"/>
  </mergeCells>
  <drawing r:id="rId1"/>
</worksheet>
</file>