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<sst xmlns="http://schemas.openxmlformats.org/spreadsheetml/2006/main" count="127" uniqueCount="68">
  <si>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</si>
  <si>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</si>
  <si>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</si>
  <si>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</si>
  <si>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</si>
  <si>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</si>
  <si>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</si>
  <si>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</si>
  <si>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</si>
  <si>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</si>
  <si>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</si>
  <si>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</si>
  <si>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Suroviny</t>
  </si>
  <si>
    <t>Ostatní</t>
  </si>
  <si>
    <t>Vyber datum    &lt;----------&gt;</t>
  </si>
  <si>
    <t>Celkem hodin</t>
  </si>
  <si>
    <t>Počet dní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</si>
  <si>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</si>
  <si>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</si>
  <si>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</si>
  <si>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</si>
  <si>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</si>
  <si>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</si>
  <si>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</si>
  <si>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</si>
  <si>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</si>
  <si>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</si>
  <si>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</si>
  <si>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</si>
  <si>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</si>
  <si>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Stepanenko Solomiia</t>
  </si>
  <si>
    <t>10:00</t>
  </si>
  <si>
    <t>11:00</t>
  </si>
  <si>
    <t>Hřebík Martin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</si>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</sst>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46164.0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J15"),40004.0)</f>
        <v>40004</v>
      </c>
      <c r="H2" s="16"/>
      <c r="K2" s="16"/>
    </row>
    <row r="3">
      <c r="A3" s="17"/>
      <c r="B3" s="18" t="str">
        <f>CHOOSE(WEEKDAY(D1), "Neděle", "Pondělí", "Úterý", "Středa", "Čtvrtek", "Pátek", "Sobota")</f>
        <v>Pátek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/>
      <c r="C14" s="40"/>
      <c r="D14" s="40"/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0:00</v>
      </c>
      <c r="G14" s="43" t="s">
        <v>12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0</v>
      </c>
      <c r="B15" s="47"/>
      <c r="C15" s="40"/>
      <c r="D15" s="40"/>
      <c r="E15" s="40"/>
      <c r="F15" s="42" t="str">
        <f t="shared" si="1"/>
        <v>0:00</v>
      </c>
      <c r="G15" s="48" t="s">
        <v>13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46151.0</v>
      </c>
      <c r="D1" s="63" t="s">
        <v>14</v>
      </c>
      <c r="E1" s="62">
        <v>46151.0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0.0</v>
      </c>
      <c r="H2" s="16"/>
    </row>
    <row r="3">
      <c r="A3" s="66"/>
      <c r="B3" s="67" t="str">
        <f>CHOOSE(WEEKDAY(C1), "Neděle", "Pondělí", "Úterý", "Středa", "Čtvrtek", "Pátek", "Sobota")</f>
        <v>Sobota</v>
      </c>
      <c r="C3" s="10"/>
      <c r="D3" s="67" t="str">
        <f>CHOOSE(WEEKDAY(E1), "Neděle", "Pondělí", "Úterý", "Středa", "Čtvrtek", "Pátek", "Sobota")</f>
        <v>Sobota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15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12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13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16</v>
      </c>
      <c r="D9" s="79" t="s">
        <v>10</v>
      </c>
      <c r="F9" s="64"/>
    </row>
    <row r="10" ht="18.75" customHeight="1">
      <c r="A10" s="71"/>
      <c r="B10" s="80" t="s">
        <v>17</v>
      </c>
      <c r="C10" s="81">
        <v>1.0</v>
      </c>
      <c r="D10" s="82">
        <v>13.0</v>
      </c>
    </row>
    <row r="11" ht="18.75" customHeight="1">
      <c r="A11" s="71"/>
      <c r="B11" s="80"/>
      <c r="C11" s="81"/>
      <c r="D11" s="82"/>
    </row>
    <row r="12" ht="18.75" customHeight="1">
      <c r="A12" s="71"/>
      <c r="B12" s="80"/>
      <c r="C12" s="81"/>
      <c r="D12" s="82"/>
    </row>
    <row r="13" ht="18.75" customHeight="1">
      <c r="A13" s="71"/>
      <c r="B13" s="80"/>
      <c r="C13" s="81"/>
      <c r="D13" s="83"/>
    </row>
    <row r="14" ht="18.75" customHeight="1">
      <c r="A14" s="71"/>
      <c r="B14" s="80"/>
      <c r="C14" s="81"/>
      <c r="D14" s="83"/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18</v>
      </c>
      <c r="B4" s="88" t="s">
        <v>19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IFERROR(__xludf.DUMMYFUNCTION("""COMPUTED_VALUE"""),135.0)</f>
        <v>135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IFERROR(__xludf.DUMMYFUNCTION("""COMPUTED_VALUE"""),140.5)</f>
        <v>140.5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IFERROR(__xludf.DUMMYFUNCTION("""COMPUTED_VALUE"""),64.5)</f>
        <v>64.5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/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IFERROR(__xludf.DUMMYFUNCTION("""COMPUTED_VALUE"""),"Zličín")</f>
        <v>Zličín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IFERROR(__xludf.DUMMYFUNCTION("""COMPUTED_VALUE"""),119.0)</f>
        <v>119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IFERROR(__xludf.DUMMYFUNCTION("""COMPUTED_VALUE"""),106.5)</f>
        <v>106.5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IFERROR(__xludf.DUMMYFUNCTION("""COMPUTED_VALUE"""),87.5)</f>
        <v>87.5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IFERROR(__xludf.DUMMYFUNCTION("""COMPUTED_VALUE"""),89.5)</f>
        <v>89.5</v>
      </c>
      <c r="W11" s="87">
        <f>IFERROR(__xludf.DUMMYFUNCTION("""COMPUTED_VALUE"""),17088.153000000002)</f>
        <v>17088.153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IFERROR(__xludf.DUMMYFUNCTION("""COMPUTED_VALUE"""),66.0)</f>
        <v>66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IFERROR(__xludf.DUMMYFUNCTION("""COMPUTED_VALUE"""),36.0)</f>
        <v>36</v>
      </c>
      <c r="W14" s="87">
        <f>IFERROR(__xludf.DUMMYFUNCTION("""COMPUTED_VALUE"""),5951.088)</f>
        <v>5951.088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IFERROR(__xludf.DUMMYFUNCTION("""COMPUTED_VALUE"""),117.5)</f>
        <v>117.5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IFERROR(__xludf.DUMMYFUNCTION("""COMPUTED_VALUE"""),148.0)</f>
        <v>148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IFERROR(__xludf.DUMMYFUNCTION("""COMPUTED_VALUE"""),22.5)</f>
        <v>22.5</v>
      </c>
      <c r="W17" s="87">
        <f>IFERROR(__xludf.DUMMYFUNCTION("""COMPUTED_VALUE"""),3978.0)</f>
        <v>3978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IFERROR(__xludf.DUMMYFUNCTION("""COMPUTED_VALUE"""),112.5)</f>
        <v>112.5</v>
      </c>
      <c r="W18" s="87">
        <f>IFERROR(__xludf.DUMMYFUNCTION("""COMPUTED_VALUE"""),20241.05)</f>
        <v>20241.05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IFERROR(__xludf.DUMMYFUNCTION("""COMPUTED_VALUE"""),89.5)</f>
        <v>89.5</v>
      </c>
      <c r="W19" s="87">
        <f>IFERROR(__xludf.DUMMYFUNCTION("""COMPUTED_VALUE"""),19321.715)</f>
        <v>19321.715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IFERROR(__xludf.DUMMYFUNCTION("""COMPUTED_VALUE"""),54.5)</f>
        <v>54.5</v>
      </c>
      <c r="W20" s="87">
        <f>IFERROR(__xludf.DUMMYFUNCTION("""COMPUTED_VALUE"""),9635.6)</f>
        <v>9635.6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IFERROR(__xludf.DUMMYFUNCTION("""COMPUTED_VALUE"""),114.0)</f>
        <v>114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IFERROR(__xludf.DUMMYFUNCTION("""COMPUTED_VALUE"""),196.5)</f>
        <v>196.5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IFERROR(__xludf.DUMMYFUNCTION("""COMPUTED_VALUE"""),52.0)</f>
        <v>52</v>
      </c>
      <c r="W23" s="87">
        <f>IFERROR(__xludf.DUMMYFUNCTION("""COMPUTED_VALUE"""),8596.016)</f>
        <v>8596.016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IFERROR(__xludf.DUMMYFUNCTION("""COMPUTED_VALUE"""),129.5)</f>
        <v>129.5</v>
      </c>
      <c r="W24" s="87">
        <f>IFERROR(__xludf.DUMMYFUNCTION("""COMPUTED_VALUE"""),21580.6)</f>
        <v>21580.6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IFERROR(__xludf.DUMMYFUNCTION("""COMPUTED_VALUE"""),33.0)</f>
        <v>33</v>
      </c>
      <c r="W25" s="87">
        <f>IFERROR(__xludf.DUMMYFUNCTION("""COMPUTED_VALUE"""),5046.756)</f>
        <v>5046.756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IFERROR(__xludf.DUMMYFUNCTION("""COMPUTED_VALUE"""),47.5)</f>
        <v>47.5</v>
      </c>
      <c r="W27" s="87">
        <f>IFERROR(__xludf.DUMMYFUNCTION("""COMPUTED_VALUE"""),8985.86)</f>
        <v>8985.86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IFERROR(__xludf.DUMMYFUNCTION("""COMPUTED_VALUE"""),"Chodov")</f>
        <v>Chodov</v>
      </c>
      <c r="F28" s="84" t="str">
        <f>IFERROR(__xludf.DUMMYFUNCTION("""COMPUTED_VALUE"""),"Malešice")</f>
        <v>Malešice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IFERROR(__xludf.DUMMYFUNCTION("""COMPUTED_VALUE"""),119.0)</f>
        <v>119</v>
      </c>
      <c r="W28" s="87">
        <f>IFERROR(__xludf.DUMMYFUNCTION("""COMPUTED_VALUE"""),20039.2)</f>
        <v>20039.2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IFERROR(__xludf.DUMMYFUNCTION("""COMPUTED_VALUE"""),124.5)</f>
        <v>124.5</v>
      </c>
      <c r="W30" s="87">
        <f>IFERROR(__xludf.DUMMYFUNCTION("""COMPUTED_VALUE"""),19658.621000000003)</f>
        <v>19658.621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IFERROR(__xludf.DUMMYFUNCTION("""COMPUTED_VALUE"""),94.0)</f>
        <v>94</v>
      </c>
      <c r="W31" s="87">
        <f>IFERROR(__xludf.DUMMYFUNCTION("""COMPUTED_VALUE"""),14375.608)</f>
        <v>14375.608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IFERROR(__xludf.DUMMYFUNCTION("""COMPUTED_VALUE"""),88.0)</f>
        <v>88</v>
      </c>
      <c r="W35" s="87">
        <f>IFERROR(__xludf.DUMMYFUNCTION("""COMPUTED_VALUE"""),14547.104)</f>
        <v>14547.104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IFERROR(__xludf.DUMMYFUNCTION("""COMPUTED_VALUE"""),25.0)</f>
        <v>25</v>
      </c>
      <c r="W36" s="87">
        <f>IFERROR(__xludf.DUMMYFUNCTION("""COMPUTED_VALUE"""),4132.7)</f>
        <v>4132.7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IFERROR(__xludf.DUMMYFUNCTION("""COMPUTED_VALUE"""),26.0)</f>
        <v>26</v>
      </c>
      <c r="W37" s="87">
        <f>IFERROR(__xludf.DUMMYFUNCTION("""COMPUTED_VALUE"""),4298.008)</f>
        <v>4298.008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IFERROR(__xludf.DUMMYFUNCTION("""COMPUTED_VALUE"""),99.5)</f>
        <v>99.5</v>
      </c>
      <c r="W38" s="87">
        <f>IFERROR(__xludf.DUMMYFUNCTION("""COMPUTED_VALUE"""),16227.171)</f>
        <v>16227.171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IFERROR(__xludf.DUMMYFUNCTION("""COMPUTED_VALUE"""),119.5)</f>
        <v>119.5</v>
      </c>
      <c r="W39" s="87">
        <f>IFERROR(__xludf.DUMMYFUNCTION("""COMPUTED_VALUE"""),18972.331)</f>
        <v>18972.331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IFERROR(__xludf.DUMMYFUNCTION("""COMPUTED_VALUE"""),0.0)</f>
        <v>0</v>
      </c>
      <c r="W40" s="87">
        <f>IFERROR(__xludf.DUMMYFUNCTION("""COMPUTED_VALUE"""),0.0)</f>
        <v>0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IFERROR(__xludf.DUMMYFUNCTION("""COMPUTED_VALUE"""),112.0)</f>
        <v>112</v>
      </c>
      <c r="W41" s="87">
        <f>IFERROR(__xludf.DUMMYFUNCTION("""COMPUTED_VALUE"""),17942.896)</f>
        <v>17942.896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IFERROR(__xludf.DUMMYFUNCTION("""COMPUTED_VALUE"""),2769.0)</f>
        <v>2769</v>
      </c>
      <c r="W60" s="87">
        <f>IFERROR(__xludf.DUMMYFUNCTION("""COMPUTED_VALUE"""),828644.9569999998)</f>
        <v>828644.957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IFERROR(__xludf.DUMMYFUNCTION("""COMPUTED_VALUE"""),26058.0)</f>
        <v>26058</v>
      </c>
      <c r="W65" s="87">
        <f>IFERROR(__xludf.DUMMYFUNCTION("""COMPUTED_VALUE"""),130.29)</f>
        <v>130.29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IFERROR(__xludf.DUMMYFUNCTION("""COMPUTED_VALUE"""),71.5)</f>
        <v>71.5</v>
      </c>
      <c r="W75" s="87">
        <f>IFERROR(__xludf.DUMMYFUNCTION("""COMPUTED_VALUE"""),10725.0)</f>
        <v>10725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IFERROR(__xludf.DUMMYFUNCTION("""COMPUTED_VALUE"""),87.0)</f>
        <v>87</v>
      </c>
      <c r="W76" s="87">
        <f>IFERROR(__xludf.DUMMYFUNCTION("""COMPUTED_VALUE"""),15341.6)</f>
        <v>15341.6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IFERROR(__xludf.DUMMYFUNCTION("""COMPUTED_VALUE"""),30.0)</f>
        <v>30</v>
      </c>
      <c r="W78" s="87">
        <f>IFERROR(__xludf.DUMMYFUNCTION("""COMPUTED_VALUE"""),5304.0)</f>
        <v>5304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IFERROR(__xludf.DUMMYFUNCTION("""COMPUTED_VALUE"""),55.5)</f>
        <v>55.5</v>
      </c>
      <c r="W80" s="87">
        <f>IFERROR(__xludf.DUMMYFUNCTION("""COMPUTED_VALUE"""),9174.594000000001)</f>
        <v>9174.594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IFERROR(__xludf.DUMMYFUNCTION("""COMPUTED_VALUE"""),106.5)</f>
        <v>106.5</v>
      </c>
      <c r="W81" s="87">
        <f>IFERROR(__xludf.DUMMYFUNCTION("""COMPUTED_VALUE"""),16093.583)</f>
        <v>16093.583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IFERROR(__xludf.DUMMYFUNCTION("""COMPUTED_VALUE"""),24.0)</f>
        <v>24</v>
      </c>
      <c r="W83" s="87">
        <f>IFERROR(__xludf.DUMMYFUNCTION("""COMPUTED_VALUE"""),3670.368)</f>
        <v>3670.368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IFERROR(__xludf.DUMMYFUNCTION("""COMPUTED_VALUE"""),39.0)</f>
        <v>39</v>
      </c>
      <c r="W84" s="87">
        <f>IFERROR(__xludf.DUMMYFUNCTION("""COMPUTED_VALUE"""),6447.012)</f>
        <v>6447.012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IFERROR(__xludf.DUMMYFUNCTION("""COMPUTED_VALUE"""),30.0)</f>
        <v>30</v>
      </c>
      <c r="W85" s="87">
        <f>IFERROR(__xludf.DUMMYFUNCTION("""COMPUTED_VALUE"""),4500.0)</f>
        <v>4500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IFERROR(__xludf.DUMMYFUNCTION("""COMPUTED_VALUE"""),13.0)</f>
        <v>13</v>
      </c>
      <c r="W87" s="87">
        <f>IFERROR(__xludf.DUMMYFUNCTION("""COMPUTED_VALUE"""),1988.116)</f>
        <v>1988.116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IFERROR(__xludf.DUMMYFUNCTION("""COMPUTED_VALUE"""),55.0)</f>
        <v>55</v>
      </c>
      <c r="W89" s="87">
        <f>IFERROR(__xludf.DUMMYFUNCTION("""COMPUTED_VALUE"""),9350.0)</f>
        <v>9350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IFERROR(__xludf.DUMMYFUNCTION("""COMPUTED_VALUE"""),81.0)</f>
        <v>81</v>
      </c>
      <c r="W90" s="87">
        <f>IFERROR(__xludf.DUMMYFUNCTION("""COMPUTED_VALUE"""),12960.0)</f>
        <v>12960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IFERROR(__xludf.DUMMYFUNCTION("""COMPUTED_VALUE"""),140.0)</f>
        <v>140</v>
      </c>
      <c r="W93" s="87">
        <f>IFERROR(__xludf.DUMMYFUNCTION("""COMPUTED_VALUE"""),21786.12)</f>
        <v>21786.12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IFERROR(__xludf.DUMMYFUNCTION("""COMPUTED_VALUE"""),148.0)</f>
        <v>148</v>
      </c>
      <c r="W94" s="87">
        <f>IFERROR(__xludf.DUMMYFUNCTION("""COMPUTED_VALUE"""),22884.183999999997)</f>
        <v>22884.184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IFERROR(__xludf.DUMMYFUNCTION("""COMPUTED_VALUE"""),77.0)</f>
        <v>77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IFERROR(__xludf.DUMMYFUNCTION("""COMPUTED_VALUE"""),45.0)</f>
        <v>45</v>
      </c>
      <c r="W97" s="87">
        <f>IFERROR(__xludf.DUMMYFUNCTION("""COMPUTED_VALUE"""),7438.86)</f>
        <v>7438.86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IFERROR(__xludf.DUMMYFUNCTION("""COMPUTED_VALUE"""),24.5)</f>
        <v>24.5</v>
      </c>
      <c r="W98" s="87">
        <f>IFERROR(__xludf.DUMMYFUNCTION("""COMPUTED_VALUE"""),3465.2799999999997)</f>
        <v>3465.28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IFERROR(__xludf.DUMMYFUNCTION("""COMPUTED_VALUE"""),34.0)</f>
        <v>34</v>
      </c>
      <c r="W99" s="87">
        <f>IFERROR(__xludf.DUMMYFUNCTION("""COMPUTED_VALUE"""),4808.96)</f>
        <v>4808.96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IFERROR(__xludf.DUMMYFUNCTION("""COMPUTED_VALUE"""),64.0)</f>
        <v>64</v>
      </c>
      <c r="W105" s="87">
        <f>IFERROR(__xludf.DUMMYFUNCTION("""COMPUTED_VALUE"""),9787.648)</f>
        <v>9787.648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IFERROR(__xludf.DUMMYFUNCTION("""COMPUTED_VALUE"""),136.5)</f>
        <v>136.5</v>
      </c>
      <c r="W107" s="87">
        <f>IFERROR(__xludf.DUMMYFUNCTION("""COMPUTED_VALUE"""),19110.0)</f>
        <v>19110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IFERROR(__xludf.DUMMYFUNCTION("""COMPUTED_VALUE"""),64.5)</f>
        <v>64.5</v>
      </c>
      <c r="W108" s="87">
        <f>IFERROR(__xludf.DUMMYFUNCTION("""COMPUTED_VALUE"""),10662.366)</f>
        <v>10662.366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IFERROR(__xludf.DUMMYFUNCTION("""COMPUTED_VALUE"""),19.0)</f>
        <v>19</v>
      </c>
      <c r="W109" s="87">
        <f>IFERROR(__xludf.DUMMYFUNCTION("""COMPUTED_VALUE"""),2905.708)</f>
        <v>2905.708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IFERROR(__xludf.DUMMYFUNCTION("""COMPUTED_VALUE"""),60.0)</f>
        <v>60</v>
      </c>
      <c r="W110" s="87">
        <f>IFERROR(__xludf.DUMMYFUNCTION("""COMPUTED_VALUE"""),8486.4)</f>
        <v>8486.4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IFERROR(__xludf.DUMMYFUNCTION("""COMPUTED_VALUE"""),15.0)</f>
        <v>15</v>
      </c>
      <c r="W111" s="87">
        <f>IFERROR(__xludf.DUMMYFUNCTION("""COMPUTED_VALUE"""),2293.98)</f>
        <v>2293.98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IFERROR(__xludf.DUMMYFUNCTION("""COMPUTED_VALUE"""),8.5)</f>
        <v>8.5</v>
      </c>
      <c r="W112" s="87">
        <f>IFERROR(__xludf.DUMMYFUNCTION("""COMPUTED_VALUE"""),1202.24)</f>
        <v>1202.24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IFERROR(__xludf.DUMMYFUNCTION("""COMPUTED_VALUE"""),24.0)</f>
        <v>24</v>
      </c>
      <c r="W113" s="87">
        <f>IFERROR(__xludf.DUMMYFUNCTION("""COMPUTED_VALUE"""),3394.56)</f>
        <v>3394.56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IFERROR(__xludf.DUMMYFUNCTION("""COMPUTED_VALUE"""),31.5)</f>
        <v>31.5</v>
      </c>
      <c r="W115" s="87">
        <f>IFERROR(__xludf.DUMMYFUNCTION("""COMPUTED_VALUE"""),5207.202)</f>
        <v>5207.202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IFERROR(__xludf.DUMMYFUNCTION("""COMPUTED_VALUE"""),16.5)</f>
        <v>16.5</v>
      </c>
      <c r="W116" s="87">
        <f>IFERROR(__xludf.DUMMYFUNCTION("""COMPUTED_VALUE"""),2523.378)</f>
        <v>2523.378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IFERROR(__xludf.DUMMYFUNCTION("""COMPUTED_VALUE"""),135.0)</f>
        <v>135</v>
      </c>
      <c r="W117" s="87">
        <f>IFERROR(__xludf.DUMMYFUNCTION("""COMPUTED_VALUE"""),21099.83)</f>
        <v>21099.83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IFERROR(__xludf.DUMMYFUNCTION("""COMPUTED_VALUE"""),25.0)</f>
        <v>25</v>
      </c>
      <c r="W119" s="87">
        <f>IFERROR(__xludf.DUMMYFUNCTION("""COMPUTED_VALUE"""),3536.0)</f>
        <v>3536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IFERROR(__xludf.DUMMYFUNCTION("""COMPUTED_VALUE"""),27.0)</f>
        <v>27</v>
      </c>
      <c r="W120" s="87">
        <f>IFERROR(__xludf.DUMMYFUNCTION("""COMPUTED_VALUE"""),3818.88)</f>
        <v>3818.88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IFERROR(__xludf.DUMMYFUNCTION("""COMPUTED_VALUE"""),47.0)</f>
        <v>47</v>
      </c>
      <c r="W125" s="87">
        <f>IFERROR(__xludf.DUMMYFUNCTION("""COMPUTED_VALUE"""),7187.804)</f>
        <v>7187.804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IFERROR(__xludf.DUMMYFUNCTION("""COMPUTED_VALUE"""),"Pavel Břicháč")</f>
        <v>Pavel Břicháč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IFERROR(__xludf.DUMMYFUNCTION("""COMPUTED_VALUE"""),37.0)</f>
        <v>37</v>
      </c>
      <c r="W126" s="87">
        <f>IFERROR(__xludf.DUMMYFUNCTION("""COMPUTED_VALUE"""),5658.484)</f>
        <v>5658.484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7">
        <f>IFERROR(__xludf.DUMMYFUNCTION("""COMPUTED_VALUE"""),0.0)</f>
        <v>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IFERROR(__xludf.DUMMYFUNCTION("""COMPUTED_VALUE"""),1801.5)</f>
        <v>1801.5</v>
      </c>
      <c r="W196" s="87">
        <f>IFERROR(__xludf.DUMMYFUNCTION("""COMPUTED_VALUE"""),342123.317)</f>
        <v>342123.317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20</v>
      </c>
      <c r="C1" s="94" t="s">
        <v>4</v>
      </c>
      <c r="D1" s="94" t="s">
        <v>7</v>
      </c>
      <c r="E1" s="94" t="s">
        <v>8</v>
      </c>
      <c r="F1" s="94" t="s">
        <v>21</v>
      </c>
      <c r="G1" s="94" t="s">
        <v>10</v>
      </c>
      <c r="H1" s="94" t="s">
        <v>22</v>
      </c>
      <c r="I1" s="94" t="s">
        <v>23</v>
      </c>
      <c r="J1" s="94" t="s">
        <v>12</v>
      </c>
      <c r="K1" s="94" t="s">
        <v>13</v>
      </c>
    </row>
    <row r="2">
      <c r="A2" s="95">
        <v>45528.0</v>
      </c>
      <c r="B2" s="94" t="s">
        <v>24</v>
      </c>
      <c r="C2" s="94" t="s">
        <v>25</v>
      </c>
      <c r="D2" s="96" t="s">
        <v>26</v>
      </c>
      <c r="E2" s="96" t="s">
        <v>27</v>
      </c>
      <c r="F2" s="96" t="s">
        <v>28</v>
      </c>
      <c r="G2" s="96" t="s">
        <v>29</v>
      </c>
      <c r="H2" s="97">
        <v>3728.0</v>
      </c>
    </row>
    <row r="3">
      <c r="A3" s="95">
        <v>45528.0</v>
      </c>
      <c r="B3" s="94" t="s">
        <v>24</v>
      </c>
      <c r="C3" s="94" t="s">
        <v>30</v>
      </c>
      <c r="D3" s="96" t="s">
        <v>31</v>
      </c>
      <c r="E3" s="96" t="s">
        <v>32</v>
      </c>
      <c r="F3" s="96" t="s">
        <v>28</v>
      </c>
      <c r="G3" s="96" t="s">
        <v>29</v>
      </c>
      <c r="H3" s="97">
        <v>3728.0</v>
      </c>
    </row>
    <row r="4">
      <c r="A4" s="95">
        <v>45528.0</v>
      </c>
      <c r="B4" s="94" t="s">
        <v>24</v>
      </c>
      <c r="C4" s="94" t="s">
        <v>33</v>
      </c>
      <c r="D4" s="96" t="s">
        <v>34</v>
      </c>
      <c r="E4" s="96" t="s">
        <v>31</v>
      </c>
      <c r="G4" s="96" t="s">
        <v>34</v>
      </c>
      <c r="H4" s="97">
        <v>3728.0</v>
      </c>
    </row>
    <row r="5">
      <c r="A5" s="95">
        <v>45528.0</v>
      </c>
      <c r="B5" s="94" t="s">
        <v>24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35</v>
      </c>
      <c r="C6" s="94" t="s">
        <v>25</v>
      </c>
      <c r="D6" s="96" t="s">
        <v>26</v>
      </c>
      <c r="E6" s="96" t="s">
        <v>27</v>
      </c>
      <c r="F6" s="96" t="s">
        <v>28</v>
      </c>
      <c r="G6" s="96" t="s">
        <v>29</v>
      </c>
      <c r="H6" s="97">
        <v>3728.0</v>
      </c>
    </row>
    <row r="7">
      <c r="A7" s="95">
        <v>45526.0</v>
      </c>
      <c r="B7" s="94" t="s">
        <v>35</v>
      </c>
      <c r="C7" s="94" t="s">
        <v>30</v>
      </c>
      <c r="D7" s="96" t="s">
        <v>31</v>
      </c>
      <c r="E7" s="96" t="s">
        <v>32</v>
      </c>
      <c r="F7" s="96" t="s">
        <v>28</v>
      </c>
      <c r="G7" s="96" t="s">
        <v>29</v>
      </c>
      <c r="H7" s="97">
        <v>3728.0</v>
      </c>
    </row>
    <row r="8">
      <c r="A8" s="95">
        <v>45526.0</v>
      </c>
      <c r="B8" s="94" t="s">
        <v>35</v>
      </c>
      <c r="C8" s="94" t="s">
        <v>33</v>
      </c>
      <c r="D8" s="96" t="s">
        <v>34</v>
      </c>
      <c r="E8" s="96" t="s">
        <v>31</v>
      </c>
      <c r="G8" s="96" t="s">
        <v>34</v>
      </c>
      <c r="H8" s="97">
        <v>3728.0</v>
      </c>
    </row>
    <row r="9">
      <c r="A9" s="95">
        <v>45526.0</v>
      </c>
      <c r="B9" s="94" t="s">
        <v>35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35</v>
      </c>
      <c r="C10" s="94" t="s">
        <v>25</v>
      </c>
      <c r="D10" s="96" t="s">
        <v>26</v>
      </c>
      <c r="E10" s="96" t="s">
        <v>27</v>
      </c>
      <c r="F10" s="96" t="s">
        <v>28</v>
      </c>
      <c r="G10" s="96" t="s">
        <v>29</v>
      </c>
      <c r="H10" s="97">
        <v>3728.0</v>
      </c>
    </row>
    <row r="11">
      <c r="A11" s="95">
        <v>45526.0</v>
      </c>
      <c r="B11" s="94" t="s">
        <v>35</v>
      </c>
      <c r="C11" s="94" t="s">
        <v>30</v>
      </c>
      <c r="D11" s="96" t="s">
        <v>31</v>
      </c>
      <c r="E11" s="96" t="s">
        <v>32</v>
      </c>
      <c r="F11" s="96" t="s">
        <v>28</v>
      </c>
      <c r="G11" s="96" t="s">
        <v>29</v>
      </c>
      <c r="H11" s="97">
        <v>3728.0</v>
      </c>
    </row>
    <row r="12">
      <c r="A12" s="95">
        <v>45526.0</v>
      </c>
      <c r="B12" s="94" t="s">
        <v>35</v>
      </c>
      <c r="C12" s="94" t="s">
        <v>33</v>
      </c>
      <c r="D12" s="96" t="s">
        <v>34</v>
      </c>
      <c r="E12" s="96" t="s">
        <v>31</v>
      </c>
      <c r="G12" s="96" t="s">
        <v>34</v>
      </c>
      <c r="H12" s="97">
        <v>3728.0</v>
      </c>
    </row>
    <row r="13">
      <c r="A13" s="95">
        <v>45526.0</v>
      </c>
      <c r="B13" s="94" t="s">
        <v>35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36</v>
      </c>
    </row>
    <row r="15">
      <c r="A15" s="95">
        <v>45533.0</v>
      </c>
      <c r="B15" s="94" t="s">
        <v>35</v>
      </c>
    </row>
    <row r="16">
      <c r="A16" s="95">
        <v>45534.0</v>
      </c>
      <c r="B16" s="94" t="s">
        <v>37</v>
      </c>
    </row>
    <row r="17">
      <c r="A17" s="95">
        <v>45535.0</v>
      </c>
      <c r="B17" s="94" t="s">
        <v>24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38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39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40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41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42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43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44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45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46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47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48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49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50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51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52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53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54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55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56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57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58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59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60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61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62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63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64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65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66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67</v>
      </c>
      <c r="AB141" s="94">
        <v>-10.0</v>
      </c>
    </row>
  </sheetData>
  <mergeCells count="1">
    <mergeCell ref="A1:H1"/>
  </mergeCells>
  <drawing r:id="rId1"/>
</worksheet>
</file>