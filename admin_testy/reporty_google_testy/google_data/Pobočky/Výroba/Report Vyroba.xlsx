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<sst xmlns="http://schemas.openxmlformats.org/spreadsheetml/2006/main" count="137" uniqueCount="72">
  <si>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</si>
  <si>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</si>
  <si>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</si>
  <si>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</si>
  <si>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</si>
  <si>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</si>
  <si>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</si>
  <si>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</si>
  <si>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</si>
  <si>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</si>
  <si>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</si>
  <si>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</si>
  <si>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Stepanenko Solomiia</t>
  </si>
  <si>
    <t>06:00</t>
  </si>
  <si>
    <t>14:00</t>
  </si>
  <si>
    <t>Suroviny</t>
  </si>
  <si>
    <t>Paziak Viktoriia</t>
  </si>
  <si>
    <t>Ostatní</t>
  </si>
  <si>
    <t>Vyber datum    &lt;----------&gt;</t>
  </si>
  <si>
    <t>Celkem hodin</t>
  </si>
  <si>
    <t>Počet dní</t>
  </si>
  <si>
    <t>Kursheva Diana</t>
  </si>
  <si>
    <t>Hřebík Martin</t>
  </si>
  <si>
    <t>Chlubna Tomáš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</si>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</sst>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46147.0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J15"),40068.0)</f>
        <v>40068</v>
      </c>
      <c r="H2" s="16"/>
      <c r="K2" s="16"/>
    </row>
    <row r="3">
      <c r="A3" s="17"/>
      <c r="B3" s="18" t="str">
        <f>CHOOSE(WEEKDAY(D1), "Neděle", "Pondělí", "Úterý", "Středa", "Čtvrtek", "Pátek", "Sobota")</f>
        <v>Úterý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64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08:00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08:00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Viktoriia,Stepanenko Solomiia,Kursheva Diana,Chlubna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46082.0</v>
      </c>
      <c r="D1" s="63" t="s">
        <v>18</v>
      </c>
      <c r="E1" s="62">
        <v>46112.0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1275695.5</v>
      </c>
      <c r="H2" s="16"/>
    </row>
    <row r="3">
      <c r="A3" s="66"/>
      <c r="B3" s="67" t="str">
        <f>CHOOSE(WEEKDAY(C1), "Neděle", "Pondělí", "Úterý", "Středa", "Čtvrtek", "Pátek", "Sobota")</f>
        <v>Neděle</v>
      </c>
      <c r="C3" s="10"/>
      <c r="D3" s="67" t="str">
        <f>CHOOSE(WEEKDAY(E1), "Neděle", "Pondělí", "Úterý", "Středa", "Čtvrtek", "Pátek", "Sobota")</f>
        <v>Úterý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19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20</v>
      </c>
      <c r="D9" s="79" t="s">
        <v>10</v>
      </c>
      <c r="F9" s="64"/>
    </row>
    <row r="10" ht="18.75" customHeight="1">
      <c r="A10" s="71"/>
      <c r="B10" s="80" t="s">
        <v>12</v>
      </c>
      <c r="C10" s="81">
        <v>31.0</v>
      </c>
      <c r="D10" s="82">
        <v>163.0</v>
      </c>
    </row>
    <row r="11" ht="18.75" customHeight="1">
      <c r="A11" s="71"/>
      <c r="B11" s="80" t="s">
        <v>16</v>
      </c>
      <c r="C11" s="81">
        <v>22.0</v>
      </c>
      <c r="D11" s="82">
        <v>176.0</v>
      </c>
    </row>
    <row r="12" ht="18.75" customHeight="1">
      <c r="A12" s="71"/>
      <c r="B12" s="80" t="s">
        <v>21</v>
      </c>
      <c r="C12" s="81">
        <v>20.0</v>
      </c>
      <c r="D12" s="82">
        <v>151.0</v>
      </c>
    </row>
    <row r="13" ht="18.75" customHeight="1">
      <c r="A13" s="71"/>
      <c r="B13" s="80" t="s">
        <v>22</v>
      </c>
      <c r="C13" s="81">
        <v>13.0</v>
      </c>
      <c r="D13" s="83">
        <v>134.0</v>
      </c>
    </row>
    <row r="14" ht="18.75" customHeight="1">
      <c r="A14" s="71"/>
      <c r="B14" s="80" t="s">
        <v>23</v>
      </c>
      <c r="C14" s="81">
        <v>1.0</v>
      </c>
      <c r="D14" s="83">
        <v>6.0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""Mzdy!u1:v200"")"),46143.0)</f>
        <v>46143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24</v>
      </c>
      <c r="B4" s="88" t="s">
        <v>25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IFERROR(__xludf.DUMMYFUNCTION("""COMPUTED_VALUE"""),5.0)</f>
        <v>5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IFERROR(__xludf.DUMMYFUNCTION("""COMPUTED_VALUE"""),0.0)</f>
        <v>0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IFERROR(__xludf.DUMMYFUNCTION("""COMPUTED_VALUE"""),8.0)</f>
        <v>8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/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IFERROR(__xludf.DUMMYFUNCTION("""COMPUTED_VALUE"""),"Chodov")</f>
        <v>Chodov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IFERROR(__xludf.DUMMYFUNCTION("""COMPUTED_VALUE"""),8.5)</f>
        <v>8.5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IFERROR(__xludf.DUMMYFUNCTION("""COMPUTED_VALUE"""),9.0)</f>
        <v>9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IFERROR(__xludf.DUMMYFUNCTION("""COMPUTED_VALUE"""),11.0)</f>
        <v>11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IFERROR(__xludf.DUMMYFUNCTION("""COMPUTED_VALUE"""),7.0)</f>
        <v>7</v>
      </c>
      <c r="W11" s="87">
        <f>IFERROR(__xludf.DUMMYFUNCTION("""COMPUTED_VALUE"""),1367.548)</f>
        <v>1367.548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IFERROR(__xludf.DUMMYFUNCTION("""COMPUTED_VALUE"""),8.5)</f>
        <v>8.5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IFERROR(__xludf.DUMMYFUNCTION("""COMPUTED_VALUE"""),0.0)</f>
        <v>0</v>
      </c>
      <c r="W14" s="87">
        <f>IFERROR(__xludf.DUMMYFUNCTION("""COMPUTED_VALUE"""),0.0)</f>
        <v>0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IFERROR(__xludf.DUMMYFUNCTION("""COMPUTED_VALUE"""),10.0)</f>
        <v>10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IFERROR(__xludf.DUMMYFUNCTION("""COMPUTED_VALUE"""),0.0)</f>
        <v>0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IFERROR(__xludf.DUMMYFUNCTION("""COMPUTED_VALUE"""),6.5)</f>
        <v>6.5</v>
      </c>
      <c r="W17" s="87">
        <f>IFERROR(__xludf.DUMMYFUNCTION("""COMPUTED_VALUE"""),1149.2)</f>
        <v>1149.2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IFERROR(__xludf.DUMMYFUNCTION("""COMPUTED_VALUE"""),8.0)</f>
        <v>8</v>
      </c>
      <c r="W18" s="87">
        <f>IFERROR(__xludf.DUMMYFUNCTION("""COMPUTED_VALUE"""),1513.408)</f>
        <v>1513.408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IFERROR(__xludf.DUMMYFUNCTION("""COMPUTED_VALUE"""),0.0)</f>
        <v>0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IFERROR(__xludf.DUMMYFUNCTION("""COMPUTED_VALUE"""),9.5)</f>
        <v>9.5</v>
      </c>
      <c r="W20" s="87">
        <f>IFERROR(__xludf.DUMMYFUNCTION("""COMPUTED_VALUE"""),1679.6)</f>
        <v>1679.6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IFERROR(__xludf.DUMMYFUNCTION("""COMPUTED_VALUE"""),9.0)</f>
        <v>9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IFERROR(__xludf.DUMMYFUNCTION("""COMPUTED_VALUE"""),17.0)</f>
        <v>17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IFERROR(__xludf.DUMMYFUNCTION("""COMPUTED_VALUE"""),11.0)</f>
        <v>11</v>
      </c>
      <c r="W23" s="87">
        <f>IFERROR(__xludf.DUMMYFUNCTION("""COMPUTED_VALUE"""),1818.388)</f>
        <v>1818.388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IFERROR(__xludf.DUMMYFUNCTION("""COMPUTED_VALUE"""),10.5)</f>
        <v>10.5</v>
      </c>
      <c r="W24" s="87">
        <f>IFERROR(__xludf.DUMMYFUNCTION("""COMPUTED_VALUE"""),1856.4)</f>
        <v>1856.4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IFERROR(__xludf.DUMMYFUNCTION("""COMPUTED_VALUE"""),0.0)</f>
        <v>0</v>
      </c>
      <c r="W27" s="87">
        <f>IFERROR(__xludf.DUMMYFUNCTION("""COMPUTED_VALUE"""),0.0)</f>
        <v>0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IFERROR(__xludf.DUMMYFUNCTION("""COMPUTED_VALUE"""),"Chodov")</f>
        <v>Chodov</v>
      </c>
      <c r="F28" s="84" t="str">
        <f>IFERROR(__xludf.DUMMYFUNCTION("""COMPUTED_VALUE"""),"Malešice")</f>
        <v>Malešice</v>
      </c>
      <c r="G28" s="84" t="str">
        <f>IFERROR(__xludf.DUMMYFUNCTION("""COMPUTED_VALUE"""),"Zličín")</f>
        <v>Zličín</v>
      </c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IFERROR(__xludf.DUMMYFUNCTION("""COMPUTED_VALUE"""),0.0)</f>
        <v>0</v>
      </c>
      <c r="W28" s="87">
        <f>IFERROR(__xludf.DUMMYFUNCTION("""COMPUTED_VALUE"""),0.0)</f>
        <v>0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IFERROR(__xludf.DUMMYFUNCTION("""COMPUTED_VALUE"""),12.0)</f>
        <v>12</v>
      </c>
      <c r="W30" s="87">
        <f>IFERROR(__xludf.DUMMYFUNCTION("""COMPUTED_VALUE"""),1983.696)</f>
        <v>1983.696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IFERROR(__xludf.DUMMYFUNCTION("""COMPUTED_VALUE"""),6.0)</f>
        <v>6</v>
      </c>
      <c r="W31" s="87">
        <f>IFERROR(__xludf.DUMMYFUNCTION("""COMPUTED_VALUE"""),917.592)</f>
        <v>917.592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IFERROR(__xludf.DUMMYFUNCTION("""COMPUTED_VALUE"""),8.0)</f>
        <v>8</v>
      </c>
      <c r="W35" s="87">
        <f>IFERROR(__xludf.DUMMYFUNCTION("""COMPUTED_VALUE"""),1322.464)</f>
        <v>1322.464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IFERROR(__xludf.DUMMYFUNCTION("""COMPUTED_VALUE"""),10.5)</f>
        <v>10.5</v>
      </c>
      <c r="W37" s="87">
        <f>IFERROR(__xludf.DUMMYFUNCTION("""COMPUTED_VALUE"""),1735.734)</f>
        <v>1735.734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IFERROR(__xludf.DUMMYFUNCTION("""COMPUTED_VALUE"""),0.0)</f>
        <v>0</v>
      </c>
      <c r="W38" s="87">
        <f>IFERROR(__xludf.DUMMYFUNCTION("""COMPUTED_VALUE"""),0.0)</f>
        <v>0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IFERROR(__xludf.DUMMYFUNCTION("""COMPUTED_VALUE"""),0.0)</f>
        <v>0</v>
      </c>
      <c r="W39" s="87">
        <f>IFERROR(__xludf.DUMMYFUNCTION("""COMPUTED_VALUE"""),0.0)</f>
        <v>0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IFERROR(__xludf.DUMMYFUNCTION("""COMPUTED_VALUE"""),0.0)</f>
        <v>0</v>
      </c>
      <c r="W40" s="87">
        <f>IFERROR(__xludf.DUMMYFUNCTION("""COMPUTED_VALUE"""),0.0)</f>
        <v>0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IFERROR(__xludf.DUMMYFUNCTION("""COMPUTED_VALUE"""),9.0)</f>
        <v>9</v>
      </c>
      <c r="W41" s="87">
        <f>IFERROR(__xludf.DUMMYFUNCTION("""COMPUTED_VALUE"""),1487.772)</f>
        <v>1487.772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 t="str">
        <f>IFERROR(__xludf.DUMMYFUNCTION("""COMPUTED_VALUE"""),"Kuzníková Nicol")</f>
        <v>Kuzníková Nicol</v>
      </c>
      <c r="E42" s="84" t="str">
        <f>IFERROR(__xludf.DUMMYFUNCTION("""COMPUTED_VALUE"""),"Zličín")</f>
        <v>Zličín</v>
      </c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IFERROR(__xludf.DUMMYFUNCTION("""COMPUTED_VALUE"""),184.0)</f>
        <v>184</v>
      </c>
      <c r="W60" s="87">
        <f>IFERROR(__xludf.DUMMYFUNCTION("""COMPUTED_VALUE"""),594858.282)</f>
        <v>594858.282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IFERROR(__xludf.DUMMYFUNCTION("""COMPUTED_VALUE"""),26058.0)</f>
        <v>26058</v>
      </c>
      <c r="W65" s="87">
        <f>IFERROR(__xludf.DUMMYFUNCTION("""COMPUTED_VALUE"""),130.29)</f>
        <v>130.29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IFERROR(__xludf.DUMMYFUNCTION("""COMPUTED_VALUE"""),0.0)</f>
        <v>0</v>
      </c>
      <c r="W75" s="87">
        <f>IFERROR(__xludf.DUMMYFUNCTION("""COMPUTED_VALUE"""),0.0)</f>
        <v>0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IFERROR(__xludf.DUMMYFUNCTION("""COMPUTED_VALUE"""),0.0)</f>
        <v>0</v>
      </c>
      <c r="W76" s="87">
        <f>IFERROR(__xludf.DUMMYFUNCTION("""COMPUTED_VALUE"""),0.0)</f>
        <v>0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IFERROR(__xludf.DUMMYFUNCTION("""COMPUTED_VALUE"""),7.0)</f>
        <v>7</v>
      </c>
      <c r="W77" s="87">
        <f>IFERROR(__xludf.DUMMYFUNCTION("""COMPUTED_VALUE"""),1070.524)</f>
        <v>1070.524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IFERROR(__xludf.DUMMYFUNCTION("""COMPUTED_VALUE"""),0.0)</f>
        <v>0</v>
      </c>
      <c r="W78" s="87">
        <f>IFERROR(__xludf.DUMMYFUNCTION("""COMPUTED_VALUE"""),0.0)</f>
        <v>0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IFERROR(__xludf.DUMMYFUNCTION("""COMPUTED_VALUE"""),0.0)</f>
        <v>0</v>
      </c>
      <c r="W79" s="87">
        <f>IFERROR(__xludf.DUMMYFUNCTION("""COMPUTED_VALUE"""),0.0)</f>
        <v>0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IFERROR(__xludf.DUMMYFUNCTION("""COMPUTED_VALUE"""),0.0)</f>
        <v>0</v>
      </c>
      <c r="W80" s="87">
        <f>IFERROR(__xludf.DUMMYFUNCTION("""COMPUTED_VALUE"""),0.0)</f>
        <v>0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IFERROR(__xludf.DUMMYFUNCTION("""COMPUTED_VALUE"""),0.0)</f>
        <v>0</v>
      </c>
      <c r="W81" s="87">
        <f>IFERROR(__xludf.DUMMYFUNCTION("""COMPUTED_VALUE"""),0.0)</f>
        <v>0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IFERROR(__xludf.DUMMYFUNCTION("""COMPUTED_VALUE"""),0.0)</f>
        <v>0</v>
      </c>
      <c r="W83" s="87">
        <f>IFERROR(__xludf.DUMMYFUNCTION("""COMPUTED_VALUE"""),0.0)</f>
        <v>0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IFERROR(__xludf.DUMMYFUNCTION("""COMPUTED_VALUE"""),0.0)</f>
        <v>0</v>
      </c>
      <c r="W84" s="87">
        <f>IFERROR(__xludf.DUMMYFUNCTION("""COMPUTED_VALUE"""),0.0)</f>
        <v>0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IFERROR(__xludf.DUMMYFUNCTION("""COMPUTED_VALUE"""),0.0)</f>
        <v>0</v>
      </c>
      <c r="W85" s="87">
        <f>IFERROR(__xludf.DUMMYFUNCTION("""COMPUTED_VALUE"""),0.0)</f>
        <v>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IFERROR(__xludf.DUMMYFUNCTION("""COMPUTED_VALUE"""),0.0)</f>
        <v>0</v>
      </c>
      <c r="W87" s="87">
        <f>IFERROR(__xludf.DUMMYFUNCTION("""COMPUTED_VALUE"""),0.0)</f>
        <v>0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/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IFERROR(__xludf.DUMMYFUNCTION("""COMPUTED_VALUE"""),8.0)</f>
        <v>8</v>
      </c>
      <c r="W89" s="87">
        <f>IFERROR(__xludf.DUMMYFUNCTION("""COMPUTED_VALUE"""),1360.0)</f>
        <v>1360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IFERROR(__xludf.DUMMYFUNCTION("""COMPUTED_VALUE"""),10.0)</f>
        <v>10</v>
      </c>
      <c r="W90" s="87">
        <f>IFERROR(__xludf.DUMMYFUNCTION("""COMPUTED_VALUE"""),1600.0)</f>
        <v>1600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 t="str">
        <f>IFERROR(__xludf.DUMMYFUNCTION("""COMPUTED_VALUE"""),"Killiakov Andrei")</f>
        <v>Killiakov Andrei</v>
      </c>
      <c r="E92" s="84" t="str">
        <f>IFERROR(__xludf.DUMMYFUNCTION("""COMPUTED_VALUE"""),"Zličín")</f>
        <v>Zličín</v>
      </c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IFERROR(__xludf.DUMMYFUNCTION("""COMPUTED_VALUE"""),10.0)</f>
        <v>10</v>
      </c>
      <c r="W93" s="87">
        <f>IFERROR(__xludf.DUMMYFUNCTION("""COMPUTED_VALUE"""),1653.08)</f>
        <v>1653.08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IFERROR(__xludf.DUMMYFUNCTION("""COMPUTED_VALUE"""),14.0)</f>
        <v>14</v>
      </c>
      <c r="W94" s="87">
        <f>IFERROR(__xludf.DUMMYFUNCTION("""COMPUTED_VALUE"""),2314.312)</f>
        <v>2314.312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IFERROR(__xludf.DUMMYFUNCTION("""COMPUTED_VALUE"""),0.0)</f>
        <v>0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IFERROR(__xludf.DUMMYFUNCTION("""COMPUTED_VALUE"""),0.0)</f>
        <v>0</v>
      </c>
      <c r="W97" s="87">
        <f>IFERROR(__xludf.DUMMYFUNCTION("""COMPUTED_VALUE"""),0.0)</f>
        <v>0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IFERROR(__xludf.DUMMYFUNCTION("""COMPUTED_VALUE"""),0.0)</f>
        <v>0</v>
      </c>
      <c r="W98" s="87">
        <f>IFERROR(__xludf.DUMMYFUNCTION("""COMPUTED_VALUE"""),0.0)</f>
        <v>0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IFERROR(__xludf.DUMMYFUNCTION("""COMPUTED_VALUE"""),9.0)</f>
        <v>9</v>
      </c>
      <c r="W99" s="87">
        <f>IFERROR(__xludf.DUMMYFUNCTION("""COMPUTED_VALUE"""),1272.96)</f>
        <v>1272.96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IFERROR(__xludf.DUMMYFUNCTION("""COMPUTED_VALUE"""),10.0)</f>
        <v>10</v>
      </c>
      <c r="W105" s="87">
        <f>IFERROR(__xludf.DUMMYFUNCTION("""COMPUTED_VALUE"""),1529.32)</f>
        <v>1529.32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IFERROR(__xludf.DUMMYFUNCTION("""COMPUTED_VALUE"""),0.0)</f>
        <v>0</v>
      </c>
      <c r="W107" s="87">
        <f>IFERROR(__xludf.DUMMYFUNCTION("""COMPUTED_VALUE"""),0.0)</f>
        <v>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IFERROR(__xludf.DUMMYFUNCTION("""COMPUTED_VALUE"""),4.5)</f>
        <v>4.5</v>
      </c>
      <c r="W108" s="87">
        <f>IFERROR(__xludf.DUMMYFUNCTION("""COMPUTED_VALUE"""),743.886)</f>
        <v>743.886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IFERROR(__xludf.DUMMYFUNCTION("""COMPUTED_VALUE"""),5.0)</f>
        <v>5</v>
      </c>
      <c r="W110" s="87">
        <f>IFERROR(__xludf.DUMMYFUNCTION("""COMPUTED_VALUE"""),764.66)</f>
        <v>764.66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IFERROR(__xludf.DUMMYFUNCTION("""COMPUTED_VALUE"""),0.0)</f>
        <v>0</v>
      </c>
      <c r="W112" s="87">
        <f>IFERROR(__xludf.DUMMYFUNCTION("""COMPUTED_VALUE"""),0.0)</f>
        <v>0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IFERROR(__xludf.DUMMYFUNCTION("""COMPUTED_VALUE"""),0.0)</f>
        <v>0</v>
      </c>
      <c r="W113" s="87">
        <f>IFERROR(__xludf.DUMMYFUNCTION("""COMPUTED_VALUE"""),0.0)</f>
        <v>0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IFERROR(__xludf.DUMMYFUNCTION("""COMPUTED_VALUE"""),5.0)</f>
        <v>5</v>
      </c>
      <c r="W115" s="87">
        <f>IFERROR(__xludf.DUMMYFUNCTION("""COMPUTED_VALUE"""),826.54)</f>
        <v>826.54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IFERROR(__xludf.DUMMYFUNCTION("""COMPUTED_VALUE"""),0.0)</f>
        <v>0</v>
      </c>
      <c r="W116" s="87">
        <f>IFERROR(__xludf.DUMMYFUNCTION("""COMPUTED_VALUE"""),0.0)</f>
        <v>0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IFERROR(__xludf.DUMMYFUNCTION("""COMPUTED_VALUE"""),8.5)</f>
        <v>8.5</v>
      </c>
      <c r="W117" s="87">
        <f>IFERROR(__xludf.DUMMYFUNCTION("""COMPUTED_VALUE"""),1405.118)</f>
        <v>1405.118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IFERROR(__xludf.DUMMYFUNCTION("""COMPUTED_VALUE"""),0.0)</f>
        <v>0</v>
      </c>
      <c r="W119" s="87">
        <f>IFERROR(__xludf.DUMMYFUNCTION("""COMPUTED_VALUE"""),0.0)</f>
        <v>0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IFERROR(__xludf.DUMMYFUNCTION("""COMPUTED_VALUE"""),5.0)</f>
        <v>5</v>
      </c>
      <c r="W120" s="87">
        <f>IFERROR(__xludf.DUMMYFUNCTION("""COMPUTED_VALUE"""),707.2)</f>
        <v>707.2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 t="str">
        <f>IFERROR(__xludf.DUMMYFUNCTION("""COMPUTED_VALUE"""),"Přibyl Jan")</f>
        <v>Přibyl Jan</v>
      </c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 t="str">
        <f>IFERROR(__xludf.DUMMYFUNCTION("""COMPUTED_VALUE"""),"Hrach Michal")</f>
        <v>Hrach Michal</v>
      </c>
      <c r="E123" s="84" t="str">
        <f>IFERROR(__xludf.DUMMYFUNCTION("""COMPUTED_VALUE"""),"Chodov")</f>
        <v>Chodov</v>
      </c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 t="str">
        <f>IFERROR(__xludf.DUMMYFUNCTION("""COMPUTED_VALUE"""),"Kvapil Filip Leon")</f>
        <v>Kvapil Filip Leon</v>
      </c>
      <c r="E124" s="84" t="str">
        <f>IFERROR(__xludf.DUMMYFUNCTION("""COMPUTED_VALUE"""),"Zličín")</f>
        <v>Zličín</v>
      </c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IFERROR(__xludf.DUMMYFUNCTION("""COMPUTED_VALUE"""),0.0)</f>
        <v>0</v>
      </c>
      <c r="W125" s="87">
        <f>IFERROR(__xludf.DUMMYFUNCTION("""COMPUTED_VALUE"""),0.0)</f>
        <v>0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IFERROR(__xludf.DUMMYFUNCTION("""COMPUTED_VALUE"""),"Irena Kovacsova")</f>
        <v>Irena Kovacsova</v>
      </c>
      <c r="E126" s="84" t="str">
        <f>IFERROR(__xludf.DUMMYFUNCTION("""COMPUTED_VALUE"""),"Bolevec")</f>
        <v>Bolevec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IFERROR(__xludf.DUMMYFUNCTION("""COMPUTED_VALUE"""),0.0)</f>
        <v>0</v>
      </c>
      <c r="W126" s="87">
        <f>IFERROR(__xludf.DUMMYFUNCTION("""COMPUTED_VALUE"""),0.0)</f>
        <v>0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7">
        <f>IFERROR(__xludf.DUMMYFUNCTION("""COMPUTED_VALUE"""),0.0)</f>
        <v>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IFERROR(__xludf.DUMMYFUNCTION("""COMPUTED_VALUE"""),96.0)</f>
        <v>96</v>
      </c>
      <c r="W196" s="87">
        <f>IFERROR(__xludf.DUMMYFUNCTION("""COMPUTED_VALUE"""),89970.79999999999)</f>
        <v>89970.8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26</v>
      </c>
      <c r="C1" s="94" t="s">
        <v>4</v>
      </c>
      <c r="D1" s="94" t="s">
        <v>7</v>
      </c>
      <c r="E1" s="94" t="s">
        <v>8</v>
      </c>
      <c r="F1" s="94" t="s">
        <v>27</v>
      </c>
      <c r="G1" s="94" t="s">
        <v>10</v>
      </c>
      <c r="H1" s="94" t="s">
        <v>28</v>
      </c>
      <c r="I1" s="94" t="s">
        <v>29</v>
      </c>
      <c r="J1" s="94" t="s">
        <v>15</v>
      </c>
      <c r="K1" s="94" t="s">
        <v>17</v>
      </c>
    </row>
    <row r="2">
      <c r="A2" s="95">
        <v>45528.0</v>
      </c>
      <c r="B2" s="94" t="s">
        <v>30</v>
      </c>
      <c r="C2" s="94" t="s">
        <v>31</v>
      </c>
      <c r="D2" s="96" t="s">
        <v>32</v>
      </c>
      <c r="E2" s="96" t="s">
        <v>33</v>
      </c>
      <c r="F2" s="96" t="s">
        <v>34</v>
      </c>
      <c r="G2" s="96" t="s">
        <v>35</v>
      </c>
      <c r="H2" s="97">
        <v>3728.0</v>
      </c>
    </row>
    <row r="3">
      <c r="A3" s="95">
        <v>45528.0</v>
      </c>
      <c r="B3" s="94" t="s">
        <v>30</v>
      </c>
      <c r="C3" s="94" t="s">
        <v>12</v>
      </c>
      <c r="D3" s="96" t="s">
        <v>36</v>
      </c>
      <c r="E3" s="96" t="s">
        <v>37</v>
      </c>
      <c r="F3" s="96" t="s">
        <v>34</v>
      </c>
      <c r="G3" s="96" t="s">
        <v>35</v>
      </c>
      <c r="H3" s="97">
        <v>3728.0</v>
      </c>
    </row>
    <row r="4">
      <c r="A4" s="95">
        <v>45528.0</v>
      </c>
      <c r="B4" s="94" t="s">
        <v>30</v>
      </c>
      <c r="C4" s="94" t="s">
        <v>22</v>
      </c>
      <c r="D4" s="96" t="s">
        <v>38</v>
      </c>
      <c r="E4" s="96" t="s">
        <v>36</v>
      </c>
      <c r="G4" s="96" t="s">
        <v>38</v>
      </c>
      <c r="H4" s="97">
        <v>3728.0</v>
      </c>
    </row>
    <row r="5">
      <c r="A5" s="95">
        <v>45528.0</v>
      </c>
      <c r="B5" s="94" t="s">
        <v>30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39</v>
      </c>
      <c r="C6" s="94" t="s">
        <v>31</v>
      </c>
      <c r="D6" s="96" t="s">
        <v>32</v>
      </c>
      <c r="E6" s="96" t="s">
        <v>33</v>
      </c>
      <c r="F6" s="96" t="s">
        <v>34</v>
      </c>
      <c r="G6" s="96" t="s">
        <v>35</v>
      </c>
      <c r="H6" s="97">
        <v>3728.0</v>
      </c>
    </row>
    <row r="7">
      <c r="A7" s="95">
        <v>45526.0</v>
      </c>
      <c r="B7" s="94" t="s">
        <v>39</v>
      </c>
      <c r="C7" s="94" t="s">
        <v>12</v>
      </c>
      <c r="D7" s="96" t="s">
        <v>36</v>
      </c>
      <c r="E7" s="96" t="s">
        <v>37</v>
      </c>
      <c r="F7" s="96" t="s">
        <v>34</v>
      </c>
      <c r="G7" s="96" t="s">
        <v>35</v>
      </c>
      <c r="H7" s="97">
        <v>3728.0</v>
      </c>
    </row>
    <row r="8">
      <c r="A8" s="95">
        <v>45526.0</v>
      </c>
      <c r="B8" s="94" t="s">
        <v>39</v>
      </c>
      <c r="C8" s="94" t="s">
        <v>22</v>
      </c>
      <c r="D8" s="96" t="s">
        <v>38</v>
      </c>
      <c r="E8" s="96" t="s">
        <v>36</v>
      </c>
      <c r="G8" s="96" t="s">
        <v>38</v>
      </c>
      <c r="H8" s="97">
        <v>3728.0</v>
      </c>
    </row>
    <row r="9">
      <c r="A9" s="95">
        <v>45526.0</v>
      </c>
      <c r="B9" s="94" t="s">
        <v>39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39</v>
      </c>
      <c r="C10" s="94" t="s">
        <v>31</v>
      </c>
      <c r="D10" s="96" t="s">
        <v>32</v>
      </c>
      <c r="E10" s="96" t="s">
        <v>33</v>
      </c>
      <c r="F10" s="96" t="s">
        <v>34</v>
      </c>
      <c r="G10" s="96" t="s">
        <v>35</v>
      </c>
      <c r="H10" s="97">
        <v>3728.0</v>
      </c>
    </row>
    <row r="11">
      <c r="A11" s="95">
        <v>45526.0</v>
      </c>
      <c r="B11" s="94" t="s">
        <v>39</v>
      </c>
      <c r="C11" s="94" t="s">
        <v>12</v>
      </c>
      <c r="D11" s="96" t="s">
        <v>36</v>
      </c>
      <c r="E11" s="96" t="s">
        <v>37</v>
      </c>
      <c r="F11" s="96" t="s">
        <v>34</v>
      </c>
      <c r="G11" s="96" t="s">
        <v>35</v>
      </c>
      <c r="H11" s="97">
        <v>3728.0</v>
      </c>
    </row>
    <row r="12">
      <c r="A12" s="95">
        <v>45526.0</v>
      </c>
      <c r="B12" s="94" t="s">
        <v>39</v>
      </c>
      <c r="C12" s="94" t="s">
        <v>22</v>
      </c>
      <c r="D12" s="96" t="s">
        <v>38</v>
      </c>
      <c r="E12" s="96" t="s">
        <v>36</v>
      </c>
      <c r="G12" s="96" t="s">
        <v>38</v>
      </c>
      <c r="H12" s="97">
        <v>3728.0</v>
      </c>
    </row>
    <row r="13">
      <c r="A13" s="95">
        <v>45526.0</v>
      </c>
      <c r="B13" s="94" t="s">
        <v>39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40</v>
      </c>
    </row>
    <row r="15">
      <c r="A15" s="95">
        <v>45533.0</v>
      </c>
      <c r="B15" s="94" t="s">
        <v>39</v>
      </c>
    </row>
    <row r="16">
      <c r="A16" s="95">
        <v>45534.0</v>
      </c>
      <c r="B16" s="94" t="s">
        <v>41</v>
      </c>
    </row>
    <row r="17">
      <c r="A17" s="95">
        <v>45535.0</v>
      </c>
      <c r="B17" s="94" t="s">
        <v>30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42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43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44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45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46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47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48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49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50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51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52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53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54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55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56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57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58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59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60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61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62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63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64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65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66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67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68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69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70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71</v>
      </c>
      <c r="AB141" s="94">
        <v>-10.0</v>
      </c>
    </row>
  </sheetData>
  <mergeCells count="1">
    <mergeCell ref="A1:H1"/>
  </mergeCells>
  <drawing r:id="rId1"/>
</worksheet>
</file>