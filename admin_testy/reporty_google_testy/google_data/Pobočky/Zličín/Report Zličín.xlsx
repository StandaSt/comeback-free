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<sst xmlns="http://schemas.openxmlformats.org/spreadsheetml/2006/main" count="8997" uniqueCount="2666">
  <si>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</si>
  <si>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</si>
  <si>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</si>
  <si>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</si>
  <si>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</si>
  <si>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</si>
  <si>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</si>
  <si>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</si>
  <si>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</si>
  <si>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</si>
  <si>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</si>
  <si>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</si>
  <si>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</si>
  <si>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</si>
  <si>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</si>
  <si>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</si>
  <si>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</si>
  <si>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</si>
  <si>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</si>
  <si>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</si>
  <si>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</si>
  <si>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</si>
  <si>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</si>
  <si>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</si>
  <si>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</si>
  <si>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</si>
  <si>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</si>
  <si>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</si>
  <si>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</si>
  <si>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</si>
  <si>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</si>
  <si>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</si>
  <si>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</si>
  <si>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</si>
  <si>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</si>
  <si>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</si>
  <si>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</si>
  <si>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</si>
  <si>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</si>
  <si>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</si>
  <si>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</si>
  <si>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</si>
  <si>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</si>
  <si>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</si>
  <si>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</si>
  <si>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</si>
  <si>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</si>
  <si>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</si>
  <si>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</si>
  <si>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</si>
  <si>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</si>
  <si>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</si>
  <si>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</si>
  <si>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</si>
  <si>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</si>
  <si>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</si>
  <si>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</si>
  <si>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</si>
  <si>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</si>
  <si>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</si>
  <si>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</si>
  <si>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</si>
  <si>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</si>
  <si>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</si>
  <si>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</si>
  <si>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</si>
  <si>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</si>
  <si>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</si>
  <si>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</si>
  <si>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</si>
  <si>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</si>
  <si>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</si>
  <si>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</si>
  <si>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</si>
  <si>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</si>
  <si>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</si>
  <si>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</si>
  <si>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</si>
  <si>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</si>
  <si>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</si>
  <si>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</si>
  <si>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</si>
  <si>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</si>
  <si>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</si>
  <si>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</si>
  <si>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</si>
  <si>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</si>
  <si>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</si>
  <si>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</si>
  <si>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</si>
  <si>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</si>
  <si>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</si>
  <si>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</si>
  <si>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</si>
  <si>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</si>
  <si>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</si>
  <si>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</si>
  <si>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</si>
  <si>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</si>
  <si>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</si>
  <si>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</si>
  <si>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</si>
  <si>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</si>
  <si>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</si>
  <si>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</si>
  <si>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</si>
  <si>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</si>
  <si>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</si>
  <si>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</si>
  <si>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</si>
  <si>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</si>
  <si>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</si>
  <si>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</si>
  <si>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</si>
  <si>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</si>
  <si>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</si>
  <si>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</si>
  <si>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</si>
  <si>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</si>
  <si>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</si>
  <si>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</si>
  <si>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</si>
  <si>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</si>
  <si>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</si>
  <si>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</si>
  <si>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</si>
  <si>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</si>
  <si>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</si>
  <si>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</si>
  <si>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</si>
  <si>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</si>
  <si>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</si>
  <si>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</si>
  <si>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</si>
  <si>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</si>
  <si>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</si>
  <si>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</si>
  <si>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</si>
  <si>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</si>
  <si>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</si>
  <si>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</si>
  <si>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</si>
  <si>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</si>
  <si>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</si>
  <si>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</si>
  <si>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</si>
  <si>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</si>
  <si>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</si>
  <si>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</si>
  <si>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</si>
  <si>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</si>
  <si>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</si>
  <si>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</si>
  <si>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</si>
  <si>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</si>
  <si>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</si>
  <si>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</si>
  <si>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</si>
  <si>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</si>
  <si>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</si>
  <si>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</si>
  <si>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</si>
  <si>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</si>
  <si>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</si>
  <si>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</si>
  <si>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</si>
  <si>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</si>
  <si>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</si>
  <si>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</si>
  <si>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</si>
  <si>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</si>
  <si>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</si>
  <si>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</si>
  <si>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</si>
  <si>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</si>
  <si>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</si>
  <si>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</si>
  <si>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</si>
  <si>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</si>
  <si>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</si>
  <si>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</si>
  <si>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</si>
  <si>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</si>
  <si>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</si>
  <si>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</si>
  <si>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</si>
  <si>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</si>
  <si>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</si>
  <si>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</si>
  <si>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</si>
  <si>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</si>
  <si>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</si>
  <si>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</si>
  <si>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</si>
  <si>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</si>
  <si>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</si>
  <si>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</si>
  <si>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</si>
  <si>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</si>
  <si>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</si>
  <si>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</si>
  <si>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</si>
  <si>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</si>
  <si>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</si>
  <si>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</si>
  <si>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</si>
  <si>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</si>
  <si>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</si>
  <si>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</si>
  <si>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</si>
  <si>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</si>
  <si>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</si>
  <si>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</si>
  <si>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</si>
  <si>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</si>
  <si>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</si>
  <si>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</si>
  <si>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</si>
  <si>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</si>
  <si>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</si>
  <si>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</si>
  <si>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</si>
  <si>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</si>
  <si>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</si>
  <si>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</si>
  <si>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</si>
  <si>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</si>
  <si>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</si>
  <si>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</si>
  <si>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</si>
  <si>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</si>
  <si>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</si>
  <si>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</si>
  <si>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</si>
  <si>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</si>
  <si>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</si>
  <si>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</si>
  <si>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</si>
  <si>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</si>
  <si>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</si>
  <si>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</si>
  <si>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</si>
  <si>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</si>
  <si>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</si>
  <si>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</si>
  <si>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</si>
  <si>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</si>
  <si>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</si>
  <si>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</si>
  <si>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</si>
  <si>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</si>
  <si>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</si>
  <si>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</si>
  <si>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</si>
  <si>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</si>
  <si>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</si>
  <si>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</si>
  <si>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</si>
  <si>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</si>
  <si>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</si>
  <si>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</si>
  <si>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</si>
  <si>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</si>
  <si>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</si>
  <si>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</si>
  <si>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</si>
  <si>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</si>
  <si>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</si>
  <si>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</si>
  <si>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</si>
  <si>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</si>
  <si>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</si>
  <si>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</si>
  <si>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</si>
  <si>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</si>
  <si>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</si>
  <si>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</si>
  <si>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</si>
  <si>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</si>
  <si>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</si>
  <si>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</si>
  <si>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</si>
  <si>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</si>
  <si>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</si>
  <si>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</si>
  <si>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</si>
  <si>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</si>
  <si>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</si>
  <si>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</si>
  <si>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</si>
  <si>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</si>
  <si>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</si>
  <si>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</si>
  <si>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</si>
  <si>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</si>
  <si>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</si>
  <si>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</si>
  <si>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</si>
  <si>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</si>
  <si>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</si>
  <si>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</si>
  <si>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</si>
  <si>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</si>
  <si>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</si>
  <si>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</si>
  <si>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</si>
  <si>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</si>
  <si>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</si>
  <si>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</si>
  <si>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</si>
  <si>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</si>
  <si>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</si>
  <si>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</si>
  <si>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</si>
  <si>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</si>
  <si>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</si>
  <si>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</si>
  <si>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</si>
  <si>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</si>
  <si>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</si>
  <si>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</si>
  <si>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</si>
  <si>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</si>
  <si>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</si>
  <si>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</si>
  <si>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</si>
  <si>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</si>
  <si>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</si>
  <si>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</si>
  <si>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</si>
  <si>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</si>
  <si>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</si>
  <si>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</si>
  <si>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</si>
  <si>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</si>
  <si>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</si>
  <si>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</si>
  <si>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</si>
  <si>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</si>
  <si>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</si>
  <si>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</si>
  <si>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</si>
  <si>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</si>
  <si>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</si>
  <si>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</si>
  <si>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</si>
  <si>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</si>
  <si>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</si>
  <si>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</si>
  <si>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</si>
  <si>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</si>
  <si>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</si>
  <si>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</si>
  <si>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</si>
  <si>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</si>
  <si>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</si>
  <si>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</si>
  <si>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</si>
  <si>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</si>
  <si>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</si>
  <si>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</si>
  <si>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</si>
  <si>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</si>
  <si>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</si>
  <si>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</si>
  <si>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</si>
  <si>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</si>
  <si>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</si>
  <si>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</si>
  <si>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</si>
  <si>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</si>
  <si>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</si>
  <si>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</si>
  <si>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</si>
  <si>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</si>
  <si>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</si>
  <si>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</si>
  <si>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</si>
  <si>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</si>
  <si>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</si>
  <si>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</si>
  <si>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</si>
  <si>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</si>
  <si>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</si>
  <si>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</si>
  <si>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</si>
  <si>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</si>
  <si>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</si>
  <si>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</si>
  <si>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</si>
  <si>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</si>
  <si>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</si>
  <si>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</si>
  <si>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</si>
  <si>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</si>
  <si>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</si>
  <si>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</si>
  <si>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</si>
  <si>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</si>
  <si>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</si>
  <si>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</si>
  <si>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</si>
  <si>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</si>
  <si>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</si>
  <si>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</si>
  <si>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</si>
  <si>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</si>
  <si>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</si>
  <si>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</si>
  <si>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</si>
  <si>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</si>
  <si>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</si>
  <si>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</si>
  <si>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</si>
  <si>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</si>
  <si>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</si>
  <si>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</si>
  <si>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</si>
  <si>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</si>
  <si>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</si>
  <si>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</si>
  <si>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</si>
  <si>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</si>
  <si>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</si>
  <si>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</si>
  <si>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</si>
  <si>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</si>
  <si>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</si>
  <si>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</si>
  <si>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</si>
  <si>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</si>
  <si>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</si>
  <si>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</si>
  <si>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</si>
  <si>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</si>
  <si>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</si>
  <si>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</si>
  <si>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</si>
  <si>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</si>
  <si>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</si>
  <si>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</si>
  <si>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</si>
  <si>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</si>
  <si>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</si>
  <si>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</si>
  <si>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</si>
  <si>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</si>
  <si>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</si>
  <si>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</si>
  <si>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</si>
  <si>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</si>
  <si>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</si>
  <si>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</si>
  <si>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</si>
  <si>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</si>
  <si>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</si>
  <si>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</si>
  <si>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</si>
  <si>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</si>
  <si>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</si>
  <si>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</si>
  <si>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</si>
  <si>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</si>
  <si>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</si>
  <si>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</si>
  <si>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</si>
  <si>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</si>
  <si>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</si>
  <si>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</si>
  <si>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</si>
  <si>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</si>
  <si>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</si>
  <si>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</si>
  <si>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</si>
  <si>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</si>
  <si>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</si>
  <si>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</si>
  <si>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</si>
  <si>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</si>
  <si>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</si>
  <si>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</si>
  <si>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</si>
  <si>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</si>
  <si>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</si>
  <si>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</si>
  <si>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</si>
  <si>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</si>
  <si>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</si>
  <si>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</si>
  <si>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</si>
  <si>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</si>
  <si>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</si>
  <si>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</si>
  <si>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</si>
  <si>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</si>
  <si>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</si>
  <si>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</si>
  <si>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</si>
  <si>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</si>
  <si>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</si>
  <si>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</si>
  <si>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</si>
  <si>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</si>
  <si>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</si>
  <si>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</si>
  <si>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</si>
  <si>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</si>
  <si>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</si>
  <si>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</si>
  <si>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</si>
  <si>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</si>
  <si>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</si>
  <si>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</si>
  <si>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</si>
  <si>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</si>
  <si>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</si>
  <si>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</si>
  <si>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</si>
  <si>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</si>
  <si>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</si>
  <si>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</si>
  <si>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</si>
  <si>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</si>
  <si>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</si>
  <si>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</si>
  <si>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</si>
  <si>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</si>
  <si>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</si>
  <si>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</si>
  <si>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</si>
  <si>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</si>
  <si>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</si>
  <si>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</si>
  <si>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</si>
  <si>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</si>
  <si>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</si>
  <si>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</si>
  <si>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</si>
  <si>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</si>
  <si>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</si>
  <si>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</si>
  <si>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</si>
  <si>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</si>
  <si>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</si>
  <si>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</si>
  <si>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</si>
  <si>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</si>
  <si>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</si>
  <si>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</si>
  <si>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</si>
  <si>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</si>
  <si>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</si>
  <si>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</si>
  <si>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</si>
  <si>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</si>
  <si>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</si>
  <si>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</si>
  <si>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</si>
  <si>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</si>
  <si>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</si>
  <si>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</si>
  <si>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</si>
  <si>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</si>
  <si>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</si>
  <si>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</si>
  <si>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</si>
  <si>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</si>
  <si>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</si>
  <si>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</si>
  <si>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</si>
  <si>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</si>
  <si>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</si>
  <si>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</si>
  <si>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</si>
  <si>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</si>
  <si>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</si>
  <si>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</si>
  <si>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</si>
  <si>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</si>
  <si>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</si>
  <si>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</si>
  <si>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</si>
  <si>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</si>
  <si>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</si>
  <si>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</si>
  <si>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</si>
  <si>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</si>
  <si>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</si>
  <si>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</si>
  <si>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</si>
  <si>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</si>
  <si>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</si>
  <si>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</si>
  <si>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</si>
  <si>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</si>
  <si>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</si>
  <si>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</si>
  <si>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</si>
  <si>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</si>
  <si>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</si>
  <si>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</si>
  <si>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</si>
  <si>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</si>
  <si>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</si>
  <si>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</si>
  <si>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</si>
  <si>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</si>
  <si>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</si>
  <si>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</si>
  <si>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</si>
  <si>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</si>
  <si>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</si>
  <si>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</si>
  <si>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</si>
  <si>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</si>
  <si>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</si>
  <si>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</si>
  <si>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</si>
  <si>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</si>
  <si>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</si>
  <si>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</si>
  <si>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</si>
  <si>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</si>
  <si>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</si>
  <si>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</si>
  <si>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</si>
  <si>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</si>
  <si>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</si>
  <si>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</si>
  <si>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</si>
  <si>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</si>
  <si>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</si>
  <si>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</si>
  <si>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</si>
  <si>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</si>
  <si>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</si>
  <si>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</si>
  <si>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</si>
  <si>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</si>
  <si>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</si>
  <si>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</si>
  <si>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</si>
  <si>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</si>
  <si>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</si>
  <si>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</si>
  <si>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</si>
  <si>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</si>
  <si>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</si>
  <si>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</si>
  <si>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</si>
  <si>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</si>
  <si>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</si>
  <si>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</si>
  <si>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</si>
  <si>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</si>
  <si>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</si>
  <si>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</si>
  <si>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</si>
  <si>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</si>
  <si>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</si>
  <si>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</si>
  <si>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</si>
  <si>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</si>
  <si>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</si>
  <si>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</si>
  <si>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</si>
  <si>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</si>
  <si>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</si>
  <si>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</si>
  <si>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</si>
  <si>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</si>
  <si>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</si>
  <si>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</si>
  <si>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</si>
  <si>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</si>
  <si>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</si>
  <si>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</si>
  <si>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</si>
  <si>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</si>
  <si>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</si>
  <si>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</si>
  <si>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</si>
  <si>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</si>
  <si>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</si>
  <si>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</si>
  <si>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</si>
  <si>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</si>
  <si>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</si>
  <si>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</si>
  <si>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</si>
  <si>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</si>
  <si>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</si>
  <si>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</si>
  <si>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</si>
  <si>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</si>
  <si>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</si>
  <si>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</si>
  <si>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</si>
  <si>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</si>
  <si>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</si>
  <si>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</si>
  <si>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</si>
  <si>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</si>
  <si>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</si>
  <si>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</si>
  <si>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</si>
  <si>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</si>
  <si>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</si>
  <si>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</si>
  <si>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</si>
  <si>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</si>
  <si>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</si>
  <si>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</si>
  <si>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</si>
  <si>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</si>
  <si>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</si>
  <si>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</si>
  <si>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</si>
  <si>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</si>
  <si>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</si>
  <si>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</si>
  <si>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</si>
  <si>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</si>
  <si>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</si>
  <si>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</si>
  <si>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</si>
  <si>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</si>
  <si>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</si>
  <si>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</si>
  <si>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</si>
  <si>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</si>
  <si>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</si>
  <si>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</si>
  <si>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</si>
  <si>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</si>
  <si>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</si>
  <si>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</si>
  <si>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</si>
  <si>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</si>
  <si>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</si>
  <si>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</si>
  <si>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</si>
  <si>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</si>
  <si>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</si>
  <si>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</si>
  <si>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</si>
  <si>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</si>
  <si>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</si>
  <si>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</si>
  <si>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</si>
  <si>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</si>
  <si>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</si>
  <si>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</si>
  <si>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</si>
  <si>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</si>
  <si>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</si>
  <si>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</si>
  <si>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</si>
  <si>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</si>
  <si>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</si>
  <si>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</si>
  <si>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</si>
  <si>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</si>
  <si>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</si>
  <si>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</si>
  <si>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</si>
  <si>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</si>
  <si>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</si>
  <si>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</si>
  <si>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</si>
  <si>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</si>
  <si>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</si>
  <si>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</si>
  <si>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</si>
  <si>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</si>
  <si>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</si>
  <si>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</si>
  <si>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</si>
  <si>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</si>
  <si>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</si>
  <si>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</si>
  <si>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</si>
  <si>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</si>
  <si>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</si>
  <si>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</si>
  <si>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</si>
  <si>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</si>
  <si>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</si>
  <si>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</si>
  <si>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</si>
  <si>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</si>
  <si>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</si>
  <si>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</si>
  <si>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</si>
  <si>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</si>
  <si>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</si>
  <si>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</si>
  <si>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</si>
  <si>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</si>
  <si>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</si>
  <si>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</si>
  <si>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</si>
  <si>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</si>
  <si>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</si>
  <si>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</si>
  <si>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</si>
  <si>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</si>
  <si>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</si>
  <si>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</si>
  <si>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</si>
  <si>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</si>
  <si>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</si>
  <si>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</si>
  <si>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</si>
  <si>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</si>
  <si>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</si>
  <si>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</si>
  <si>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</si>
  <si>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</si>
  <si>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</si>
  <si>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</si>
  <si>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</si>
  <si>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</si>
  <si>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</si>
  <si>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</si>
  <si>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</si>
  <si>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</si>
  <si>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</si>
  <si>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</si>
  <si>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</si>
  <si>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</si>
  <si>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</si>
  <si>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</si>
  <si>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</si>
  <si>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</si>
  <si>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</si>
  <si>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</si>
  <si>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</si>
  <si>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</si>
  <si>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</si>
  <si>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</si>
  <si>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</si>
  <si>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</si>
  <si>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</si>
  <si>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</si>
  <si>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</si>
  <si>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</si>
  <si>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</si>
  <si>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</si>
  <si>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</si>
  <si>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</si>
  <si>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</si>
  <si>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</si>
  <si>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</si>
  <si>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</si>
  <si>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</si>
  <si>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</si>
  <si>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</si>
  <si>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</si>
  <si>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</si>
  <si>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</si>
  <si>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</si>
  <si>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</si>
  <si>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</si>
  <si>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</si>
  <si>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</si>
  <si>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</si>
  <si>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</si>
  <si>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</si>
  <si>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</si>
  <si>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</si>
  <si>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</si>
  <si>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</si>
  <si>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</si>
  <si>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</si>
  <si>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</si>
  <si>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</si>
  <si>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</si>
  <si>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</si>
  <si>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</si>
  <si>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</si>
  <si>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</si>
  <si>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</si>
  <si>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</si>
  <si>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</si>
  <si>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</si>
  <si>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</si>
  <si>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</si>
  <si>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</si>
  <si>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</si>
  <si>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</si>
  <si>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</si>
  <si>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</si>
  <si>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</si>
  <si>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</si>
  <si>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</si>
  <si>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</si>
  <si>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</si>
  <si>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</si>
  <si>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</si>
  <si>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</si>
  <si>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</si>
  <si>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</si>
  <si>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</si>
  <si>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</si>
  <si>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</si>
  <si>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</si>
  <si>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</si>
  <si>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</si>
  <si>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</si>
  <si>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</si>
  <si>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</si>
  <si>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</si>
  <si>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</si>
  <si>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</si>
  <si>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</si>
  <si>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</si>
  <si>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</si>
  <si>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</si>
  <si>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</si>
  <si>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</si>
  <si>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</si>
  <si>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</si>
  <si>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</si>
  <si>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</si>
  <si>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</si>
  <si>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</si>
  <si>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</si>
  <si>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</si>
  <si>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</si>
  <si>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</si>
  <si>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</si>
  <si>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</si>
  <si>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</si>
  <si>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</si>
  <si>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</si>
  <si>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</si>
  <si>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</si>
  <si>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</si>
  <si>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</si>
  <si>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</si>
  <si>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</si>
  <si>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</si>
  <si>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</si>
  <si>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</si>
  <si>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</si>
  <si>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</si>
  <si>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</si>
  <si>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</si>
  <si>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</si>
  <si>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</si>
  <si>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</si>
  <si>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</si>
  <si>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</si>
  <si>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</si>
  <si>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</si>
  <si>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</si>
  <si>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</si>
  <si>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</si>
  <si>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</si>
  <si>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</si>
  <si>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</si>
  <si>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</si>
  <si>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</si>
  <si>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</si>
  <si>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</si>
  <si>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</si>
  <si>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</si>
  <si>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</si>
  <si>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</si>
  <si>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</si>
  <si>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</si>
  <si>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</si>
  <si>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</si>
  <si>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</si>
  <si>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</si>
  <si>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</si>
  <si>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</si>
  <si>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</si>
  <si>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</si>
  <si>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</si>
  <si>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</si>
  <si>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</si>
  <si>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</si>
  <si>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</si>
  <si>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</si>
  <si>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</si>
  <si>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</si>
  <si>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</si>
  <si>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</si>
  <si>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</si>
  <si>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</si>
  <si>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</si>
  <si>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</si>
  <si>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</si>
  <si>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</si>
  <si>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</si>
  <si>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</si>
  <si>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</si>
  <si>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</si>
  <si>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</si>
  <si>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</si>
  <si>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</si>
  <si>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</si>
  <si>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</si>
  <si>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</si>
  <si>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</si>
  <si>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</si>
  <si>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</si>
  <si>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</si>
  <si>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</si>
  <si>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</si>
  <si>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</si>
  <si>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</si>
  <si>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</si>
  <si>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</si>
  <si>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</si>
  <si>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</si>
  <si>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</si>
  <si>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</si>
  <si>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</si>
  <si>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</si>
  <si>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</si>
  <si>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</si>
  <si>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</si>
  <si>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</si>
  <si>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</si>
  <si>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</si>
  <si>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</si>
  <si>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</si>
  <si>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</si>
  <si>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</si>
  <si>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</si>
  <si>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</si>
  <si>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</si>
  <si>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</si>
  <si>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</si>
  <si>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</si>
  <si>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</si>
  <si>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</si>
  <si>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</si>
  <si>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</si>
  <si>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</si>
  <si>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</si>
  <si>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</si>
  <si>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</si>
  <si>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</si>
  <si>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</si>
  <si>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</si>
  <si>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</si>
  <si>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</si>
  <si>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</si>
  <si>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</si>
  <si>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</si>
  <si>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</si>
  <si>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</si>
  <si>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</si>
  <si>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</si>
  <si>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</si>
  <si>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</si>
  <si>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</si>
  <si>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</si>
  <si>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</si>
  <si>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</si>
  <si>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</si>
  <si>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</si>
  <si>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</si>
  <si>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</si>
  <si>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</si>
  <si>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</si>
  <si>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</si>
  <si>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</si>
  <si>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</si>
  <si>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</si>
  <si>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</si>
  <si>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</si>
  <si>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</si>
  <si>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</si>
  <si>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</si>
  <si>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</si>
  <si>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</si>
  <si>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</si>
  <si>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</si>
  <si>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</si>
  <si>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</si>
  <si>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</si>
  <si>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</si>
  <si>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</si>
  <si>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</si>
  <si>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</si>
  <si>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</si>
  <si>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</si>
  <si>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</si>
  <si>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</si>
  <si>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</si>
  <si>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</si>
  <si>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</si>
  <si>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</si>
  <si>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</si>
  <si>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</si>
  <si>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</si>
  <si>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</si>
  <si>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</si>
  <si>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</si>
  <si>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</si>
  <si>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</si>
  <si>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</si>
  <si>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</si>
  <si>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</si>
  <si>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</si>
  <si>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</si>
  <si>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</si>
  <si>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</si>
  <si>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</si>
  <si>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</si>
  <si>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</si>
  <si>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</si>
  <si>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</si>
  <si>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</si>
  <si>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</si>
  <si>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</si>
  <si>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</si>
  <si>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</si>
  <si>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</si>
  <si>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</si>
  <si>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</si>
  <si>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</si>
  <si>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</si>
  <si>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</si>
  <si>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</si>
  <si>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</si>
  <si>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</si>
  <si>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</si>
  <si>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</si>
  <si>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</si>
  <si>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</si>
  <si>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</si>
  <si>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</si>
  <si>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</si>
  <si>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</si>
  <si>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</si>
  <si>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</si>
  <si>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</si>
  <si>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</si>
  <si>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</si>
  <si>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</si>
  <si>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</si>
  <si>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</si>
  <si>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</si>
  <si>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</si>
  <si>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</si>
  <si>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</si>
  <si>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</si>
  <si>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</si>
  <si>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</si>
  <si>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</si>
  <si>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</si>
  <si>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</si>
  <si>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</si>
  <si>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</si>
  <si>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</si>
  <si>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</si>
  <si>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</si>
  <si>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</si>
  <si>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</si>
  <si>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</si>
  <si>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</si>
  <si>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</si>
  <si>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</si>
  <si>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</si>
  <si>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</si>
  <si>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</si>
  <si>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</si>
  <si>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</si>
  <si>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</si>
  <si>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</si>
  <si>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</si>
  <si>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</si>
  <si>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</si>
  <si>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</si>
  <si>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</si>
  <si>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</si>
  <si>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</si>
  <si>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</si>
  <si>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</si>
  <si>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</si>
  <si>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</si>
  <si>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</si>
  <si>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</si>
  <si>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</si>
  <si>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</si>
  <si>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</si>
  <si>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</si>
  <si>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</si>
  <si>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</si>
  <si>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</si>
  <si>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</si>
  <si>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</si>
  <si>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</si>
  <si>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</si>
  <si>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</si>
  <si>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</si>
  <si>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</si>
  <si>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</si>
  <si>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</si>
  <si>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</si>
  <si>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</si>
  <si>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</si>
  <si>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</si>
  <si>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</si>
  <si>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</si>
  <si>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</si>
  <si>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</si>
  <si>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</si>
  <si>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</si>
  <si>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</si>
  <si>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</si>
  <si>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</si>
  <si>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</si>
  <si>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</si>
  <si>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</si>
  <si>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</si>
  <si>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</si>
  <si>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</si>
  <si>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</si>
  <si>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</si>
  <si>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</si>
  <si>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</si>
  <si>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</si>
  <si>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</si>
  <si>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</si>
  <si>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</si>
  <si>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</si>
  <si>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</si>
  <si>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</si>
  <si>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</si>
  <si>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</si>
  <si>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</si>
  <si>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</si>
  <si>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</si>
  <si>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</si>
  <si>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</si>
  <si>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</si>
  <si>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</si>
  <si>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</si>
  <si>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</si>
  <si>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</si>
  <si>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</si>
  <si>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</si>
  <si>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</si>
  <si>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</si>
  <si>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</si>
  <si>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</si>
  <si>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</si>
  <si>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</si>
  <si>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</si>
  <si>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</si>
  <si>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</si>
  <si>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</si>
  <si>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</si>
  <si>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</si>
  <si>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</si>
  <si>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</si>
  <si>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</si>
  <si>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</si>
  <si>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</si>
  <si>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</si>
  <si>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</si>
  <si>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</si>
  <si>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</si>
  <si>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</si>
  <si>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</si>
  <si>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</si>
  <si>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</si>
  <si>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</si>
  <si>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</si>
  <si>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</si>
  <si>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</si>
  <si>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</si>
  <si>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</si>
  <si>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</si>
  <si>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</si>
  <si>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</si>
  <si>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</si>
  <si>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</si>
  <si>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</si>
  <si>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</si>
  <si>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</si>
  <si>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</si>
  <si>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</si>
  <si>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</si>
  <si>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</si>
  <si>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</si>
  <si>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</si>
  <si>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</si>
  <si>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</si>
  <si>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</si>
  <si>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</si>
  <si>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</si>
  <si>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</si>
  <si>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</si>
  <si>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</si>
  <si>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</si>
  <si>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</si>
  <si>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</si>
  <si>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</si>
  <si>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</si>
  <si>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</si>
  <si>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</si>
  <si>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</si>
  <si>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</si>
  <si>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</si>
  <si>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</si>
  <si>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</si>
  <si>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</si>
  <si>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</si>
  <si>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</si>
  <si>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</si>
  <si>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</si>
  <si>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</si>
  <si>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</si>
  <si>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</si>
  <si>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</si>
  <si>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</si>
  <si>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</si>
  <si>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</si>
  <si>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</si>
  <si>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</si>
  <si>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</si>
  <si>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</si>
  <si>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</si>
  <si>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</si>
  <si>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</si>
  <si>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</si>
  <si>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</si>
  <si>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</si>
  <si>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</si>
  <si>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</si>
  <si>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</si>
  <si>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</si>
  <si>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</si>
  <si>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</si>
  <si>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</si>
  <si>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</si>
  <si>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</si>
  <si>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</si>
  <si>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</si>
  <si>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</si>
  <si>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</si>
  <si>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</si>
  <si>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</si>
  <si>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</si>
  <si>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</si>
  <si>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</si>
  <si>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</si>
  <si>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</si>
  <si>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</si>
  <si>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</si>
  <si>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</si>
  <si>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</si>
  <si>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</si>
  <si>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</si>
  <si>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</si>
  <si>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</si>
  <si>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</si>
  <si>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</si>
  <si>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</si>
  <si>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</si>
  <si>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</si>
  <si>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</si>
  <si>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</si>
  <si>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</si>
  <si>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</si>
  <si>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</si>
  <si>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</si>
  <si>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</si>
  <si>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</si>
  <si>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</si>
  <si>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</si>
  <si>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</si>
  <si>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</si>
  <si>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</si>
  <si>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</si>
  <si>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</si>
  <si>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</si>
  <si>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</si>
  <si>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</si>
  <si>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</si>
  <si>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</si>
  <si>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</si>
  <si>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</si>
  <si>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</si>
  <si>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</si>
  <si>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</si>
  <si>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</si>
  <si>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</si>
  <si>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</si>
  <si>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</si>
  <si>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</si>
  <si>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</si>
  <si>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</si>
  <si>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</si>
  <si>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</si>
  <si>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</si>
  <si>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</si>
  <si>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</si>
  <si>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</si>
  <si>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</si>
  <si>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</si>
  <si>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</si>
  <si>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</si>
  <si>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</si>
  <si>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</si>
  <si>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</si>
  <si>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</si>
  <si>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</si>
  <si>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</si>
  <si>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</si>
  <si>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</si>
  <si>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</si>
  <si>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</si>
  <si>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</si>
  <si>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</si>
  <si>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</si>
  <si>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</si>
  <si>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</si>
  <si>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</si>
  <si>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</si>
  <si>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</si>
  <si>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</si>
  <si>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</si>
  <si>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</si>
  <si>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</si>
  <si>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</si>
  <si>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</si>
  <si>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</si>
  <si>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</si>
  <si>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</si>
  <si>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</si>
  <si>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</si>
  <si>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</si>
  <si>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</si>
  <si>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</si>
  <si>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</si>
  <si>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</si>
  <si>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</si>
  <si>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</si>
  <si>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</si>
  <si>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</si>
  <si>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</si>
  <si>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</si>
  <si>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</si>
  <si>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</si>
  <si>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</si>
  <si>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</si>
  <si>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</si>
  <si>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</si>
  <si>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</si>
  <si>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</si>
  <si>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</si>
  <si>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</si>
  <si>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</si>
  <si>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</si>
  <si>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</si>
  <si>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</si>
  <si>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</si>
  <si>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</si>
  <si>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</si>
  <si>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</si>
  <si>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</si>
  <si>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</si>
  <si>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</si>
  <si>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</si>
  <si>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</si>
  <si>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</si>
  <si>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</si>
  <si>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</si>
  <si>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</si>
  <si>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</si>
  <si>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</si>
  <si>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</si>
  <si>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</si>
  <si>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</si>
  <si>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</si>
  <si>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</si>
  <si>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</si>
  <si>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</si>
  <si>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</si>
  <si>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</si>
  <si>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</si>
  <si>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</si>
  <si>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</si>
  <si>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</si>
  <si>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</si>
  <si>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</si>
  <si>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</si>
  <si>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</si>
  <si>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</si>
  <si>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</si>
  <si>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</si>
  <si>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</si>
  <si>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</si>
  <si>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</si>
  <si>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</si>
  <si>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</si>
  <si>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</si>
  <si>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</si>
  <si>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</si>
  <si>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</si>
  <si>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</si>
  <si>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</si>
  <si>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</si>
  <si>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</si>
  <si>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</si>
  <si>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</si>
  <si>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</si>
  <si>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</si>
  <si>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</si>
  <si>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</si>
  <si>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</si>
  <si>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</si>
  <si>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</si>
  <si>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</si>
  <si>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</si>
  <si>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</si>
  <si>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</si>
  <si>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</si>
  <si>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</si>
  <si>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</si>
  <si>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</si>
  <si>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</si>
  <si>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</si>
  <si>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</si>
  <si>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</si>
  <si>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</si>
  <si>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</si>
  <si>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</si>
  <si>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</si>
  <si>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</si>
  <si>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</si>
  <si>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</si>
  <si>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</si>
  <si>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</si>
  <si>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</si>
  <si>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</si>
  <si>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</si>
  <si>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</si>
  <si>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</si>
  <si>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</si>
  <si>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</si>
  <si>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</si>
  <si>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</si>
  <si>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</si>
  <si>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</si>
  <si>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</si>
  <si>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</si>
  <si>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</si>
  <si>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</si>
  <si>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</si>
  <si>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</si>
  <si>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</si>
  <si>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</si>
  <si>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</si>
  <si>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</si>
  <si>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</si>
  <si>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</si>
  <si>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</si>
  <si>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</si>
  <si>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</si>
  <si>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</si>
  <si>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</si>
  <si>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</si>
  <si>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</si>
  <si>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</si>
  <si>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</si>
  <si>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</si>
  <si>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</si>
  <si>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</si>
  <si>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</si>
  <si>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</si>
  <si>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</si>
  <si>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</si>
  <si>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</si>
  <si>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</si>
  <si>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</si>
  <si>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</si>
  <si>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</si>
  <si>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</si>
  <si>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</si>
  <si>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</si>
  <si>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</si>
  <si>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</si>
  <si>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</si>
  <si>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</si>
  <si>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</si>
  <si>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</si>
  <si>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</si>
  <si>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</si>
  <si>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</si>
  <si>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</si>
  <si>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</si>
  <si>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</si>
  <si>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</si>
  <si>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</si>
  <si>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</si>
  <si>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</si>
  <si>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</si>
  <si>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</si>
  <si>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</si>
  <si>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</si>
  <si>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</si>
  <si>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</si>
  <si>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</si>
  <si>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</si>
  <si>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</si>
  <si>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</si>
  <si>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</si>
  <si>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</si>
  <si>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</si>
  <si>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</si>
  <si>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</si>
  <si>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</si>
  <si>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</si>
  <si>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</si>
  <si>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</si>
  <si>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</si>
  <si>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</si>
  <si>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</si>
  <si>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</si>
  <si>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</si>
  <si>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</si>
  <si>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</si>
  <si>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</si>
  <si>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</si>
  <si>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</si>
  <si>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</si>
  <si>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</si>
  <si>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</si>
  <si>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</si>
  <si>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</si>
  <si>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</si>
  <si>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</si>
  <si>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</si>
  <si>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</si>
  <si>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</si>
  <si>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</si>
  <si>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</si>
  <si>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</si>
  <si>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</si>
  <si>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</si>
  <si>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</si>
  <si>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</si>
  <si>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</si>
  <si>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</si>
  <si>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</si>
  <si>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</si>
  <si>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</si>
  <si>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</si>
  <si>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</si>
  <si>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</si>
  <si>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</si>
  <si>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</si>
  <si>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</si>
  <si>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</si>
  <si>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</si>
  <si>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</si>
  <si>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</si>
  <si>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</si>
  <si>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</si>
  <si>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</si>
  <si>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</si>
  <si>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</si>
  <si>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</si>
  <si>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</si>
  <si>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</si>
  <si>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</si>
  <si>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</si>
  <si>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</si>
  <si>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</si>
  <si>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</si>
  <si>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</si>
  <si>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</si>
  <si>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</si>
  <si>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</si>
  <si>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</si>
  <si>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</si>
  <si>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</si>
  <si>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</si>
  <si>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</si>
  <si>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</si>
  <si>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</si>
  <si>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</si>
  <si>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</si>
  <si>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</si>
  <si>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</si>
  <si>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</si>
  <si>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</si>
  <si>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</si>
  <si>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</si>
  <si>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</si>
  <si>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</si>
  <si>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</si>
  <si>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</si>
  <si>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</si>
  <si>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</si>
  <si>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</si>
  <si>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</si>
  <si>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</si>
  <si>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</si>
  <si>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</si>
  <si>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</si>
  <si>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</si>
  <si>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</si>
  <si>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</si>
  <si>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</si>
  <si>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</si>
  <si>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</si>
  <si>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</si>
  <si>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</si>
  <si>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</si>
  <si>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</si>
  <si>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</si>
  <si>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</si>
  <si>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</si>
  <si>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</si>
  <si>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</si>
  <si>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</si>
  <si>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</si>
  <si>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</si>
  <si>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</si>
  <si>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</si>
  <si>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</si>
  <si>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</si>
  <si>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</si>
  <si>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</si>
  <si>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</si>
  <si>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</si>
  <si>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</si>
  <si>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</si>
  <si>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</si>
  <si>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</si>
  <si>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</si>
  <si>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</si>
  <si>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</si>
  <si>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</si>
  <si>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</si>
  <si>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</si>
  <si>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</si>
  <si>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</si>
  <si>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</si>
  <si>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</si>
  <si>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</si>
  <si>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</si>
  <si>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</si>
  <si>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</si>
  <si>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</si>
  <si>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</si>
  <si>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</si>
  <si>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</si>
  <si>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</si>
  <si>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</si>
  <si>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</si>
  <si>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</si>
  <si>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</si>
  <si>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</si>
  <si>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</si>
  <si>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</si>
  <si>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</si>
  <si>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</si>
  <si>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</si>
  <si>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</si>
  <si>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</si>
  <si>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</si>
  <si>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</si>
  <si>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</si>
  <si>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</si>
  <si>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</si>
  <si>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</si>
  <si>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</si>
  <si>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</si>
  <si>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</si>
  <si>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</si>
  <si>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</si>
  <si>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</si>
  <si>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</si>
  <si>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</si>
  <si>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</si>
  <si>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</si>
  <si>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</si>
  <si>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</si>
  <si>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</si>
  <si>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</si>
  <si>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</si>
  <si>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</si>
  <si>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</si>
  <si>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</si>
  <si>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</si>
  <si>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</si>
  <si>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</si>
  <si>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</si>
  <si>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</si>
  <si>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</si>
  <si>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</si>
  <si>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</si>
  <si>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</si>
  <si>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</si>
  <si>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</si>
  <si>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</si>
  <si>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</si>
  <si>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</si>
  <si>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</si>
  <si>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</si>
  <si>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</si>
  <si>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</si>
  <si>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</si>
  <si>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</si>
  <si>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</si>
  <si>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</si>
  <si>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</si>
  <si>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</si>
  <si>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</si>
  <si>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</si>
  <si>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</si>
  <si>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</si>
  <si>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</si>
  <si>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</si>
  <si>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</si>
  <si>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</si>
  <si>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</si>
  <si>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</si>
  <si>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</si>
  <si>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</si>
  <si>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</si>
  <si>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</si>
  <si>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</si>
  <si>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</si>
  <si>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</si>
  <si>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</si>
  <si>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</si>
  <si>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</si>
  <si>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</si>
  <si>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</si>
  <si>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</si>
  <si>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</si>
  <si>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</si>
  <si>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</si>
  <si>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</si>
  <si>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</si>
  <si>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</si>
  <si>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</si>
  <si>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</si>
  <si>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</si>
  <si>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</si>
  <si>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</si>
  <si>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</si>
  <si>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</si>
  <si>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</si>
  <si>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</si>
  <si>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</si>
  <si>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</si>
  <si>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</si>
  <si>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</si>
  <si>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</si>
  <si>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</si>
  <si>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</si>
  <si>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</si>
  <si>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</si>
  <si>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</si>
  <si>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</si>
  <si>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</si>
  <si>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</si>
  <si>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</si>
  <si>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</si>
  <si>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</si>
  <si>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</si>
  <si>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</si>
  <si>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</si>
  <si>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</si>
  <si>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</si>
  <si>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</si>
  <si>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</si>
  <si>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</si>
  <si>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</si>
  <si>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</si>
  <si>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</si>
  <si>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</si>
  <si>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</si>
  <si>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</si>
  <si>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</si>
  <si>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</si>
  <si>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</si>
  <si>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</si>
  <si>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</si>
  <si>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</si>
  <si>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</si>
  <si>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</si>
  <si>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</si>
  <si>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</si>
  <si>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</si>
  <si>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</si>
  <si>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</si>
  <si>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</si>
  <si>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</si>
  <si>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</si>
  <si>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</si>
  <si>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</si>
  <si>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</si>
  <si>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</si>
  <si>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</si>
  <si>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</si>
  <si>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</si>
  <si>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</si>
  <si>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</si>
  <si>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</si>
  <si>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</si>
  <si>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</si>
  <si>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</si>
  <si>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</si>
  <si>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</si>
  <si>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</si>
  <si>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</si>
  <si>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</si>
  <si>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</si>
  <si>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</si>
  <si>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</si>
  <si>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</si>
  <si>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</si>
  <si>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</si>
  <si>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</si>
  <si>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</si>
  <si>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</si>
  <si>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</si>
  <si>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</si>
  <si>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</si>
  <si>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</si>
  <si>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</si>
  <si>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</si>
  <si>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</si>
  <si>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</si>
  <si>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</si>
  <si>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</si>
  <si>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</si>
  <si>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</si>
  <si>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</si>
  <si>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</si>
  <si>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</si>
  <si>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</si>
  <si>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</si>
  <si>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</si>
  <si>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</si>
  <si>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</si>
  <si>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</si>
  <si>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</si>
  <si>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</si>
  <si>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</si>
  <si>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</si>
  <si>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</si>
  <si>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</si>
  <si>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</si>
  <si>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</si>
  <si>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</si>
  <si>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</si>
  <si>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</si>
  <si>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</si>
  <si>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</si>
  <si>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</si>
  <si>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</si>
  <si>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</si>
  <si>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</si>
  <si>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</si>
  <si>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</si>
  <si>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</si>
  <si>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</si>
  <si>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</si>
  <si>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</si>
  <si>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</si>
  <si>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</si>
  <si>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</si>
  <si>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</si>
  <si>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</si>
  <si>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</si>
  <si>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</si>
  <si>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</si>
  <si>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</si>
  <si>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</si>
  <si>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</si>
  <si>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</si>
  <si>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</si>
  <si>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</si>
  <si>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</si>
  <si>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</si>
  <si>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</si>
  <si>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</si>
  <si>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</si>
  <si>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</si>
  <si>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</si>
  <si>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</si>
  <si>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</si>
  <si>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</si>
  <si>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</si>
  <si>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</si>
  <si>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</si>
  <si>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</si>
  <si>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</si>
  <si>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</si>
  <si>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</si>
  <si>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</si>
  <si>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</si>
  <si>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</si>
  <si>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</si>
  <si>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</si>
  <si>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</si>
  <si>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</si>
  <si>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</si>
  <si>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</si>
  <si>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</si>
  <si>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</si>
  <si>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</si>
  <si>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</si>
  <si>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</si>
  <si>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</si>
  <si>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</si>
  <si>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</si>
  <si>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</si>
  <si>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</si>
  <si>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</si>
  <si>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</si>
  <si>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</si>
  <si>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</si>
  <si>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</si>
  <si>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</si>
  <si>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</si>
  <si>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</si>
  <si>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</si>
  <si>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</si>
  <si>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</si>
  <si>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</si>
  <si>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</si>
  <si>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</si>
  <si>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</si>
  <si>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</si>
  <si>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</si>
  <si>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</si>
  <si>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</si>
  <si>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</si>
  <si>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</si>
  <si>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</si>
  <si>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</si>
  <si>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</si>
  <si>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</si>
  <si>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</si>
  <si>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</si>
  <si>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</si>
  <si>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</si>
  <si>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</si>
  <si>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</si>
  <si>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</si>
  <si>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</si>
  <si>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</si>
  <si>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</si>
  <si>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</si>
  <si>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</si>
  <si>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</si>
  <si>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</si>
  <si>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</si>
  <si>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</si>
  <si>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</si>
  <si>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</si>
  <si>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</si>
  <si>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</si>
  <si>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</si>
  <si>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</si>
  <si>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</si>
  <si>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</si>
  <si>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</si>
  <si>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</si>
  <si>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</si>
  <si>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</si>
  <si>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</si>
  <si>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</si>
  <si>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</si>
  <si>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</si>
  <si>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</si>
  <si>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</si>
  <si>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</si>
  <si>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</si>
  <si>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</si>
  <si>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</si>
  <si>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</si>
  <si>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</si>
  <si>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</si>
  <si>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</si>
  <si>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</si>
  <si>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</si>
  <si>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</si>
  <si>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</si>
  <si>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</si>
  <si>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</si>
  <si>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</si>
  <si>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</si>
  <si>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</si>
  <si>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</si>
  <si>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</si>
  <si>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</si>
  <si>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</si>
  <si>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</si>
  <si>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</si>
  <si>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</si>
  <si>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</si>
  <si>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</si>
  <si>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</si>
  <si>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</si>
  <si>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</si>
  <si>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</si>
  <si>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</si>
  <si>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</si>
  <si>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</si>
  <si>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</si>
  <si>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</si>
  <si>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</si>
  <si>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</si>
  <si>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</si>
  <si>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</si>
  <si>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</si>
  <si>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</si>
  <si>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</si>
  <si>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</si>
  <si>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</si>
  <si>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</si>
  <si>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</si>
  <si>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</si>
  <si>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</si>
  <si>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</si>
  <si>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</si>
  <si>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</si>
  <si>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</si>
  <si>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</si>
  <si>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</si>
  <si>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</si>
  <si>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</si>
  <si>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</si>
  <si>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</si>
  <si>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</si>
  <si>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</si>
  <si>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</si>
  <si>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</si>
  <si>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</si>
  <si>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</si>
  <si>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</si>
  <si>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</si>
  <si>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</si>
  <si>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</si>
  <si>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</si>
  <si>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</si>
  <si>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</si>
  <si>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</si>
  <si>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</si>
  <si>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</si>
  <si>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</si>
  <si>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</si>
  <si>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</si>
  <si>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</si>
  <si>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</si>
  <si>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</si>
  <si>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</si>
  <si>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</si>
  <si>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</si>
  <si>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</si>
  <si>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</si>
  <si>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</si>
  <si>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</si>
  <si>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</si>
  <si>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</si>
  <si>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</si>
  <si>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</si>
  <si>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</si>
  <si>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</si>
  <si>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</si>
  <si>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</si>
  <si>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</si>
  <si>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</si>
  <si>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</si>
  <si>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</si>
  <si>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</si>
  <si>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</si>
  <si>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</si>
  <si>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</si>
  <si>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</si>
  <si>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</si>
  <si>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</si>
  <si>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</si>
  <si>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</si>
  <si>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</si>
  <si>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</si>
  <si>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</si>
  <si>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</si>
  <si>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</si>
  <si>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</si>
  <si>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</si>
  <si>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</si>
  <si>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</si>
  <si>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</si>
  <si>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</si>
  <si>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</si>
  <si>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</si>
  <si>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</si>
  <si>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</si>
  <si>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</si>
  <si>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</si>
  <si>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</si>
  <si>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</si>
  <si>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</si>
  <si>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</si>
  <si>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</si>
  <si>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</si>
  <si>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</si>
  <si>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</si>
  <si>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</si>
  <si>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</si>
  <si>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</si>
  <si>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</si>
  <si>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</si>
  <si>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</si>
  <si>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</si>
  <si>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</si>
  <si>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</si>
  <si>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</si>
  <si>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</si>
  <si>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</si>
  <si>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</si>
  <si>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</si>
  <si>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</si>
  <si>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</si>
  <si>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</si>
  <si>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</si>
  <si>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</si>
  <si>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</si>
  <si>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</si>
  <si>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</si>
  <si>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</si>
  <si>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</si>
  <si>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</si>
  <si>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</si>
  <si>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</si>
  <si>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</si>
  <si>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</si>
  <si>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</si>
  <si>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</si>
  <si>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</si>
  <si>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</si>
  <si>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</si>
  <si>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</si>
  <si>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</si>
  <si>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</si>
  <si>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</si>
  <si>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</si>
  <si>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</si>
  <si>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</si>
  <si>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</si>
  <si>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</si>
  <si>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</si>
  <si>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</si>
  <si>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</si>
  <si>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</si>
  <si>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</si>
  <si>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</si>
  <si>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</si>
  <si>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</si>
  <si>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</si>
  <si>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</si>
  <si>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</si>
  <si>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</si>
  <si>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</si>
  <si>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</si>
  <si>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</si>
  <si>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</si>
  <si>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</si>
  <si>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</si>
  <si>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</si>
  <si>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</si>
  <si>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</si>
  <si>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</si>
  <si>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</si>
  <si>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</si>
  <si>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</si>
  <si>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</si>
  <si>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</si>
  <si>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</si>
  <si>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</si>
  <si>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</si>
  <si>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</si>
  <si>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</si>
  <si>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</si>
  <si>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</si>
  <si>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</si>
  <si>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</si>
  <si>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</si>
  <si>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</si>
  <si>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</si>
  <si>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</si>
  <si>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</si>
  <si>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</si>
  <si>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</si>
  <si>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</si>
  <si>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</si>
  <si>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</si>
  <si>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</si>
  <si>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</si>
  <si>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</si>
  <si>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</si>
  <si>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</si>
  <si>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</si>
  <si>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</si>
  <si>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</si>
  <si>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</si>
  <si>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</si>
  <si>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</si>
  <si>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</si>
  <si>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</si>
  <si>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</si>
  <si>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</si>
  <si>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</si>
  <si>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</si>
  <si>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</si>
  <si>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</si>
  <si>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</si>
  <si>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</si>
  <si>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</si>
  <si>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</si>
  <si>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</si>
  <si>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</si>
  <si>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</si>
  <si>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</si>
  <si>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</si>
  <si>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</si>
  <si>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</si>
  <si>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</si>
  <si>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</si>
  <si>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</si>
  <si>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</si>
  <si>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</si>
  <si>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</si>
  <si>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</si>
  <si>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</si>
  <si>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</si>
  <si>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</si>
  <si>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</si>
  <si>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</si>
  <si>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</si>
  <si>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</si>
  <si>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</si>
  <si>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</si>
  <si>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</si>
  <si>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</si>
  <si>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</si>
  <si>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</si>
  <si>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</si>
  <si>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</si>
  <si>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</si>
  <si>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</si>
  <si>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</si>
  <si>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</si>
  <si>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</si>
  <si>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</si>
  <si>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</si>
  <si>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</si>
  <si>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</si>
  <si>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</si>
  <si>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</si>
  <si>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</si>
  <si>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</si>
  <si>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</si>
  <si>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</si>
  <si>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</si>
  <si>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</si>
  <si>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</si>
  <si>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</si>
  <si>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</si>
  <si>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</si>
  <si>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</si>
  <si>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</si>
  <si>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</si>
  <si>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</si>
  <si>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</si>
  <si>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</si>
  <si>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</si>
  <si>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</si>
  <si>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</si>
  <si>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</si>
  <si>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</si>
  <si>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</si>
  <si>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</si>
  <si>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</si>
  <si>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</si>
  <si>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</si>
  <si>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</si>
  <si>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</si>
  <si>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</si>
  <si>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</si>
  <si>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</si>
  <si>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</si>
  <si>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</si>
  <si>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</si>
  <si>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</si>
  <si>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</si>
  <si>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</si>
  <si>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</si>
  <si>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</si>
  <si>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</si>
  <si>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</si>
  <si>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</si>
  <si>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</si>
  <si>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</si>
  <si>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</si>
  <si>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</si>
  <si>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</si>
  <si>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</si>
  <si>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</si>
  <si>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</si>
  <si>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</si>
  <si>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</si>
  <si>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</si>
  <si>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</si>
  <si>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</si>
  <si>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</si>
  <si>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</si>
  <si>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</si>
  <si>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</si>
  <si>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</si>
  <si>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</si>
  <si>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</si>
  <si>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</si>
  <si>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</si>
  <si>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</si>
  <si>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</si>
  <si>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</si>
  <si>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</si>
  <si>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</si>
  <si>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</si>
  <si>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</si>
  <si>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</si>
  <si>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</si>
  <si>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</si>
  <si>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</si>
  <si>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</si>
  <si>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</si>
  <si>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</si>
  <si>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</si>
  <si>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</si>
  <si>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</si>
  <si>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</si>
  <si>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</si>
  <si>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</si>
  <si>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</si>
  <si>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</si>
  <si>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</si>
  <si>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</si>
  <si>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</si>
  <si>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</si>
  <si>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</si>
  <si>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</si>
  <si>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</si>
  <si>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</si>
  <si>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</si>
  <si>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</si>
  <si>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</si>
  <si>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</si>
  <si>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</si>
  <si>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</si>
  <si>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</si>
  <si>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</si>
  <si>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</si>
  <si>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</si>
  <si>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</si>
  <si>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</si>
  <si>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</si>
  <si>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</si>
  <si>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</si>
  <si>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</si>
  <si>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</si>
  <si>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</si>
  <si>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</si>
  <si>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</si>
  <si>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</si>
  <si>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</si>
  <si>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</si>
  <si>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</si>
  <si>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</si>
  <si>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</si>
  <si>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</si>
  <si>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</si>
  <si>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</si>
  <si>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</si>
  <si>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</si>
  <si>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</si>
  <si>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</si>
  <si>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</si>
  <si>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</si>
  <si>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</si>
  <si>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</si>
  <si>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</si>
  <si>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</si>
  <si>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</si>
  <si>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</si>
  <si>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</si>
  <si>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</si>
  <si>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</si>
  <si>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</si>
  <si>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</si>
  <si>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</si>
  <si>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</si>
  <si>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</si>
  <si>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</si>
  <si>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</si>
  <si>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</si>
  <si>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</si>
  <si>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</si>
  <si>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</si>
  <si>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</si>
  <si>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</si>
  <si>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</si>
  <si>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</si>
  <si>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</si>
  <si>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</si>
  <si>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</si>
  <si>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</si>
  <si>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</si>
  <si>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</si>
  <si>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</si>
  <si>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</si>
  <si>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</si>
  <si>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</si>
  <si>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</si>
  <si>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</si>
  <si>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</si>
  <si>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</si>
  <si>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</si>
  <si>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</si>
  <si>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</si>
  <si>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</si>
  <si>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</si>
  <si>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</si>
  <si>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</si>
  <si>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</si>
  <si>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</si>
  <si>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</si>
  <si>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</si>
  <si>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</si>
  <si>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</si>
  <si>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</si>
  <si>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</si>
  <si>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</si>
  <si>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</si>
  <si>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</si>
  <si>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</si>
  <si>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</si>
  <si>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</si>
  <si>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</si>
  <si>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</si>
  <si>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</si>
  <si>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</si>
  <si>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</si>
  <si>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</si>
  <si>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</si>
  <si>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</si>
  <si>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</si>
  <si>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</si>
  <si>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</si>
  <si>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</si>
  <si>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</si>
  <si>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</si>
  <si>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</si>
  <si>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</si>
  <si>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</si>
  <si>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</si>
  <si>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</si>
  <si>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</si>
  <si>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</si>
  <si>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</si>
  <si>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</si>
  <si>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132:30</t>
  </si>
  <si>
    <t>29:00</t>
  </si>
  <si>
    <t>118:30</t>
  </si>
  <si>
    <t>Putna Jaroslav</t>
  </si>
  <si>
    <t>167:00</t>
  </si>
  <si>
    <t>Vaníková Anna</t>
  </si>
  <si>
    <t>75:30</t>
  </si>
  <si>
    <t>Pánková Vendula</t>
  </si>
  <si>
    <t>102:00</t>
  </si>
  <si>
    <t>Zimmer Jakub</t>
  </si>
  <si>
    <t>21:30</t>
  </si>
  <si>
    <t>166:30</t>
  </si>
  <si>
    <t>Lowe Jana</t>
  </si>
  <si>
    <t>41:30</t>
  </si>
  <si>
    <t>45:30</t>
  </si>
  <si>
    <t>7:00</t>
  </si>
  <si>
    <t>135:30</t>
  </si>
  <si>
    <t>Pechová Barbora</t>
  </si>
  <si>
    <t>79:30</t>
  </si>
  <si>
    <t>Němec Filip</t>
  </si>
  <si>
    <t>57:30</t>
  </si>
  <si>
    <t>Kopic Jakub</t>
  </si>
  <si>
    <t>4:00</t>
  </si>
  <si>
    <t>Nedbal Michal</t>
  </si>
  <si>
    <t>130:30</t>
  </si>
  <si>
    <t>10 min 35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</si>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</sst>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46140.0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4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ref="F15:F21" si="2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TIMEVALUE(IF(ISBLANK(C15), "00:00", C15)) - TIMEVALUE(IF(ISBLANK(E15), "00:00", E15))), "hh:mm"))
</f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2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2"/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2571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2572</v>
      </c>
      <c r="H24" s="81" t="s">
        <v>2573</v>
      </c>
      <c r="I24" s="82" t="s">
        <v>13</v>
      </c>
      <c r="J24" s="83" t="s">
        <v>2574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5"/>
      <c r="D25" s="85"/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2575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0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0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25:B31">
      <formula1>"Němec Filip,Zimmer Jakub,Nekolný Vladimír,Novák Jakub,Černohorský Otakar,Lowe Jana,Kormash Liubov,Killiakov Andrei,Vychivskyi Volodymyr,Banga Adam,Kvapil Filip Leon,Vaníková Anna"</formula1>
    </dataValidation>
    <dataValidation type="list" allowBlank="1" sqref="B12:B21">
      <formula1>"Nedbal Michal,Hanakova Ayuna,Veselý Ondřej,Kinkorová Petra,Pechová Barbora,Pánková Vendula,Yarushynskyi Vladyslav,Putna Jaroslav,Kuzníková Nicol"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46113.0</v>
      </c>
      <c r="D1" s="113" t="s">
        <v>2576</v>
      </c>
      <c r="E1" s="114">
        <v>46142.0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0.2605342858354456</v>
      </c>
      <c r="H2" s="21"/>
      <c r="I2" s="118">
        <v>1743229.2999999998</v>
      </c>
      <c r="K2" s="21"/>
      <c r="L2" s="119" t="s">
        <v>2556</v>
      </c>
      <c r="M2" s="120">
        <v>438415.0</v>
      </c>
      <c r="N2" s="121"/>
    </row>
    <row r="3">
      <c r="A3" s="122"/>
      <c r="B3" s="123" t="str">
        <f>CHOOSE(WEEKDAY(C1), "Neděle", "Pondělí", "Úterý", "Středa", "Čtvrtek", "Pátek", "Sobota")</f>
        <v>Středa</v>
      </c>
      <c r="C3" s="27"/>
      <c r="D3" s="124"/>
      <c r="E3" s="11"/>
      <c r="H3" s="21"/>
      <c r="K3" s="21"/>
      <c r="L3" s="125" t="s">
        <v>2557</v>
      </c>
      <c r="M3" s="126">
        <v>147596.0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434265.0</v>
      </c>
      <c r="N4" s="121"/>
    </row>
    <row r="5">
      <c r="A5" s="127"/>
      <c r="B5" s="128" t="s">
        <v>2577</v>
      </c>
      <c r="C5" s="27"/>
      <c r="D5" s="27"/>
      <c r="E5" s="11"/>
      <c r="F5" s="129" t="s">
        <v>2578</v>
      </c>
      <c r="G5" s="27"/>
      <c r="H5" s="27"/>
      <c r="I5" s="27"/>
      <c r="J5" s="27"/>
      <c r="K5" s="11"/>
      <c r="L5" s="130" t="s">
        <v>2560</v>
      </c>
      <c r="M5" s="126">
        <v>421771.4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8365.0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827.5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450</v>
      </c>
      <c r="G7" s="13"/>
      <c r="H7" s="13"/>
      <c r="I7" s="13"/>
      <c r="J7" s="134"/>
      <c r="K7" s="134"/>
      <c r="L7" s="135" t="s">
        <v>2562</v>
      </c>
      <c r="M7" s="136">
        <v>60780.0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2579</v>
      </c>
      <c r="D9" s="144" t="s">
        <v>2569</v>
      </c>
      <c r="E9" s="145"/>
      <c r="F9" s="143" t="s">
        <v>2565</v>
      </c>
      <c r="G9" s="144" t="s">
        <v>2579</v>
      </c>
      <c r="H9" s="144" t="s">
        <v>2569</v>
      </c>
      <c r="I9" s="146" t="s">
        <v>2572</v>
      </c>
      <c r="J9" s="147">
        <v>33.099999999998545</v>
      </c>
      <c r="K9" s="11"/>
      <c r="L9" s="148" t="s">
        <v>23</v>
      </c>
      <c r="M9" s="126">
        <v>130011.0</v>
      </c>
      <c r="N9" s="121"/>
    </row>
    <row r="10" ht="18.75" customHeight="1">
      <c r="A10" s="149"/>
      <c r="B10" s="150" t="s">
        <v>52</v>
      </c>
      <c r="C10" s="151">
        <v>19.0</v>
      </c>
      <c r="D10" s="151" t="s">
        <v>2580</v>
      </c>
      <c r="E10" s="152" t="s">
        <v>2581</v>
      </c>
      <c r="F10" s="150" t="s">
        <v>373</v>
      </c>
      <c r="G10" s="151">
        <v>16.0</v>
      </c>
      <c r="H10" s="151" t="s">
        <v>2582</v>
      </c>
      <c r="I10" s="153">
        <v>166.0</v>
      </c>
      <c r="J10" s="36"/>
      <c r="K10" s="21"/>
      <c r="L10" s="148" t="s">
        <v>24</v>
      </c>
      <c r="M10" s="126">
        <v>8785.0</v>
      </c>
      <c r="N10" s="121"/>
    </row>
    <row r="11" ht="18.75" customHeight="1">
      <c r="A11" s="149"/>
      <c r="B11" s="150" t="s">
        <v>2583</v>
      </c>
      <c r="C11" s="151">
        <v>19.0</v>
      </c>
      <c r="D11" s="151" t="s">
        <v>2584</v>
      </c>
      <c r="E11" s="152" t="s">
        <v>49</v>
      </c>
      <c r="F11" s="150" t="s">
        <v>2585</v>
      </c>
      <c r="G11" s="151">
        <v>12.0</v>
      </c>
      <c r="H11" s="151" t="s">
        <v>2586</v>
      </c>
      <c r="I11" s="153">
        <v>126.0</v>
      </c>
      <c r="J11" s="36"/>
      <c r="K11" s="21"/>
      <c r="L11" s="154" t="s">
        <v>25</v>
      </c>
      <c r="M11" s="155">
        <v>121010.0</v>
      </c>
      <c r="N11" s="121"/>
    </row>
    <row r="12" ht="18.75" customHeight="1">
      <c r="A12" s="149"/>
      <c r="B12" s="150" t="s">
        <v>2587</v>
      </c>
      <c r="C12" s="151">
        <v>14.0</v>
      </c>
      <c r="D12" s="151" t="s">
        <v>2588</v>
      </c>
      <c r="E12" s="152" t="s">
        <v>50</v>
      </c>
      <c r="F12" s="150" t="s">
        <v>2589</v>
      </c>
      <c r="G12" s="151">
        <v>5.0</v>
      </c>
      <c r="H12" s="151" t="s">
        <v>2590</v>
      </c>
      <c r="I12" s="153">
        <v>0.0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40</v>
      </c>
      <c r="C13" s="151">
        <v>19.0</v>
      </c>
      <c r="D13" s="151" t="s">
        <v>2591</v>
      </c>
      <c r="E13" s="152" t="s">
        <v>50</v>
      </c>
      <c r="F13" s="150" t="s">
        <v>2592</v>
      </c>
      <c r="G13" s="151">
        <v>14.0</v>
      </c>
      <c r="H13" s="151" t="s">
        <v>2593</v>
      </c>
      <c r="I13" s="153">
        <v>64.0</v>
      </c>
      <c r="J13" s="36"/>
      <c r="K13" s="21"/>
      <c r="L13" s="148" t="s">
        <v>29</v>
      </c>
      <c r="M13" s="126">
        <v>3001.0</v>
      </c>
      <c r="N13" s="121"/>
    </row>
    <row r="14" ht="18.75" customHeight="1">
      <c r="A14" s="149"/>
      <c r="B14" s="150" t="s">
        <v>2589</v>
      </c>
      <c r="C14" s="151">
        <v>7.0</v>
      </c>
      <c r="D14" s="151" t="s">
        <v>2594</v>
      </c>
      <c r="E14" s="152" t="s">
        <v>2595</v>
      </c>
      <c r="F14" s="150" t="s">
        <v>65</v>
      </c>
      <c r="G14" s="151">
        <v>15.0</v>
      </c>
      <c r="H14" s="151" t="s">
        <v>2596</v>
      </c>
      <c r="I14" s="153">
        <v>193.0</v>
      </c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 t="s">
        <v>2597</v>
      </c>
      <c r="C15" s="151">
        <v>9.0</v>
      </c>
      <c r="D15" s="151" t="s">
        <v>2598</v>
      </c>
      <c r="E15" s="152" t="s">
        <v>2595</v>
      </c>
      <c r="F15" s="150" t="s">
        <v>2599</v>
      </c>
      <c r="G15" s="151">
        <v>8.0</v>
      </c>
      <c r="H15" s="151" t="s">
        <v>2600</v>
      </c>
      <c r="I15" s="153">
        <v>73.0</v>
      </c>
      <c r="J15" s="36"/>
      <c r="K15" s="21"/>
      <c r="L15" s="157" t="s">
        <v>31</v>
      </c>
      <c r="M15" s="126">
        <v>2679.0</v>
      </c>
      <c r="N15" s="121"/>
    </row>
    <row r="16" ht="18.75" customHeight="1">
      <c r="A16" s="149"/>
      <c r="B16" s="150" t="s">
        <v>2601</v>
      </c>
      <c r="C16" s="151">
        <v>1.0</v>
      </c>
      <c r="D16" s="151" t="s">
        <v>2602</v>
      </c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1399.0</v>
      </c>
      <c r="N16" s="121"/>
    </row>
    <row r="17" ht="18.75" customHeight="1">
      <c r="A17" s="149"/>
      <c r="B17" s="150" t="s">
        <v>2603</v>
      </c>
      <c r="C17" s="151">
        <v>13.0</v>
      </c>
      <c r="D17" s="151" t="s">
        <v>2604</v>
      </c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25965.0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2571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12.0</v>
      </c>
      <c r="K21" s="170">
        <v>6297.0</v>
      </c>
      <c r="L21" s="171">
        <v>47.0</v>
      </c>
      <c r="M21" s="172" t="s">
        <v>2605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2574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60.0</v>
      </c>
      <c r="K24" s="171">
        <v>3927.0</v>
      </c>
      <c r="L24" s="171">
        <v>749.0</v>
      </c>
      <c r="M24" s="176">
        <v>56.0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2575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9.0</v>
      </c>
      <c r="K27" s="98"/>
      <c r="L27" s="182">
        <v>0.061788041500551755</v>
      </c>
      <c r="M27" s="183">
        <v>15.0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0.9382119584994484</v>
      </c>
      <c r="M30" s="187">
        <v>0.018589236001512004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88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"/>
      <c r="C38" s="1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88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88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88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"/>
      <c r="C61" s="189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88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88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88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88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88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88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/>
      <c r="B102" s="1"/>
      <c r="C102" s="1"/>
      <c r="D102" s="1"/>
      <c r="E102" s="188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/>
      <c r="B103" s="189"/>
      <c r="C103" s="189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/>
      <c r="B105" s="1"/>
      <c r="C105" s="1"/>
      <c r="D105" s="1"/>
      <c r="E105" s="188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/>
      <c r="B106" s="1"/>
      <c r="C106" s="189"/>
      <c r="D106" s="1"/>
      <c r="E106" s="188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/>
      <c r="B107" s="1"/>
      <c r="C107" s="1"/>
      <c r="D107" s="1"/>
      <c r="E107" s="188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/>
      <c r="B108" s="189"/>
      <c r="C108" s="189"/>
      <c r="D108" s="1"/>
      <c r="E108" s="1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/>
      <c r="B109" s="1"/>
      <c r="C109" s="189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/>
      <c r="B110" s="1"/>
      <c r="C110" s="189"/>
      <c r="D110" s="1"/>
      <c r="E110" s="188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/>
      <c r="B111" s="1"/>
      <c r="C111" s="189"/>
      <c r="D111" s="1"/>
      <c r="E111" s="188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/>
      <c r="B112" s="1"/>
      <c r="C112" s="189"/>
      <c r="D112" s="1"/>
      <c r="E112" s="188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/>
      <c r="B113" s="1"/>
      <c r="C113" s="1"/>
      <c r="D113" s="1"/>
      <c r="E113" s="188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/>
      <c r="B114" s="1"/>
      <c r="C114" s="189"/>
      <c r="D114" s="1"/>
      <c r="E114" s="188"/>
      <c r="F114" s="1"/>
      <c r="G114" s="1"/>
      <c r="H114" s="1"/>
      <c r="I114" s="1"/>
      <c r="J114" s="1"/>
      <c r="K114" s="188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/>
      <c r="B115" s="1"/>
      <c r="C115" s="189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/>
      <c r="B116" s="1"/>
      <c r="C116" s="189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90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90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90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90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90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90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90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90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90"/>
      <c r="C130" s="190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90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90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90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90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90"/>
      <c r="C139" s="190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90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90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90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90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""Mzdy!ac1:ad200"")"),30.0)</f>
        <v>30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2606</v>
      </c>
      <c r="B4" s="195" t="s">
        <v>2607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IFERROR(__xludf.DUMMYFUNCTION("""COMPUTED_VALUE"""),2882.052)</f>
        <v>2882.052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IFERROR(__xludf.DUMMYFUNCTION("""COMPUTED_VALUE"""),2882.052)</f>
        <v>2882.052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IFERROR(__xludf.DUMMYFUNCTION("""COMPUTED_VALUE"""),2274.6)</f>
        <v>2274.6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IFERROR(__xludf.DUMMYFUNCTION("""COMPUTED_VALUE"""),"Chodov")</f>
        <v>Chodov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IFERROR(__xludf.DUMMYFUNCTION("""COMPUTED_VALUE"""),2882.052)</f>
        <v>2882.052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IFERROR(__xludf.DUMMYFUNCTION("""COMPUTED_VALUE"""),2274.6)</f>
        <v>2274.6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IFERROR(__xludf.DUMMYFUNCTION("""COMPUTED_VALUE"""),2882.052)</f>
        <v>2882.052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IFERROR(__xludf.DUMMYFUNCTION("""COMPUTED_VALUE"""),2274.6)</f>
        <v>2274.6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/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IFERROR(__xludf.DUMMYFUNCTION("""COMPUTED_VALUE"""),2274.6)</f>
        <v>2274.6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IFERROR(__xludf.DUMMYFUNCTION("""COMPUTED_VALUE"""),2274.6)</f>
        <v>2274.6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 t="str">
        <f>IFERROR(__xludf.DUMMYFUNCTION("""COMPUTED_VALUE"""),"Stepanenko Solomiia")</f>
        <v>Stepanenko Solomiia</v>
      </c>
      <c r="E18" s="191" t="str">
        <f>IFERROR(__xludf.DUMMYFUNCTION("""COMPUTED_VALUE"""),"Výroba")</f>
        <v>Výroba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IFERROR(__xludf.DUMMYFUNCTION("""COMPUTED_VALUE"""),286.332)</f>
        <v>286.332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 t="str">
        <f>IFERROR(__xludf.DUMMYFUNCTION("""COMPUTED_VALUE"""),"Rothová Anastasia")</f>
        <v>Rothová Anastasia</v>
      </c>
      <c r="E19" s="191" t="str">
        <f>IFERROR(__xludf.DUMMYFUNCTION("""COMPUTED_VALUE"""),"Bolevec")</f>
        <v>Bolevec</v>
      </c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IFERROR(__xludf.DUMMYFUNCTION("""COMPUTED_VALUE"""),341.19)</f>
        <v>341.19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/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IFERROR(__xludf.DUMMYFUNCTION("""COMPUTED_VALUE"""),2882.052)</f>
        <v>2882.052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IFERROR(__xludf.DUMMYFUNCTION("""COMPUTED_VALUE"""),2882.052)</f>
        <v>2882.052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 t="str">
        <f>IFERROR(__xludf.DUMMYFUNCTION("""COMPUTED_VALUE"""),"Bušek Pavel")</f>
        <v>Bušek Pavel</v>
      </c>
      <c r="E26" s="191" t="str">
        <f>IFERROR(__xludf.DUMMYFUNCTION("""COMPUTED_VALUE"""),"Prosek")</f>
        <v>Prosek</v>
      </c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IFERROR(__xludf.DUMMYFUNCTION("""COMPUTED_VALUE"""),250.20600000000002)</f>
        <v>250.206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IFERROR(__xludf.DUMMYFUNCTION("""COMPUTED_VALUE"""),"Chodov")</f>
        <v>Chodov</v>
      </c>
      <c r="F28" s="191" t="str">
        <f>IFERROR(__xludf.DUMMYFUNCTION("""COMPUTED_VALUE"""),"Malešice")</f>
        <v>Malešice</v>
      </c>
      <c r="G28" s="191" t="str">
        <f>IFERROR(__xludf.DUMMYFUNCTION("""COMPUTED_VALUE"""),"Zličín")</f>
        <v>Zličín</v>
      </c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IFERROR(__xludf.DUMMYFUNCTION("""COMPUTED_VALUE"""),"Raboch Tomáš")</f>
        <v>Raboch Tomáš</v>
      </c>
      <c r="E29" s="191" t="str">
        <f>IFERROR(__xludf.DUMMYFUNCTION("""COMPUTED_VALUE"""),"Bolevec")</f>
        <v>Bolevec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>Kuzníková Nicol</v>
      </c>
      <c r="C42" s="191" t="b">
        <f>IFERROR(__xludf.DUMMYFUNCTION("""COMPUTED_VALUE"""),FALSE)</f>
        <v>0</v>
      </c>
      <c r="D42" s="191" t="str">
        <f>IFERROR(__xludf.DUMMYFUNCTION("""COMPUTED_VALUE"""),"Kuzníková Nicol")</f>
        <v>Kuzníková Nicol</v>
      </c>
      <c r="E42" s="191" t="str">
        <f>IFERROR(__xludf.DUMMYFUNCTION("""COMPUTED_VALUE"""),"Zličín")</f>
        <v>Zličín</v>
      </c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IFERROR(__xludf.DUMMYFUNCTION("""COMPUTED_VALUE"""),250.20600000000002)</f>
        <v>250.206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/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IFERROR(__xludf.DUMMYFUNCTION("""COMPUTED_VALUE"""),214.08)</f>
        <v>214.08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 t="str">
        <f>IFERROR(__xludf.DUMMYFUNCTION("""COMPUTED_VALUE"""),"Čermák Jakub")</f>
        <v>Čermák Jakub</v>
      </c>
      <c r="E91" s="191" t="str">
        <f>IFERROR(__xludf.DUMMYFUNCTION("""COMPUTED_VALUE"""),"Chodov")</f>
        <v>Chodov</v>
      </c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IFERROR(__xludf.DUMMYFUNCTION("""COMPUTED_VALUE"""),231.474)</f>
        <v>231.474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>Killiakov Andrei</v>
      </c>
      <c r="C92" s="191" t="b">
        <f>IFERROR(__xludf.DUMMYFUNCTION("""COMPUTED_VALUE"""),FALSE)</f>
        <v>0</v>
      </c>
      <c r="D92" s="191" t="str">
        <f>IFERROR(__xludf.DUMMYFUNCTION("""COMPUTED_VALUE"""),"Killiakov Andrei")</f>
        <v>Killiakov Andrei</v>
      </c>
      <c r="E92" s="191" t="str">
        <f>IFERROR(__xludf.DUMMYFUNCTION("""COMPUTED_VALUE"""),"Zličín")</f>
        <v>Zličín</v>
      </c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IFERROR(__xludf.DUMMYFUNCTION("""COMPUTED_VALUE"""),231.474)</f>
        <v>231.474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 t="str">
        <f>IFERROR(__xludf.DUMMYFUNCTION("""COMPUTED_VALUE"""),"Dvořák Radim")</f>
        <v>Dvořák Radim</v>
      </c>
      <c r="E95" s="191" t="str">
        <f>IFERROR(__xludf.DUMMYFUNCTION("""COMPUTED_VALUE"""),"Prosek")</f>
        <v>Prosek</v>
      </c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IFERROR(__xludf.DUMMYFUNCTION("""COMPUTED_VALUE"""),250.20600000000002)</f>
        <v>250.206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IFERROR(__xludf.DUMMYFUNCTION("""COMPUTED_VALUE"""),389.6925)</f>
        <v>389.6925</v>
      </c>
      <c r="W96" s="194">
        <f>IFERROR(__xludf.DUMMYFUNCTION("""COMPUTED_VALUE"""),2597.95)</f>
        <v>2597.95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 t="str">
        <f>IFERROR(__xludf.DUMMYFUNCTION("""COMPUTED_VALUE"""),"Kináč Jozef")</f>
        <v>Kináč Jozef</v>
      </c>
      <c r="E102" s="191" t="str">
        <f>IFERROR(__xludf.DUMMYFUNCTION("""COMPUTED_VALUE"""),"Prosek")</f>
        <v>Prosek</v>
      </c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IFERROR(__xludf.DUMMYFUNCTION("""COMPUTED_VALUE"""),231.474)</f>
        <v>231.474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 t="str">
        <f>IFERROR(__xludf.DUMMYFUNCTION("""COMPUTED_VALUE"""),"Bednařík Peter")</f>
        <v>Bednařík Peter</v>
      </c>
      <c r="E103" s="191" t="str">
        <f>IFERROR(__xludf.DUMMYFUNCTION("""COMPUTED_VALUE"""),"Prosek")</f>
        <v>Prosek</v>
      </c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IFERROR(__xludf.DUMMYFUNCTION("""COMPUTED_VALUE"""),231.474)</f>
        <v>231.474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 t="str">
        <f>IFERROR(__xludf.DUMMYFUNCTION("""COMPUTED_VALUE"""),"Čonka Ludovít")</f>
        <v>Čonka Ludovít</v>
      </c>
      <c r="E106" s="191" t="str">
        <f>IFERROR(__xludf.DUMMYFUNCTION("""COMPUTED_VALUE"""),"Prosek")</f>
        <v>Prosek</v>
      </c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IFERROR(__xludf.DUMMYFUNCTION("""COMPUTED_VALUE"""),231.474)</f>
        <v>231.474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/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IFERROR(__xludf.DUMMYFUNCTION("""COMPUTED_VALUE"""),231.474)</f>
        <v>231.474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IFERROR(__xludf.DUMMYFUNCTION("""COMPUTED_VALUE"""),231.474)</f>
        <v>231.474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 t="str">
        <f>IFERROR(__xludf.DUMMYFUNCTION("""COMPUTED_VALUE"""),"Novák Dalibor")</f>
        <v>Novák Dalibor</v>
      </c>
      <c r="E118" s="191" t="str">
        <f>IFERROR(__xludf.DUMMYFUNCTION("""COMPUTED_VALUE"""),"Libuš")</f>
        <v>Libuš</v>
      </c>
      <c r="F118" s="191" t="str">
        <f>IFERROR(__xludf.DUMMYFUNCTION("""COMPUTED_VALUE"""),"Prosek")</f>
        <v>Prosek</v>
      </c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IFERROR(__xludf.DUMMYFUNCTION("""COMPUTED_VALUE"""),250.20600000000002)</f>
        <v>250.206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 t="str">
        <f>IFERROR(__xludf.DUMMYFUNCTION("""COMPUTED_VALUE"""),"Přibyl Jan")</f>
        <v>Přibyl Jan</v>
      </c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IFERROR(__xludf.DUMMYFUNCTION("""COMPUTED_VALUE"""),1650.2)</f>
        <v>1650.2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 t="str">
        <f>IFERROR(__xludf.DUMMYFUNCTION("""COMPUTED_VALUE"""),"Hrach Michal")</f>
        <v>Hrach Michal</v>
      </c>
      <c r="E123" s="191" t="str">
        <f>IFERROR(__xludf.DUMMYFUNCTION("""COMPUTED_VALUE"""),"Chodov")</f>
        <v>Chodov</v>
      </c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IFERROR(__xludf.DUMMYFUNCTION("""COMPUTED_VALUE"""),231.474)</f>
        <v>231.474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>Kvapil Filip Leon</v>
      </c>
      <c r="C124" s="191" t="b">
        <f>IFERROR(__xludf.DUMMYFUNCTION("""COMPUTED_VALUE"""),FALSE)</f>
        <v>0</v>
      </c>
      <c r="D124" s="191" t="str">
        <f>IFERROR(__xludf.DUMMYFUNCTION("""COMPUTED_VALUE"""),"Kvapil Filip Leon")</f>
        <v>Kvapil Filip Leon</v>
      </c>
      <c r="E124" s="191" t="str">
        <f>IFERROR(__xludf.DUMMYFUNCTION("""COMPUTED_VALUE"""),"Zličín")</f>
        <v>Zličín</v>
      </c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IFERROR(__xludf.DUMMYFUNCTION("""COMPUTED_VALUE"""),231.474)</f>
        <v>231.474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IFERROR(__xludf.DUMMYFUNCTION("""COMPUTED_VALUE"""),231.474)</f>
        <v>231.474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IFERROR(__xludf.DUMMYFUNCTION("""COMPUTED_VALUE"""),"Irena Kovacsova")</f>
        <v>Irena Kovacsova</v>
      </c>
      <c r="E126" s="191" t="str">
        <f>IFERROR(__xludf.DUMMYFUNCTION("""COMPUTED_VALUE"""),"Bolevec")</f>
        <v>Bolevec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IFERROR(__xludf.DUMMYFUNCTION("""COMPUTED_VALUE"""),224.784)</f>
        <v>224.784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/>
      </c>
      <c r="C127" s="191" t="b">
        <f>IFERROR(__xludf.DUMMYFUNCTION("""COMPUTED_VALUE"""),FALSE)</f>
        <v>0</v>
      </c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IFERROR(__xludf.DUMMYFUNCTION("""COMPUTED_VALUE"""),0.0)</f>
        <v>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IFERROR(__xludf.DUMMYFUNCTION("""COMPUTED_VALUE"""),0.0)</f>
        <v>0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IFERROR(__xludf.DUMMYFUNCTION("""COMPUTED_VALUE"""),0.0)</f>
        <v>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IFERROR(__xludf.DUMMYFUNCTION("""COMPUTED_VALUE"""),0.0)</f>
        <v>0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2608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2609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2610</v>
      </c>
      <c r="B3" s="1" t="s">
        <v>2611</v>
      </c>
      <c r="D3" s="1" t="s">
        <v>2612</v>
      </c>
      <c r="E3" s="1" t="s">
        <v>2612</v>
      </c>
      <c r="F3" s="1" t="s">
        <v>2612</v>
      </c>
      <c r="G3" s="1" t="s">
        <v>2612</v>
      </c>
    </row>
    <row r="4">
      <c r="A4" s="1" t="s">
        <v>2613</v>
      </c>
      <c r="B4" s="1" t="s">
        <v>2614</v>
      </c>
      <c r="C4" s="1" t="s">
        <v>2612</v>
      </c>
      <c r="E4" s="1" t="s">
        <v>2615</v>
      </c>
      <c r="F4" s="1" t="s">
        <v>2616</v>
      </c>
      <c r="G4" s="1" t="s">
        <v>2616</v>
      </c>
      <c r="H4" s="1" t="s">
        <v>2615</v>
      </c>
    </row>
    <row r="5">
      <c r="A5" s="1" t="s">
        <v>2617</v>
      </c>
      <c r="B5" s="1" t="s">
        <v>2618</v>
      </c>
      <c r="E5" s="1" t="s">
        <v>2619</v>
      </c>
      <c r="F5" s="1" t="s">
        <v>2620</v>
      </c>
      <c r="G5" s="1" t="s">
        <v>2621</v>
      </c>
      <c r="H5" s="1" t="s">
        <v>2612</v>
      </c>
    </row>
    <row r="6">
      <c r="A6" s="1" t="s">
        <v>2622</v>
      </c>
      <c r="B6" s="1" t="s">
        <v>2623</v>
      </c>
      <c r="D6" s="1" t="s">
        <v>2623</v>
      </c>
      <c r="F6" s="1" t="s">
        <v>2621</v>
      </c>
    </row>
    <row r="7">
      <c r="A7" s="1" t="s">
        <v>71</v>
      </c>
      <c r="B7" s="1" t="s">
        <v>2624</v>
      </c>
      <c r="D7" s="1" t="s">
        <v>2624</v>
      </c>
    </row>
    <row r="8">
      <c r="A8" s="1" t="s">
        <v>2625</v>
      </c>
      <c r="B8" s="1" t="s">
        <v>2618</v>
      </c>
      <c r="C8" s="1" t="s">
        <v>2618</v>
      </c>
      <c r="E8" s="1" t="s">
        <v>2618</v>
      </c>
      <c r="F8" s="1" t="s">
        <v>2626</v>
      </c>
    </row>
    <row r="9">
      <c r="A9" s="1" t="s">
        <v>44</v>
      </c>
      <c r="C9" s="1" t="s">
        <v>2615</v>
      </c>
      <c r="D9" s="1" t="s">
        <v>2615</v>
      </c>
      <c r="F9" s="1" t="s">
        <v>2616</v>
      </c>
      <c r="G9" s="1" t="s">
        <v>2616</v>
      </c>
      <c r="H9" s="1" t="s">
        <v>2615</v>
      </c>
    </row>
    <row r="10">
      <c r="A10" s="1" t="s">
        <v>2627</v>
      </c>
      <c r="C10" s="1" t="s">
        <v>2621</v>
      </c>
      <c r="E10" s="1" t="s">
        <v>2621</v>
      </c>
      <c r="G10" s="1" t="s">
        <v>2620</v>
      </c>
      <c r="H10" s="1" t="s">
        <v>2619</v>
      </c>
    </row>
    <row r="11">
      <c r="A11" s="1" t="s">
        <v>2628</v>
      </c>
      <c r="C11" s="1" t="s">
        <v>2619</v>
      </c>
      <c r="E11" s="1" t="s">
        <v>2619</v>
      </c>
    </row>
    <row r="12">
      <c r="A12" s="1" t="s">
        <v>2629</v>
      </c>
      <c r="D12" s="1" t="s">
        <v>2615</v>
      </c>
      <c r="E12" s="1" t="s">
        <v>2630</v>
      </c>
      <c r="F12" s="1" t="s">
        <v>2631</v>
      </c>
      <c r="G12" s="1" t="s">
        <v>2632</v>
      </c>
      <c r="H12" s="1" t="s">
        <v>2615</v>
      </c>
    </row>
    <row r="13">
      <c r="A13" s="1" t="s">
        <v>2633</v>
      </c>
      <c r="B13" s="188"/>
      <c r="C13" s="188"/>
      <c r="D13" s="188"/>
      <c r="E13" s="188"/>
      <c r="F13" s="1" t="s">
        <v>2620</v>
      </c>
      <c r="G13" s="1" t="s">
        <v>2634</v>
      </c>
      <c r="H13" s="1" t="s">
        <v>2635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2636</v>
      </c>
      <c r="B14" s="188"/>
      <c r="C14" s="188"/>
      <c r="D14" s="188"/>
      <c r="E14" s="188"/>
      <c r="F14" s="188"/>
      <c r="G14" s="1" t="s">
        <v>2612</v>
      </c>
      <c r="H14" s="1" t="s">
        <v>2612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2637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2638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2639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2640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2641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2642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2643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2644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2645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2646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2647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2648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2649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2650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2651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2652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2653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2654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2655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2656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2657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2658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2659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2660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2661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2662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2663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2664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2665</v>
      </c>
      <c r="AB138" s="1">
        <v>-10.0</v>
      </c>
    </row>
  </sheetData>
  <mergeCells count="1">
    <mergeCell ref="A1:H1"/>
  </mergeCells>
  <drawing r:id="rId1"/>
</worksheet>
</file>