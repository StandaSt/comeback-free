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<sst xmlns="http://schemas.openxmlformats.org/spreadsheetml/2006/main" count="1195" uniqueCount="492">
  <si>
    <t>Libuš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</si>
  <si>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</si>
  <si>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</si>
  <si>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</si>
  <si>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</si>
  <si>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</si>
  <si>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</si>
  <si>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</si>
  <si>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</si>
  <si>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</si>
  <si>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</si>
  <si>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</si>
  <si>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</si>
  <si>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</si>
  <si>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</si>
  <si>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</si>
  <si>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</si>
  <si>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</si>
  <si>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</si>
  <si>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</si>
  <si>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</si>
  <si>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</si>
  <si>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</si>
  <si>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Hegedüs Erik</t>
  </si>
  <si>
    <t>10:00</t>
  </si>
  <si>
    <t>17:00</t>
  </si>
  <si>
    <t>Výdaje</t>
  </si>
  <si>
    <t>Bubník Martin</t>
  </si>
  <si>
    <t>00:00</t>
  </si>
  <si>
    <t>Benzín</t>
  </si>
  <si>
    <t>Eszenyiová Patrícia</t>
  </si>
  <si>
    <t>22:45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</si>
  <si>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</si>
  <si>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</si>
  <si>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</si>
  <si>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</si>
  <si>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</si>
  <si>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</si>
  <si>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</si>
  <si>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</si>
  <si>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</si>
  <si>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</si>
  <si>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</si>
  <si>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</si>
  <si>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</si>
  <si>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</si>
  <si>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</si>
  <si>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</si>
  <si>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</si>
  <si>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Dušek Sam</t>
  </si>
  <si>
    <t>11:00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</si>
  <si>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</si>
  <si>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</si>
  <si>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</si>
  <si>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</si>
  <si>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</si>
  <si>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</si>
  <si>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</si>
  <si>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</si>
  <si>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</si>
  <si>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</si>
  <si>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</si>
  <si>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</si>
  <si>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</si>
  <si>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</si>
  <si>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</si>
  <si>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</si>
  <si>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</si>
  <si>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</si>
  <si>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</si>
  <si>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</si>
  <si>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</si>
  <si>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</si>
  <si>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</si>
  <si>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</si>
  <si>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</si>
  <si>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</si>
  <si>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</si>
  <si>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</si>
  <si>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</si>
  <si>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</si>
  <si>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</si>
  <si>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damejidlo</t>
  </si>
  <si>
    <t>ready_pickup</t>
  </si>
  <si>
    <t>external-delivery</t>
  </si>
  <si>
    <t>online</t>
  </si>
  <si>
    <t>2026-06-07T23:07:28.092+02:00</t>
  </si>
  <si>
    <t>2026-06-07T23:14:11.931+02:00</t>
  </si>
  <si>
    <t>Pizza Comeback Libuš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</si>
  <si>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40cm","posId":"111","price":30900,"isExtra":false},{"id":"55199557","note":"","count":1,"label":"Balné","posId":"K0000","price":2000,"isExtra":true},{"id":"55199662","note":"","count":1,"label":"Šunka","posId":"C106","price":4000,"KDSTags":["greenhighlight"],"isExtra":true}]</t>
  </si>
  <si>
    <t>generic</t>
  </si>
  <si>
    <t>delivered</t>
  </si>
  <si>
    <t>delivery</t>
  </si>
  <si>
    <t>2026-06-07T23:05:07.221+02:00</t>
  </si>
  <si>
    <t>2026-06-07T23:07:32.219+02:00</t>
  </si>
  <si>
    <t>2026-06-07T23:25:26.572+02:00</t>
  </si>
  <si>
    <t>2026-06-07T23:05:07.346+02:00</t>
  </si>
  <si>
    <t>Adaptee</t>
  </si>
  <si>
    <t>[{"id":"e8f571e6-dd36-42d7-8826-52c90315986b","note":"","count":1,"label":"Baby špenát &amp; kuře 40cm","posId":"104","price":30900,"isExtra":false},{"id":"e1ef9526-7c68-483b-a8a1-92bb58ce9f1e","note":"","count":1,"label":"Jalapenos Rolls","posId":"jpr200","price":8900,"isExtra":false},{"id":"739ceea4-4275-4f09-8cf5-ae08fe640a77","note":"","count":1,"label":"Pepsi 1l","posId":"N124","price":5900,"isExtra":false}]</t>
  </si>
  <si>
    <t>2026-06-07T22:54:06.980+02:00</t>
  </si>
  <si>
    <t>2026-06-07T23:05:03.921+02:00</t>
  </si>
  <si>
    <t>[{"id":"55199479","note":"","size":"Hawai 40cm","count":1,"label":"Hawai 40cm","posId":"102","price":30900,"isExtra":false},{"id":"55199557","note":"","count":1,"label":"Balné","posId":"K0000","price":2000,"isExtra":true},{"id":"55199592","note":"","count":1,"label":"Bez ananasu","posId":"X100","price":0,"KDSTags":["redhighlight"],"isExtra":true}]</t>
  </si>
  <si>
    <t>manual</t>
  </si>
  <si>
    <t>pickup</t>
  </si>
  <si>
    <t>cash</t>
  </si>
  <si>
    <t>2026-06-07T22:52:57.376+02:00</t>
  </si>
  <si>
    <t>2026-06-07T23:02:45.051+02:00</t>
  </si>
  <si>
    <t>Ručně zadané obj.</t>
  </si>
  <si>
    <t>[{"id":"R1tT2XKKK09mV9E4oM_A2","count":1,"label":"BBQ Texas 32cm","posId":"119","price":24900,"isExtra":false,"creatorId":"fdYt-_KNAQXKtF2EU98lm","isPackging":0,"actualLabel":"BBQ Texas 32cm"}]</t>
  </si>
  <si>
    <t>2026-06-07T22:49:27.806+02:00</t>
  </si>
  <si>
    <t>2026-06-07T22:57:52.111+02:00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</si>
  <si>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🌶️🌶️","posId":"110","price":30900,"isExtra":false},{"id":"55199557","note":"","count":1,"label":"Balné","posId":"K0000","price":2000,"isExtra":true},{"id":"55199611","note":"","count":1,"label":"okraj hotdog, hořčice","posId":"A118","price":6500,"isExtra":true},{"id":"59589456","note":"","size":"Quattro Formaggi 32cm","count":1,"label":"Quattro Formaggi 32cm","posId":"123","price":24900,"isExtra":false},{"id":"55199562","note":"","count":1,"label":"Balné","posId":"K0000","price":1500,"isExtra":true},{"id":"55199511","note":"","size":"Spicy Wings 🌶️","count":2,"label":"spicy wings 🌶️","posId":"P101","price":11900,"isExtra":false},{"id":"55199562","note":"","count":2,"label":"Balné","posId":"K0000","price":1500,"isExtra":true}]</t>
  </si>
  <si>
    <t>2026-06-07T22:45:11.706+02:00</t>
  </si>
  <si>
    <t>2026-06-07T22:54:05.725+02:00</t>
  </si>
  <si>
    <t>[{"id":"slIXfu3mjSW-0V2k39Ukz","count":1,"label":"Hawai 32cm","posId":"114","price":24900,"isExtra":false,"creatorId":"TSfzk79JeAkTputyaLsi1","isPackging":0,"actualLabel":"Hawai 32cm"}]</t>
  </si>
  <si>
    <t>2026-06-07T22:39:46.425+02:00</t>
  </si>
  <si>
    <t>2026-06-07T22:52:11.837+02:00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</si>
  <si>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</si>
  <si>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bolt</t>
  </si>
  <si>
    <t>Martin</t>
  </si>
  <si>
    <t>2026-06-07T22:32:32.479+02:00</t>
  </si>
  <si>
    <t>2026-06-07T22:41:31.079+02:00</t>
  </si>
  <si>
    <t>[{"id":"102","note":"","count":1,"label":"Hawai 40cm","posId":"102","price":30900,"isExtra":false},{"id":"K0000","note":"","count":1,"label":"Balné","posId":"K0000","price":2000,"isExtra":true},{"id":"111","note":"","count":1,"label":"Quattro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</si>
  <si>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2026-06-07T22:24:25.034+02:00</t>
  </si>
  <si>
    <t>2026-06-07T22:37:14.017+02:00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</si>
  <si>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</si>
  <si>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wolt</t>
  </si>
  <si>
    <t>2026-06-07T22:18:38.259+02:00</t>
  </si>
  <si>
    <t>2026-06-07T22:26:14.734+02:00</t>
  </si>
  <si>
    <t>[{"id":"8a4618993c6f7ee5917bb6ac","count":1,"label":"Margherita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základ","posId":"ZRB32","price":0,"isExtra":true},{"id":"9db33b6e2b744d67b8488546","count":1,"label":"okraj mozzarella, bbq omáčka","posId":"A123","price":5700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</si>
  <si>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2026-06-07T22:12:06.596+02:00</t>
  </si>
  <si>
    <t>2026-06-07T22:23:43.851+02:00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</si>
  <si>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</si>
  <si>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2026-06-07T22:05:18.254+02:00</t>
  </si>
  <si>
    <t>2026-06-07T22:13:41.102+02:00</t>
  </si>
  <si>
    <t>[{"id":"55199479","note":"","size":"Hawai 40cm","count":1,"label":"Hawai 40cm","posId":"102","price":30900,"isExtra":false},{"id":"55199557","note":"","count":1,"label":"Balné","posId":"K0000","price":2000,"isExtra":true},{"id":"55199475","note":"","size":"BBQ Texas 40cm","count":1,"label":"BBQ Texas 40cm","posId":"107","price":30900,"isExtra":false},{"id":"55199557","note":"","count":1,"label":"Balné","posId":"K0000","price":2000,"isExtra":true},{"id":"55199617","note":"","count":1,"label":"Bez papriky","posId":"X111","price":0,"KDSTags":["redhighlight"],"isExtra":true},{"id":"57405742","note":"","size":"Pepsi 1l","count":1,"label":"Pepsi 1l","posId":"N124","price":5900,"isExtra":false}]</t>
  </si>
  <si>
    <t>2026-06-07T22:01:23.865+02:00</t>
  </si>
  <si>
    <t>2026-06-07T22:10:08.407+02:00</t>
  </si>
  <si>
    <t>[{"id":"c4cf500880b17d3ffa827758","count":1,"label":"Hawai 32cm","posId":"114","price":24900,"isExtra":false},{"id":"ed2821f5147c44e417ef0b42","count":1,"label":"Balné","posId":"K0000","price":1500,"isExtra":true},{"id":"c8f41becd43979fe4250d2db","count":1,"label":"Hot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</si>
  <si>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2026-06-07T21:56:04.078+02:00</t>
  </si>
  <si>
    <t>2026-06-07T22:46:24.912+02:00</t>
  </si>
  <si>
    <t>[{"id":"b3008ec8-24a5-4d30-bf46-9133028be7e4","note":"","count":1,"label":"Margherita 32 cm","posId":"136","price":20900,"isExtra":false},{"id":"a4efa812-1470-4ea2-a19d-39843abed3be","note":"","count":1,"label":"Comeback 32 cm","posId":"145","price":24900,"isExtra":false}]</t>
  </si>
  <si>
    <t>2026-06-07T21:50:20.103+02:00</t>
  </si>
  <si>
    <t>2026-06-07T21:58:37.807+02:00</t>
  </si>
  <si>
    <t>[{"id":"55199510","note":"","size":"Veggie menu Comeback","count":1,"label":"Veggie menu Comeback","posId":"M200","price":34900,"isExtra":false},{"id":"55199670","note":"","count":1,"label":"Veggieballs","posId":"Y117","price":0,"isExtra":true},{"id":"55199547","note":"","count":1,"label":"Balné","posId":"K0000","price":3000,"isExtra":true},{"id":"55199586","note":"","count":1,"label":"okraj mozzarella, bylinky","posId":"A121","price":5700,"isExtra":true},{"id":"55199543","note":"","count":1,"label":"pečené brambory","posId":"P103","price":0,"isExtra":true},{"id":"61748710","note":"","count":1,"label":"Guarana kiwi a jablko","posId":"N144","price":0,"isExtra":true},{"id":"55199516","note":"","size":"Česnekový dip","count":2,"label":"Česnekový dip","posId":"P106","price":2000,"isExtra":false},{"id":"55199562","note":"","count":2,"label":"Balné","posId":"K0000","price":1500,"isExtra":true},{"id":"55199519","note":"","size":"Choco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Rolls","posId":"chr100","price":8900,"isExtra":false},{"id":"55199562","note":"","count":1,"label":"Balné","posId":"K0000","price":1500,"isExtra":true}]</t>
  </si>
  <si>
    <t>2026-06-07T21:40:35.061+02:00</t>
  </si>
  <si>
    <t>2026-06-07T21:46:34.705+02:00</t>
  </si>
  <si>
    <t>[{"id":"8a4618993c6f7ee5917bb6ac","count":1,"label":"Margherita 32cm","posId":"112","price":20900,"isExtra":false},{"id":"ed2821f5147c44e417ef0b42","count":1,"label":"Balné","posId":"K0000","price":1500,"isExtra":true},{"id":"84e4b48cb1bf1b04bc7feb09","count":1,"label":"Smetanový základ","posId":"ZRS32","price":0,"isExtra":true},{"id":"ca100378d5704fe4b05cd7db","count":1,"label":"Aquilla zelený čaj/citron","posId":"N121","price":4900,"isExtra":false}]</t>
  </si>
  <si>
    <t>2026-06-07T21:37:25.753+02:00</t>
  </si>
  <si>
    <t>2026-06-07T21:39:20.317+02:00</t>
  </si>
  <si>
    <t>[{"id":"SblDElWgYWbkoUl-URfQe","count":1,"label":"Poděbradská malinovka 0,5l","posId":"N129","price":4900,"isExtra":false,"creatorId":"vpZbsDxHBv2udhj-HMaCJ","isPackging":0,"actualLabel":"Poděbradská malinovka 0,5l"}]</t>
  </si>
  <si>
    <t>Amandeep</t>
  </si>
  <si>
    <t>2026-06-07T21:32:24.164+02:00</t>
  </si>
  <si>
    <t>2026-06-07T21:41:35.965+02:00</t>
  </si>
  <si>
    <t>[{"id":"121","note":"","count":1,"label":"Comeback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hořčice","posId":"A117","price":5700,"isExtra":true},{"id":"B102","note":"","count":1,"label":"Jalapeňos","posId":"B102","price":2500,"KDSTags":["greenhighlight"],"isExtra":true},{"id":"B130","note":"","count":1,"label":"Grana padano, pecorino, parmazán","posId":"B130","price":3000,"KDSTags":["greenhighlight"],"isExtra":true}]</t>
  </si>
  <si>
    <t>2026-06-07T21:30:03.426+02:00</t>
  </si>
  <si>
    <t>2026-06-07T21:39:24.489+02:00</t>
  </si>
  <si>
    <t>2026-06-07T22:11:01.696+02:00</t>
  </si>
  <si>
    <t>2026-06-07T21:34:01.240+02:00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</si>
  <si>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</si>
  <si>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2026-06-07T21:29:49.762+02:00</t>
  </si>
  <si>
    <t>2026-06-07T21:35:36.664+02:00</t>
  </si>
  <si>
    <t>[{"id":"x0GVZnJx1AargkKfPiwGh","count":1,"label":"BBQ Meteor 40cm","posId":"106","price":30900,"isExtra":false,"creatorId":"eZILysVx3JPug4eU_dY8l","isPackging":0,"actualLabel":"BBQ Meteor 40cm"}]</t>
  </si>
  <si>
    <t>2026-06-07T21:26:46.309+02:00</t>
  </si>
  <si>
    <t>2026-06-07T21:29:11.619+02:00</t>
  </si>
  <si>
    <t>[{"id":"QvTM0biDDphkG686YLgHj","count":1,"label":"Česnekový dip","posId":"P106","price":2000,"isExtra":false,"creatorId":"pe5JPGMIF7ceUAtoeO-mc","isPackging":0,"actualLabel":"Česnekový dip"},{"id":"QvTM0biDDphkG686YLgHj","count":1,"label":"Česnekový dip","posId":"P106","price":2000,"isExtra":false,"creatorId":"G2keeQjlKOaWL3T98FWDB","isPackging":0,"actualLabel":"Česnekový dip"}]</t>
  </si>
  <si>
    <t>2026-06-07T21:19:05.486+02:00</t>
  </si>
  <si>
    <t>2026-06-07T21:29:13.743+02:00</t>
  </si>
  <si>
    <t>2026-06-07T21:41:44.732+02:00</t>
  </si>
  <si>
    <t>2026-06-07T21:19:05.568+02:00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</si>
  <si>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dip","posId":"P106","price":2000,"isExtra":false}]</t>
  </si>
  <si>
    <t>2026-06-07T21:18:03.470+02:00</t>
  </si>
  <si>
    <t>2026-06-07T21:33:04.099+02:00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</si>
  <si>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</si>
  <si>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2026-06-07T21:17:52.422+02:00</t>
  </si>
  <si>
    <t>2026-06-07T21:25:58.612+02:00</t>
  </si>
  <si>
    <t>[{"id":"8a4618993c6f7ee5917bb6ac","count":1,"label":"Margherita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</si>
  <si>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2026-06-07T21:08:29.502+02:00</t>
  </si>
  <si>
    <t>2026-06-07T21:12:39.950+02:00</t>
  </si>
  <si>
    <t>[{"id":"GtkxIY8m7ME9N7fLIL1mf","count":1,"label":"Pepperoni 40cm 🌶️🌶️","posId":"108","price":30900,"isExtra":false,"creatorId":"X1QOAUzWeFCCYU9ww6x7J","isPackging":0,"actualLabel":"Pepperoni 40cm 🌶️🌶️"},{"id":"mlKAkZexF06HA66I5Wi46","count":1,"label":"Pepperoni 32cm 🌶️🌶️","posId":"120","price":24900,"isExtra":false,"creatorId":"jW7uljm6QSPqpZX1pN5jz","isPackging":0,"actualLabel":"Pepperoni 32cm 🌶️🌶️"}]</t>
  </si>
  <si>
    <t>2026-06-07T21:00:15.539+02:00</t>
  </si>
  <si>
    <t>2026-06-07T21:05:46.788+02:00</t>
  </si>
  <si>
    <t>[{"id":"9259131a4eb3cd567a85680a","count":1,"label":"Buchtičky se šodó","posId":"D12","price":7900,"isExtra":false},{"id":"ed2821f5147c44e417ef0b42","count":1,"label":"Balné","posId":"K0000","price":1500,"isExtra":true},{"id":"9658a9f3ed07a1961ed48d65","count":1,"label":"Margherita 18cm","posId":"124","price":11900,"isExtra":false},{"id":"2e7ea11ae7ec33bacee46408","count":1,"label":"Balné","posId":"K0000","price":1000,"isExtra":true}]</t>
  </si>
  <si>
    <t>Masoud</t>
  </si>
  <si>
    <t>2026-06-07T20:55:29.986+02:00</t>
  </si>
  <si>
    <t>2026-06-07T21:04:03.598+02:00</t>
  </si>
  <si>
    <t>[{"id":"110","note":"","count":1,"label":"Hot &amp; Spicy 40cm 🌶️🌶️","posId":"110","price":30900,"isExtra":false},{"id":"K0000","note":"","count":1,"label":"Balné","posId":"K0000","price":2000,"isExtra":true},{"id":"C114","note":"","count":1,"label":"Kuře","posId":"C114","price":4000,"KDSTags":["greenhighlight"],"isExtra":true}]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</si>
  <si>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2026-06-07T20:54:54.584+02:00</t>
  </si>
  <si>
    <t>2026-06-07T21:00:51.436+02:00</t>
  </si>
  <si>
    <t>[{"id":"55199505","note":"","size":"Hawai 18cm","count":1,"label":"Hawai 18cm","posId":"126","price":11900,"isExtra":false},{"id":"55199538","note":"","count":1,"label":"Balné","posId":"K0000","price":1000,"isExtra":true},{"id":"59555722","note":"","count":1,"label":"BBQ základ","posId":"ZRB18","price":0,"isExtra":true},{"id":"57405742","note":"","size":"Pepsi 1l","count":1,"label":"Pepsi 1l","posId":"N124","price":5900,"isExtra":false}]</t>
  </si>
  <si>
    <t>Andrey</t>
  </si>
  <si>
    <t>2026-06-07T20:33:29.906+02:00</t>
  </si>
  <si>
    <t>2026-06-07T20:41:41.827+02:00</t>
  </si>
  <si>
    <t>[{"id":"M200","note":"","count":1,"label":"Veggie menu Comeback","posId":"M200","price":34900,"isExtra":false},{"id":"K0000","note":"","count":1,"label":"Balné","posId":"K0000","price":3000,"isExtra":true},{"id":"Y122","note":"","count":1,"label":"Hot &amp; Spicy","posId":"Y122","price":0,"isExtra":true},{"id":"P103","note":"","count":1,"label":"pečené brambory","posId":"P103","price":0,"isExtra":true},{"id":"N120","note":"","count":1,"label":"Aquilla černý čaj a broskev","posId":"N120","price":0,"isExtra":true},{"id":"P106","note":"","count":1,"label":"Česnekový dip","posId":"P106","price":2000,"isExtra":false},{"id":"K0000","note":"","count":1,"label":"Balné","posId":"K0000","price":1500,"isExtra":true}]</t>
  </si>
  <si>
    <t>2026-06-07T20:13:23.371+02:00</t>
  </si>
  <si>
    <t>2026-06-07T20:19:44.209+02:00</t>
  </si>
  <si>
    <t>[{"id":"71474d2ff08764e8563178d6","count":1,"label":"Hawai 40cm","posId":"102","price":30900,"isExtra":false},{"id":"c71f71bd04444e93fe083c01","count":1,"label":"Balné","posId":"K0000","price":2000,"isExtra":true}]</t>
  </si>
  <si>
    <t>2026-06-07T20:02:04.710+02:00</t>
  </si>
  <si>
    <t>2026-06-07T20:13:47.590+02:00</t>
  </si>
  <si>
    <t>2026-06-07T20:19:42.571+02:00</t>
  </si>
  <si>
    <t>2026-06-07T20:02:04.859+02:00</t>
  </si>
  <si>
    <t>[{"id":"194f980e-141e-4220-9f1e-0e1e9edc412e","note":"","count":1,"label":"Quattro Formaggi 18cm","posId":"135","price":11900,"isExtra":false},{"id":"1fae666b-4102-4ed0-b317-2a07b21ae279","note":"","count":1,"label":"Hot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</si>
  <si>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2026-06-07T19:54:05.921+02:00</t>
  </si>
  <si>
    <t>2026-06-07T20:04:31.406+02:00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</si>
  <si>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</si>
  <si>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2026-06-07T19:54:03.316+02:00</t>
  </si>
  <si>
    <t>2026-06-07T20:10:50.162+02:00</t>
  </si>
  <si>
    <t>2026-06-07T20:31:56.534+02:00</t>
  </si>
  <si>
    <t>2026-06-07T19:54:03.529+02:00</t>
  </si>
  <si>
    <t>[{"id":"9579f3b5-1ac6-43ac-b132-28666e0777ec","note":"","count":1,"label":"Sweet Passion 18 cm","posId":"30","price":11900,"isExtra":false},{"id":"10a95fda-50ac-4e8b-a092-eba50264ce8d","note":"","count":1,"label":"Comeback 18cm 🌶️","posId":"133","price":11900,"isExtra":false},{"id":"a214d9a6-262f-4d59-9d6c-8c1bdecc573c","note":"","count":1,"label":"Gorgonzola","posId":"A101","price":2000,"isExtra":true},{"id":"a851d29a-5134-4946-b96f-7df04ca56ce8","note":"","count":2,"label":"Pepsi zero sugar 1l","posId":"N125","price":5900,"isExtra":false},{"id":"35e045f9-bc36-46e9-8142-6579de78a05b","note":"","count":1,"label":"Comeback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základ","posId":"a3d62a5d-2e1d-48db-874e-d64becff7059","price":0,"isExtra":true},{"id":"f2ca88ba-7288-4f05-a925-149da2e2137e","note":"","count":1,"label":"okraj hotdog, bbq omáčka","posId":"A119","price":5700,"isExtra":true},{"id":"dba0d6ed-9e38-4f33-8ec2-cc6e2ff8f1a9","note":"","count":1,"label":"Gorgonzola","posId":"B101","price":3000,"KDSTags":["greenhighlight"],"isExtra":true}]</t>
  </si>
  <si>
    <t>2026-06-07T19:50:03.736+02:00</t>
  </si>
  <si>
    <t>2026-06-07T19:57:41.718+02:00</t>
  </si>
  <si>
    <t>2026-06-07T20:03:21.621+02:00</t>
  </si>
  <si>
    <t>2026-06-07T19:50:03.857+02:00</t>
  </si>
  <si>
    <t>[{"id":"8c704055-e242-493d-b754-bb711e5a6c0b","note":"","count":1,"label":"Hawai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</si>
  <si>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2026-06-07T19:47:51.011+02:00</t>
  </si>
  <si>
    <t>2026-06-07T19:47:56.361+02:00</t>
  </si>
  <si>
    <t>[{"id":"hq1R5HxeYrJr4Ew-dOjt-","count":1,"label":"Guarana classic","posId":"N142","price":5500,"isExtra":false,"creatorId":"ylryrAFnjeygokdT3PLKR","isPackging":0,"actualLabel":"Guarana classic"}]</t>
  </si>
  <si>
    <t>2026-06-07T19:40:00.291+02:00</t>
  </si>
  <si>
    <t>2026-06-07T19:46:58.511+02:00</t>
  </si>
  <si>
    <t>[{"id":"59589463","note":"","size":"Hawai 32cm","count":1,"label":"Hawai 32cm","posId":"114","price":24900,"isExtra":false},{"id":"55199562","note":"","count":1,"label":"Balné","posId":"K0000","price":1500,"isExtra":true},{"id":"59589456","note":"","size":"Quattro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</si>
  <si>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2026-06-07T19:29:03.706+02:00</t>
  </si>
  <si>
    <t>2026-06-07T19:40:19.111+02:00</t>
  </si>
  <si>
    <t>2026-06-07T19:54:47.133+02:00</t>
  </si>
  <si>
    <t>2026-06-07T19:29:03.824+02:00</t>
  </si>
  <si>
    <t>[{"id":"d63e9120-8ffe-444c-ba51-6c942a13f4fc","note":"","count":1,"label":"Margherita 40cm","posId":"100","price":26900,"isExtra":false},{"id":"e7501e4e-7b75-458f-8655-4ba5ba9c5990","note":"","count":1,"label":"Jalapeňos dip","posId":"P107","price":2000,"isExtra":false}]</t>
  </si>
  <si>
    <t>2026-06-07T19:24:58.826+02:00</t>
  </si>
  <si>
    <t>2026-06-07T19:38:28.872+02:00</t>
  </si>
  <si>
    <t>[{"id":"55199516","note":"","size":"Česnekový dip","count":1,"label":"Česnekový dip","posId":"P106","price":2000,"isExtra":false},{"id":"55199562","note":"","count":1,"label":"Balné","posId":"K0000","price":1500,"isExtra":true},{"id":"55199515","note":"","size":"Pepperoni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🌶️🌶️","posId":"120","price":24900,"isExtra":false},{"id":"55199562","note":"","count":1,"label":"Balné","posId":"K0000","price":1500,"isExtra":true},{"id":"55199622","note":"","count":1,"label":"okraj hotdog, bbq omáčka","posId":"A119","price":5700,"isExtra":true},{"id":"55199659","note":"","count":1,"label":"Mozzarella","posId":"B113","price":3000,"KDSTags":["greenhighlight"],"isExtra":true}]</t>
  </si>
  <si>
    <t>2026-06-07T19:24:03.709+02:00</t>
  </si>
  <si>
    <t>2026-06-07T19:34:28.090+02:00</t>
  </si>
  <si>
    <t>2026-06-07T19:47:19.180+02:00</t>
  </si>
  <si>
    <t>2026-06-07T19:24:03.873+02:00</t>
  </si>
  <si>
    <t>[{"id":"aef5aaf8-2acf-4f20-91be-c8829f11cd0c","note":"","count":1,"label":"Capricciosa 40cm","posId":"101","price":30900,"isExtra":false},{"id":"0f32557d-3b00-4445-b026-75e05c963906","note":"","count":1,"label":"Jalapeňos","posId":"C102","price":3500,"KDSTags":["greenhighlight"],"isExtra":true},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</si>
  <si>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2026-06-07T19:21:26.274+02:00</t>
  </si>
  <si>
    <t>2026-06-07T19:31:43.936+02:00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</si>
  <si>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</si>
  <si>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2026-06-07T19:13:49.017+02:00</t>
  </si>
  <si>
    <t>2026-06-07T19:23:39.420+02:00</t>
  </si>
  <si>
    <t>[{"id":"284143256f41c905feeed114","count":1,"label":"Capricciosa 32cm","posId":"113","price":24900,"isExtra":false},{"id":"ed2821f5147c44e417ef0b42","count":1,"label":"Balné","posId":"K0000","price":1500,"isExtra":true},{"id":"2967f1730e0f7e46102406af","count":1,"label":"Pepperoni salám","posId":"B109","price":3000,"KDSTags":["greenhighlight"],"isExtra":true},{"id":"39b4dba259045cb10a80740d","count":1,"label":"Quattro Formaggi 32cm","posId":"123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63345f6ebe03a711ce9d952e","count":1,"label":"Slanina","posId":"B108","price":3000,"KDSTags":["greenhighlight"],"isExtra":true},{"id":"3066e1327dc15df83048b59b","count":1,"label":"Mirinda 1l","posId":"N126","price":5900,"isExtra":false}]</t>
  </si>
  <si>
    <t>2026-06-07T18:47:16.350+02:00</t>
  </si>
  <si>
    <t>2026-06-07T18:53:08.829+02:00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</si>
  <si>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40cm","posId":"104","price":30900,"isExtra":false},{"id":"55199557","note":"","count":1,"label":"Balné","posId":"K0000","price":2000,"isExtra":true},{"id":"59555725","note":"","count":1,"label":"BBQ základ","posId":"ZSB49","price":0,"isExtra":true},{"id":"55199602","note":"","count":1,"label":"Bez špenátu s česnekem","posId":"X107","price":0,"KDSTags":["redhighlight"],"isExtra":true},{"id":"55199598","note":"","count":1,"label":"Žampiony","posId":"C105","price":3500,"KDSTags":["greenhighlight"],"isExtra":true},{"id":"55199646","note":"","count":1,"label":"Cibule","posId":"C103","price":3500,"KDSTags":["greenhighlight"],"isExtra":true},{"id":"55199650","note":"","count":1,"label":"Kukuřice","posId":"C115","price":3500,"KDSTags":["greenhighlight"],"isExtra":true}]</t>
  </si>
  <si>
    <t>2026-06-07T18:36:14.866+02:00</t>
  </si>
  <si>
    <t>2026-06-07T18:46:00.448+02:00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</si>
  <si>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1l","posId":"N126","price":5900,"isExtra":false}]</t>
  </si>
  <si>
    <t>2026-06-07T18:28:16.759+02:00</t>
  </si>
  <si>
    <t>2026-06-07T18:28:26.519+02:00</t>
  </si>
  <si>
    <t>[{"id":"hq1R5HxeYrJr4Ew-dOjt-","count":1,"label":"Guarana classic","posId":"N142","price":5500,"isExtra":false,"creatorId":"IZwDArI_q8X7OkdPAFBLy","isPackging":0,"actualLabel":"Guarana classic"},{"id":"hq1R5HxeYrJr4Ew-dOjt-","count":1,"label":"Guarana classic","posId":"N142","price":5500,"isExtra":false,"creatorId":"hH8QxXr_xf9bfX0qrxLSj","isPackging":0,"actualLabel":"Guarana classic"}]</t>
  </si>
  <si>
    <t>2026-06-07T18:21:03.162+02:00</t>
  </si>
  <si>
    <t>2026-06-07T18:28:40.444+02:00</t>
  </si>
  <si>
    <t>2026-06-07T18:49:19.047+02:00</t>
  </si>
  <si>
    <t>2026-06-07T18:21:03.339+02:00</t>
  </si>
  <si>
    <t>[{"id":"f59b90ea-5e33-470c-9864-9b5a80873c77","note":"","count":1,"label":"Zeleninová 32 cm","posId":"139","price":24900,"isExtra":false}]</t>
  </si>
  <si>
    <t>roman</t>
  </si>
  <si>
    <t>2026-06-07T18:15:15.022+02:00</t>
  </si>
  <si>
    <t>2026-06-07T18:22:58.639+02:00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</si>
  <si>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</si>
  <si>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2026-06-07T18:10:00.695+02:00</t>
  </si>
  <si>
    <t>2026-06-07T18:21:26.820+02:00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</si>
  <si>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32cm","posId":"113","price":24900,"isExtra":false},{"id":"55199562","note":"","count":1,"label":"Balné","posId":"K0000","price":1500,"isExtra":true},{"id":"59589460","note":"","size":"BBQ Texas 32cm","count":1,"label":"BBQ Texas 32cm","posId":"119","price":24900,"isExtra":false},{"id":"55199562","note":"","count":1,"label":"Balné","posId":"K0000","price":1500,"isExtra":true},{"id":"57405742","note":"","size":"Pepsi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🌶️","posId":"P101","price":11900,"isExtra":false},{"id":"55199562","note":"","count":1,"label":"Balné","posId":"K0000","price":1500,"isExtra":true}]</t>
  </si>
  <si>
    <t>2026-06-07T18:07:04.540+02:00</t>
  </si>
  <si>
    <t>2026-06-07T18:20:27.826+02:00</t>
  </si>
  <si>
    <t>[{"id":"99710cd8-fa1f-4712-84a8-85da37e18dd0","note":"","count":1,"label":"česnekový chléb","posId":"P104","price":7900,"isExtra":false}]</t>
  </si>
  <si>
    <t>2026-06-07T18:07:04.529+02:00</t>
  </si>
  <si>
    <t>2026-06-07T18:14:18.430+02:00</t>
  </si>
  <si>
    <t>2026-06-07T18:26:55.715+02:00</t>
  </si>
  <si>
    <t>2026-06-07T18:07:04.653+02:00</t>
  </si>
  <si>
    <t>[{"id":"e8f571e6-dd36-42d7-8826-52c90315986b","note":"","count":1,"label":"Baby špenát &amp; kuře 40cm","posId":"104","price":30900,"isExtra":false}]</t>
  </si>
  <si>
    <t>2026-06-07T17:59:05.410+02:00</t>
  </si>
  <si>
    <t>2026-06-07T18:08:46.106+02:00</t>
  </si>
  <si>
    <t>[{"id":"03ade9ce-5d0f-4499-a6a3-340b58ae4468","note":"","count":1,"label":"Capricciosa 32cm","posId":"113","price":24900,"isExtra":false},{"id":"8c704055-e242-493d-b754-bb711e5a6c0b","note":"","count":1,"label":"Hawai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</si>
  <si>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2026-06-07T17:55:28.292+02:00</t>
  </si>
  <si>
    <t>2026-06-07T18:06:38.685+02:00</t>
  </si>
  <si>
    <t>[{"id":"8a4618993c6f7ee5917bb6ac","count":1,"label":"Margherita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26d130ce3ef2dd539f98fc3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těsto","posId":"17","price":1000,"isExtra":true}]</t>
  </si>
  <si>
    <t>2026-06-07T17:53:55.157+02:00</t>
  </si>
  <si>
    <t>2026-06-07T18:12:06.662+02:00</t>
  </si>
  <si>
    <t>[{"id":"55199473","note":"bez sýru","size":"Comeback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základ","posId":"ZRB40","price":0,"isExtra":true},{"id":"55199641","note":"","count":1,"label":"okraj hotdog, bez omáčky","posId":"A126","price":6500,"isExtra":true},{"id":"55199561","note":"","count":1,"label":"Bez mozzarelly","posId":"X113","price":0,"KDSTags":["redhighlight"],"isExtra":true}]</t>
  </si>
  <si>
    <t>2026-06-07T17:52:04.697+02:00</t>
  </si>
  <si>
    <t>2026-06-07T18:00:19.538+02:00</t>
  </si>
  <si>
    <t>2026-06-07T18:04:37.319+02:00</t>
  </si>
  <si>
    <t>2026-06-07T17:52:04.821+02:00</t>
  </si>
  <si>
    <t>[{"id":"35e045f9-bc36-46e9-8142-6579de78a05b","note":"","count":1,"label":"Comeback 32cm 🌶️","posId":"121","price":24900,"isExtra":false}]</t>
  </si>
  <si>
    <t>2026-06-07T17:32:20.464+02:00</t>
  </si>
  <si>
    <t>2026-06-07T17:33:45.234+02:00</t>
  </si>
  <si>
    <t>[{"id":"Ikpant5VvldJA1UskSxb0","count":1,"label":"Aquilla neperlivá","posId":"N140","price":3900,"isExtra":false,"creatorId":"5D6o731w5PSk_PfFb6z6h","isPackging":0,"actualLabel":"Aquilla neperlivá"}]</t>
  </si>
  <si>
    <t>2026-06-07T17:31:16.273+02:00</t>
  </si>
  <si>
    <t>2026-06-07T17:44:32.621+02:00</t>
  </si>
  <si>
    <t>[{"id":"55199476","note":"","size":"BBQ Meteor 40cm","count":1,"label":"BBQ Meteor 40cm","posId":"106","price":30900,"isExtra":false},{"id":"55199557","note":"","count":1,"label":"Balné","posId":"K0000","price":2000,"isExtra":true},{"id":"55199624","note":"","count":1,"label":"okraj hotdog, bbq omáčka","posId":"A120","price":6500,"isExtra":true},{"id":"55199476","note":"","size":"BBQ Meteor 40cm","count":1,"label":"BBQ Meteor 40cm","posId":"106","price":30900,"isExtra":false},{"id":"55199557","note":"","count":1,"label":"Balné","posId":"K0000","price":2000,"isExtra":true},{"id":"55199581","note":"","count":1,"label":"okraj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</si>
  <si>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2026-06-07T17:28:56.100+02:00</t>
  </si>
  <si>
    <t>2026-06-07T17:39:41.378+02:00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</si>
  <si>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🌶️","posId":"121","price":24900,"isExtra":false},{"id":"55199562","note":"","count":1,"label":"Balné","posId":"K0000","price":1500,"isExtra":true},{"id":"55199618","note":"","count":1,"label":"okraj hotdog, hořčice","posId":"A117","price":5700,"isExtra":true},{"id":"55199568","note":"","count":1,"label":"Jalapeňos","posId":"B102","price":2500,"KDSTags":["greenhighlight"],"isExtra":true},{"id":"59589464","note":"","size":"Capricciosa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</si>
  <si>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2026-06-07T17:16:42.678+02:00</t>
  </si>
  <si>
    <t>2026-06-07T17:23:16.625+02:00</t>
  </si>
  <si>
    <t>2026-06-07T17:12:19.473+02:00</t>
  </si>
  <si>
    <t>2026-06-07T17:20:59.234+02:00</t>
  </si>
  <si>
    <t>[{"id":"QDGxk82t0Xcdbfj8t1zuF","count":1,"label":"Hawai 18cm","posId":"126","price":11900,"isExtra":false,"creatorId":"EwaSuMYYhDW9iK27VTLMf","isPackging":0,"actualLabel":"Hawai 18cm"},{"id":"GgFxWsVrDTHtwOEvP84Ga","count":1,"label":"Comeback 32cm 🌶️","posId":"121","price":24900,"isExtra":false,"creatorId":"VxONQbtpfTIFMX56I8gqZ","isPackging":0,"actualLabel":"Comeback 32cm 🌶️"}]</t>
  </si>
  <si>
    <t>Berat</t>
  </si>
  <si>
    <t>2026-06-07T16:47:58.449+02:00</t>
  </si>
  <si>
    <t>2026-06-07T16:56:56.995+02:00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</si>
  <si>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</si>
  <si>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2026-06-07T16:11:04.365+02:00</t>
  </si>
  <si>
    <t>2026-06-07T16:21:40.196+02:00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</si>
  <si>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32cm","posId":"113","price":24900,"isExtra":false},{"id":"55199562","note":"","count":1,"label":"Balné","posId":"K0000","price":1500,"isExtra":true},{"id":"66679176","note":"","size":"Buchtičky se šodó","count":1,"label":"Buchtičky se šodó","posId":"D12","price":7900,"isExtra":false},{"id":"55199562","note":"","count":1,"label":"Balné","posId":"K0000","price":1500,"isExtra":true}]</t>
  </si>
  <si>
    <t>2026-06-07T16:00:04.384+02:00</t>
  </si>
  <si>
    <t>2026-06-07T16:15:29.749+02:00</t>
  </si>
  <si>
    <t>2026-06-07T16:23:58.943+02:00</t>
  </si>
  <si>
    <t>2026-06-07T16:00:04.497+02:00</t>
  </si>
  <si>
    <t>[{"id":"5b1f2843-926a-4dd1-a5f0-4fddc7b45013","note":"","count":1,"label":"Margherita 32cm","posId":"112","price":20900,"isExtra":false},{"id":"1da47ebe-2592-435a-b854-8cbe80b56263","note":"","count":1,"label":"Hawai 32 cm","posId":"138","price":24900,"isExtra":false}]</t>
  </si>
  <si>
    <t>2026-06-07T15:59:43.708+02:00</t>
  </si>
  <si>
    <t>2026-06-07T16:13:30.170+02:00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</si>
  <si>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🌶️🌶️","posId":"108","price":30900,"isExtra":false},{"id":"55199557","note":"","count":1,"label":"Balné","posId":"K0000","price":2000,"isExtra":true},{"id":"55199588","note":"","count":1,"label":"okraj mozzarella, bbq omáčka","posId":"A124","price":6500,"isExtra":true},{"id":"55199630","note":"","count":1,"label":"Ananas","posId":"C100","price":3500,"KDSTags":["greenhighlight"],"isExtra":true},{"id":"55199479","note":"","size":"Hawai 40cm","count":1,"label":"Hawai 40cm","posId":"102","price":30900,"isExtra":false},{"id":"55199557","note":"","count":1,"label":"Balné","posId":"K0000","price":2000,"isExtra":true},{"id":"55199598","note":"","count":1,"label":"Žampiony","posId":"C105","price":3500,"KDSTags":["greenhighlight"],"isExtra":true}]</t>
  </si>
  <si>
    <t>2026-06-07T15:55:04.031+02:00</t>
  </si>
  <si>
    <t>2026-06-07T16:18:08.189+02:00</t>
  </si>
  <si>
    <t>2026-06-07T16:32:08.089+02:00</t>
  </si>
  <si>
    <t>2026-06-07T15:55:04.176+02:00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</si>
  <si>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dip","posId":"P106","price":2000,"isExtra":false},{"id":"85242cc7-02be-4e3a-9c6b-27dfd40e286b","note":"","count":1,"label":"Mirinda 1l","posId":"N126","price":5900,"isExtra":false}]</t>
  </si>
  <si>
    <t>2026-06-07T15:40:30.150+02:00</t>
  </si>
  <si>
    <t>2026-06-07T15:51:08.274+02:00</t>
  </si>
  <si>
    <t>[{"id":"c061cc0f701dc2e4cbeba65a","count":1,"label":"Zeleninová 40cm","posId":"103","price":30900,"isExtra":false},{"id":"c71f71bd04444e93fe083c01","count":1,"label":"Balné","posId":"K0000","price":2000,"isExtra":true},{"id":"49afbc27314671d4560cc7a0","count":1,"label":"Bez žampionů","posId":"X105","price":0,"KDSTags":["redhighlight"],"isExtra":true}]</t>
  </si>
  <si>
    <t>2026-06-07T15:34:56.213+02:00</t>
  </si>
  <si>
    <t>2026-06-07T15:48:43.024+02:00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</si>
  <si>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55199562","note":"","count":1,"label":"Balné","posId":"K0000","price":1500,"isExtra":true},{"id":"55199597","note":"","count":1,"label":"Žampiony","posId":"B105","price":2500,"KDSTags":["greenhighlight"]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základ","posId":"ZSR32","price":0,"isExtra":true},{"id":"55199595","note":"","count":1,"label":"okraj mozzarella, bbq omáčka","posId":"A123","price":5700,"isExtra":true},{"id":"55199644","note":"","count":1,"label":"Cibule","posId":"B103","price":2500,"KDSTags":["greenhighlight"],"isExtra":true},{"id":"55199648","note":"","count":1,"label":"Kukuřice","posId":"B115","price":2500,"KDSTags":["greenhighlight"],"isExtra":true},{"id":"55199679","note":"","count":1,"label":"Pepperoni salám","posId":"B109","price":3000,"KDSTags":["greenhighlight"],"isExtra":true},{"id":"57405744","note":"","size":"Mirinda 1l","count":1,"label":"Mirinda 1l","posId":"N126","price":5900,"isExtra":false}]</t>
  </si>
  <si>
    <t>2026-06-07T15:34:25.816+02:00</t>
  </si>
  <si>
    <t>2026-06-07T16:16:40.084+02:00</t>
  </si>
  <si>
    <t>2026-06-07T16:16:40.133+02:00</t>
  </si>
  <si>
    <t>2026-06-07T15:34:25.956+02:00</t>
  </si>
  <si>
    <t>[{"id":"Z9IeDGcKqFO_itODmBH5E","count":1,"label":"Quattro Formaggi 32cm","posId":"123","price":24900,"isExtra":false,"creatorId":"2gN1TxBOwUoVVnocs-FTz","isPackging":0,"actualLabel":"Quattro Formaggi 32cm"},{"id":"Z9IeDGcKqFO_itODmBH5E","count":1,"label":"Quattro Formaggi 32cm","posId":"123","price":24900,"isExtra":false,"creatorId":"KG5ujNCPgczfzOKJQY-HE","isPackging":0,"actualLabel":"Quattro Formaggi 32cm"},{"id":"tyGJixfGC6L3xZ3KUEHRE","count":1,"label":"Baby Špenát &amp; kuře 32cm","posId":"116","price":24900,"isExtra":false,"creatorId":"mBROhZ_oun9lflJfhqxze","isPackging":0,"actualLabel":"Baby Špenát &amp; kuře 32cm"},{"id":"tyGJixfGC6L3xZ3KUEHRE","count":1,"label":"Baby Špenát &amp; kuře 32cm","posId":"116","price":24900,"isExtra":false,"creatorId":"sd7VggSOESZTTg9HR-Co_","isPackging":0,"actualLabel":"Baby Špenát &amp; kuře 32cm"},{"id":"HzzLcrRniLZHhRMYsKcZq","count":1,"label":"Margherita 32cm","posId":"112","price":20900,"isExtra":false,"creatorId":"CoCcPYsVGZlyMh9XXQ3FO","isPackging":0,"actualLabel":"Margherita 32cm"},{"id":"S2KCJaQ9FrnGd4277ymVD","count":1,"label":"Capricciosa 32cm","posId":"113","price":24900,"isExtra":false,"creatorId":"CqBlu66Q335RNySJHxA8E","isPackging":0,"actualLabel":"Capricciosa 32cm"}]</t>
  </si>
  <si>
    <t>2026-06-07T15:28:04.270+02:00</t>
  </si>
  <si>
    <t>2026-06-07T17:18:03.574+02:00</t>
  </si>
  <si>
    <t>2026-06-07T17:21:34.489+02:00</t>
  </si>
  <si>
    <t>2026-06-07T15:50:00.067+02:00</t>
  </si>
  <si>
    <t>2026-06-07T15:16:42.734+02:00</t>
  </si>
  <si>
    <t>2026-06-07T15:29:54.977+02:00</t>
  </si>
  <si>
    <t>[{"id":"d4505ea926b82b0e6ddfcf86","count":1,"label":"Comeback 18cm 🌶️","posId":"133","price":11900,"isExtra":false},{"id":"2e7ea11ae7ec33bacee46408","count":1,"label":"Balné","posId":"K0000","price":1000,"isExtra":true},{"id":"2b1b2b796dd56ca27ebdb9dc","count":1,"label":"Smetanový základ","posId":"ZRS18","price":0,"isExtra":true},{"id":"71a763e559139e5b5e188a91","count":1,"label":"Pepperoni 40cm 🌶️🌶️","posId":"108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702a37cee92bef60b73e18f1","count":1,"label":"BBQ dip","posId":"P105","price":2000,"isExtra":false},{"id":"ed2821f5147c44e417ef0b42","count":1,"label":"Balné","posId":"K0000","price":1500,"isExtra":true}]</t>
  </si>
  <si>
    <t>2026-06-07T15:11:35.712+02:00</t>
  </si>
  <si>
    <t>2026-06-07T15:24:44.943+02:00</t>
  </si>
  <si>
    <t>[{"id":"a0605005773056fb46785f92","count":1,"label":"BBQ Texas 40cm","posId":"107","price":30900,"isExtra":false},{"id":"c71f71bd04444e93fe083c01","count":1,"label":"Balné","posId":"K0000","price":2000,"isExtra":true},{"id":"b0909d075aa821e62b5225d6","count":1,"label":"Pepsi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</si>
  <si>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2026-06-07T15:10:33.809+02:00</t>
  </si>
  <si>
    <t>2026-06-07T15:22:52.059+02:00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</si>
  <si>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836af884a629f619414811e5","count":1,"label":"Paprika","posId":"C111","price":3500,"KDSTags":["greenhighlight"],"isExtra":true}]</t>
  </si>
  <si>
    <t>2026-06-07T15:10:03.372+02:00</t>
  </si>
  <si>
    <t>2026-06-07T15:32:34.076+02:00</t>
  </si>
  <si>
    <t>2026-06-07T15:53:48.550+02:00</t>
  </si>
  <si>
    <t>2026-06-07T15:10:04.430+02:00</t>
  </si>
  <si>
    <t>[{"id":"aef5aaf8-2acf-4f20-91be-c8829f11cd0c","note":"","count":1,"label":"Capricciosa 40cm","posId":"101","price":30900,"isExtra":false}]</t>
  </si>
  <si>
    <t>2026-06-07T14:53:15.099+02:00</t>
  </si>
  <si>
    <t>2026-06-07T15:06:08.945+02:00</t>
  </si>
  <si>
    <t>[{"id":"c4cf500880b17d3ffa827758","count":1,"label":"Hawai 32cm","posId":"114","price":24900,"isExtra":false},{"id":"ed2821f5147c44e417ef0b42","count":1,"label":"Balné","posId":"K0000","price":1500,"isExtra":true}]</t>
  </si>
  <si>
    <t>2026-06-07T14:48:10.529+02:00</t>
  </si>
  <si>
    <t>2026-06-07T14:56:27.856+02:00</t>
  </si>
  <si>
    <t>[{"id":"1d215296a99939a8f5b4c23d","count":1,"label":"Pepperoni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2967f1730e0f7e46102406af","count":1,"label":"Pepperoni salám","posId":"B109","price":3000,"KDSTags":["greenhighlight"],"isExtra":true},{"id":"0d95a3384b070d9133ab82f7","count":1,"label":"Česnekový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</si>
  <si>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2026-06-07T14:45:03.244+02:00</t>
  </si>
  <si>
    <t>2026-06-07T15:04:15.916+02:00</t>
  </si>
  <si>
    <t>2026-06-07T15:14:17.154+02:00</t>
  </si>
  <si>
    <t>2026-06-07T14:45:03.353+02:00</t>
  </si>
  <si>
    <t>[{"id":"f1315fc0-dfbb-459c-9f31-49d8e60875f4","note":"","count":1,"label":"Pepperoni 40cm 🌶️🌶️","posId":"108","price":30900,"isExtra":false},{"id":"5b1f2843-926a-4dd1-a5f0-4fddc7b45013","note":"","count":1,"label":"Margherita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,{"id":"3a8b6a85-3b5c-4ee4-be2d-261ab8731d6e","note":"","count":1,"label":"Česnekový dip","posId":"P106","price":2000,"isExtra":false}]</t>
  </si>
  <si>
    <t>2026-06-07T14:44:02.824+02:00</t>
  </si>
  <si>
    <t>2026-06-07T15:01:34.761+02:00</t>
  </si>
  <si>
    <t>2026-06-07T15:26:10.410+02:00</t>
  </si>
  <si>
    <t>2026-06-07T14:44:02.960+02:00</t>
  </si>
  <si>
    <t>2026-06-07T14:30:04.361+02:00</t>
  </si>
  <si>
    <t>2026-06-07T14:40:03.698+02:00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</si>
  <si>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</si>
  <si>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2026-06-07T14:02:31.043+02:00</t>
  </si>
  <si>
    <t>2026-06-07T14:18:05.542+02:00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</si>
  <si>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55199568","note":"","count":1,"label":"Jalapeňos","posId":"B102","price":2500,"KDSTags":["greenhighlight"],"isExtra":true}]</t>
  </si>
  <si>
    <t>2026-06-07T13:56:56.253+02:00</t>
  </si>
  <si>
    <t>2026-06-07T14:15:26.571+02:00</t>
  </si>
  <si>
    <t>[{"id":"55199479","note":"","size":"Hawai 40cm","count":1,"label":"Hawai 40cm","posId":"102","price":30900,"isExtra":false},{"id":"55199557","note":"","count":1,"label":"Balné","posId":"K0000","price":2000,"isExtra":true},{"id":"55199588","note":"","count":1,"label":"okraj mozzarella, bbq omáčka","posId":"A124","price":6500,"isExtra":true}]</t>
  </si>
  <si>
    <t>2026-06-07T13:56:39.058+02:00</t>
  </si>
  <si>
    <t>2026-06-07T14:12:06.178+02:00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</si>
  <si>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základ","posId":"ZRS40","price":0,"isExtra":true},{"id":"55199598","note":"","count":1,"label":"Žampiony","posId":"C105","price":3500,"KDSTags":["greenhighlight"],"isExtra":true},{"id":"57405743","note":"","size":"Pepsi zero sugar 1l","count":1,"label":"Pepsi zero sugar 1l","posId":"N125","price":5900,"isExtra":false}]</t>
  </si>
  <si>
    <t>2026-06-07T13:33:04.063+02:00</t>
  </si>
  <si>
    <t>2026-06-07T13:55:44.454+02:00</t>
  </si>
  <si>
    <t>2026-06-07T14:09:49.180+02:00</t>
  </si>
  <si>
    <t>2026-06-07T13:34:07.199+02:00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</si>
  <si>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</si>
  <si>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2026-06-07T13:29:29.867+02:00</t>
  </si>
  <si>
    <t>2026-06-07T13:39:07.423+02:00</t>
  </si>
  <si>
    <t>[{"id":"60d80526b1f980b09936a566","count":1,"label":"masové kuličky","posId":"P102","price":9900,"isExtra":false},{"id":"ed2821f5147c44e417ef0b42","count":1,"label":"Balné","posId":"K0000","price":1500,"isExtra":true},{"id":"d4505ea926b82b0e6ddfcf86","count":1,"label":"Comeback 18cm 🌶️","posId":"133","price":11900,"isExtra":false},{"id":"2e7ea11ae7ec33bacee46408","count":1,"label":"Balné","posId":"K0000","price":1000,"isExtra":true}]</t>
  </si>
  <si>
    <t>Arvind</t>
  </si>
  <si>
    <t>2026-06-07T13:22:39.375+02:00</t>
  </si>
  <si>
    <t>2026-06-07T13:29:22.485+02:00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</si>
  <si>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</si>
  <si>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2026-06-07T13:17:02.770+02:00</t>
  </si>
  <si>
    <t>2026-06-07T13:20:06.467+02:00</t>
  </si>
  <si>
    <t>2026-06-07T13:29:41.196+02:00</t>
  </si>
  <si>
    <t>2026-06-07T13:17:02.889+02:00</t>
  </si>
  <si>
    <t>[{"id":"85dc195f-7d7b-4fb5-b41d-eb1c9c76b3a3","note":"","count":1,"label":"Hot &amp; Spicy 32 cm","posId":"146","price":24900,"isExtra":false}]</t>
  </si>
  <si>
    <t>2026-06-07T13:12:03.561+02:00</t>
  </si>
  <si>
    <t>2026-06-07T13:18:01.181+02:00</t>
  </si>
  <si>
    <t>2026-06-07T14:00:39.608+02:00</t>
  </si>
  <si>
    <t>2026-06-07T13:12:03.679+02:00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</si>
  <si>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3a8b6a85-3b5c-4ee4-be2d-261ab8731d6e","note":"","count":1,"label":"Česnekový dip","posId":"P106","price":2000,"isExtra":false}]</t>
  </si>
  <si>
    <t>Aider</t>
  </si>
  <si>
    <t>2026-06-07T13:09:25.143+02:00</t>
  </si>
  <si>
    <t>2026-06-07T13:23:56.605+02:00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</si>
  <si>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</si>
  <si>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2026-06-07T13:08:14.070+02:00</t>
  </si>
  <si>
    <t>2026-06-07T13:15:30.910+02:00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</si>
  <si>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🌶️","posId":"109","price":30900,"isExtra":false},{"id":"55199557","note":"","count":1,"label":"Balné","posId":"K0000","price":2000,"isExtra":true},{"id":"57405744","note":"","size":"Mirinda 1l","count":1,"label":"Mirinda 1l","posId":"N126","price":5900,"isExtra":false}]</t>
  </si>
  <si>
    <t>2026-06-07T13:01:36.790+02:00</t>
  </si>
  <si>
    <t>2026-06-07T13:13:34.883+02:00</t>
  </si>
  <si>
    <t>[{"id":"10aff56d4ce1949bc6696131","count":1,"label":"BBQ Texas 18cm","posId":"131","price":11900,"isExtra":false},{"id":"2e7ea11ae7ec33bacee46408","count":1,"label":"Balné","posId":"K0000","price":1000,"isExtra":true},{"id":"55089be55592a3a2fa77668d","count":1,"label":"Jalapenos Rolls","posId":"jpr200","price":8900,"isExtra":false},{"id":"ed2821f5147c44e417ef0b42","count":1,"label":"Balné","posId":"K0000","price":1500,"isExtra":true}]</t>
  </si>
  <si>
    <t>2026-06-07T13:01:02.616+02:00</t>
  </si>
  <si>
    <t>2026-06-07T13:10:48.023+02:00</t>
  </si>
  <si>
    <t>2026-06-07T13:34:49.595+02:00</t>
  </si>
  <si>
    <t>2026-06-07T13:01:02.726+02:00</t>
  </si>
  <si>
    <t>[{"id":"f1315fc0-dfbb-459c-9f31-49d8e60875f4","note":"","count":1,"label":"Pepperoni 40cm 🌶️🌶️","posId":"108","price":30900,"isExtra":false},{"id":"a3d62a5d-2e1d-48db-874e-d64becff7059","note":"","count":1,"label":"změna na BBQ základ","posId":"a3d62a5d-2e1d-48db-874e-d64becff7059","price":0,"isExtra":true},{"id":"211d85d0-839e-41d0-89e3-ea177ad7489e","note":"","count":1,"label":"Česnekový dip","posId":"P106","price":2000,"isExtra":false},{"id":"36ea3088-07fd-428f-b871-c4a5ee9cef7b","note":"","count":1,"label":"Comeback 40cm 🌶️","posId":"109","price":30900,"isExtra":false}]</t>
  </si>
  <si>
    <t>2026-06-07T12:59:03.528+02:00</t>
  </si>
  <si>
    <t>2026-06-07T13:05:16.031+02:00</t>
  </si>
  <si>
    <t>2026-06-07T13:50:41.597+02:00</t>
  </si>
  <si>
    <t>2026-06-07T12:59:03.648+02:00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</si>
  <si>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bd8e2f82-3d11-4ada-88ad-67191c012d18","note":"","count":1,"label":"Bez oliv","posId":"X112","price":0,"KDSTags":["redhighlight"],"isExtra":true},{"id":"3a8b6a85-3b5c-4ee4-be2d-261ab8731d6e","note":"","count":2,"label":"Česnekový dip","posId":"P106","price":2000,"isExtra":false}]</t>
  </si>
  <si>
    <t>2026-06-07T12:42:18.997+02:00</t>
  </si>
  <si>
    <t>2026-06-07T13:00:45.221+02:00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</si>
  <si>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</si>
  <si>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2026-06-07T12:37:03.356+02:00</t>
  </si>
  <si>
    <t>2026-06-07T12:56:26.865+02:00</t>
  </si>
  <si>
    <t>2026-06-07T13:02:29.204+02:00</t>
  </si>
  <si>
    <t>2026-06-07T12:37:03.661+02:00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</si>
  <si>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bylinky","posId":"A121","price":5700,"isExtra":true},{"id":"03ade9ce-5d0f-4499-a6a3-340b58ae4468","note":"","count":1,"label":"Capricciosa 32cm","posId":"113","price":24900,"isExtra":false},{"id":"5b1f2843-926a-4dd1-a5f0-4fddc7b45013","note":"","count":1,"label":"Margherita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bylinky","posId":"A121","price":5700,"isExtra":true}]</t>
  </si>
  <si>
    <t>2026-06-07T12:25:45.115+02:00</t>
  </si>
  <si>
    <t>2026-06-07T12:47:04.563+02:00</t>
  </si>
  <si>
    <t>[{"id":"9259131a4eb3cd567a85680a","count":1,"label":"Buchtičky se šodó","posId":"D12","price":7900,"isExtra":false},{"id":"ed2821f5147c44e417ef0b42","count":1,"label":"Balné","posId":"K0000","price":1500,"isExtra":true},{"id":"b81e501c3bc4e8173dde4771","count":1,"label":"Quattro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18cm","posId":"135","price":11900,"isExtra":false},{"id":"2e7ea11ae7ec33bacee46408","count":1,"label":"Balné","posId":"K0000","price":1000,"isExtra":true},{"id":"d4505ea926b82b0e6ddfcf86","count":1,"label":"Comeback 18cm 🌶️","posId":"133","price":11900,"isExtra":false},{"id":"2e7ea11ae7ec33bacee46408","count":1,"label":"Balné","posId":"K0000","price":1000,"isExtra":true},{"id":"2b1b2b796dd56ca27ebdb9dc","count":1,"label":"Smetanový základ","posId":"ZRS18","price":0,"isExtra":true},{"id":"15d48fba0016db7394ccdeab","count":1,"label":"Bez cibule","posId":"X103","price":0,"KDSTags":["redhighlight"],"isExtra":true}]</t>
  </si>
  <si>
    <t>2026-06-07T12:21:39.694+02:00</t>
  </si>
  <si>
    <t>2026-06-07T12:43:09.218+02:00</t>
  </si>
  <si>
    <t>[{"id":"59589461","note":"","size":"BBQ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kuliček","posId":"X116","price":0,"KDSTags":["redhighlight"],"isExtra":true},{"id":"55199497","note":"","size":"Quattro Formaggi 18cm","count":1,"label":"Quattro Formaggi 18cm","posId":"135","price":11900,"isExtra":false},{"id":"55199538","note":"","count":1,"label":"Balné","posId":"K0000","price":1000,"isExtra":true},{"id":"55199512","note":"","size":"Masové kuličky","count":1,"label":"masové kuličky","posId":"P102","price":9900,"isExtra":false},{"id":"55199562","note":"","count":1,"label":"Balné","posId":"K0000","price":1500,"isExtra":true},{"id":"57405746","note":"","size":"Poděbradská malinovka 0,5l","count":2,"label":"Poděbradská malinovka 0,5l","posId":"N129","price":4900,"isExtra":false}]</t>
  </si>
  <si>
    <t>2026-06-07T12:21:13.599+02:00</t>
  </si>
  <si>
    <t>2026-06-07T12:38:44.023+02:00</t>
  </si>
  <si>
    <t>[{"id":"d0043b053c4bd7c6fd8359d7","count":1,"label":"Comeback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základ","posId":"ZRB32","price":0,"isExtra":true},{"id":"0d95a3384b070d9133ab82f7","count":2,"label":"Česnekový dip","posId":"P106","price":2000,"isExtra":false},{"id":"ed2821f5147c44e417ef0b42","count":2,"label":"Balné","posId":"K0000","price":1500,"isExtra":true},{"id":"8a4618993c6f7ee5917bb6ac","count":1,"label":"Margherita 32cm","posId":"112","price":20900,"isExtra":false},{"id":"ed2821f5147c44e417ef0b42","count":1,"label":"Balné","posId":"K0000","price":1500,"isExtra":true}]</t>
  </si>
  <si>
    <t>2026-06-07T12:00:43.944+02:00</t>
  </si>
  <si>
    <t>2026-06-07T12:31:12.128+02:00</t>
  </si>
  <si>
    <t>[{"id":"55199473","note":"","size":"Comeback 40cm 🌶️","count":3,"label":"Comeback 40cm 🌶️","posId":"109","price":30900,"isExtra":false},{"id":"55199557","note":"","count":3,"label":"Balné","posId":"K0000","price":2000,"isExtra":true},{"id":"55199475","note":"","size":"BBQ Texas 40cm","count":3,"label":"BBQ Texas 40cm","posId":"107","price":30900,"isExtra":false},{"id":"55199557","note":"","count":3,"label":"Balné","posId":"K0000","price":2000,"isExtra":true},{"id":"55199471","note":"","size":"Quattro Formaggi 40cm","count":2,"label":"Quattro Formaggi 40cm","posId":"111","price":30900,"isExtra":false},{"id":"55199557","note":"","count":2,"label":"Balné","posId":"K0000","price":2000,"isExtra":true},{"id":"55199477","note":"","size":"Baby špenát &amp; kuře 40cm","count":2,"label":"Baby špenát &amp; kuře 40cm","posId":"104","price":30900,"isExtra":false},{"id":"55199557","note":"","count":2,"label":"Balné","posId":"K0000","price":2000,"isExtra":true},{"id":"55199476","note":"","size":"BBQ Meteor 40cm","count":3,"label":"BBQ Meteor 40cm","posId":"106","price":30900,"isExtra":false},{"id":"55199557","note":"","count":3,"label":"Balné","posId":"K0000","price":2000,"isExtra":true},{"id":"55199480","note":"","size":"Capricciosa 40cm","count":2,"label":"Capricciosa 40cm","posId":"101","price":30900,"isExtra":false},{"id":"55199557","note":"","count":2,"label":"Balné","posId":"K0000","price":2000,"isExtra":true},{"id":"55199511","note":"","size":"Spicy Wings 🌶️","count":3,"label":"spicy wings 🌶️","posId":"P101","price":11900,"isExtra":false},{"id":"55199562","note":"","count":3,"label":"Balné","posId":"K0000","price":1500,"isExtra":true},{"id":"55199512","note":"","size":"Masové kuličky","count":3,"label":"masové kuličky","posId":"P102","price":9900,"isExtra":false},{"id":"55199562","note":"","count":3,"label":"Balné","posId":"K0000","price":1500,"isExtra":true}]</t>
  </si>
  <si>
    <t>card</t>
  </si>
  <si>
    <t>2026-06-07T11:52:04.090+02:00</t>
  </si>
  <si>
    <t>2026-06-07T11:59:02.834+02:00</t>
  </si>
  <si>
    <t>[{"id":"1fae666b-4102-4ed0-b317-2a07b21ae279","note":"","count":1,"label":"Hot &amp; Spicy 40cm 🌶️🌶️","posId":"110","price":30900,"isExtra":false}]</t>
  </si>
  <si>
    <t>2026-06-07T11:43:10.826+02:00</t>
  </si>
  <si>
    <t>2026-06-07T11:55:40.604+02:00</t>
  </si>
  <si>
    <t>[{"id":"55199470","note":"","size":"Margherita 40cm","count":1,"label":"Margherita 40cm","posId":"100","price":26900,"isExtra":false},{"id":"55199557","note":"","count":1,"label":"Balné","posId":"K0000","price":2000,"isExtra":true},{"id":"55199641","note":"","count":1,"label":"okraj hotdog, bez omáčky","posId":"A126","price":6500,"isExtra":true},{"id":"55199662","note":"","count":1,"label":"Šunka","posId":"C106","price":4000,"KDSTags":["greenhighlight"],"isExtra":true},{"id":"55199505","note":"","size":"Hawai 18cm","count":1,"label":"Hawai 18cm","posId":"126","price":11900,"isExtra":false},{"id":"55199538","note":"","count":1,"label":"Balné","posId":"K0000","price":1000,"isExtra":true}]</t>
  </si>
  <si>
    <t>2026-06-07T11:33:48.545+02:00</t>
  </si>
  <si>
    <t>2026-06-07T11:49:33.829+02:00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</si>
  <si>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🌶️🌶️","posId":"122","price":24900,"isExtra":false},{"id":"ed2821f5147c44e417ef0b42","count":1,"label":"Balné","posId":"K0000","price":1500,"isExtra":true},{"id":"59839d6b839f5e8fe6d29556","count":1,"label":"BBQ základ","posId":"ZRB32","price":0,"isExtra":true},{"id":"f6175eba1d6d031652a811c1","count":1,"label":"Bez cibule","posId":"X103","price":0,"KDSTags":["redhighlight"],"isExtra":true},{"id":"987bfd69b1586254c4704730","count":1,"label":"Žampiony","posId":"B105","price":2500,"KDSTags":["greenhighlight"],"isExtra":true},{"id":"730ed795f7d83f1d26b843e5","count":1,"label":"Kukuřice","posId":"B115","price":2500,"KDSTags":["greenhighlight"],"isExtra":true},{"id":"987b55ede997ad09176f3fbf","count":1,"label":"Mozzarella","posId":"B113","price":3000,"KDSTags":["greenhighlight"],"isExtra":true},{"id":"1d215296a99939a8f5b4c23d","count":1,"label":"Pepperoni 32cm 🌶️🌶️","posId":"120","price":24900,"isExtra":false},{"id":"ed2821f5147c44e417ef0b42","count":1,"label":"Balné","posId":"K0000","price":1500,"isExtra":true},{"id":"84e4b48cb1bf1b04bc7feb09","count":1,"label":"Smetanový základ","posId":"ZRS32","price":0,"isExtra":true},{"id":"b0909d075aa821e62b5225d6","count":1,"label":"Pepsi 1l","posId":"N124","price":5900,"isExtra":false},{"id":"0d95a3384b070d9133ab82f7","count":1,"label":"Česnekový dip","posId":"P106","price":2000,"isExtra":false},{"id":"ed2821f5147c44e417ef0b42","count":1,"label":"Balné","posId":"K0000","price":1500,"isExtra":true}]</t>
  </si>
  <si>
    <t>2026-06-07T11:32:40.048+02:00</t>
  </si>
  <si>
    <t>2026-06-07T11:45:34.692+02:00</t>
  </si>
  <si>
    <t>2026-06-07T11:53:12.210+02:00</t>
  </si>
  <si>
    <t>2026-06-07T11:32:40.200+02:00</t>
  </si>
  <si>
    <t>[{"id":"MWBjWTigaawF2pc4_uJCm","count":1,"label":"Hawai 40cm","posId":"102","price":30900,"isExtra":false,"creatorId":"11U23mx8vDIR7K2HCvqX7","isPackging":0,"actualLabel":"Hawai 40cm"},{"id":"MWBjWTigaawF2pc4_uJCm","count":1,"label":"Hawai 40cm","posId":"102","price":30900,"isExtra":false,"creatorId":"LEJYK8KCzMFWuIj81u5It","isPackging":0,"actualLabel":"Hawai 40cm"}]</t>
  </si>
  <si>
    <t>2026-06-07T11:12:03.364+02:00</t>
  </si>
  <si>
    <t>2026-06-07T11:41:35.559+02:00</t>
  </si>
  <si>
    <t>[{"id":"bf8dc38b-6c8e-42b6-9da3-3170253a57d4","note":"","count":1,"label":"Hot &amp; Spicy 32cm 🌶️🌶️","posId":"122","price":24900,"isExtra":false},{"id":"117c830b-d7db-490d-a3b9-365f8c4fa2d3","note":"","count":1,"label":"Zeleninová 32cm","posId":"115","price":24900,"isExtra":false},{"id":"ee394832-8137-440a-84b7-b9e0df42a9ab","note":"","count":1,"label":"Hawai 32cm","posId":"114","price":24900,"isExtra":false}]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</si>
  <si>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</si>
  <si>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</si>
  <si>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</si>
  <si>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</si>
  <si>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</si>
  <si>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</si>
  <si>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</si>
  <si>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</si>
  <si>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</si>
  <si>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</si>
  <si>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</si>
  <si>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</si>
  <si>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</si>
  <si>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</si>
  <si>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</si>
  <si>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</si>
  <si>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</si>
  <si>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</si>
  <si>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</si>
  <si>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</si>
  <si>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</si>
  <si>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</si>
  <si>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</si>
  <si>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</si>
  <si>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</si>
  <si>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</si>
  <si>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</si>
  <si>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01:00</t>
  </si>
  <si>
    <t>12:00</t>
  </si>
  <si>
    <t>Ondřej Navrátil</t>
  </si>
  <si>
    <t>18:00</t>
  </si>
  <si>
    <t>07:00</t>
  </si>
  <si>
    <t>Zbyněk Hyský</t>
  </si>
  <si>
    <t>06:00</t>
  </si>
  <si>
    <t>Pešová Hana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</si>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</sst>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E6E6FA"/>
        <bgColor rgb="FFE6E6FA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12" fontId="1" numFmtId="0" xfId="0" applyAlignment="1" applyBorder="1" applyFill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3" fontId="17" numFmtId="0" xfId="0" applyAlignment="1" applyBorder="1" applyFill="1" applyFont="1">
      <alignment horizontal="center" shrinkToFit="0" vertical="bottom" wrapText="1"/>
    </xf>
    <xf borderId="26" fillId="13" fontId="17" numFmtId="166" xfId="0" applyAlignment="1" applyBorder="1" applyFont="1" applyNumberFormat="1">
      <alignment horizontal="center" shrinkToFit="0" vertical="bottom" wrapText="1"/>
    </xf>
    <xf borderId="26" fillId="13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4" fontId="18" numFmtId="0" xfId="0" applyAlignment="1" applyBorder="1" applyFill="1" applyFont="1">
      <alignment horizontal="center" readingOrder="0" shrinkToFit="0" vertical="center" wrapText="0"/>
    </xf>
    <xf borderId="25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6" fillId="15" fontId="17" numFmtId="0" xfId="0" applyAlignment="1" applyBorder="1" applyFill="1" applyFont="1">
      <alignment horizontal="center" shrinkToFit="0" vertical="bottom" wrapText="1"/>
    </xf>
    <xf borderId="26" fillId="16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4" fontId="18" numFmtId="49" xfId="0" applyAlignment="1" applyBorder="1" applyFont="1" applyNumberFormat="1">
      <alignment horizontal="center" readingOrder="0" shrinkToFit="0" vertical="center" wrapText="0"/>
    </xf>
    <xf borderId="37" fillId="16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3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4" fontId="18" numFmtId="49" xfId="0" applyAlignment="1" applyBorder="1" applyFont="1" applyNumberFormat="1">
      <alignment horizontal="center" shrinkToFit="0" vertical="center" wrapText="0"/>
    </xf>
    <xf borderId="0" fillId="17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4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7" fontId="1" numFmtId="0" xfId="0" applyAlignment="1" applyFont="1">
      <alignment vertical="bottom"/>
    </xf>
    <xf borderId="28" fillId="18" fontId="13" numFmtId="0" xfId="0" applyAlignment="1" applyBorder="1" applyFill="1" applyFont="1">
      <alignment horizontal="center" shrinkToFit="0" vertical="center" wrapText="0"/>
    </xf>
    <xf borderId="15" fillId="18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8" fontId="13" numFmtId="0" xfId="0" applyAlignment="1" applyBorder="1" applyFont="1">
      <alignment horizontal="center" shrinkToFit="0" vertical="center" wrapText="0"/>
    </xf>
    <xf borderId="11" fillId="18" fontId="13" numFmtId="0" xfId="0" applyAlignment="1" applyBorder="1" applyFont="1">
      <alignment horizontal="center"/>
    </xf>
    <xf borderId="25" fillId="17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9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4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4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4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4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3" fontId="17" numFmtId="0" xfId="0" applyAlignment="1" applyBorder="1" applyFont="1">
      <alignment horizontal="center" readingOrder="0" shrinkToFit="0" vertical="center" wrapText="1"/>
    </xf>
    <xf borderId="26" fillId="13" fontId="17" numFmtId="166" xfId="0" applyAlignment="1" applyBorder="1" applyFont="1" applyNumberFormat="1">
      <alignment horizontal="center" readingOrder="0" shrinkToFit="0" vertical="center" wrapText="1"/>
    </xf>
    <xf borderId="26" fillId="13" fontId="1" numFmtId="0" xfId="0" applyAlignment="1" applyBorder="1" applyFont="1">
      <alignment horizontal="center" readingOrder="0" vertical="center"/>
    </xf>
    <xf borderId="45" fillId="13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5" fontId="17" numFmtId="0" xfId="0" applyAlignment="1" applyBorder="1" applyFont="1">
      <alignment horizontal="center" readingOrder="0" shrinkToFit="0" vertical="center" wrapText="1"/>
    </xf>
    <xf borderId="45" fillId="20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20" fontId="1" numFmtId="0" xfId="0" applyAlignment="1" applyBorder="1" applyFont="1">
      <alignment horizontal="center" readingOrder="0" vertical="center"/>
    </xf>
    <xf borderId="26" fillId="13" fontId="1" numFmtId="10" xfId="0" applyAlignment="1" applyBorder="1" applyFont="1" applyNumberFormat="1">
      <alignment horizontal="center" readingOrder="0" vertical="center"/>
    </xf>
    <xf borderId="45" fillId="13" fontId="1" numFmtId="0" xfId="0" applyAlignment="1" applyBorder="1" applyFont="1">
      <alignment horizontal="center" readingOrder="0" vertical="center"/>
    </xf>
    <xf borderId="18" fillId="17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4" fontId="1" numFmtId="49" xfId="0" applyAlignment="1" applyBorder="1" applyFont="1" applyNumberFormat="1">
      <alignment horizontal="center" readingOrder="0" vertical="center"/>
    </xf>
    <xf borderId="29" fillId="13" fontId="1" numFmtId="10" xfId="0" applyAlignment="1" applyBorder="1" applyFont="1" applyNumberFormat="1">
      <alignment horizontal="center" readingOrder="0" vertical="center"/>
    </xf>
    <xf borderId="51" fillId="13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46180.0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tržbu"")"),0.2480610557250065)</f>
        <v>0.2480610557</v>
      </c>
      <c r="H2" s="15"/>
      <c r="I2" s="16">
        <f>SUM(RestiaCSV!C:C) - SUMIFS(RestiaCSV!C:C, RestiaCSV!B:B, "canceled")</f>
        <v>47952.26</v>
      </c>
      <c r="K2" s="15"/>
      <c r="L2" s="17" t="s">
        <v>5</v>
      </c>
      <c r="M2" s="18">
        <f>SUMIFS(RestiaCSV!C:C, RestiaCSV!A:A, Report!L2, RestiaCSV!B:B, "&lt;&gt;canceled")</f>
        <v>8223</v>
      </c>
    </row>
    <row r="3">
      <c r="A3" s="1"/>
      <c r="B3" s="19" t="str">
        <f>CHOOSE(WEEKDAY(D1), "Neděle", "Pondělí", "Úterý", "Středa", "Čtvrtek", "Pátek", "Sobota")</f>
        <v>Neděle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3670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17242.36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8916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306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3041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2397.0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0.1</v>
      </c>
      <c r="K11" s="5"/>
      <c r="L11" s="41" t="s">
        <v>12</v>
      </c>
      <c r="M11" s="31">
        <v>6163.0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1873.2</v>
      </c>
      <c r="B13" s="48" t="s">
        <v>27</v>
      </c>
      <c r="C13" s="44" t="s">
        <v>25</v>
      </c>
      <c r="D13" s="44" t="s">
        <v>28</v>
      </c>
      <c r="E13" s="49"/>
      <c r="F13" s="46" t="str">
        <f t="shared" si="1"/>
        <v>07:00</v>
      </c>
      <c r="G13" s="21"/>
      <c r="H13" s="21"/>
      <c r="I13" s="13"/>
      <c r="J13" s="29"/>
      <c r="K13" s="15"/>
      <c r="L13" s="17" t="s">
        <v>29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1438.6845</v>
      </c>
      <c r="B14" s="43" t="s">
        <v>30</v>
      </c>
      <c r="C14" s="44" t="s">
        <v>25</v>
      </c>
      <c r="D14" s="44" t="s">
        <v>31</v>
      </c>
      <c r="E14" s="45"/>
      <c r="F14" s="51" t="str">
        <f t="shared" si="1"/>
        <v>05:45</v>
      </c>
      <c r="G14" s="52"/>
      <c r="I14" s="15"/>
      <c r="J14" s="29"/>
      <c r="K14" s="15"/>
      <c r="L14" s="53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33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34</v>
      </c>
      <c r="M16" s="50">
        <v>115.0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35</v>
      </c>
      <c r="M17" s="58">
        <f>SUM(I25:I31)</f>
        <v>920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36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 t="s">
        <v>27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37</v>
      </c>
      <c r="K22" s="71" t="s">
        <v>38</v>
      </c>
      <c r="L22" s="72" t="s">
        <v>39</v>
      </c>
      <c r="M22" s="72" t="s">
        <v>40</v>
      </c>
    </row>
    <row r="23">
      <c r="A23" s="69"/>
      <c r="B23" s="32" t="s">
        <v>41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3</v>
      </c>
      <c r="M23" s="73" t="str">
        <f>INT(AVERAGE(RestiaCSV!N2:N32)) &amp; " min " &amp; TEXT(MOD(AVERAGE(RestiaCSV!N2:N32) * 60, 60), "00") &amp; " s"
</f>
        <v>12 min 45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42</v>
      </c>
      <c r="H24" s="76" t="s">
        <v>43</v>
      </c>
      <c r="I24" s="77" t="s">
        <v>44</v>
      </c>
      <c r="J24" s="78" t="s">
        <v>45</v>
      </c>
      <c r="K24" s="79" t="s">
        <v>46</v>
      </c>
      <c r="L24" s="78" t="s">
        <v>47</v>
      </c>
      <c r="M24" s="79" t="s">
        <v>48</v>
      </c>
    </row>
    <row r="25">
      <c r="A25" s="42">
        <f t="array" ref="A25">IF(ISBLANK(B25), 0, IF(ISNUMBER(MATCH(B25, HR!A:A, 0)), 0, IF(ISNUMBER(MATCH(B25, HR!B:B, 0)), INDEX(HR!V:V, MATCH(B25, HR!B:B, 0)) * (F25 * 24), 0)))</f>
        <v>3252.678</v>
      </c>
      <c r="B25" s="43" t="s">
        <v>49</v>
      </c>
      <c r="C25" s="44" t="s">
        <v>50</v>
      </c>
      <c r="D25" s="44" t="s">
        <v>28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13:00</v>
      </c>
      <c r="G25" s="81">
        <f>COUNTIF(RestiaCSV!E:E, B25)</f>
        <v>23</v>
      </c>
      <c r="H25" s="82" t="b">
        <v>1</v>
      </c>
      <c r="I25" s="83">
        <f t="shared" ref="I25:I31" si="3">IF(H25,G25*40, 0)</f>
        <v>920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5"/>
      <c r="C26" s="44"/>
      <c r="D26" s="44"/>
      <c r="E26" s="86"/>
      <c r="F26" s="46" t="str">
        <f t="shared" si="2"/>
        <v>0:00</v>
      </c>
      <c r="G26" s="81">
        <f>COUNTIF(RestiaCSV!E:E, B26)</f>
        <v>0</v>
      </c>
      <c r="H26" s="82"/>
      <c r="I26" s="87">
        <f t="shared" si="3"/>
        <v>0</v>
      </c>
      <c r="J26" s="88">
        <f>COUNTIF(I25:I31, "&gt;0")</f>
        <v>1</v>
      </c>
      <c r="K26" s="75">
        <f>IFERROR(__xludf.DUMMYFUNCTION("COUNTA(FILTER(RestiaCSV!B2:B32, RestiaCSV!B2:B32 &lt;&gt; ""canceled""))"),100.0)</f>
        <v>100</v>
      </c>
      <c r="L26" s="75">
        <f>COUNTIF(RestiaCSV!F1:F32, "delivery")</f>
        <v>25</v>
      </c>
      <c r="M26" s="89">
        <f>COUNTIF(RestiaCSV!M:M, "&gt;5")</f>
        <v>1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43"/>
      <c r="C27" s="90"/>
      <c r="D27" s="91"/>
      <c r="E27" s="86"/>
      <c r="F27" s="51" t="str">
        <f t="shared" si="2"/>
        <v>0:00</v>
      </c>
      <c r="G27" s="81">
        <f>COUNTIF(RestiaCSV!E:E, B27)</f>
        <v>0</v>
      </c>
      <c r="H27" s="82"/>
      <c r="I27" s="87">
        <f t="shared" si="3"/>
        <v>0</v>
      </c>
      <c r="J27" s="92" t="s">
        <v>51</v>
      </c>
      <c r="K27" s="93"/>
      <c r="L27" s="94" t="s">
        <v>52</v>
      </c>
      <c r="M27" s="79" t="s">
        <v>53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0</v>
      </c>
      <c r="K29" s="99"/>
      <c r="L29" s="100">
        <f>L23/L26</f>
        <v>0.12</v>
      </c>
      <c r="M29" s="75">
        <f>COUNTIFS(RestiaCSV!L:L, "&gt;5", RestiaCSV!F:F, "delivery", RestiaCSV!E:E, "Wolt Kurýr")</f>
        <v>1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1" t="str">
        <f t="shared" si="2"/>
        <v>0:00</v>
      </c>
      <c r="G30" s="81">
        <f>COUNTIF(RestiaCSV!E:E, B30)</f>
        <v>0</v>
      </c>
      <c r="H30" s="102"/>
      <c r="I30" s="87">
        <f t="shared" si="3"/>
        <v>0</v>
      </c>
      <c r="J30" s="103"/>
      <c r="K30" s="103"/>
      <c r="L30" s="104" t="s">
        <v>54</v>
      </c>
      <c r="M30" s="104" t="s">
        <v>55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5"/>
      <c r="C31" s="101"/>
      <c r="D31" s="80"/>
      <c r="E31" s="86"/>
      <c r="F31" s="51" t="str">
        <f t="shared" si="2"/>
        <v>0:00</v>
      </c>
      <c r="G31" s="106">
        <f>COUNTIF(RestiaCSV!E:E, B31)</f>
        <v>0</v>
      </c>
      <c r="H31" s="107"/>
      <c r="I31" s="108">
        <f t="shared" si="3"/>
        <v>0</v>
      </c>
      <c r="J31" s="109"/>
      <c r="K31" s="109"/>
      <c r="L31" s="84"/>
      <c r="M31" s="84"/>
    </row>
    <row r="32">
      <c r="A32" s="35"/>
      <c r="B32" s="110" t="s">
        <v>56</v>
      </c>
      <c r="C32" s="111" t="s">
        <v>57</v>
      </c>
      <c r="D32" s="21"/>
      <c r="E32" s="21"/>
      <c r="F32" s="112"/>
      <c r="G32" s="113">
        <f>COUNTIFS(RestiaCSV!E:E, "wolt kurýr", RestiaCSV!A:A, "&lt;&gt;wolt")</f>
        <v>2</v>
      </c>
      <c r="H32" s="114" t="b">
        <v>1</v>
      </c>
      <c r="I32" s="115">
        <f>G32*127</f>
        <v>254</v>
      </c>
      <c r="J32" s="116"/>
      <c r="K32" s="116"/>
      <c r="L32" s="100">
        <f>100%-L29</f>
        <v>0.88</v>
      </c>
      <c r="M32" s="100">
        <f>M29/L26</f>
        <v>0.04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1">
      <formula1>"Bolevec,Malešice,Prosek,Zličín,Libuš,Chodov,Výroba,Předloha"</formula1>
    </dataValidation>
    <dataValidation type="list" allowBlank="1" sqref="G11 G19">
      <formula1>"Roth Stanislav ml."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7"/>
      <c r="B1" s="118" t="str">
        <f>Report!B1</f>
        <v>Libuš</v>
      </c>
      <c r="C1" s="119">
        <v>46028.0</v>
      </c>
      <c r="D1" s="120" t="s">
        <v>58</v>
      </c>
      <c r="E1" s="121">
        <v>46028.0</v>
      </c>
      <c r="F1" s="122" t="s">
        <v>2</v>
      </c>
      <c r="G1" s="7"/>
      <c r="H1" s="8"/>
      <c r="I1" s="122" t="s">
        <v>3</v>
      </c>
      <c r="J1" s="7"/>
      <c r="K1" s="8"/>
      <c r="L1" s="123" t="s">
        <v>4</v>
      </c>
      <c r="M1" s="15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23"/>
      <c r="CX1" s="123"/>
      <c r="CY1" s="123"/>
      <c r="CZ1" s="123"/>
      <c r="DA1" s="123"/>
      <c r="DB1" s="123"/>
      <c r="DC1" s="123"/>
      <c r="DD1" s="123"/>
      <c r="DE1" s="123"/>
      <c r="DF1" s="123"/>
      <c r="DG1" s="123"/>
      <c r="DH1" s="123"/>
      <c r="DI1" s="123"/>
      <c r="DJ1" s="123"/>
      <c r="DK1" s="123"/>
      <c r="DL1" s="123"/>
      <c r="DM1" s="123"/>
      <c r="DN1" s="123"/>
      <c r="DO1" s="123"/>
      <c r="DP1" s="123"/>
      <c r="DQ1" s="123"/>
      <c r="DR1" s="123"/>
      <c r="DS1" s="123"/>
      <c r="DT1" s="123"/>
      <c r="DU1" s="123"/>
      <c r="DV1" s="123"/>
      <c r="DW1" s="123"/>
      <c r="DX1" s="123"/>
      <c r="DY1" s="123"/>
      <c r="DZ1" s="123"/>
      <c r="EA1" s="123"/>
      <c r="EB1" s="123"/>
      <c r="EC1" s="123"/>
      <c r="ED1" s="123"/>
      <c r="EE1" s="123"/>
      <c r="EF1" s="123"/>
      <c r="EG1" s="123"/>
      <c r="EH1" s="123"/>
      <c r="EI1" s="123"/>
      <c r="EJ1" s="123"/>
      <c r="EK1" s="123"/>
      <c r="EL1" s="123"/>
      <c r="EM1" s="123"/>
      <c r="EN1" s="123"/>
      <c r="EO1" s="123"/>
      <c r="EP1" s="123"/>
      <c r="EQ1" s="123"/>
      <c r="ER1" s="123"/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23"/>
      <c r="GK1" s="123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23"/>
      <c r="GX1" s="123"/>
      <c r="GY1" s="123"/>
      <c r="GZ1" s="123"/>
      <c r="HA1" s="123"/>
      <c r="HB1" s="123"/>
      <c r="HC1" s="123"/>
      <c r="HD1" s="123"/>
      <c r="HE1" s="123"/>
      <c r="HF1" s="123"/>
      <c r="HG1" s="123"/>
      <c r="HH1" s="123"/>
      <c r="HI1" s="123"/>
      <c r="HJ1" s="123"/>
      <c r="HK1" s="123"/>
      <c r="HL1" s="123"/>
      <c r="HM1" s="123"/>
      <c r="HN1" s="123"/>
      <c r="HO1" s="123"/>
      <c r="HP1" s="123"/>
      <c r="HQ1" s="123"/>
      <c r="HR1" s="123"/>
      <c r="HS1" s="123"/>
      <c r="HT1" s="123"/>
      <c r="HU1" s="123"/>
      <c r="HV1" s="123"/>
      <c r="HW1" s="123"/>
      <c r="HX1" s="123"/>
      <c r="HY1" s="123"/>
      <c r="HZ1" s="123"/>
      <c r="IA1" s="123"/>
      <c r="IB1" s="123"/>
      <c r="IC1" s="123"/>
      <c r="ID1" s="123"/>
      <c r="IE1" s="123"/>
      <c r="IF1" s="123"/>
      <c r="IG1" s="123"/>
      <c r="IH1" s="123"/>
      <c r="II1" s="123"/>
      <c r="IJ1" s="123"/>
      <c r="IK1" s="123"/>
      <c r="IL1" s="123"/>
      <c r="IM1" s="123"/>
      <c r="IN1" s="123"/>
      <c r="IO1" s="123"/>
      <c r="IP1" s="123"/>
      <c r="IQ1" s="123"/>
      <c r="IR1" s="123"/>
      <c r="IS1" s="123"/>
      <c r="IT1" s="123"/>
      <c r="IU1" s="123"/>
      <c r="IV1" s="123"/>
      <c r="IW1" s="123"/>
      <c r="IX1" s="123"/>
      <c r="IY1" s="123"/>
      <c r="IZ1" s="123"/>
      <c r="JA1" s="123"/>
      <c r="JB1" s="123"/>
      <c r="JC1" s="123"/>
      <c r="JD1" s="123"/>
      <c r="JE1" s="123"/>
      <c r="JF1" s="123"/>
      <c r="JG1" s="123"/>
      <c r="JH1" s="123"/>
      <c r="JI1" s="123"/>
      <c r="JJ1" s="123"/>
      <c r="JK1" s="123"/>
    </row>
    <row r="2" ht="19.5" customHeight="1">
      <c r="A2" s="117"/>
      <c r="B2" s="11"/>
      <c r="C2" s="12"/>
      <c r="D2" s="11"/>
      <c r="E2" s="13"/>
      <c r="F2" s="124">
        <v>0.23392066851018306</v>
      </c>
      <c r="H2" s="15"/>
      <c r="I2" s="125">
        <v>49543.0</v>
      </c>
      <c r="K2" s="15"/>
      <c r="L2" s="126" t="s">
        <v>5</v>
      </c>
      <c r="M2" s="127"/>
      <c r="N2" s="128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29"/>
      <c r="CH2" s="129"/>
      <c r="CI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N2" s="129"/>
      <c r="DO2" s="129"/>
      <c r="DP2" s="129"/>
      <c r="DQ2" s="129"/>
      <c r="DR2" s="129"/>
      <c r="DS2" s="129"/>
      <c r="DT2" s="129"/>
      <c r="DU2" s="129"/>
      <c r="DV2" s="129"/>
      <c r="DW2" s="129"/>
      <c r="DX2" s="129"/>
      <c r="DY2" s="129"/>
      <c r="DZ2" s="129"/>
      <c r="EA2" s="129"/>
      <c r="EB2" s="129"/>
      <c r="EC2" s="129"/>
      <c r="ED2" s="129"/>
      <c r="EE2" s="129"/>
      <c r="EF2" s="129"/>
      <c r="EG2" s="129"/>
      <c r="EH2" s="129"/>
      <c r="EI2" s="129"/>
      <c r="EJ2" s="129"/>
      <c r="EK2" s="129"/>
      <c r="EL2" s="129"/>
      <c r="EM2" s="129"/>
      <c r="EN2" s="129"/>
      <c r="EO2" s="129"/>
      <c r="EP2" s="129"/>
      <c r="EQ2" s="129"/>
      <c r="ER2" s="129"/>
      <c r="ES2" s="129"/>
      <c r="ET2" s="129"/>
      <c r="EU2" s="129"/>
      <c r="EV2" s="129"/>
      <c r="EW2" s="129"/>
      <c r="EX2" s="129"/>
      <c r="EY2" s="129"/>
      <c r="EZ2" s="129"/>
      <c r="FA2" s="129"/>
      <c r="FB2" s="129"/>
      <c r="FC2" s="129"/>
      <c r="FD2" s="129"/>
      <c r="FE2" s="129"/>
      <c r="FF2" s="129"/>
      <c r="FG2" s="129"/>
      <c r="FH2" s="129"/>
      <c r="FI2" s="129"/>
      <c r="FJ2" s="129"/>
      <c r="FK2" s="129"/>
      <c r="FL2" s="129"/>
      <c r="FM2" s="129"/>
      <c r="FN2" s="129"/>
      <c r="FO2" s="129"/>
      <c r="FP2" s="129"/>
      <c r="FQ2" s="129"/>
      <c r="FR2" s="129"/>
      <c r="FS2" s="129"/>
      <c r="FT2" s="129"/>
      <c r="FU2" s="129"/>
      <c r="FV2" s="129"/>
      <c r="FW2" s="129"/>
      <c r="FX2" s="129"/>
      <c r="FY2" s="129"/>
      <c r="FZ2" s="129"/>
      <c r="GA2" s="129"/>
      <c r="GB2" s="129"/>
      <c r="GC2" s="129"/>
      <c r="GD2" s="129"/>
      <c r="GE2" s="129"/>
      <c r="GF2" s="129"/>
      <c r="GG2" s="129"/>
      <c r="GH2" s="129"/>
      <c r="GI2" s="129"/>
      <c r="GJ2" s="129"/>
      <c r="GK2" s="129"/>
      <c r="GL2" s="129"/>
      <c r="GM2" s="129"/>
      <c r="GN2" s="129"/>
      <c r="GO2" s="129"/>
      <c r="GP2" s="129"/>
      <c r="GQ2" s="129"/>
      <c r="GR2" s="129"/>
      <c r="GS2" s="129"/>
      <c r="GT2" s="129"/>
      <c r="GU2" s="129"/>
      <c r="GV2" s="129"/>
      <c r="GW2" s="129"/>
      <c r="GX2" s="129"/>
      <c r="GY2" s="129"/>
      <c r="GZ2" s="129"/>
      <c r="HA2" s="129"/>
      <c r="HB2" s="129"/>
      <c r="HC2" s="129"/>
      <c r="HD2" s="129"/>
      <c r="HE2" s="129"/>
      <c r="HF2" s="129"/>
      <c r="HG2" s="129"/>
      <c r="HH2" s="129"/>
      <c r="HI2" s="129"/>
      <c r="HJ2" s="129"/>
      <c r="HK2" s="129"/>
      <c r="HL2" s="129"/>
      <c r="HM2" s="129"/>
      <c r="HN2" s="129"/>
      <c r="HO2" s="129"/>
      <c r="HP2" s="129"/>
      <c r="HQ2" s="129"/>
      <c r="HR2" s="129"/>
      <c r="HS2" s="129"/>
      <c r="HT2" s="129"/>
      <c r="HU2" s="129"/>
      <c r="HV2" s="129"/>
      <c r="HW2" s="129"/>
      <c r="HX2" s="129"/>
      <c r="HY2" s="129"/>
      <c r="HZ2" s="129"/>
      <c r="IA2" s="129"/>
      <c r="IB2" s="129"/>
      <c r="IC2" s="129"/>
      <c r="ID2" s="129"/>
      <c r="IE2" s="129"/>
      <c r="IF2" s="129"/>
      <c r="IG2" s="129"/>
      <c r="IH2" s="129"/>
      <c r="II2" s="129"/>
      <c r="IJ2" s="129"/>
      <c r="IK2" s="129"/>
      <c r="IL2" s="129"/>
      <c r="IM2" s="129"/>
      <c r="IN2" s="129"/>
      <c r="IO2" s="129"/>
      <c r="IP2" s="129"/>
      <c r="IQ2" s="129"/>
      <c r="IR2" s="129"/>
      <c r="IS2" s="129"/>
      <c r="IT2" s="129"/>
      <c r="IU2" s="129"/>
      <c r="IV2" s="129"/>
      <c r="IW2" s="129"/>
      <c r="IX2" s="129"/>
      <c r="IY2" s="129"/>
      <c r="IZ2" s="129"/>
      <c r="JA2" s="129"/>
      <c r="JB2" s="129"/>
      <c r="JC2" s="129"/>
      <c r="JD2" s="129"/>
      <c r="JE2" s="129"/>
      <c r="JF2" s="129"/>
      <c r="JG2" s="129"/>
      <c r="JH2" s="129"/>
      <c r="JI2" s="129"/>
      <c r="JJ2" s="129"/>
      <c r="JK2" s="129"/>
    </row>
    <row r="3">
      <c r="A3" s="130"/>
      <c r="B3" s="131" t="str">
        <f>CHOOSE(WEEKDAY(C1), "Neděle", "Pondělí", "Úterý", "Středa", "Čtvrtek", "Pátek", "Sobota")</f>
        <v>Úterý</v>
      </c>
      <c r="C3" s="20"/>
      <c r="D3" s="131" t="str">
        <f>CHOOSE(WEEKDAY(E1), "Neděle", "Pondělí", "Úterý", "Středa", "Čtvrtek", "Pátek", "Sobota")</f>
        <v>Úterý</v>
      </c>
      <c r="E3" s="5"/>
      <c r="H3" s="15"/>
      <c r="K3" s="15"/>
      <c r="L3" s="132" t="s">
        <v>6</v>
      </c>
      <c r="M3" s="133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  <c r="DT3" s="129"/>
      <c r="DU3" s="129"/>
      <c r="DV3" s="129"/>
      <c r="DW3" s="129"/>
      <c r="DX3" s="129"/>
      <c r="DY3" s="129"/>
      <c r="DZ3" s="129"/>
      <c r="EA3" s="129"/>
      <c r="EB3" s="129"/>
      <c r="EC3" s="129"/>
      <c r="ED3" s="129"/>
      <c r="EE3" s="129"/>
      <c r="EF3" s="129"/>
      <c r="EG3" s="129"/>
      <c r="EH3" s="129"/>
      <c r="EI3" s="129"/>
      <c r="EJ3" s="129"/>
      <c r="EK3" s="129"/>
      <c r="EL3" s="129"/>
      <c r="EM3" s="129"/>
      <c r="EN3" s="129"/>
      <c r="EO3" s="129"/>
      <c r="EP3" s="129"/>
      <c r="EQ3" s="129"/>
      <c r="ER3" s="129"/>
      <c r="ES3" s="129"/>
      <c r="ET3" s="129"/>
      <c r="EU3" s="129"/>
      <c r="EV3" s="129"/>
      <c r="EW3" s="129"/>
      <c r="EX3" s="129"/>
      <c r="EY3" s="129"/>
      <c r="EZ3" s="129"/>
      <c r="FA3" s="129"/>
      <c r="FB3" s="129"/>
      <c r="FC3" s="129"/>
      <c r="FD3" s="129"/>
      <c r="FE3" s="129"/>
      <c r="FF3" s="129"/>
      <c r="FG3" s="129"/>
      <c r="FH3" s="129"/>
      <c r="FI3" s="129"/>
      <c r="FJ3" s="129"/>
      <c r="FK3" s="129"/>
      <c r="FL3" s="129"/>
      <c r="FM3" s="129"/>
      <c r="FN3" s="129"/>
      <c r="FO3" s="129"/>
      <c r="FP3" s="129"/>
      <c r="FQ3" s="129"/>
      <c r="FR3" s="129"/>
      <c r="FS3" s="129"/>
      <c r="FT3" s="129"/>
      <c r="FU3" s="129"/>
      <c r="FV3" s="129"/>
      <c r="FW3" s="129"/>
      <c r="FX3" s="129"/>
      <c r="FY3" s="129"/>
      <c r="FZ3" s="129"/>
      <c r="GA3" s="129"/>
      <c r="GB3" s="129"/>
      <c r="GC3" s="129"/>
      <c r="GD3" s="129"/>
      <c r="GE3" s="129"/>
      <c r="GF3" s="129"/>
      <c r="GG3" s="129"/>
      <c r="GH3" s="129"/>
      <c r="GI3" s="129"/>
      <c r="GJ3" s="129"/>
      <c r="GK3" s="129"/>
      <c r="GL3" s="129"/>
      <c r="GM3" s="129"/>
      <c r="GN3" s="129"/>
      <c r="GO3" s="129"/>
      <c r="GP3" s="129"/>
      <c r="GQ3" s="129"/>
      <c r="GR3" s="129"/>
      <c r="GS3" s="129"/>
      <c r="GT3" s="129"/>
      <c r="GU3" s="129"/>
      <c r="GV3" s="129"/>
      <c r="GW3" s="129"/>
      <c r="GX3" s="129"/>
      <c r="GY3" s="129"/>
      <c r="GZ3" s="129"/>
      <c r="HA3" s="129"/>
      <c r="HB3" s="129"/>
      <c r="HC3" s="129"/>
      <c r="HD3" s="129"/>
      <c r="HE3" s="129"/>
      <c r="HF3" s="129"/>
      <c r="HG3" s="129"/>
      <c r="HH3" s="129"/>
      <c r="HI3" s="129"/>
      <c r="HJ3" s="129"/>
      <c r="HK3" s="129"/>
      <c r="HL3" s="129"/>
      <c r="HM3" s="129"/>
      <c r="HN3" s="129"/>
      <c r="HO3" s="129"/>
      <c r="HP3" s="129"/>
      <c r="HQ3" s="129"/>
      <c r="HR3" s="129"/>
      <c r="HS3" s="129"/>
      <c r="HT3" s="129"/>
      <c r="HU3" s="129"/>
      <c r="HV3" s="129"/>
      <c r="HW3" s="129"/>
      <c r="HX3" s="129"/>
      <c r="HY3" s="129"/>
      <c r="HZ3" s="129"/>
      <c r="IA3" s="129"/>
      <c r="IB3" s="129"/>
      <c r="IC3" s="129"/>
      <c r="ID3" s="129"/>
      <c r="IE3" s="129"/>
      <c r="IF3" s="129"/>
      <c r="IG3" s="129"/>
      <c r="IH3" s="129"/>
      <c r="II3" s="129"/>
      <c r="IJ3" s="129"/>
      <c r="IK3" s="129"/>
      <c r="IL3" s="129"/>
      <c r="IM3" s="129"/>
      <c r="IN3" s="129"/>
      <c r="IO3" s="129"/>
      <c r="IP3" s="129"/>
      <c r="IQ3" s="129"/>
      <c r="IR3" s="129"/>
      <c r="IS3" s="129"/>
      <c r="IT3" s="129"/>
      <c r="IU3" s="129"/>
      <c r="IV3" s="129"/>
      <c r="IW3" s="129"/>
      <c r="IX3" s="129"/>
      <c r="IY3" s="129"/>
      <c r="IZ3" s="129"/>
      <c r="JA3" s="129"/>
      <c r="JB3" s="129"/>
      <c r="JC3" s="129"/>
      <c r="JD3" s="129"/>
      <c r="JE3" s="129"/>
      <c r="JF3" s="129"/>
      <c r="JG3" s="129"/>
      <c r="JH3" s="129"/>
      <c r="JI3" s="129"/>
      <c r="JJ3" s="129"/>
      <c r="JK3" s="129"/>
    </row>
    <row r="4">
      <c r="A4" s="130"/>
      <c r="B4" s="12"/>
      <c r="C4" s="21"/>
      <c r="D4" s="12"/>
      <c r="E4" s="13"/>
      <c r="F4" s="21"/>
      <c r="G4" s="21"/>
      <c r="H4" s="13"/>
      <c r="I4" s="21"/>
      <c r="J4" s="21"/>
      <c r="K4" s="13"/>
      <c r="L4" s="132" t="s">
        <v>7</v>
      </c>
      <c r="M4" s="133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  <c r="DD4" s="129"/>
      <c r="DE4" s="129"/>
      <c r="DF4" s="129"/>
      <c r="DG4" s="129"/>
      <c r="DH4" s="129"/>
      <c r="DI4" s="129"/>
      <c r="DJ4" s="129"/>
      <c r="DK4" s="129"/>
      <c r="DL4" s="129"/>
      <c r="DM4" s="129"/>
      <c r="DN4" s="129"/>
      <c r="DO4" s="129"/>
      <c r="DP4" s="129"/>
      <c r="DQ4" s="129"/>
      <c r="DR4" s="129"/>
      <c r="DS4" s="129"/>
      <c r="DT4" s="129"/>
      <c r="DU4" s="129"/>
      <c r="DV4" s="129"/>
      <c r="DW4" s="129"/>
      <c r="DX4" s="129"/>
      <c r="DY4" s="129"/>
      <c r="DZ4" s="129"/>
      <c r="EA4" s="129"/>
      <c r="EB4" s="129"/>
      <c r="EC4" s="129"/>
      <c r="ED4" s="129"/>
      <c r="EE4" s="129"/>
      <c r="EF4" s="129"/>
      <c r="EG4" s="129"/>
      <c r="EH4" s="129"/>
      <c r="EI4" s="129"/>
      <c r="EJ4" s="129"/>
      <c r="EK4" s="129"/>
      <c r="EL4" s="129"/>
      <c r="EM4" s="129"/>
      <c r="EN4" s="129"/>
      <c r="EO4" s="129"/>
      <c r="EP4" s="129"/>
      <c r="EQ4" s="129"/>
      <c r="ER4" s="129"/>
      <c r="ES4" s="129"/>
      <c r="ET4" s="129"/>
      <c r="EU4" s="129"/>
      <c r="EV4" s="129"/>
      <c r="EW4" s="129"/>
      <c r="EX4" s="129"/>
      <c r="EY4" s="129"/>
      <c r="EZ4" s="129"/>
      <c r="FA4" s="129"/>
      <c r="FB4" s="129"/>
      <c r="FC4" s="129"/>
      <c r="FD4" s="129"/>
      <c r="FE4" s="129"/>
      <c r="FF4" s="129"/>
      <c r="FG4" s="129"/>
      <c r="FH4" s="129"/>
      <c r="FI4" s="129"/>
      <c r="FJ4" s="129"/>
      <c r="FK4" s="129"/>
      <c r="FL4" s="129"/>
      <c r="FM4" s="129"/>
      <c r="FN4" s="129"/>
      <c r="FO4" s="129"/>
      <c r="FP4" s="129"/>
      <c r="FQ4" s="129"/>
      <c r="FR4" s="129"/>
      <c r="FS4" s="129"/>
      <c r="FT4" s="129"/>
      <c r="FU4" s="129"/>
      <c r="FV4" s="129"/>
      <c r="FW4" s="129"/>
      <c r="FX4" s="129"/>
      <c r="FY4" s="129"/>
      <c r="FZ4" s="129"/>
      <c r="GA4" s="129"/>
      <c r="GB4" s="129"/>
      <c r="GC4" s="129"/>
      <c r="GD4" s="129"/>
      <c r="GE4" s="129"/>
      <c r="GF4" s="129"/>
      <c r="GG4" s="129"/>
      <c r="GH4" s="129"/>
      <c r="GI4" s="129"/>
      <c r="GJ4" s="129"/>
      <c r="GK4" s="129"/>
      <c r="GL4" s="129"/>
      <c r="GM4" s="129"/>
      <c r="GN4" s="129"/>
      <c r="GO4" s="129"/>
      <c r="GP4" s="129"/>
      <c r="GQ4" s="129"/>
      <c r="GR4" s="129"/>
      <c r="GS4" s="129"/>
      <c r="GT4" s="129"/>
      <c r="GU4" s="129"/>
      <c r="GV4" s="129"/>
      <c r="GW4" s="129"/>
      <c r="GX4" s="129"/>
      <c r="GY4" s="129"/>
      <c r="GZ4" s="129"/>
      <c r="HA4" s="129"/>
      <c r="HB4" s="129"/>
      <c r="HC4" s="129"/>
      <c r="HD4" s="129"/>
      <c r="HE4" s="129"/>
      <c r="HF4" s="129"/>
      <c r="HG4" s="129"/>
      <c r="HH4" s="129"/>
      <c r="HI4" s="129"/>
      <c r="HJ4" s="129"/>
      <c r="HK4" s="129"/>
      <c r="HL4" s="129"/>
      <c r="HM4" s="129"/>
      <c r="HN4" s="129"/>
      <c r="HO4" s="129"/>
      <c r="HP4" s="129"/>
      <c r="HQ4" s="129"/>
      <c r="HR4" s="129"/>
      <c r="HS4" s="129"/>
      <c r="HT4" s="129"/>
      <c r="HU4" s="129"/>
      <c r="HV4" s="129"/>
      <c r="HW4" s="129"/>
      <c r="HX4" s="129"/>
      <c r="HY4" s="129"/>
      <c r="HZ4" s="129"/>
      <c r="IA4" s="129"/>
      <c r="IB4" s="129"/>
      <c r="IC4" s="129"/>
      <c r="ID4" s="129"/>
      <c r="IE4" s="129"/>
      <c r="IF4" s="129"/>
      <c r="IG4" s="129"/>
      <c r="IH4" s="129"/>
      <c r="II4" s="129"/>
      <c r="IJ4" s="129"/>
      <c r="IK4" s="129"/>
      <c r="IL4" s="129"/>
      <c r="IM4" s="129"/>
      <c r="IN4" s="129"/>
      <c r="IO4" s="129"/>
      <c r="IP4" s="129"/>
      <c r="IQ4" s="129"/>
      <c r="IR4" s="129"/>
      <c r="IS4" s="129"/>
      <c r="IT4" s="129"/>
      <c r="IU4" s="129"/>
      <c r="IV4" s="129"/>
      <c r="IW4" s="129"/>
      <c r="IX4" s="129"/>
      <c r="IY4" s="129"/>
      <c r="IZ4" s="129"/>
      <c r="JA4" s="129"/>
      <c r="JB4" s="129"/>
      <c r="JC4" s="129"/>
      <c r="JD4" s="129"/>
      <c r="JE4" s="129"/>
      <c r="JF4" s="129"/>
      <c r="JG4" s="129"/>
      <c r="JH4" s="129"/>
      <c r="JI4" s="129"/>
      <c r="JJ4" s="129"/>
      <c r="JK4" s="129"/>
    </row>
    <row r="5">
      <c r="A5" s="134"/>
      <c r="B5" s="135" t="s">
        <v>59</v>
      </c>
      <c r="C5" s="20"/>
      <c r="D5" s="20"/>
      <c r="E5" s="5"/>
      <c r="F5" s="136" t="s">
        <v>60</v>
      </c>
      <c r="G5" s="20"/>
      <c r="H5" s="20"/>
      <c r="I5" s="20"/>
      <c r="J5" s="20"/>
      <c r="K5" s="5"/>
      <c r="L5" s="137" t="s">
        <v>9</v>
      </c>
      <c r="M5" s="127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129"/>
      <c r="CC5" s="129"/>
      <c r="CD5" s="129"/>
      <c r="CE5" s="129"/>
      <c r="CF5" s="129"/>
      <c r="CG5" s="129"/>
      <c r="CH5" s="129"/>
      <c r="CI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129"/>
      <c r="EH5" s="129"/>
      <c r="EI5" s="129"/>
      <c r="EJ5" s="129"/>
      <c r="EK5" s="129"/>
      <c r="EL5" s="129"/>
      <c r="EM5" s="129"/>
      <c r="EN5" s="129"/>
      <c r="EO5" s="129"/>
      <c r="EP5" s="129"/>
      <c r="EQ5" s="129"/>
      <c r="ER5" s="129"/>
      <c r="ES5" s="129"/>
      <c r="ET5" s="129"/>
      <c r="EU5" s="129"/>
      <c r="EV5" s="129"/>
      <c r="EW5" s="129"/>
      <c r="EX5" s="129"/>
      <c r="EY5" s="129"/>
      <c r="EZ5" s="129"/>
      <c r="FA5" s="129"/>
      <c r="FB5" s="129"/>
      <c r="FC5" s="129"/>
      <c r="FD5" s="129"/>
      <c r="FE5" s="129"/>
      <c r="FF5" s="129"/>
      <c r="FG5" s="129"/>
      <c r="FH5" s="129"/>
      <c r="FI5" s="129"/>
      <c r="FJ5" s="129"/>
      <c r="FK5" s="129"/>
      <c r="FL5" s="129"/>
      <c r="FM5" s="129"/>
      <c r="FN5" s="129"/>
      <c r="FO5" s="129"/>
      <c r="FP5" s="129"/>
      <c r="FQ5" s="129"/>
      <c r="FR5" s="129"/>
      <c r="FS5" s="129"/>
      <c r="FT5" s="129"/>
      <c r="FU5" s="129"/>
      <c r="FV5" s="129"/>
      <c r="FW5" s="129"/>
      <c r="FX5" s="129"/>
      <c r="FY5" s="129"/>
      <c r="FZ5" s="129"/>
      <c r="GA5" s="129"/>
      <c r="GB5" s="129"/>
      <c r="GC5" s="129"/>
      <c r="GD5" s="129"/>
      <c r="GE5" s="129"/>
      <c r="GF5" s="129"/>
      <c r="GG5" s="129"/>
      <c r="GH5" s="129"/>
      <c r="GI5" s="129"/>
      <c r="GJ5" s="129"/>
      <c r="GK5" s="129"/>
      <c r="GL5" s="129"/>
      <c r="GM5" s="129"/>
      <c r="GN5" s="129"/>
      <c r="GO5" s="129"/>
      <c r="GP5" s="129"/>
      <c r="GQ5" s="129"/>
      <c r="GR5" s="129"/>
      <c r="GS5" s="129"/>
      <c r="GT5" s="129"/>
      <c r="GU5" s="129"/>
      <c r="GV5" s="129"/>
      <c r="GW5" s="129"/>
      <c r="GX5" s="129"/>
      <c r="GY5" s="129"/>
      <c r="GZ5" s="129"/>
      <c r="HA5" s="129"/>
      <c r="HB5" s="129"/>
      <c r="HC5" s="129"/>
      <c r="HD5" s="129"/>
      <c r="HE5" s="129"/>
      <c r="HF5" s="129"/>
      <c r="HG5" s="129"/>
      <c r="HH5" s="129"/>
      <c r="HI5" s="129"/>
      <c r="HJ5" s="129"/>
      <c r="HK5" s="129"/>
      <c r="HL5" s="129"/>
      <c r="HM5" s="129"/>
      <c r="HN5" s="129"/>
      <c r="HO5" s="129"/>
      <c r="HP5" s="129"/>
      <c r="HQ5" s="129"/>
      <c r="HR5" s="129"/>
      <c r="HS5" s="129"/>
      <c r="HT5" s="129"/>
      <c r="HU5" s="129"/>
      <c r="HV5" s="129"/>
      <c r="HW5" s="129"/>
      <c r="HX5" s="129"/>
      <c r="HY5" s="129"/>
      <c r="HZ5" s="129"/>
      <c r="IA5" s="129"/>
      <c r="IB5" s="129"/>
      <c r="IC5" s="129"/>
      <c r="ID5" s="129"/>
      <c r="IE5" s="129"/>
      <c r="IF5" s="129"/>
      <c r="IG5" s="129"/>
      <c r="IH5" s="129"/>
      <c r="II5" s="129"/>
      <c r="IJ5" s="129"/>
      <c r="IK5" s="129"/>
      <c r="IL5" s="129"/>
      <c r="IM5" s="129"/>
      <c r="IN5" s="129"/>
      <c r="IO5" s="129"/>
      <c r="IP5" s="129"/>
      <c r="IQ5" s="129"/>
      <c r="IR5" s="129"/>
      <c r="IS5" s="129"/>
      <c r="IT5" s="129"/>
      <c r="IU5" s="129"/>
      <c r="IV5" s="129"/>
      <c r="IW5" s="129"/>
      <c r="IX5" s="129"/>
      <c r="IY5" s="129"/>
      <c r="IZ5" s="129"/>
      <c r="JA5" s="129"/>
      <c r="JB5" s="129"/>
      <c r="JC5" s="129"/>
      <c r="JD5" s="129"/>
      <c r="JE5" s="129"/>
      <c r="JF5" s="129"/>
      <c r="JG5" s="129"/>
      <c r="JH5" s="129"/>
      <c r="JI5" s="129"/>
      <c r="JJ5" s="129"/>
      <c r="JK5" s="129"/>
    </row>
    <row r="6">
      <c r="A6" s="134"/>
      <c r="B6" s="12"/>
      <c r="C6" s="21"/>
      <c r="D6" s="21"/>
      <c r="E6" s="13"/>
      <c r="F6" s="21"/>
      <c r="G6" s="21"/>
      <c r="H6" s="21"/>
      <c r="I6" s="21"/>
      <c r="J6" s="21"/>
      <c r="K6" s="13"/>
      <c r="L6" s="137" t="s">
        <v>10</v>
      </c>
      <c r="M6" s="133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  <c r="DD6" s="129"/>
      <c r="DE6" s="129"/>
      <c r="DF6" s="129"/>
      <c r="DG6" s="129"/>
      <c r="DH6" s="129"/>
      <c r="DI6" s="129"/>
      <c r="DJ6" s="129"/>
      <c r="DK6" s="129"/>
      <c r="DL6" s="129"/>
      <c r="DM6" s="129"/>
      <c r="DN6" s="129"/>
      <c r="DO6" s="129"/>
      <c r="DP6" s="129"/>
      <c r="DQ6" s="129"/>
      <c r="DR6" s="129"/>
      <c r="DS6" s="129"/>
      <c r="DT6" s="129"/>
      <c r="DU6" s="129"/>
      <c r="DV6" s="129"/>
      <c r="DW6" s="129"/>
      <c r="DX6" s="129"/>
      <c r="DY6" s="129"/>
      <c r="DZ6" s="129"/>
      <c r="EA6" s="129"/>
      <c r="EB6" s="129"/>
      <c r="EC6" s="129"/>
      <c r="ED6" s="129"/>
      <c r="EE6" s="129"/>
      <c r="EF6" s="129"/>
      <c r="EG6" s="129"/>
      <c r="EH6" s="129"/>
      <c r="EI6" s="129"/>
      <c r="EJ6" s="129"/>
      <c r="EK6" s="129"/>
      <c r="EL6" s="129"/>
      <c r="EM6" s="129"/>
      <c r="EN6" s="129"/>
      <c r="EO6" s="129"/>
      <c r="EP6" s="129"/>
      <c r="EQ6" s="129"/>
      <c r="ER6" s="129"/>
      <c r="ES6" s="129"/>
      <c r="ET6" s="129"/>
      <c r="EU6" s="129"/>
      <c r="EV6" s="129"/>
      <c r="EW6" s="129"/>
      <c r="EX6" s="129"/>
      <c r="EY6" s="129"/>
      <c r="EZ6" s="129"/>
      <c r="FA6" s="129"/>
      <c r="FB6" s="129"/>
      <c r="FC6" s="129"/>
      <c r="FD6" s="129"/>
      <c r="FE6" s="129"/>
      <c r="FF6" s="129"/>
      <c r="FG6" s="129"/>
      <c r="FH6" s="129"/>
      <c r="FI6" s="129"/>
      <c r="FJ6" s="129"/>
      <c r="FK6" s="129"/>
      <c r="FL6" s="129"/>
      <c r="FM6" s="129"/>
      <c r="FN6" s="129"/>
      <c r="FO6" s="129"/>
      <c r="FP6" s="129"/>
      <c r="FQ6" s="129"/>
      <c r="FR6" s="129"/>
      <c r="FS6" s="129"/>
      <c r="FT6" s="129"/>
      <c r="FU6" s="129"/>
      <c r="FV6" s="129"/>
      <c r="FW6" s="129"/>
      <c r="FX6" s="129"/>
      <c r="FY6" s="129"/>
      <c r="FZ6" s="129"/>
      <c r="GA6" s="129"/>
      <c r="GB6" s="129"/>
      <c r="GC6" s="129"/>
      <c r="GD6" s="129"/>
      <c r="GE6" s="129"/>
      <c r="GF6" s="129"/>
      <c r="GG6" s="129"/>
      <c r="GH6" s="129"/>
      <c r="GI6" s="129"/>
      <c r="GJ6" s="129"/>
      <c r="GK6" s="129"/>
      <c r="GL6" s="129"/>
      <c r="GM6" s="129"/>
      <c r="GN6" s="129"/>
      <c r="GO6" s="129"/>
      <c r="GP6" s="129"/>
      <c r="GQ6" s="129"/>
      <c r="GR6" s="129"/>
      <c r="GS6" s="129"/>
      <c r="GT6" s="129"/>
      <c r="GU6" s="129"/>
      <c r="GV6" s="129"/>
      <c r="GW6" s="129"/>
      <c r="GX6" s="129"/>
      <c r="GY6" s="129"/>
      <c r="GZ6" s="129"/>
      <c r="HA6" s="129"/>
      <c r="HB6" s="129"/>
      <c r="HC6" s="129"/>
      <c r="HD6" s="129"/>
      <c r="HE6" s="129"/>
      <c r="HF6" s="129"/>
      <c r="HG6" s="129"/>
      <c r="HH6" s="129"/>
      <c r="HI6" s="129"/>
      <c r="HJ6" s="129"/>
      <c r="HK6" s="129"/>
      <c r="HL6" s="129"/>
      <c r="HM6" s="129"/>
      <c r="HN6" s="129"/>
      <c r="HO6" s="129"/>
      <c r="HP6" s="129"/>
      <c r="HQ6" s="129"/>
      <c r="HR6" s="129"/>
      <c r="HS6" s="129"/>
      <c r="HT6" s="129"/>
      <c r="HU6" s="129"/>
      <c r="HV6" s="129"/>
      <c r="HW6" s="129"/>
      <c r="HX6" s="129"/>
      <c r="HY6" s="129"/>
      <c r="HZ6" s="129"/>
      <c r="IA6" s="129"/>
      <c r="IB6" s="129"/>
      <c r="IC6" s="129"/>
      <c r="ID6" s="129"/>
      <c r="IE6" s="129"/>
      <c r="IF6" s="129"/>
      <c r="IG6" s="129"/>
      <c r="IH6" s="129"/>
      <c r="II6" s="129"/>
      <c r="IJ6" s="129"/>
      <c r="IK6" s="129"/>
      <c r="IL6" s="129"/>
      <c r="IM6" s="129"/>
      <c r="IN6" s="129"/>
      <c r="IO6" s="129"/>
      <c r="IP6" s="129"/>
      <c r="IQ6" s="129"/>
      <c r="IR6" s="129"/>
      <c r="IS6" s="129"/>
      <c r="IT6" s="129"/>
      <c r="IU6" s="129"/>
      <c r="IV6" s="129"/>
      <c r="IW6" s="129"/>
      <c r="IX6" s="129"/>
      <c r="IY6" s="129"/>
      <c r="IZ6" s="129"/>
      <c r="JA6" s="129"/>
      <c r="JB6" s="129"/>
      <c r="JC6" s="129"/>
      <c r="JD6" s="129"/>
      <c r="JE6" s="129"/>
      <c r="JF6" s="129"/>
      <c r="JG6" s="129"/>
      <c r="JH6" s="129"/>
      <c r="JI6" s="129"/>
      <c r="JJ6" s="129"/>
      <c r="JK6" s="129"/>
    </row>
    <row r="7">
      <c r="A7" s="138"/>
      <c r="B7" s="139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40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1"/>
      <c r="K7" s="141"/>
      <c r="L7" s="142" t="s">
        <v>11</v>
      </c>
      <c r="M7" s="133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  <c r="DT7" s="129"/>
      <c r="DU7" s="129"/>
      <c r="DV7" s="129"/>
      <c r="DW7" s="129"/>
      <c r="DX7" s="129"/>
      <c r="DY7" s="129"/>
      <c r="DZ7" s="129"/>
      <c r="EA7" s="129"/>
      <c r="EB7" s="129"/>
      <c r="EC7" s="129"/>
      <c r="ED7" s="129"/>
      <c r="EE7" s="129"/>
      <c r="EF7" s="129"/>
      <c r="EG7" s="129"/>
      <c r="EH7" s="129"/>
      <c r="EI7" s="129"/>
      <c r="EJ7" s="129"/>
      <c r="EK7" s="129"/>
      <c r="EL7" s="129"/>
      <c r="EM7" s="129"/>
      <c r="EN7" s="129"/>
      <c r="EO7" s="129"/>
      <c r="EP7" s="129"/>
      <c r="EQ7" s="129"/>
      <c r="ER7" s="129"/>
      <c r="ES7" s="129"/>
      <c r="ET7" s="129"/>
      <c r="EU7" s="129"/>
      <c r="EV7" s="129"/>
      <c r="EW7" s="129"/>
      <c r="EX7" s="129"/>
      <c r="EY7" s="129"/>
      <c r="EZ7" s="129"/>
      <c r="FA7" s="129"/>
      <c r="FB7" s="129"/>
      <c r="FC7" s="129"/>
      <c r="FD7" s="129"/>
      <c r="FE7" s="129"/>
      <c r="FF7" s="129"/>
      <c r="FG7" s="129"/>
      <c r="FH7" s="129"/>
      <c r="FI7" s="129"/>
      <c r="FJ7" s="129"/>
      <c r="FK7" s="129"/>
      <c r="FL7" s="129"/>
      <c r="FM7" s="129"/>
      <c r="FN7" s="129"/>
      <c r="FO7" s="129"/>
      <c r="FP7" s="129"/>
      <c r="FQ7" s="129"/>
      <c r="FR7" s="129"/>
      <c r="FS7" s="129"/>
      <c r="FT7" s="129"/>
      <c r="FU7" s="129"/>
      <c r="FV7" s="129"/>
      <c r="FW7" s="129"/>
      <c r="FX7" s="129"/>
      <c r="FY7" s="129"/>
      <c r="FZ7" s="129"/>
      <c r="GA7" s="129"/>
      <c r="GB7" s="129"/>
      <c r="GC7" s="129"/>
      <c r="GD7" s="129"/>
      <c r="GE7" s="129"/>
      <c r="GF7" s="129"/>
      <c r="GG7" s="129"/>
      <c r="GH7" s="129"/>
      <c r="GI7" s="129"/>
      <c r="GJ7" s="129"/>
      <c r="GK7" s="129"/>
      <c r="GL7" s="129"/>
      <c r="GM7" s="129"/>
      <c r="GN7" s="129"/>
      <c r="GO7" s="129"/>
      <c r="GP7" s="129"/>
      <c r="GQ7" s="129"/>
      <c r="GR7" s="129"/>
      <c r="GS7" s="129"/>
      <c r="GT7" s="129"/>
      <c r="GU7" s="129"/>
      <c r="GV7" s="129"/>
      <c r="GW7" s="129"/>
      <c r="GX7" s="129"/>
      <c r="GY7" s="129"/>
      <c r="GZ7" s="129"/>
      <c r="HA7" s="129"/>
      <c r="HB7" s="129"/>
      <c r="HC7" s="129"/>
      <c r="HD7" s="129"/>
      <c r="HE7" s="129"/>
      <c r="HF7" s="129"/>
      <c r="HG7" s="129"/>
      <c r="HH7" s="129"/>
      <c r="HI7" s="129"/>
      <c r="HJ7" s="129"/>
      <c r="HK7" s="129"/>
      <c r="HL7" s="129"/>
      <c r="HM7" s="129"/>
      <c r="HN7" s="129"/>
      <c r="HO7" s="129"/>
      <c r="HP7" s="129"/>
      <c r="HQ7" s="129"/>
      <c r="HR7" s="129"/>
      <c r="HS7" s="129"/>
      <c r="HT7" s="129"/>
      <c r="HU7" s="129"/>
      <c r="HV7" s="129"/>
      <c r="HW7" s="129"/>
      <c r="HX7" s="129"/>
      <c r="HY7" s="129"/>
      <c r="HZ7" s="129"/>
      <c r="IA7" s="129"/>
      <c r="IB7" s="129"/>
      <c r="IC7" s="129"/>
      <c r="ID7" s="129"/>
      <c r="IE7" s="129"/>
      <c r="IF7" s="129"/>
      <c r="IG7" s="129"/>
      <c r="IH7" s="129"/>
      <c r="II7" s="129"/>
      <c r="IJ7" s="129"/>
      <c r="IK7" s="129"/>
      <c r="IL7" s="129"/>
      <c r="IM7" s="129"/>
      <c r="IN7" s="129"/>
      <c r="IO7" s="129"/>
      <c r="IP7" s="129"/>
      <c r="IQ7" s="129"/>
      <c r="IR7" s="129"/>
      <c r="IS7" s="129"/>
      <c r="IT7" s="129"/>
      <c r="IU7" s="129"/>
      <c r="IV7" s="129"/>
      <c r="IW7" s="129"/>
      <c r="IX7" s="129"/>
      <c r="IY7" s="129"/>
      <c r="IZ7" s="129"/>
      <c r="JA7" s="129"/>
      <c r="JB7" s="129"/>
      <c r="JC7" s="129"/>
      <c r="JD7" s="129"/>
      <c r="JE7" s="129"/>
      <c r="JF7" s="129"/>
      <c r="JG7" s="129"/>
      <c r="JH7" s="129"/>
      <c r="JI7" s="129"/>
      <c r="JJ7" s="129"/>
      <c r="JK7" s="129"/>
    </row>
    <row r="8">
      <c r="A8" s="143"/>
      <c r="B8" s="144" t="s">
        <v>14</v>
      </c>
      <c r="C8" s="20"/>
      <c r="D8" s="20"/>
      <c r="E8" s="5"/>
      <c r="F8" s="145" t="s">
        <v>41</v>
      </c>
      <c r="G8" s="20"/>
      <c r="H8" s="20"/>
      <c r="I8" s="5"/>
      <c r="J8" s="146" t="s">
        <v>16</v>
      </c>
      <c r="K8" s="5"/>
      <c r="L8" s="147" t="s">
        <v>12</v>
      </c>
      <c r="M8" s="8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</row>
    <row r="9">
      <c r="A9" s="148"/>
      <c r="B9" s="149" t="s">
        <v>18</v>
      </c>
      <c r="C9" s="150" t="s">
        <v>61</v>
      </c>
      <c r="D9" s="150" t="s">
        <v>22</v>
      </c>
      <c r="E9" s="151"/>
      <c r="F9" s="149" t="s">
        <v>18</v>
      </c>
      <c r="G9" s="150" t="s">
        <v>61</v>
      </c>
      <c r="H9" s="150" t="s">
        <v>22</v>
      </c>
      <c r="I9" s="152" t="s">
        <v>42</v>
      </c>
      <c r="J9" s="153">
        <v>-1.0</v>
      </c>
      <c r="K9" s="5"/>
      <c r="L9" s="154" t="s">
        <v>13</v>
      </c>
      <c r="M9" s="127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29"/>
      <c r="CD9" s="129"/>
      <c r="CE9" s="129"/>
      <c r="CF9" s="129"/>
      <c r="CG9" s="129"/>
      <c r="CH9" s="129"/>
      <c r="CI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  <c r="DD9" s="129"/>
      <c r="DE9" s="129"/>
      <c r="DF9" s="129"/>
      <c r="DG9" s="129"/>
      <c r="DH9" s="129"/>
      <c r="DI9" s="129"/>
      <c r="DJ9" s="129"/>
      <c r="DK9" s="129"/>
      <c r="DL9" s="129"/>
      <c r="DM9" s="129"/>
      <c r="DN9" s="129"/>
      <c r="DO9" s="129"/>
      <c r="DP9" s="129"/>
      <c r="DQ9" s="129"/>
      <c r="DR9" s="129"/>
      <c r="DS9" s="129"/>
      <c r="DT9" s="129"/>
      <c r="DU9" s="129"/>
      <c r="DV9" s="129"/>
      <c r="DW9" s="129"/>
      <c r="DX9" s="129"/>
      <c r="DY9" s="129"/>
      <c r="DZ9" s="129"/>
      <c r="EA9" s="129"/>
      <c r="EB9" s="129"/>
      <c r="EC9" s="129"/>
      <c r="ED9" s="129"/>
      <c r="EE9" s="129"/>
      <c r="EF9" s="129"/>
      <c r="EG9" s="129"/>
      <c r="EH9" s="129"/>
      <c r="EI9" s="129"/>
      <c r="EJ9" s="129"/>
      <c r="EK9" s="129"/>
      <c r="EL9" s="129"/>
      <c r="EM9" s="129"/>
      <c r="EN9" s="129"/>
      <c r="EO9" s="129"/>
      <c r="EP9" s="129"/>
      <c r="EQ9" s="129"/>
      <c r="ER9" s="129"/>
      <c r="ES9" s="129"/>
      <c r="ET9" s="129"/>
      <c r="EU9" s="129"/>
      <c r="EV9" s="129"/>
      <c r="EW9" s="129"/>
      <c r="EX9" s="129"/>
      <c r="EY9" s="129"/>
      <c r="EZ9" s="129"/>
      <c r="FA9" s="129"/>
      <c r="FB9" s="129"/>
      <c r="FC9" s="129"/>
      <c r="FD9" s="129"/>
      <c r="FE9" s="129"/>
      <c r="FF9" s="129"/>
      <c r="FG9" s="129"/>
      <c r="FH9" s="129"/>
      <c r="FI9" s="129"/>
      <c r="FJ9" s="129"/>
      <c r="FK9" s="129"/>
      <c r="FL9" s="129"/>
      <c r="FM9" s="129"/>
      <c r="FN9" s="129"/>
      <c r="FO9" s="129"/>
      <c r="FP9" s="129"/>
      <c r="FQ9" s="129"/>
      <c r="FR9" s="129"/>
      <c r="FS9" s="129"/>
      <c r="FT9" s="129"/>
      <c r="FU9" s="129"/>
      <c r="FV9" s="129"/>
      <c r="FW9" s="129"/>
      <c r="FX9" s="129"/>
      <c r="FY9" s="129"/>
      <c r="FZ9" s="129"/>
      <c r="GA9" s="129"/>
      <c r="GB9" s="129"/>
      <c r="GC9" s="129"/>
      <c r="GD9" s="129"/>
      <c r="GE9" s="129"/>
      <c r="GF9" s="129"/>
      <c r="GG9" s="129"/>
      <c r="GH9" s="129"/>
      <c r="GI9" s="129"/>
      <c r="GJ9" s="129"/>
      <c r="GK9" s="129"/>
      <c r="GL9" s="129"/>
      <c r="GM9" s="129"/>
      <c r="GN9" s="129"/>
      <c r="GO9" s="129"/>
      <c r="GP9" s="129"/>
      <c r="GQ9" s="129"/>
      <c r="GR9" s="129"/>
      <c r="GS9" s="129"/>
      <c r="GT9" s="129"/>
      <c r="GU9" s="129"/>
      <c r="GV9" s="129"/>
      <c r="GW9" s="129"/>
      <c r="GX9" s="129"/>
      <c r="GY9" s="129"/>
      <c r="GZ9" s="129"/>
      <c r="HA9" s="129"/>
      <c r="HB9" s="129"/>
      <c r="HC9" s="129"/>
      <c r="HD9" s="129"/>
      <c r="HE9" s="129"/>
      <c r="HF9" s="129"/>
      <c r="HG9" s="129"/>
      <c r="HH9" s="129"/>
      <c r="HI9" s="129"/>
      <c r="HJ9" s="129"/>
      <c r="HK9" s="129"/>
      <c r="HL9" s="129"/>
      <c r="HM9" s="129"/>
      <c r="HN9" s="129"/>
      <c r="HO9" s="129"/>
      <c r="HP9" s="129"/>
      <c r="HQ9" s="129"/>
      <c r="HR9" s="129"/>
      <c r="HS9" s="129"/>
      <c r="HT9" s="129"/>
      <c r="HU9" s="129"/>
      <c r="HV9" s="129"/>
      <c r="HW9" s="129"/>
      <c r="HX9" s="129"/>
      <c r="HY9" s="129"/>
      <c r="HZ9" s="129"/>
      <c r="IA9" s="129"/>
      <c r="IB9" s="129"/>
      <c r="IC9" s="129"/>
      <c r="ID9" s="129"/>
      <c r="IE9" s="129"/>
      <c r="IF9" s="129"/>
      <c r="IG9" s="129"/>
      <c r="IH9" s="129"/>
      <c r="II9" s="129"/>
      <c r="IJ9" s="129"/>
      <c r="IK9" s="129"/>
      <c r="IL9" s="129"/>
      <c r="IM9" s="129"/>
      <c r="IN9" s="129"/>
      <c r="IO9" s="129"/>
      <c r="IP9" s="129"/>
      <c r="IQ9" s="129"/>
      <c r="IR9" s="129"/>
      <c r="IS9" s="129"/>
      <c r="IT9" s="129"/>
      <c r="IU9" s="129"/>
      <c r="IV9" s="129"/>
      <c r="IW9" s="129"/>
      <c r="IX9" s="129"/>
      <c r="IY9" s="129"/>
      <c r="IZ9" s="129"/>
      <c r="JA9" s="129"/>
      <c r="JB9" s="129"/>
      <c r="JC9" s="129"/>
      <c r="JD9" s="129"/>
      <c r="JE9" s="129"/>
      <c r="JF9" s="129"/>
      <c r="JG9" s="129"/>
      <c r="JH9" s="129"/>
      <c r="JI9" s="129"/>
      <c r="JJ9" s="129"/>
      <c r="JK9" s="129"/>
    </row>
    <row r="10" ht="18.75" customHeight="1">
      <c r="A10" s="155"/>
      <c r="B10" s="156"/>
      <c r="C10" s="156"/>
      <c r="D10" s="156"/>
      <c r="E10" s="157" t="s">
        <v>62</v>
      </c>
      <c r="F10" s="156"/>
      <c r="G10" s="156"/>
      <c r="H10" s="156"/>
      <c r="I10" s="156"/>
      <c r="K10" s="15"/>
      <c r="L10" s="154" t="s">
        <v>17</v>
      </c>
      <c r="M10" s="133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  <c r="DT10" s="129"/>
      <c r="DU10" s="129"/>
      <c r="DV10" s="129"/>
      <c r="DW10" s="129"/>
      <c r="DX10" s="129"/>
      <c r="DY10" s="129"/>
      <c r="DZ10" s="129"/>
      <c r="EA10" s="129"/>
      <c r="EB10" s="129"/>
      <c r="EC10" s="129"/>
      <c r="ED10" s="129"/>
      <c r="EE10" s="129"/>
      <c r="EF10" s="129"/>
      <c r="EG10" s="129"/>
      <c r="EH10" s="129"/>
      <c r="EI10" s="129"/>
      <c r="EJ10" s="129"/>
      <c r="EK10" s="129"/>
      <c r="EL10" s="129"/>
      <c r="EM10" s="129"/>
      <c r="EN10" s="129"/>
      <c r="EO10" s="129"/>
      <c r="EP10" s="129"/>
      <c r="EQ10" s="129"/>
      <c r="ER10" s="129"/>
      <c r="ES10" s="129"/>
      <c r="ET10" s="129"/>
      <c r="EU10" s="129"/>
      <c r="EV10" s="129"/>
      <c r="EW10" s="129"/>
      <c r="EX10" s="129"/>
      <c r="EY10" s="129"/>
      <c r="EZ10" s="129"/>
      <c r="FA10" s="129"/>
      <c r="FB10" s="129"/>
      <c r="FC10" s="129"/>
      <c r="FD10" s="129"/>
      <c r="FE10" s="129"/>
      <c r="FF10" s="129"/>
      <c r="FG10" s="129"/>
      <c r="FH10" s="129"/>
      <c r="FI10" s="129"/>
      <c r="FJ10" s="129"/>
      <c r="FK10" s="129"/>
      <c r="FL10" s="129"/>
      <c r="FM10" s="129"/>
      <c r="FN10" s="129"/>
      <c r="FO10" s="129"/>
      <c r="FP10" s="129"/>
      <c r="FQ10" s="129"/>
      <c r="FR10" s="129"/>
      <c r="FS10" s="129"/>
      <c r="FT10" s="129"/>
      <c r="FU10" s="129"/>
      <c r="FV10" s="129"/>
      <c r="FW10" s="129"/>
      <c r="FX10" s="129"/>
      <c r="FY10" s="129"/>
      <c r="FZ10" s="129"/>
      <c r="GA10" s="129"/>
      <c r="GB10" s="129"/>
      <c r="GC10" s="129"/>
      <c r="GD10" s="129"/>
      <c r="GE10" s="129"/>
      <c r="GF10" s="129"/>
      <c r="GG10" s="129"/>
      <c r="GH10" s="129"/>
      <c r="GI10" s="129"/>
      <c r="GJ10" s="129"/>
      <c r="GK10" s="129"/>
      <c r="GL10" s="129"/>
      <c r="GM10" s="129"/>
      <c r="GN10" s="129"/>
      <c r="GO10" s="129"/>
      <c r="GP10" s="129"/>
      <c r="GQ10" s="129"/>
      <c r="GR10" s="129"/>
      <c r="GS10" s="129"/>
      <c r="GT10" s="129"/>
      <c r="GU10" s="129"/>
      <c r="GV10" s="129"/>
      <c r="GW10" s="129"/>
      <c r="GX10" s="129"/>
      <c r="GY10" s="129"/>
      <c r="GZ10" s="129"/>
      <c r="HA10" s="129"/>
      <c r="HB10" s="129"/>
      <c r="HC10" s="129"/>
      <c r="HD10" s="129"/>
      <c r="HE10" s="129"/>
      <c r="HF10" s="129"/>
      <c r="HG10" s="129"/>
      <c r="HH10" s="129"/>
      <c r="HI10" s="129"/>
      <c r="HJ10" s="129"/>
      <c r="HK10" s="129"/>
      <c r="HL10" s="129"/>
      <c r="HM10" s="129"/>
      <c r="HN10" s="129"/>
      <c r="HO10" s="129"/>
      <c r="HP10" s="129"/>
      <c r="HQ10" s="129"/>
      <c r="HR10" s="129"/>
      <c r="HS10" s="129"/>
      <c r="HT10" s="129"/>
      <c r="HU10" s="129"/>
      <c r="HV10" s="129"/>
      <c r="HW10" s="129"/>
      <c r="HX10" s="129"/>
      <c r="HY10" s="129"/>
      <c r="HZ10" s="129"/>
      <c r="IA10" s="129"/>
      <c r="IB10" s="129"/>
      <c r="IC10" s="129"/>
      <c r="ID10" s="129"/>
      <c r="IE10" s="129"/>
      <c r="IF10" s="129"/>
      <c r="IG10" s="129"/>
      <c r="IH10" s="129"/>
      <c r="II10" s="129"/>
      <c r="IJ10" s="129"/>
      <c r="IK10" s="129"/>
      <c r="IL10" s="129"/>
      <c r="IM10" s="129"/>
      <c r="IN10" s="129"/>
      <c r="IO10" s="129"/>
      <c r="IP10" s="129"/>
      <c r="IQ10" s="129"/>
      <c r="IR10" s="129"/>
      <c r="IS10" s="129"/>
      <c r="IT10" s="129"/>
      <c r="IU10" s="129"/>
      <c r="IV10" s="129"/>
      <c r="IW10" s="129"/>
      <c r="IX10" s="129"/>
      <c r="IY10" s="129"/>
      <c r="IZ10" s="129"/>
      <c r="JA10" s="129"/>
      <c r="JB10" s="129"/>
      <c r="JC10" s="129"/>
      <c r="JD10" s="129"/>
      <c r="JE10" s="129"/>
      <c r="JF10" s="129"/>
      <c r="JG10" s="129"/>
      <c r="JH10" s="129"/>
      <c r="JI10" s="129"/>
      <c r="JJ10" s="129"/>
      <c r="JK10" s="129"/>
    </row>
    <row r="11" ht="18.75" customHeight="1">
      <c r="A11" s="155"/>
      <c r="B11" s="156"/>
      <c r="C11" s="156"/>
      <c r="D11" s="156"/>
      <c r="E11" s="157" t="s">
        <v>63</v>
      </c>
      <c r="F11" s="156"/>
      <c r="G11" s="156"/>
      <c r="H11" s="156"/>
      <c r="I11" s="156"/>
      <c r="K11" s="15"/>
      <c r="L11" s="158" t="s">
        <v>12</v>
      </c>
      <c r="M11" s="133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  <c r="DT11" s="129"/>
      <c r="DU11" s="129"/>
      <c r="DV11" s="129"/>
      <c r="DW11" s="129"/>
      <c r="DX11" s="129"/>
      <c r="DY11" s="129"/>
      <c r="DZ11" s="129"/>
      <c r="EA11" s="129"/>
      <c r="EB11" s="129"/>
      <c r="EC11" s="129"/>
      <c r="ED11" s="129"/>
      <c r="EE11" s="129"/>
      <c r="EF11" s="129"/>
      <c r="EG11" s="129"/>
      <c r="EH11" s="129"/>
      <c r="EI11" s="129"/>
      <c r="EJ11" s="129"/>
      <c r="EK11" s="129"/>
      <c r="EL11" s="129"/>
      <c r="EM11" s="129"/>
      <c r="EN11" s="129"/>
      <c r="EO11" s="129"/>
      <c r="EP11" s="129"/>
      <c r="EQ11" s="129"/>
      <c r="ER11" s="129"/>
      <c r="ES11" s="129"/>
      <c r="ET11" s="129"/>
      <c r="EU11" s="129"/>
      <c r="EV11" s="129"/>
      <c r="EW11" s="129"/>
      <c r="EX11" s="129"/>
      <c r="EY11" s="129"/>
      <c r="EZ11" s="129"/>
      <c r="FA11" s="129"/>
      <c r="FB11" s="129"/>
      <c r="FC11" s="129"/>
      <c r="FD11" s="129"/>
      <c r="FE11" s="129"/>
      <c r="FF11" s="129"/>
      <c r="FG11" s="129"/>
      <c r="FH11" s="129"/>
      <c r="FI11" s="129"/>
      <c r="FJ11" s="129"/>
      <c r="FK11" s="129"/>
      <c r="FL11" s="129"/>
      <c r="FM11" s="129"/>
      <c r="FN11" s="129"/>
      <c r="FO11" s="129"/>
      <c r="FP11" s="129"/>
      <c r="FQ11" s="129"/>
      <c r="FR11" s="129"/>
      <c r="FS11" s="129"/>
      <c r="FT11" s="129"/>
      <c r="FU11" s="129"/>
      <c r="FV11" s="129"/>
      <c r="FW11" s="129"/>
      <c r="FX11" s="129"/>
      <c r="FY11" s="129"/>
      <c r="FZ11" s="129"/>
      <c r="GA11" s="129"/>
      <c r="GB11" s="129"/>
      <c r="GC11" s="129"/>
      <c r="GD11" s="129"/>
      <c r="GE11" s="129"/>
      <c r="GF11" s="129"/>
      <c r="GG11" s="129"/>
      <c r="GH11" s="129"/>
      <c r="GI11" s="129"/>
      <c r="GJ11" s="129"/>
      <c r="GK11" s="129"/>
      <c r="GL11" s="129"/>
      <c r="GM11" s="129"/>
      <c r="GN11" s="129"/>
      <c r="GO11" s="129"/>
      <c r="GP11" s="129"/>
      <c r="GQ11" s="129"/>
      <c r="GR11" s="129"/>
      <c r="GS11" s="129"/>
      <c r="GT11" s="129"/>
      <c r="GU11" s="129"/>
      <c r="GV11" s="129"/>
      <c r="GW11" s="129"/>
      <c r="GX11" s="129"/>
      <c r="GY11" s="129"/>
      <c r="GZ11" s="129"/>
      <c r="HA11" s="129"/>
      <c r="HB11" s="129"/>
      <c r="HC11" s="129"/>
      <c r="HD11" s="129"/>
      <c r="HE11" s="129"/>
      <c r="HF11" s="129"/>
      <c r="HG11" s="129"/>
      <c r="HH11" s="129"/>
      <c r="HI11" s="129"/>
      <c r="HJ11" s="129"/>
      <c r="HK11" s="129"/>
      <c r="HL11" s="129"/>
      <c r="HM11" s="129"/>
      <c r="HN11" s="129"/>
      <c r="HO11" s="129"/>
      <c r="HP11" s="129"/>
      <c r="HQ11" s="129"/>
      <c r="HR11" s="129"/>
      <c r="HS11" s="129"/>
      <c r="HT11" s="129"/>
      <c r="HU11" s="129"/>
      <c r="HV11" s="129"/>
      <c r="HW11" s="129"/>
      <c r="HX11" s="129"/>
      <c r="HY11" s="129"/>
      <c r="HZ11" s="129"/>
      <c r="IA11" s="129"/>
      <c r="IB11" s="129"/>
      <c r="IC11" s="129"/>
      <c r="ID11" s="129"/>
      <c r="IE11" s="129"/>
      <c r="IF11" s="129"/>
      <c r="IG11" s="129"/>
      <c r="IH11" s="129"/>
      <c r="II11" s="129"/>
      <c r="IJ11" s="129"/>
      <c r="IK11" s="129"/>
      <c r="IL11" s="129"/>
      <c r="IM11" s="129"/>
      <c r="IN11" s="129"/>
      <c r="IO11" s="129"/>
      <c r="IP11" s="129"/>
      <c r="IQ11" s="129"/>
      <c r="IR11" s="129"/>
      <c r="IS11" s="129"/>
      <c r="IT11" s="129"/>
      <c r="IU11" s="129"/>
      <c r="IV11" s="129"/>
      <c r="IW11" s="129"/>
      <c r="IX11" s="129"/>
      <c r="IY11" s="129"/>
      <c r="IZ11" s="129"/>
      <c r="JA11" s="129"/>
      <c r="JB11" s="129"/>
      <c r="JC11" s="129"/>
      <c r="JD11" s="129"/>
      <c r="JE11" s="129"/>
      <c r="JF11" s="129"/>
      <c r="JG11" s="129"/>
      <c r="JH11" s="129"/>
      <c r="JI11" s="129"/>
      <c r="JJ11" s="129"/>
      <c r="JK11" s="129"/>
    </row>
    <row r="12" ht="18.75" customHeight="1">
      <c r="A12" s="155"/>
      <c r="B12" s="156"/>
      <c r="C12" s="156"/>
      <c r="D12" s="156"/>
      <c r="E12" s="157" t="s">
        <v>64</v>
      </c>
      <c r="F12" s="156"/>
      <c r="G12" s="156"/>
      <c r="H12" s="156"/>
      <c r="I12" s="156"/>
      <c r="K12" s="15"/>
      <c r="L12" s="159" t="s">
        <v>26</v>
      </c>
      <c r="M12" s="1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</row>
    <row r="13" ht="18.75" customHeight="1">
      <c r="A13" s="155"/>
      <c r="B13" s="156"/>
      <c r="C13" s="156"/>
      <c r="D13" s="156"/>
      <c r="E13" s="157" t="s">
        <v>64</v>
      </c>
      <c r="F13" s="156"/>
      <c r="G13" s="156"/>
      <c r="H13" s="156"/>
      <c r="I13" s="156"/>
      <c r="K13" s="15"/>
      <c r="L13" s="126" t="s">
        <v>29</v>
      </c>
      <c r="M13" s="127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29"/>
      <c r="CE13" s="129"/>
      <c r="CF13" s="129"/>
      <c r="CG13" s="129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29"/>
      <c r="CZ13" s="129"/>
      <c r="DA13" s="129"/>
      <c r="DB13" s="129"/>
      <c r="DC13" s="129"/>
      <c r="DD13" s="129"/>
      <c r="DE13" s="129"/>
      <c r="DF13" s="129"/>
      <c r="DG13" s="129"/>
      <c r="DH13" s="129"/>
      <c r="DI13" s="129"/>
      <c r="DJ13" s="129"/>
      <c r="DK13" s="129"/>
      <c r="DL13" s="129"/>
      <c r="DM13" s="129"/>
      <c r="DN13" s="129"/>
      <c r="DO13" s="129"/>
      <c r="DP13" s="129"/>
      <c r="DQ13" s="129"/>
      <c r="DR13" s="129"/>
      <c r="DS13" s="129"/>
      <c r="DT13" s="129"/>
      <c r="DU13" s="129"/>
      <c r="DV13" s="129"/>
      <c r="DW13" s="129"/>
      <c r="DX13" s="129"/>
      <c r="DY13" s="129"/>
      <c r="DZ13" s="129"/>
      <c r="EA13" s="129"/>
      <c r="EB13" s="129"/>
      <c r="EC13" s="129"/>
      <c r="ED13" s="129"/>
      <c r="EE13" s="129"/>
      <c r="EF13" s="129"/>
      <c r="EG13" s="129"/>
      <c r="EH13" s="129"/>
      <c r="EI13" s="129"/>
      <c r="EJ13" s="129"/>
      <c r="EK13" s="129"/>
      <c r="EL13" s="129"/>
      <c r="EM13" s="129"/>
      <c r="EN13" s="129"/>
      <c r="EO13" s="129"/>
      <c r="EP13" s="129"/>
      <c r="EQ13" s="129"/>
      <c r="ER13" s="129"/>
      <c r="ES13" s="129"/>
      <c r="ET13" s="129"/>
      <c r="EU13" s="129"/>
      <c r="EV13" s="129"/>
      <c r="EW13" s="129"/>
      <c r="EX13" s="129"/>
      <c r="EY13" s="129"/>
      <c r="EZ13" s="129"/>
      <c r="FA13" s="129"/>
      <c r="FB13" s="129"/>
      <c r="FC13" s="129"/>
      <c r="FD13" s="129"/>
      <c r="FE13" s="129"/>
      <c r="FF13" s="129"/>
      <c r="FG13" s="129"/>
      <c r="FH13" s="129"/>
      <c r="FI13" s="129"/>
      <c r="FJ13" s="129"/>
      <c r="FK13" s="129"/>
      <c r="FL13" s="129"/>
      <c r="FM13" s="129"/>
      <c r="FN13" s="129"/>
      <c r="FO13" s="129"/>
      <c r="FP13" s="129"/>
      <c r="FQ13" s="129"/>
      <c r="FR13" s="129"/>
      <c r="FS13" s="129"/>
      <c r="FT13" s="129"/>
      <c r="FU13" s="129"/>
      <c r="FV13" s="129"/>
      <c r="FW13" s="129"/>
      <c r="FX13" s="129"/>
      <c r="FY13" s="129"/>
      <c r="FZ13" s="129"/>
      <c r="GA13" s="129"/>
      <c r="GB13" s="129"/>
      <c r="GC13" s="129"/>
      <c r="GD13" s="129"/>
      <c r="GE13" s="129"/>
      <c r="GF13" s="129"/>
      <c r="GG13" s="129"/>
      <c r="GH13" s="129"/>
      <c r="GI13" s="129"/>
      <c r="GJ13" s="129"/>
      <c r="GK13" s="129"/>
      <c r="GL13" s="129"/>
      <c r="GM13" s="129"/>
      <c r="GN13" s="129"/>
      <c r="GO13" s="129"/>
      <c r="GP13" s="129"/>
      <c r="GQ13" s="129"/>
      <c r="GR13" s="129"/>
      <c r="GS13" s="129"/>
      <c r="GT13" s="129"/>
      <c r="GU13" s="129"/>
      <c r="GV13" s="129"/>
      <c r="GW13" s="129"/>
      <c r="GX13" s="129"/>
      <c r="GY13" s="129"/>
      <c r="GZ13" s="129"/>
      <c r="HA13" s="129"/>
      <c r="HB13" s="129"/>
      <c r="HC13" s="129"/>
      <c r="HD13" s="129"/>
      <c r="HE13" s="129"/>
      <c r="HF13" s="129"/>
      <c r="HG13" s="129"/>
      <c r="HH13" s="129"/>
      <c r="HI13" s="129"/>
      <c r="HJ13" s="129"/>
      <c r="HK13" s="129"/>
      <c r="HL13" s="129"/>
      <c r="HM13" s="129"/>
      <c r="HN13" s="129"/>
      <c r="HO13" s="129"/>
      <c r="HP13" s="129"/>
      <c r="HQ13" s="129"/>
      <c r="HR13" s="129"/>
      <c r="HS13" s="129"/>
      <c r="HT13" s="129"/>
      <c r="HU13" s="129"/>
      <c r="HV13" s="129"/>
      <c r="HW13" s="129"/>
      <c r="HX13" s="129"/>
      <c r="HY13" s="129"/>
      <c r="HZ13" s="129"/>
      <c r="IA13" s="129"/>
      <c r="IB13" s="129"/>
      <c r="IC13" s="129"/>
      <c r="ID13" s="129"/>
      <c r="IE13" s="129"/>
      <c r="IF13" s="129"/>
      <c r="IG13" s="129"/>
      <c r="IH13" s="129"/>
      <c r="II13" s="129"/>
      <c r="IJ13" s="129"/>
      <c r="IK13" s="129"/>
      <c r="IL13" s="129"/>
      <c r="IM13" s="129"/>
      <c r="IN13" s="129"/>
      <c r="IO13" s="129"/>
      <c r="IP13" s="129"/>
      <c r="IQ13" s="129"/>
      <c r="IR13" s="129"/>
      <c r="IS13" s="129"/>
      <c r="IT13" s="129"/>
      <c r="IU13" s="129"/>
      <c r="IV13" s="129"/>
      <c r="IW13" s="129"/>
      <c r="IX13" s="129"/>
      <c r="IY13" s="129"/>
      <c r="IZ13" s="129"/>
      <c r="JA13" s="129"/>
      <c r="JB13" s="129"/>
      <c r="JC13" s="129"/>
      <c r="JD13" s="129"/>
      <c r="JE13" s="129"/>
      <c r="JF13" s="129"/>
      <c r="JG13" s="129"/>
      <c r="JH13" s="129"/>
      <c r="JI13" s="129"/>
      <c r="JJ13" s="129"/>
      <c r="JK13" s="129"/>
    </row>
    <row r="14" ht="18.75" customHeight="1">
      <c r="A14" s="155"/>
      <c r="B14" s="156"/>
      <c r="C14" s="156"/>
      <c r="D14" s="156"/>
      <c r="E14" s="157" t="s">
        <v>65</v>
      </c>
      <c r="F14" s="156"/>
      <c r="G14" s="156"/>
      <c r="H14" s="156"/>
      <c r="I14" s="156"/>
      <c r="K14" s="15"/>
      <c r="L14" s="160" t="s">
        <v>32</v>
      </c>
      <c r="M14" s="133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29"/>
      <c r="CZ14" s="129"/>
      <c r="DA14" s="129"/>
      <c r="DB14" s="129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  <c r="DT14" s="129"/>
      <c r="DU14" s="129"/>
      <c r="DV14" s="129"/>
      <c r="DW14" s="129"/>
      <c r="DX14" s="129"/>
      <c r="DY14" s="129"/>
      <c r="DZ14" s="129"/>
      <c r="EA14" s="129"/>
      <c r="EB14" s="129"/>
      <c r="EC14" s="129"/>
      <c r="ED14" s="129"/>
      <c r="EE14" s="129"/>
      <c r="EF14" s="129"/>
      <c r="EG14" s="129"/>
      <c r="EH14" s="129"/>
      <c r="EI14" s="129"/>
      <c r="EJ14" s="129"/>
      <c r="EK14" s="129"/>
      <c r="EL14" s="129"/>
      <c r="EM14" s="129"/>
      <c r="EN14" s="129"/>
      <c r="EO14" s="129"/>
      <c r="EP14" s="129"/>
      <c r="EQ14" s="129"/>
      <c r="ER14" s="129"/>
      <c r="ES14" s="129"/>
      <c r="ET14" s="129"/>
      <c r="EU14" s="129"/>
      <c r="EV14" s="129"/>
      <c r="EW14" s="129"/>
      <c r="EX14" s="129"/>
      <c r="EY14" s="129"/>
      <c r="EZ14" s="129"/>
      <c r="FA14" s="129"/>
      <c r="FB14" s="129"/>
      <c r="FC14" s="129"/>
      <c r="FD14" s="129"/>
      <c r="FE14" s="129"/>
      <c r="FF14" s="129"/>
      <c r="FG14" s="129"/>
      <c r="FH14" s="129"/>
      <c r="FI14" s="129"/>
      <c r="FJ14" s="129"/>
      <c r="FK14" s="129"/>
      <c r="FL14" s="129"/>
      <c r="FM14" s="129"/>
      <c r="FN14" s="129"/>
      <c r="FO14" s="129"/>
      <c r="FP14" s="129"/>
      <c r="FQ14" s="129"/>
      <c r="FR14" s="129"/>
      <c r="FS14" s="129"/>
      <c r="FT14" s="129"/>
      <c r="FU14" s="129"/>
      <c r="FV14" s="129"/>
      <c r="FW14" s="129"/>
      <c r="FX14" s="129"/>
      <c r="FY14" s="129"/>
      <c r="FZ14" s="129"/>
      <c r="GA14" s="129"/>
      <c r="GB14" s="129"/>
      <c r="GC14" s="129"/>
      <c r="GD14" s="129"/>
      <c r="GE14" s="129"/>
      <c r="GF14" s="129"/>
      <c r="GG14" s="129"/>
      <c r="GH14" s="129"/>
      <c r="GI14" s="129"/>
      <c r="GJ14" s="129"/>
      <c r="GK14" s="129"/>
      <c r="GL14" s="129"/>
      <c r="GM14" s="129"/>
      <c r="GN14" s="129"/>
      <c r="GO14" s="129"/>
      <c r="GP14" s="129"/>
      <c r="GQ14" s="129"/>
      <c r="GR14" s="129"/>
      <c r="GS14" s="129"/>
      <c r="GT14" s="129"/>
      <c r="GU14" s="129"/>
      <c r="GV14" s="129"/>
      <c r="GW14" s="129"/>
      <c r="GX14" s="129"/>
      <c r="GY14" s="129"/>
      <c r="GZ14" s="129"/>
      <c r="HA14" s="129"/>
      <c r="HB14" s="129"/>
      <c r="HC14" s="129"/>
      <c r="HD14" s="129"/>
      <c r="HE14" s="129"/>
      <c r="HF14" s="129"/>
      <c r="HG14" s="129"/>
      <c r="HH14" s="129"/>
      <c r="HI14" s="129"/>
      <c r="HJ14" s="129"/>
      <c r="HK14" s="129"/>
      <c r="HL14" s="129"/>
      <c r="HM14" s="129"/>
      <c r="HN14" s="129"/>
      <c r="HO14" s="129"/>
      <c r="HP14" s="129"/>
      <c r="HQ14" s="129"/>
      <c r="HR14" s="129"/>
      <c r="HS14" s="129"/>
      <c r="HT14" s="129"/>
      <c r="HU14" s="129"/>
      <c r="HV14" s="129"/>
      <c r="HW14" s="129"/>
      <c r="HX14" s="129"/>
      <c r="HY14" s="129"/>
      <c r="HZ14" s="129"/>
      <c r="IA14" s="129"/>
      <c r="IB14" s="129"/>
      <c r="IC14" s="129"/>
      <c r="ID14" s="129"/>
      <c r="IE14" s="129"/>
      <c r="IF14" s="129"/>
      <c r="IG14" s="129"/>
      <c r="IH14" s="129"/>
      <c r="II14" s="129"/>
      <c r="IJ14" s="129"/>
      <c r="IK14" s="129"/>
      <c r="IL14" s="129"/>
      <c r="IM14" s="129"/>
      <c r="IN14" s="129"/>
      <c r="IO14" s="129"/>
      <c r="IP14" s="129"/>
      <c r="IQ14" s="129"/>
      <c r="IR14" s="129"/>
      <c r="IS14" s="129"/>
      <c r="IT14" s="129"/>
      <c r="IU14" s="129"/>
      <c r="IV14" s="129"/>
      <c r="IW14" s="129"/>
      <c r="IX14" s="129"/>
      <c r="IY14" s="129"/>
      <c r="IZ14" s="129"/>
      <c r="JA14" s="129"/>
      <c r="JB14" s="129"/>
      <c r="JC14" s="129"/>
      <c r="JD14" s="129"/>
      <c r="JE14" s="129"/>
      <c r="JF14" s="129"/>
      <c r="JG14" s="129"/>
      <c r="JH14" s="129"/>
      <c r="JI14" s="129"/>
      <c r="JJ14" s="129"/>
      <c r="JK14" s="129"/>
    </row>
    <row r="15" ht="18.75" customHeight="1">
      <c r="A15" s="155"/>
      <c r="B15" s="156"/>
      <c r="C15" s="156"/>
      <c r="D15" s="156"/>
      <c r="E15" s="157" t="s">
        <v>65</v>
      </c>
      <c r="F15" s="156"/>
      <c r="G15" s="156"/>
      <c r="H15" s="156"/>
      <c r="I15" s="156"/>
      <c r="K15" s="15"/>
      <c r="L15" s="160" t="s">
        <v>33</v>
      </c>
      <c r="M15" s="127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29"/>
      <c r="CE15" s="129"/>
      <c r="CF15" s="129"/>
      <c r="CG15" s="129"/>
      <c r="CH15" s="129"/>
      <c r="CI15" s="129"/>
      <c r="CJ15" s="129"/>
      <c r="CK15" s="129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29"/>
      <c r="CZ15" s="129"/>
      <c r="DA15" s="129"/>
      <c r="DB15" s="129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  <c r="DT15" s="129"/>
      <c r="DU15" s="129"/>
      <c r="DV15" s="129"/>
      <c r="DW15" s="129"/>
      <c r="DX15" s="129"/>
      <c r="DY15" s="129"/>
      <c r="DZ15" s="129"/>
      <c r="EA15" s="129"/>
      <c r="EB15" s="129"/>
      <c r="EC15" s="129"/>
      <c r="ED15" s="129"/>
      <c r="EE15" s="129"/>
      <c r="EF15" s="129"/>
      <c r="EG15" s="129"/>
      <c r="EH15" s="129"/>
      <c r="EI15" s="129"/>
      <c r="EJ15" s="129"/>
      <c r="EK15" s="129"/>
      <c r="EL15" s="129"/>
      <c r="EM15" s="129"/>
      <c r="EN15" s="129"/>
      <c r="EO15" s="129"/>
      <c r="EP15" s="129"/>
      <c r="EQ15" s="129"/>
      <c r="ER15" s="129"/>
      <c r="ES15" s="129"/>
      <c r="ET15" s="129"/>
      <c r="EU15" s="129"/>
      <c r="EV15" s="129"/>
      <c r="EW15" s="129"/>
      <c r="EX15" s="129"/>
      <c r="EY15" s="129"/>
      <c r="EZ15" s="129"/>
      <c r="FA15" s="129"/>
      <c r="FB15" s="129"/>
      <c r="FC15" s="129"/>
      <c r="FD15" s="129"/>
      <c r="FE15" s="129"/>
      <c r="FF15" s="129"/>
      <c r="FG15" s="129"/>
      <c r="FH15" s="129"/>
      <c r="FI15" s="129"/>
      <c r="FJ15" s="129"/>
      <c r="FK15" s="129"/>
      <c r="FL15" s="129"/>
      <c r="FM15" s="129"/>
      <c r="FN15" s="129"/>
      <c r="FO15" s="129"/>
      <c r="FP15" s="129"/>
      <c r="FQ15" s="129"/>
      <c r="FR15" s="129"/>
      <c r="FS15" s="129"/>
      <c r="FT15" s="129"/>
      <c r="FU15" s="129"/>
      <c r="FV15" s="129"/>
      <c r="FW15" s="129"/>
      <c r="FX15" s="129"/>
      <c r="FY15" s="129"/>
      <c r="FZ15" s="129"/>
      <c r="GA15" s="129"/>
      <c r="GB15" s="129"/>
      <c r="GC15" s="129"/>
      <c r="GD15" s="129"/>
      <c r="GE15" s="129"/>
      <c r="GF15" s="129"/>
      <c r="GG15" s="129"/>
      <c r="GH15" s="129"/>
      <c r="GI15" s="129"/>
      <c r="GJ15" s="129"/>
      <c r="GK15" s="129"/>
      <c r="GL15" s="129"/>
      <c r="GM15" s="129"/>
      <c r="GN15" s="129"/>
      <c r="GO15" s="129"/>
      <c r="GP15" s="129"/>
      <c r="GQ15" s="129"/>
      <c r="GR15" s="129"/>
      <c r="GS15" s="129"/>
      <c r="GT15" s="129"/>
      <c r="GU15" s="129"/>
      <c r="GV15" s="129"/>
      <c r="GW15" s="129"/>
      <c r="GX15" s="129"/>
      <c r="GY15" s="129"/>
      <c r="GZ15" s="129"/>
      <c r="HA15" s="129"/>
      <c r="HB15" s="129"/>
      <c r="HC15" s="129"/>
      <c r="HD15" s="129"/>
      <c r="HE15" s="129"/>
      <c r="HF15" s="129"/>
      <c r="HG15" s="129"/>
      <c r="HH15" s="129"/>
      <c r="HI15" s="129"/>
      <c r="HJ15" s="129"/>
      <c r="HK15" s="129"/>
      <c r="HL15" s="129"/>
      <c r="HM15" s="129"/>
      <c r="HN15" s="129"/>
      <c r="HO15" s="129"/>
      <c r="HP15" s="129"/>
      <c r="HQ15" s="129"/>
      <c r="HR15" s="129"/>
      <c r="HS15" s="129"/>
      <c r="HT15" s="129"/>
      <c r="HU15" s="129"/>
      <c r="HV15" s="129"/>
      <c r="HW15" s="129"/>
      <c r="HX15" s="129"/>
      <c r="HY15" s="129"/>
      <c r="HZ15" s="129"/>
      <c r="IA15" s="129"/>
      <c r="IB15" s="129"/>
      <c r="IC15" s="129"/>
      <c r="ID15" s="129"/>
      <c r="IE15" s="129"/>
      <c r="IF15" s="129"/>
      <c r="IG15" s="129"/>
      <c r="IH15" s="129"/>
      <c r="II15" s="129"/>
      <c r="IJ15" s="129"/>
      <c r="IK15" s="129"/>
      <c r="IL15" s="129"/>
      <c r="IM15" s="129"/>
      <c r="IN15" s="129"/>
      <c r="IO15" s="129"/>
      <c r="IP15" s="129"/>
      <c r="IQ15" s="129"/>
      <c r="IR15" s="129"/>
      <c r="IS15" s="129"/>
      <c r="IT15" s="129"/>
      <c r="IU15" s="129"/>
      <c r="IV15" s="129"/>
      <c r="IW15" s="129"/>
      <c r="IX15" s="129"/>
      <c r="IY15" s="129"/>
      <c r="IZ15" s="129"/>
      <c r="JA15" s="129"/>
      <c r="JB15" s="129"/>
      <c r="JC15" s="129"/>
      <c r="JD15" s="129"/>
      <c r="JE15" s="129"/>
      <c r="JF15" s="129"/>
      <c r="JG15" s="129"/>
      <c r="JH15" s="129"/>
      <c r="JI15" s="129"/>
      <c r="JJ15" s="129"/>
      <c r="JK15" s="129"/>
    </row>
    <row r="16" ht="18.75" customHeight="1">
      <c r="A16" s="155"/>
      <c r="B16" s="156"/>
      <c r="C16" s="156"/>
      <c r="D16" s="156"/>
      <c r="E16" s="161"/>
      <c r="F16" s="156"/>
      <c r="G16" s="156"/>
      <c r="H16" s="156"/>
      <c r="I16" s="156"/>
      <c r="K16" s="15"/>
      <c r="L16" s="160" t="s">
        <v>34</v>
      </c>
      <c r="M16" s="133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29"/>
      <c r="CE16" s="129"/>
      <c r="CF16" s="129"/>
      <c r="CG16" s="129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29"/>
      <c r="CZ16" s="129"/>
      <c r="DA16" s="129"/>
      <c r="DB16" s="129"/>
      <c r="DC16" s="129"/>
      <c r="DD16" s="129"/>
      <c r="DE16" s="129"/>
      <c r="DF16" s="129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  <c r="DT16" s="129"/>
      <c r="DU16" s="129"/>
      <c r="DV16" s="129"/>
      <c r="DW16" s="129"/>
      <c r="DX16" s="129"/>
      <c r="DY16" s="129"/>
      <c r="DZ16" s="129"/>
      <c r="EA16" s="129"/>
      <c r="EB16" s="129"/>
      <c r="EC16" s="129"/>
      <c r="ED16" s="129"/>
      <c r="EE16" s="129"/>
      <c r="EF16" s="129"/>
      <c r="EG16" s="129"/>
      <c r="EH16" s="129"/>
      <c r="EI16" s="129"/>
      <c r="EJ16" s="129"/>
      <c r="EK16" s="129"/>
      <c r="EL16" s="129"/>
      <c r="EM16" s="129"/>
      <c r="EN16" s="129"/>
      <c r="EO16" s="129"/>
      <c r="EP16" s="129"/>
      <c r="EQ16" s="129"/>
      <c r="ER16" s="129"/>
      <c r="ES16" s="129"/>
      <c r="ET16" s="129"/>
      <c r="EU16" s="129"/>
      <c r="EV16" s="129"/>
      <c r="EW16" s="129"/>
      <c r="EX16" s="129"/>
      <c r="EY16" s="129"/>
      <c r="EZ16" s="129"/>
      <c r="FA16" s="129"/>
      <c r="FB16" s="129"/>
      <c r="FC16" s="129"/>
      <c r="FD16" s="129"/>
      <c r="FE16" s="129"/>
      <c r="FF16" s="129"/>
      <c r="FG16" s="129"/>
      <c r="FH16" s="129"/>
      <c r="FI16" s="129"/>
      <c r="FJ16" s="129"/>
      <c r="FK16" s="129"/>
      <c r="FL16" s="129"/>
      <c r="FM16" s="129"/>
      <c r="FN16" s="129"/>
      <c r="FO16" s="129"/>
      <c r="FP16" s="129"/>
      <c r="FQ16" s="129"/>
      <c r="FR16" s="129"/>
      <c r="FS16" s="129"/>
      <c r="FT16" s="129"/>
      <c r="FU16" s="129"/>
      <c r="FV16" s="129"/>
      <c r="FW16" s="129"/>
      <c r="FX16" s="129"/>
      <c r="FY16" s="129"/>
      <c r="FZ16" s="129"/>
      <c r="GA16" s="129"/>
      <c r="GB16" s="129"/>
      <c r="GC16" s="129"/>
      <c r="GD16" s="129"/>
      <c r="GE16" s="129"/>
      <c r="GF16" s="129"/>
      <c r="GG16" s="129"/>
      <c r="GH16" s="129"/>
      <c r="GI16" s="129"/>
      <c r="GJ16" s="129"/>
      <c r="GK16" s="129"/>
      <c r="GL16" s="129"/>
      <c r="GM16" s="129"/>
      <c r="GN16" s="129"/>
      <c r="GO16" s="129"/>
      <c r="GP16" s="129"/>
      <c r="GQ16" s="129"/>
      <c r="GR16" s="129"/>
      <c r="GS16" s="129"/>
      <c r="GT16" s="129"/>
      <c r="GU16" s="129"/>
      <c r="GV16" s="129"/>
      <c r="GW16" s="129"/>
      <c r="GX16" s="129"/>
      <c r="GY16" s="129"/>
      <c r="GZ16" s="129"/>
      <c r="HA16" s="129"/>
      <c r="HB16" s="129"/>
      <c r="HC16" s="129"/>
      <c r="HD16" s="129"/>
      <c r="HE16" s="129"/>
      <c r="HF16" s="129"/>
      <c r="HG16" s="129"/>
      <c r="HH16" s="129"/>
      <c r="HI16" s="129"/>
      <c r="HJ16" s="129"/>
      <c r="HK16" s="129"/>
      <c r="HL16" s="129"/>
      <c r="HM16" s="129"/>
      <c r="HN16" s="129"/>
      <c r="HO16" s="129"/>
      <c r="HP16" s="129"/>
      <c r="HQ16" s="129"/>
      <c r="HR16" s="129"/>
      <c r="HS16" s="129"/>
      <c r="HT16" s="129"/>
      <c r="HU16" s="129"/>
      <c r="HV16" s="129"/>
      <c r="HW16" s="129"/>
      <c r="HX16" s="129"/>
      <c r="HY16" s="129"/>
      <c r="HZ16" s="129"/>
      <c r="IA16" s="129"/>
      <c r="IB16" s="129"/>
      <c r="IC16" s="129"/>
      <c r="ID16" s="129"/>
      <c r="IE16" s="129"/>
      <c r="IF16" s="129"/>
      <c r="IG16" s="129"/>
      <c r="IH16" s="129"/>
      <c r="II16" s="129"/>
      <c r="IJ16" s="129"/>
      <c r="IK16" s="129"/>
      <c r="IL16" s="129"/>
      <c r="IM16" s="129"/>
      <c r="IN16" s="129"/>
      <c r="IO16" s="129"/>
      <c r="IP16" s="129"/>
      <c r="IQ16" s="129"/>
      <c r="IR16" s="129"/>
      <c r="IS16" s="129"/>
      <c r="IT16" s="129"/>
      <c r="IU16" s="129"/>
      <c r="IV16" s="129"/>
      <c r="IW16" s="129"/>
      <c r="IX16" s="129"/>
      <c r="IY16" s="129"/>
      <c r="IZ16" s="129"/>
      <c r="JA16" s="129"/>
      <c r="JB16" s="129"/>
      <c r="JC16" s="129"/>
      <c r="JD16" s="129"/>
      <c r="JE16" s="129"/>
      <c r="JF16" s="129"/>
      <c r="JG16" s="129"/>
      <c r="JH16" s="129"/>
      <c r="JI16" s="129"/>
      <c r="JJ16" s="129"/>
      <c r="JK16" s="129"/>
    </row>
    <row r="17" ht="18.75" customHeight="1">
      <c r="A17" s="155"/>
      <c r="B17" s="156"/>
      <c r="C17" s="156"/>
      <c r="D17" s="156"/>
      <c r="E17" s="161"/>
      <c r="F17" s="156"/>
      <c r="G17" s="156"/>
      <c r="H17" s="156"/>
      <c r="I17" s="156"/>
      <c r="J17" s="21"/>
      <c r="K17" s="13"/>
      <c r="L17" s="162" t="s">
        <v>35</v>
      </c>
      <c r="M17" s="133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29"/>
      <c r="CE17" s="129"/>
      <c r="CF17" s="129"/>
      <c r="CG17" s="129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29"/>
      <c r="CZ17" s="129"/>
      <c r="DA17" s="129"/>
      <c r="DB17" s="129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  <c r="DT17" s="129"/>
      <c r="DU17" s="129"/>
      <c r="DV17" s="129"/>
      <c r="DW17" s="129"/>
      <c r="DX17" s="129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29"/>
      <c r="ER17" s="129"/>
      <c r="ES17" s="129"/>
      <c r="ET17" s="129"/>
      <c r="EU17" s="129"/>
      <c r="EV17" s="129"/>
      <c r="EW17" s="129"/>
      <c r="EX17" s="129"/>
      <c r="EY17" s="129"/>
      <c r="EZ17" s="129"/>
      <c r="FA17" s="129"/>
      <c r="FB17" s="129"/>
      <c r="FC17" s="129"/>
      <c r="FD17" s="129"/>
      <c r="FE17" s="129"/>
      <c r="FF17" s="129"/>
      <c r="FG17" s="129"/>
      <c r="FH17" s="129"/>
      <c r="FI17" s="129"/>
      <c r="FJ17" s="129"/>
      <c r="FK17" s="129"/>
      <c r="FL17" s="129"/>
      <c r="FM17" s="129"/>
      <c r="FN17" s="129"/>
      <c r="FO17" s="129"/>
      <c r="FP17" s="129"/>
      <c r="FQ17" s="129"/>
      <c r="FR17" s="129"/>
      <c r="FS17" s="129"/>
      <c r="FT17" s="129"/>
      <c r="FU17" s="129"/>
      <c r="FV17" s="129"/>
      <c r="FW17" s="129"/>
      <c r="FX17" s="129"/>
      <c r="FY17" s="129"/>
      <c r="FZ17" s="129"/>
      <c r="GA17" s="129"/>
      <c r="GB17" s="129"/>
      <c r="GC17" s="129"/>
      <c r="GD17" s="129"/>
      <c r="GE17" s="129"/>
      <c r="GF17" s="129"/>
      <c r="GG17" s="129"/>
      <c r="GH17" s="129"/>
      <c r="GI17" s="129"/>
      <c r="GJ17" s="129"/>
      <c r="GK17" s="129"/>
      <c r="GL17" s="129"/>
      <c r="GM17" s="129"/>
      <c r="GN17" s="129"/>
      <c r="GO17" s="129"/>
      <c r="GP17" s="129"/>
      <c r="GQ17" s="129"/>
      <c r="GR17" s="129"/>
      <c r="GS17" s="129"/>
      <c r="GT17" s="129"/>
      <c r="GU17" s="129"/>
      <c r="GV17" s="129"/>
      <c r="GW17" s="129"/>
      <c r="GX17" s="129"/>
      <c r="GY17" s="129"/>
      <c r="GZ17" s="129"/>
      <c r="HA17" s="129"/>
      <c r="HB17" s="129"/>
      <c r="HC17" s="129"/>
      <c r="HD17" s="129"/>
      <c r="HE17" s="129"/>
      <c r="HF17" s="129"/>
      <c r="HG17" s="129"/>
      <c r="HH17" s="129"/>
      <c r="HI17" s="129"/>
      <c r="HJ17" s="129"/>
      <c r="HK17" s="129"/>
      <c r="HL17" s="129"/>
      <c r="HM17" s="129"/>
      <c r="HN17" s="129"/>
      <c r="HO17" s="129"/>
      <c r="HP17" s="129"/>
      <c r="HQ17" s="129"/>
      <c r="HR17" s="129"/>
      <c r="HS17" s="129"/>
      <c r="HT17" s="129"/>
      <c r="HU17" s="129"/>
      <c r="HV17" s="129"/>
      <c r="HW17" s="129"/>
      <c r="HX17" s="129"/>
      <c r="HY17" s="129"/>
      <c r="HZ17" s="129"/>
      <c r="IA17" s="129"/>
      <c r="IB17" s="129"/>
      <c r="IC17" s="129"/>
      <c r="ID17" s="129"/>
      <c r="IE17" s="129"/>
      <c r="IF17" s="129"/>
      <c r="IG17" s="129"/>
      <c r="IH17" s="129"/>
      <c r="II17" s="129"/>
      <c r="IJ17" s="129"/>
      <c r="IK17" s="129"/>
      <c r="IL17" s="129"/>
      <c r="IM17" s="129"/>
      <c r="IN17" s="129"/>
      <c r="IO17" s="129"/>
      <c r="IP17" s="129"/>
      <c r="IQ17" s="129"/>
      <c r="IR17" s="129"/>
      <c r="IS17" s="129"/>
      <c r="IT17" s="129"/>
      <c r="IU17" s="129"/>
      <c r="IV17" s="129"/>
      <c r="IW17" s="129"/>
      <c r="IX17" s="129"/>
      <c r="IY17" s="129"/>
      <c r="IZ17" s="129"/>
      <c r="JA17" s="129"/>
      <c r="JB17" s="129"/>
      <c r="JC17" s="129"/>
      <c r="JD17" s="129"/>
      <c r="JE17" s="129"/>
      <c r="JF17" s="129"/>
      <c r="JG17" s="129"/>
      <c r="JH17" s="129"/>
      <c r="JI17" s="129"/>
      <c r="JJ17" s="129"/>
      <c r="JK17" s="129"/>
    </row>
    <row r="18" ht="18.75" customHeight="1">
      <c r="A18" s="155"/>
      <c r="B18" s="156"/>
      <c r="C18" s="156"/>
      <c r="D18" s="156"/>
      <c r="E18" s="161"/>
      <c r="F18" s="156"/>
      <c r="G18" s="156"/>
      <c r="H18" s="156"/>
      <c r="I18" s="156"/>
      <c r="J18" s="163"/>
      <c r="K18" s="7"/>
      <c r="L18" s="7"/>
      <c r="M18" s="8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164"/>
      <c r="BE18" s="164"/>
      <c r="BF18" s="164"/>
      <c r="BG18" s="164"/>
      <c r="BH18" s="164"/>
      <c r="BI18" s="164"/>
      <c r="BJ18" s="164"/>
      <c r="BK18" s="164"/>
      <c r="BL18" s="164"/>
      <c r="BM18" s="164"/>
      <c r="BN18" s="164"/>
      <c r="BO18" s="164"/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164"/>
      <c r="CC18" s="164"/>
      <c r="CD18" s="164"/>
      <c r="CE18" s="164"/>
      <c r="CF18" s="164"/>
      <c r="CG18" s="164"/>
      <c r="CH18" s="164"/>
      <c r="CI18" s="164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164"/>
      <c r="CY18" s="164"/>
      <c r="CZ18" s="164"/>
      <c r="DA18" s="164"/>
      <c r="DB18" s="164"/>
      <c r="DC18" s="164"/>
      <c r="DD18" s="164"/>
      <c r="DE18" s="164"/>
      <c r="DF18" s="164"/>
      <c r="DG18" s="164"/>
      <c r="DH18" s="164"/>
      <c r="DI18" s="164"/>
      <c r="DJ18" s="164"/>
      <c r="DK18" s="164"/>
      <c r="DL18" s="164"/>
      <c r="DM18" s="164"/>
      <c r="DN18" s="164"/>
      <c r="DO18" s="164"/>
      <c r="DP18" s="164"/>
      <c r="DQ18" s="164"/>
      <c r="DR18" s="164"/>
      <c r="DS18" s="164"/>
      <c r="DT18" s="164"/>
      <c r="DU18" s="164"/>
      <c r="DV18" s="164"/>
      <c r="DW18" s="164"/>
      <c r="DX18" s="164"/>
      <c r="DY18" s="164"/>
      <c r="DZ18" s="164"/>
      <c r="EA18" s="164"/>
      <c r="EB18" s="164"/>
      <c r="EC18" s="164"/>
      <c r="ED18" s="164"/>
      <c r="EE18" s="164"/>
      <c r="EF18" s="164"/>
      <c r="EG18" s="164"/>
      <c r="EH18" s="164"/>
      <c r="EI18" s="164"/>
      <c r="EJ18" s="164"/>
      <c r="EK18" s="164"/>
      <c r="EL18" s="164"/>
      <c r="EM18" s="164"/>
      <c r="EN18" s="164"/>
      <c r="EO18" s="164"/>
      <c r="EP18" s="164"/>
      <c r="EQ18" s="164"/>
      <c r="ER18" s="164"/>
      <c r="ES18" s="164"/>
      <c r="ET18" s="164"/>
      <c r="EU18" s="164"/>
      <c r="EV18" s="164"/>
      <c r="EW18" s="164"/>
      <c r="EX18" s="164"/>
      <c r="EY18" s="164"/>
      <c r="EZ18" s="164"/>
      <c r="FA18" s="164"/>
      <c r="FB18" s="164"/>
      <c r="FC18" s="164"/>
      <c r="FD18" s="164"/>
      <c r="FE18" s="164"/>
      <c r="FF18" s="164"/>
      <c r="FG18" s="164"/>
      <c r="FH18" s="164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164"/>
      <c r="FW18" s="164"/>
      <c r="FX18" s="164"/>
      <c r="FY18" s="164"/>
      <c r="FZ18" s="164"/>
      <c r="GA18" s="164"/>
      <c r="GB18" s="164"/>
      <c r="GC18" s="164"/>
      <c r="GD18" s="164"/>
      <c r="GE18" s="164"/>
      <c r="GF18" s="164"/>
      <c r="GG18" s="164"/>
      <c r="GH18" s="164"/>
      <c r="GI18" s="164"/>
      <c r="GJ18" s="164"/>
      <c r="GK18" s="164"/>
      <c r="GL18" s="164"/>
      <c r="GM18" s="164"/>
      <c r="GN18" s="164"/>
      <c r="GO18" s="164"/>
      <c r="GP18" s="164"/>
      <c r="GQ18" s="164"/>
      <c r="GR18" s="164"/>
      <c r="GS18" s="164"/>
      <c r="GT18" s="164"/>
      <c r="GU18" s="164"/>
      <c r="GV18" s="164"/>
      <c r="GW18" s="164"/>
      <c r="GX18" s="164"/>
      <c r="GY18" s="164"/>
      <c r="GZ18" s="164"/>
      <c r="HA18" s="164"/>
      <c r="HB18" s="164"/>
      <c r="HC18" s="164"/>
      <c r="HD18" s="164"/>
      <c r="HE18" s="164"/>
      <c r="HF18" s="164"/>
      <c r="HG18" s="164"/>
      <c r="HH18" s="164"/>
      <c r="HI18" s="164"/>
      <c r="HJ18" s="164"/>
      <c r="HK18" s="164"/>
      <c r="HL18" s="164"/>
      <c r="HM18" s="164"/>
      <c r="HN18" s="164"/>
      <c r="HO18" s="164"/>
      <c r="HP18" s="164"/>
      <c r="HQ18" s="164"/>
      <c r="HR18" s="164"/>
      <c r="HS18" s="164"/>
      <c r="HT18" s="164"/>
      <c r="HU18" s="164"/>
      <c r="HV18" s="164"/>
      <c r="HW18" s="164"/>
      <c r="HX18" s="164"/>
      <c r="HY18" s="164"/>
      <c r="HZ18" s="164"/>
      <c r="IA18" s="164"/>
      <c r="IB18" s="164"/>
      <c r="IC18" s="164"/>
      <c r="ID18" s="164"/>
      <c r="IE18" s="164"/>
      <c r="IF18" s="164"/>
      <c r="IG18" s="164"/>
      <c r="IH18" s="164"/>
      <c r="II18" s="164"/>
      <c r="IJ18" s="164"/>
      <c r="IK18" s="164"/>
      <c r="IL18" s="164"/>
      <c r="IM18" s="164"/>
      <c r="IN18" s="164"/>
      <c r="IO18" s="164"/>
      <c r="IP18" s="164"/>
      <c r="IQ18" s="164"/>
      <c r="IR18" s="164"/>
      <c r="IS18" s="164"/>
      <c r="IT18" s="164"/>
      <c r="IU18" s="164"/>
      <c r="IV18" s="164"/>
      <c r="IW18" s="164"/>
      <c r="IX18" s="164"/>
      <c r="IY18" s="164"/>
      <c r="IZ18" s="164"/>
      <c r="JA18" s="164"/>
      <c r="JB18" s="164"/>
      <c r="JC18" s="164"/>
      <c r="JD18" s="164"/>
      <c r="JE18" s="164"/>
      <c r="JF18" s="164"/>
      <c r="JG18" s="164"/>
      <c r="JH18" s="164"/>
      <c r="JI18" s="164"/>
      <c r="JJ18" s="164"/>
      <c r="JK18" s="164"/>
    </row>
    <row r="19" ht="18.75" customHeight="1">
      <c r="A19" s="155"/>
      <c r="B19" s="156"/>
      <c r="C19" s="156"/>
      <c r="D19" s="156"/>
      <c r="E19" s="161"/>
      <c r="F19" s="156"/>
      <c r="G19" s="156"/>
      <c r="H19" s="156"/>
      <c r="I19" s="156"/>
      <c r="J19" s="165" t="s">
        <v>37</v>
      </c>
      <c r="K19" s="166" t="s">
        <v>38</v>
      </c>
      <c r="L19" s="167" t="s">
        <v>39</v>
      </c>
      <c r="M19" s="168" t="s">
        <v>40</v>
      </c>
    </row>
    <row r="20" ht="18.75" customHeight="1">
      <c r="A20" s="155"/>
      <c r="B20" s="156"/>
      <c r="C20" s="156"/>
      <c r="D20" s="156"/>
      <c r="E20" s="161"/>
      <c r="F20" s="156"/>
      <c r="G20" s="156"/>
      <c r="H20" s="156"/>
      <c r="I20" s="156"/>
      <c r="J20" s="169"/>
      <c r="K20" s="84"/>
      <c r="L20" s="84"/>
      <c r="M20" s="170"/>
    </row>
    <row r="21" ht="18.75" customHeight="1">
      <c r="A21" s="155"/>
      <c r="B21" s="156"/>
      <c r="C21" s="156"/>
      <c r="D21" s="156"/>
      <c r="E21" s="161"/>
      <c r="F21" s="156"/>
      <c r="G21" s="156"/>
      <c r="H21" s="156"/>
      <c r="I21" s="156"/>
      <c r="J21" s="171">
        <v>0.0</v>
      </c>
      <c r="K21" s="172">
        <v>0.0</v>
      </c>
      <c r="L21" s="173">
        <v>2.0</v>
      </c>
      <c r="M21" s="174" t="s">
        <v>66</v>
      </c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  <c r="BF21" s="164"/>
      <c r="BG21" s="164"/>
      <c r="BH21" s="164"/>
      <c r="BI21" s="164"/>
      <c r="BJ21" s="164"/>
      <c r="BK21" s="164"/>
      <c r="BL21" s="164"/>
      <c r="BM21" s="164"/>
      <c r="BN21" s="164"/>
      <c r="BO21" s="164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4"/>
      <c r="CC21" s="164"/>
      <c r="CD21" s="164"/>
      <c r="CE21" s="164"/>
      <c r="CF21" s="164"/>
      <c r="CG21" s="164"/>
      <c r="CH21" s="164"/>
      <c r="CI21" s="164"/>
      <c r="CJ21" s="164"/>
      <c r="CK21" s="164"/>
      <c r="CL21" s="164"/>
      <c r="CM21" s="164"/>
      <c r="CN21" s="164"/>
      <c r="CO21" s="164"/>
      <c r="CP21" s="164"/>
      <c r="CQ21" s="164"/>
      <c r="CR21" s="164"/>
      <c r="CS21" s="164"/>
      <c r="CT21" s="164"/>
      <c r="CU21" s="164"/>
      <c r="CV21" s="164"/>
      <c r="CW21" s="164"/>
      <c r="CX21" s="164"/>
      <c r="CY21" s="164"/>
      <c r="CZ21" s="164"/>
      <c r="DA21" s="164"/>
      <c r="DB21" s="164"/>
      <c r="DC21" s="164"/>
      <c r="DD21" s="164"/>
      <c r="DE21" s="164"/>
      <c r="DF21" s="164"/>
      <c r="DG21" s="164"/>
      <c r="DH21" s="164"/>
      <c r="DI21" s="164"/>
      <c r="DJ21" s="164"/>
      <c r="DK21" s="164"/>
      <c r="DL21" s="164"/>
      <c r="DM21" s="164"/>
      <c r="DN21" s="164"/>
      <c r="DO21" s="164"/>
      <c r="DP21" s="164"/>
      <c r="DQ21" s="164"/>
      <c r="DR21" s="164"/>
      <c r="DS21" s="164"/>
      <c r="DT21" s="164"/>
      <c r="DU21" s="164"/>
      <c r="DV21" s="164"/>
      <c r="DW21" s="164"/>
      <c r="DX21" s="164"/>
      <c r="DY21" s="164"/>
      <c r="DZ21" s="164"/>
      <c r="EA21" s="164"/>
      <c r="EB21" s="164"/>
      <c r="EC21" s="164"/>
      <c r="ED21" s="164"/>
      <c r="EE21" s="164"/>
      <c r="EF21" s="164"/>
      <c r="EG21" s="164"/>
      <c r="EH21" s="164"/>
      <c r="EI21" s="164"/>
      <c r="EJ21" s="164"/>
      <c r="EK21" s="164"/>
      <c r="EL21" s="164"/>
      <c r="EM21" s="164"/>
      <c r="EN21" s="164"/>
      <c r="EO21" s="164"/>
      <c r="EP21" s="164"/>
      <c r="EQ21" s="164"/>
      <c r="ER21" s="164"/>
      <c r="ES21" s="164"/>
      <c r="ET21" s="164"/>
      <c r="EU21" s="164"/>
      <c r="EV21" s="164"/>
      <c r="EW21" s="164"/>
      <c r="EX21" s="164"/>
      <c r="EY21" s="164"/>
      <c r="EZ21" s="164"/>
      <c r="FA21" s="164"/>
      <c r="FB21" s="164"/>
      <c r="FC21" s="164"/>
      <c r="FD21" s="164"/>
      <c r="FE21" s="164"/>
      <c r="FF21" s="164"/>
      <c r="FG21" s="164"/>
      <c r="FH21" s="164"/>
      <c r="FI21" s="164"/>
      <c r="FJ21" s="164"/>
      <c r="FK21" s="164"/>
      <c r="FL21" s="164"/>
      <c r="FM21" s="164"/>
      <c r="FN21" s="164"/>
      <c r="FO21" s="164"/>
      <c r="FP21" s="164"/>
      <c r="FQ21" s="164"/>
      <c r="FR21" s="164"/>
      <c r="FS21" s="164"/>
      <c r="FT21" s="164"/>
      <c r="FU21" s="164"/>
      <c r="FV21" s="164"/>
      <c r="FW21" s="164"/>
      <c r="FX21" s="164"/>
      <c r="FY21" s="164"/>
      <c r="FZ21" s="164"/>
      <c r="GA21" s="164"/>
      <c r="GB21" s="164"/>
      <c r="GC21" s="164"/>
      <c r="GD21" s="164"/>
      <c r="GE21" s="164"/>
      <c r="GF21" s="164"/>
      <c r="GG21" s="164"/>
      <c r="GH21" s="164"/>
      <c r="GI21" s="164"/>
      <c r="GJ21" s="164"/>
      <c r="GK21" s="164"/>
      <c r="GL21" s="164"/>
      <c r="GM21" s="164"/>
      <c r="GN21" s="164"/>
      <c r="GO21" s="164"/>
      <c r="GP21" s="164"/>
      <c r="GQ21" s="164"/>
      <c r="GR21" s="164"/>
      <c r="GS21" s="164"/>
      <c r="GT21" s="164"/>
      <c r="GU21" s="164"/>
      <c r="GV21" s="164"/>
      <c r="GW21" s="164"/>
      <c r="GX21" s="164"/>
      <c r="GY21" s="164"/>
      <c r="GZ21" s="164"/>
      <c r="HA21" s="164"/>
      <c r="HB21" s="164"/>
      <c r="HC21" s="164"/>
      <c r="HD21" s="164"/>
      <c r="HE21" s="164"/>
      <c r="HF21" s="164"/>
      <c r="HG21" s="164"/>
      <c r="HH21" s="164"/>
      <c r="HI21" s="164"/>
      <c r="HJ21" s="164"/>
      <c r="HK21" s="164"/>
      <c r="HL21" s="164"/>
      <c r="HM21" s="164"/>
      <c r="HN21" s="164"/>
      <c r="HO21" s="164"/>
      <c r="HP21" s="164"/>
      <c r="HQ21" s="164"/>
      <c r="HR21" s="164"/>
      <c r="HS21" s="164"/>
      <c r="HT21" s="164"/>
      <c r="HU21" s="164"/>
      <c r="HV21" s="164"/>
      <c r="HW21" s="164"/>
      <c r="HX21" s="164"/>
      <c r="HY21" s="164"/>
      <c r="HZ21" s="164"/>
      <c r="IA21" s="164"/>
      <c r="IB21" s="164"/>
      <c r="IC21" s="164"/>
      <c r="ID21" s="164"/>
      <c r="IE21" s="164"/>
      <c r="IF21" s="164"/>
      <c r="IG21" s="164"/>
      <c r="IH21" s="164"/>
      <c r="II21" s="164"/>
      <c r="IJ21" s="164"/>
      <c r="IK21" s="164"/>
      <c r="IL21" s="164"/>
      <c r="IM21" s="164"/>
      <c r="IN21" s="164"/>
      <c r="IO21" s="164"/>
      <c r="IP21" s="164"/>
      <c r="IQ21" s="164"/>
      <c r="IR21" s="164"/>
      <c r="IS21" s="164"/>
      <c r="IT21" s="164"/>
      <c r="IU21" s="164"/>
      <c r="IV21" s="164"/>
      <c r="IW21" s="164"/>
      <c r="IX21" s="164"/>
      <c r="IY21" s="164"/>
      <c r="IZ21" s="164"/>
      <c r="JA21" s="164"/>
      <c r="JB21" s="164"/>
      <c r="JC21" s="164"/>
      <c r="JD21" s="164"/>
      <c r="JE21" s="164"/>
      <c r="JF21" s="164"/>
      <c r="JG21" s="164"/>
      <c r="JH21" s="164"/>
      <c r="JI21" s="164"/>
      <c r="JJ21" s="164"/>
      <c r="JK21" s="164"/>
    </row>
    <row r="22" ht="18.75" customHeight="1">
      <c r="A22" s="155"/>
      <c r="B22" s="156"/>
      <c r="C22" s="156"/>
      <c r="D22" s="156"/>
      <c r="E22" s="161"/>
      <c r="F22" s="156"/>
      <c r="G22" s="156"/>
      <c r="H22" s="156"/>
      <c r="I22" s="156"/>
      <c r="J22" s="175" t="s">
        <v>45</v>
      </c>
      <c r="K22" s="176" t="s">
        <v>46</v>
      </c>
      <c r="L22" s="177" t="s">
        <v>47</v>
      </c>
      <c r="M22" s="178" t="s">
        <v>48</v>
      </c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164"/>
      <c r="CC22" s="164"/>
      <c r="CD22" s="164"/>
      <c r="CE22" s="164"/>
      <c r="CF22" s="164"/>
      <c r="CG22" s="164"/>
      <c r="CH22" s="164"/>
      <c r="CI22" s="164"/>
      <c r="CJ22" s="164"/>
      <c r="CK22" s="164"/>
      <c r="CL22" s="164"/>
      <c r="CM22" s="164"/>
      <c r="CN22" s="164"/>
      <c r="CO22" s="164"/>
      <c r="CP22" s="164"/>
      <c r="CQ22" s="164"/>
      <c r="CR22" s="164"/>
      <c r="CS22" s="164"/>
      <c r="CT22" s="164"/>
      <c r="CU22" s="164"/>
      <c r="CV22" s="164"/>
      <c r="CW22" s="164"/>
      <c r="CX22" s="164"/>
      <c r="CY22" s="164"/>
      <c r="CZ22" s="164"/>
      <c r="DA22" s="164"/>
      <c r="DB22" s="164"/>
      <c r="DC22" s="164"/>
      <c r="DD22" s="164"/>
      <c r="DE22" s="164"/>
      <c r="DF22" s="164"/>
      <c r="DG22" s="164"/>
      <c r="DH22" s="164"/>
      <c r="DI22" s="164"/>
      <c r="DJ22" s="164"/>
      <c r="DK22" s="164"/>
      <c r="DL22" s="164"/>
      <c r="DM22" s="164"/>
      <c r="DN22" s="164"/>
      <c r="DO22" s="164"/>
      <c r="DP22" s="164"/>
      <c r="DQ22" s="164"/>
      <c r="DR22" s="164"/>
      <c r="DS22" s="164"/>
      <c r="DT22" s="164"/>
      <c r="DU22" s="164"/>
      <c r="DV22" s="164"/>
      <c r="DW22" s="164"/>
      <c r="DX22" s="164"/>
      <c r="DY22" s="164"/>
      <c r="DZ22" s="164"/>
      <c r="EA22" s="164"/>
      <c r="EB22" s="164"/>
      <c r="EC22" s="164"/>
      <c r="ED22" s="164"/>
      <c r="EE22" s="164"/>
      <c r="EF22" s="164"/>
      <c r="EG22" s="164"/>
      <c r="EH22" s="164"/>
      <c r="EI22" s="164"/>
      <c r="EJ22" s="164"/>
      <c r="EK22" s="164"/>
      <c r="EL22" s="164"/>
      <c r="EM22" s="164"/>
      <c r="EN22" s="164"/>
      <c r="EO22" s="164"/>
      <c r="EP22" s="164"/>
      <c r="EQ22" s="164"/>
      <c r="ER22" s="164"/>
      <c r="ES22" s="164"/>
      <c r="ET22" s="164"/>
      <c r="EU22" s="164"/>
      <c r="EV22" s="164"/>
      <c r="EW22" s="164"/>
      <c r="EX22" s="164"/>
      <c r="EY22" s="164"/>
      <c r="EZ22" s="164"/>
      <c r="FA22" s="164"/>
      <c r="FB22" s="164"/>
      <c r="FC22" s="164"/>
      <c r="FD22" s="164"/>
      <c r="FE22" s="164"/>
      <c r="FF22" s="164"/>
      <c r="FG22" s="164"/>
      <c r="FH22" s="164"/>
      <c r="FI22" s="164"/>
      <c r="FJ22" s="164"/>
      <c r="FK22" s="164"/>
      <c r="FL22" s="164"/>
      <c r="FM22" s="164"/>
      <c r="FN22" s="164"/>
      <c r="FO22" s="164"/>
      <c r="FP22" s="164"/>
      <c r="FQ22" s="164"/>
      <c r="FR22" s="164"/>
      <c r="FS22" s="164"/>
      <c r="FT22" s="164"/>
      <c r="FU22" s="164"/>
      <c r="FV22" s="164"/>
      <c r="FW22" s="164"/>
      <c r="FX22" s="164"/>
      <c r="FY22" s="164"/>
      <c r="FZ22" s="164"/>
      <c r="GA22" s="164"/>
      <c r="GB22" s="164"/>
      <c r="GC22" s="164"/>
      <c r="GD22" s="164"/>
      <c r="GE22" s="164"/>
      <c r="GF22" s="164"/>
      <c r="GG22" s="164"/>
      <c r="GH22" s="164"/>
      <c r="GI22" s="164"/>
      <c r="GJ22" s="164"/>
      <c r="GK22" s="164"/>
      <c r="GL22" s="164"/>
      <c r="GM22" s="164"/>
      <c r="GN22" s="164"/>
      <c r="GO22" s="164"/>
      <c r="GP22" s="164"/>
      <c r="GQ22" s="164"/>
      <c r="GR22" s="164"/>
      <c r="GS22" s="164"/>
      <c r="GT22" s="164"/>
      <c r="GU22" s="164"/>
      <c r="GV22" s="164"/>
      <c r="GW22" s="164"/>
      <c r="GX22" s="164"/>
      <c r="GY22" s="164"/>
      <c r="GZ22" s="164"/>
      <c r="HA22" s="164"/>
      <c r="HB22" s="164"/>
      <c r="HC22" s="164"/>
      <c r="HD22" s="164"/>
      <c r="HE22" s="164"/>
      <c r="HF22" s="164"/>
      <c r="HG22" s="164"/>
      <c r="HH22" s="164"/>
      <c r="HI22" s="164"/>
      <c r="HJ22" s="164"/>
      <c r="HK22" s="164"/>
      <c r="HL22" s="164"/>
      <c r="HM22" s="164"/>
      <c r="HN22" s="164"/>
      <c r="HO22" s="164"/>
      <c r="HP22" s="164"/>
      <c r="HQ22" s="164"/>
      <c r="HR22" s="164"/>
      <c r="HS22" s="164"/>
      <c r="HT22" s="164"/>
      <c r="HU22" s="164"/>
      <c r="HV22" s="164"/>
      <c r="HW22" s="164"/>
      <c r="HX22" s="164"/>
      <c r="HY22" s="164"/>
      <c r="HZ22" s="164"/>
      <c r="IA22" s="164"/>
      <c r="IB22" s="164"/>
      <c r="IC22" s="164"/>
      <c r="ID22" s="164"/>
      <c r="IE22" s="164"/>
      <c r="IF22" s="164"/>
      <c r="IG22" s="164"/>
      <c r="IH22" s="164"/>
      <c r="II22" s="164"/>
      <c r="IJ22" s="164"/>
      <c r="IK22" s="164"/>
      <c r="IL22" s="164"/>
      <c r="IM22" s="164"/>
      <c r="IN22" s="164"/>
      <c r="IO22" s="164"/>
      <c r="IP22" s="164"/>
      <c r="IQ22" s="164"/>
      <c r="IR22" s="164"/>
      <c r="IS22" s="164"/>
      <c r="IT22" s="164"/>
      <c r="IU22" s="164"/>
      <c r="IV22" s="164"/>
      <c r="IW22" s="164"/>
      <c r="IX22" s="164"/>
      <c r="IY22" s="164"/>
      <c r="IZ22" s="164"/>
      <c r="JA22" s="164"/>
      <c r="JB22" s="164"/>
      <c r="JC22" s="164"/>
      <c r="JD22" s="164"/>
      <c r="JE22" s="164"/>
      <c r="JF22" s="164"/>
      <c r="JG22" s="164"/>
      <c r="JH22" s="164"/>
      <c r="JI22" s="164"/>
      <c r="JJ22" s="164"/>
      <c r="JK22" s="164"/>
    </row>
    <row r="23" ht="18.75" customHeight="1">
      <c r="A23" s="155"/>
      <c r="B23" s="156"/>
      <c r="C23" s="156"/>
      <c r="D23" s="156"/>
      <c r="E23" s="161"/>
      <c r="F23" s="156"/>
      <c r="G23" s="156"/>
      <c r="H23" s="156"/>
      <c r="I23" s="156"/>
      <c r="J23" s="169"/>
      <c r="K23" s="84"/>
      <c r="L23" s="84"/>
      <c r="M23" s="170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  <c r="BJ23" s="164"/>
      <c r="BK23" s="164"/>
      <c r="BL23" s="164"/>
      <c r="BM23" s="164"/>
      <c r="BN23" s="164"/>
      <c r="BO23" s="164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164"/>
      <c r="CC23" s="164"/>
      <c r="CD23" s="164"/>
      <c r="CE23" s="164"/>
      <c r="CF23" s="164"/>
      <c r="CG23" s="164"/>
      <c r="CH23" s="164"/>
      <c r="CI23" s="164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164"/>
      <c r="CY23" s="164"/>
      <c r="CZ23" s="164"/>
      <c r="DA23" s="164"/>
      <c r="DB23" s="164"/>
      <c r="DC23" s="164"/>
      <c r="DD23" s="164"/>
      <c r="DE23" s="164"/>
      <c r="DF23" s="164"/>
      <c r="DG23" s="164"/>
      <c r="DH23" s="164"/>
      <c r="DI23" s="164"/>
      <c r="DJ23" s="164"/>
      <c r="DK23" s="164"/>
      <c r="DL23" s="164"/>
      <c r="DM23" s="164"/>
      <c r="DN23" s="164"/>
      <c r="DO23" s="164"/>
      <c r="DP23" s="164"/>
      <c r="DQ23" s="164"/>
      <c r="DR23" s="164"/>
      <c r="DS23" s="164"/>
      <c r="DT23" s="164"/>
      <c r="DU23" s="164"/>
      <c r="DV23" s="164"/>
      <c r="DW23" s="164"/>
      <c r="DX23" s="164"/>
      <c r="DY23" s="164"/>
      <c r="DZ23" s="164"/>
      <c r="EA23" s="164"/>
      <c r="EB23" s="164"/>
      <c r="EC23" s="164"/>
      <c r="ED23" s="164"/>
      <c r="EE23" s="164"/>
      <c r="EF23" s="164"/>
      <c r="EG23" s="164"/>
      <c r="EH23" s="164"/>
      <c r="EI23" s="164"/>
      <c r="EJ23" s="164"/>
      <c r="EK23" s="164"/>
      <c r="EL23" s="164"/>
      <c r="EM23" s="164"/>
      <c r="EN23" s="164"/>
      <c r="EO23" s="164"/>
      <c r="EP23" s="164"/>
      <c r="EQ23" s="164"/>
      <c r="ER23" s="164"/>
      <c r="ES23" s="164"/>
      <c r="ET23" s="164"/>
      <c r="EU23" s="164"/>
      <c r="EV23" s="164"/>
      <c r="EW23" s="164"/>
      <c r="EX23" s="164"/>
      <c r="EY23" s="164"/>
      <c r="EZ23" s="164"/>
      <c r="FA23" s="164"/>
      <c r="FB23" s="164"/>
      <c r="FC23" s="164"/>
      <c r="FD23" s="164"/>
      <c r="FE23" s="164"/>
      <c r="FF23" s="164"/>
      <c r="FG23" s="164"/>
      <c r="FH23" s="164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164"/>
      <c r="FW23" s="164"/>
      <c r="FX23" s="164"/>
      <c r="FY23" s="164"/>
      <c r="FZ23" s="164"/>
      <c r="GA23" s="164"/>
      <c r="GB23" s="164"/>
      <c r="GC23" s="164"/>
      <c r="GD23" s="164"/>
      <c r="GE23" s="164"/>
      <c r="GF23" s="164"/>
      <c r="GG23" s="164"/>
      <c r="GH23" s="164"/>
      <c r="GI23" s="164"/>
      <c r="GJ23" s="164"/>
      <c r="GK23" s="164"/>
      <c r="GL23" s="164"/>
      <c r="GM23" s="164"/>
      <c r="GN23" s="164"/>
      <c r="GO23" s="164"/>
      <c r="GP23" s="164"/>
      <c r="GQ23" s="164"/>
      <c r="GR23" s="164"/>
      <c r="GS23" s="164"/>
      <c r="GT23" s="164"/>
      <c r="GU23" s="164"/>
      <c r="GV23" s="164"/>
      <c r="GW23" s="164"/>
      <c r="GX23" s="164"/>
      <c r="GY23" s="164"/>
      <c r="GZ23" s="164"/>
      <c r="HA23" s="164"/>
      <c r="HB23" s="164"/>
      <c r="HC23" s="164"/>
      <c r="HD23" s="164"/>
      <c r="HE23" s="164"/>
      <c r="HF23" s="164"/>
      <c r="HG23" s="164"/>
      <c r="HH23" s="164"/>
      <c r="HI23" s="164"/>
      <c r="HJ23" s="164"/>
      <c r="HK23" s="164"/>
      <c r="HL23" s="164"/>
      <c r="HM23" s="164"/>
      <c r="HN23" s="164"/>
      <c r="HO23" s="164"/>
      <c r="HP23" s="164"/>
      <c r="HQ23" s="164"/>
      <c r="HR23" s="164"/>
      <c r="HS23" s="164"/>
      <c r="HT23" s="164"/>
      <c r="HU23" s="164"/>
      <c r="HV23" s="164"/>
      <c r="HW23" s="164"/>
      <c r="HX23" s="164"/>
      <c r="HY23" s="164"/>
      <c r="HZ23" s="164"/>
      <c r="IA23" s="164"/>
      <c r="IB23" s="164"/>
      <c r="IC23" s="164"/>
      <c r="ID23" s="164"/>
      <c r="IE23" s="164"/>
      <c r="IF23" s="164"/>
      <c r="IG23" s="164"/>
      <c r="IH23" s="164"/>
      <c r="II23" s="164"/>
      <c r="IJ23" s="164"/>
      <c r="IK23" s="164"/>
      <c r="IL23" s="164"/>
      <c r="IM23" s="164"/>
      <c r="IN23" s="164"/>
      <c r="IO23" s="164"/>
      <c r="IP23" s="164"/>
      <c r="IQ23" s="164"/>
      <c r="IR23" s="164"/>
      <c r="IS23" s="164"/>
      <c r="IT23" s="164"/>
      <c r="IU23" s="164"/>
      <c r="IV23" s="164"/>
      <c r="IW23" s="164"/>
      <c r="IX23" s="164"/>
      <c r="IY23" s="164"/>
      <c r="IZ23" s="164"/>
      <c r="JA23" s="164"/>
      <c r="JB23" s="164"/>
      <c r="JC23" s="164"/>
      <c r="JD23" s="164"/>
      <c r="JE23" s="164"/>
      <c r="JF23" s="164"/>
      <c r="JG23" s="164"/>
      <c r="JH23" s="164"/>
      <c r="JI23" s="164"/>
      <c r="JJ23" s="164"/>
      <c r="JK23" s="164"/>
    </row>
    <row r="24" ht="18.75" customHeight="1">
      <c r="A24" s="155"/>
      <c r="B24" s="156"/>
      <c r="C24" s="156"/>
      <c r="D24" s="156"/>
      <c r="E24" s="161"/>
      <c r="F24" s="156"/>
      <c r="G24" s="156"/>
      <c r="H24" s="156"/>
      <c r="I24" s="156"/>
      <c r="J24" s="179">
        <v>2.0</v>
      </c>
      <c r="K24" s="173">
        <v>124.0</v>
      </c>
      <c r="L24" s="173">
        <v>27.0</v>
      </c>
      <c r="M24" s="180">
        <v>0.0</v>
      </c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4"/>
      <c r="BE24" s="164"/>
      <c r="BF24" s="164"/>
      <c r="BG24" s="164"/>
      <c r="BH24" s="164"/>
      <c r="BI24" s="164"/>
      <c r="BJ24" s="164"/>
      <c r="BK24" s="164"/>
      <c r="BL24" s="164"/>
      <c r="BM24" s="164"/>
      <c r="BN24" s="164"/>
      <c r="BO24" s="164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164"/>
      <c r="CC24" s="164"/>
      <c r="CD24" s="164"/>
      <c r="CE24" s="164"/>
      <c r="CF24" s="164"/>
      <c r="CG24" s="164"/>
      <c r="CH24" s="164"/>
      <c r="CI24" s="164"/>
      <c r="CJ24" s="164"/>
      <c r="CK24" s="164"/>
      <c r="CL24" s="164"/>
      <c r="CM24" s="164"/>
      <c r="CN24" s="164"/>
      <c r="CO24" s="164"/>
      <c r="CP24" s="164"/>
      <c r="CQ24" s="164"/>
      <c r="CR24" s="164"/>
      <c r="CS24" s="164"/>
      <c r="CT24" s="164"/>
      <c r="CU24" s="164"/>
      <c r="CV24" s="164"/>
      <c r="CW24" s="164"/>
      <c r="CX24" s="164"/>
      <c r="CY24" s="164"/>
      <c r="CZ24" s="164"/>
      <c r="DA24" s="164"/>
      <c r="DB24" s="164"/>
      <c r="DC24" s="164"/>
      <c r="DD24" s="164"/>
      <c r="DE24" s="164"/>
      <c r="DF24" s="164"/>
      <c r="DG24" s="164"/>
      <c r="DH24" s="164"/>
      <c r="DI24" s="164"/>
      <c r="DJ24" s="164"/>
      <c r="DK24" s="164"/>
      <c r="DL24" s="164"/>
      <c r="DM24" s="164"/>
      <c r="DN24" s="164"/>
      <c r="DO24" s="164"/>
      <c r="DP24" s="164"/>
      <c r="DQ24" s="164"/>
      <c r="DR24" s="164"/>
      <c r="DS24" s="164"/>
      <c r="DT24" s="164"/>
      <c r="DU24" s="164"/>
      <c r="DV24" s="164"/>
      <c r="DW24" s="164"/>
      <c r="DX24" s="164"/>
      <c r="DY24" s="164"/>
      <c r="DZ24" s="164"/>
      <c r="EA24" s="164"/>
      <c r="EB24" s="164"/>
      <c r="EC24" s="164"/>
      <c r="ED24" s="164"/>
      <c r="EE24" s="164"/>
      <c r="EF24" s="164"/>
      <c r="EG24" s="164"/>
      <c r="EH24" s="164"/>
      <c r="EI24" s="164"/>
      <c r="EJ24" s="164"/>
      <c r="EK24" s="164"/>
      <c r="EL24" s="164"/>
      <c r="EM24" s="164"/>
      <c r="EN24" s="164"/>
      <c r="EO24" s="164"/>
      <c r="EP24" s="164"/>
      <c r="EQ24" s="164"/>
      <c r="ER24" s="164"/>
      <c r="ES24" s="164"/>
      <c r="ET24" s="164"/>
      <c r="EU24" s="164"/>
      <c r="EV24" s="164"/>
      <c r="EW24" s="164"/>
      <c r="EX24" s="164"/>
      <c r="EY24" s="164"/>
      <c r="EZ24" s="164"/>
      <c r="FA24" s="164"/>
      <c r="FB24" s="164"/>
      <c r="FC24" s="164"/>
      <c r="FD24" s="164"/>
      <c r="FE24" s="164"/>
      <c r="FF24" s="164"/>
      <c r="FG24" s="164"/>
      <c r="FH24" s="164"/>
      <c r="FI24" s="164"/>
      <c r="FJ24" s="164"/>
      <c r="FK24" s="164"/>
      <c r="FL24" s="164"/>
      <c r="FM24" s="164"/>
      <c r="FN24" s="164"/>
      <c r="FO24" s="164"/>
      <c r="FP24" s="164"/>
      <c r="FQ24" s="164"/>
      <c r="FR24" s="164"/>
      <c r="FS24" s="164"/>
      <c r="FT24" s="164"/>
      <c r="FU24" s="164"/>
      <c r="FV24" s="164"/>
      <c r="FW24" s="164"/>
      <c r="FX24" s="164"/>
      <c r="FY24" s="164"/>
      <c r="FZ24" s="164"/>
      <c r="GA24" s="164"/>
      <c r="GB24" s="164"/>
      <c r="GC24" s="164"/>
      <c r="GD24" s="164"/>
      <c r="GE24" s="164"/>
      <c r="GF24" s="164"/>
      <c r="GG24" s="164"/>
      <c r="GH24" s="164"/>
      <c r="GI24" s="164"/>
      <c r="GJ24" s="164"/>
      <c r="GK24" s="164"/>
      <c r="GL24" s="164"/>
      <c r="GM24" s="164"/>
      <c r="GN24" s="164"/>
      <c r="GO24" s="164"/>
      <c r="GP24" s="164"/>
      <c r="GQ24" s="164"/>
      <c r="GR24" s="164"/>
      <c r="GS24" s="164"/>
      <c r="GT24" s="164"/>
      <c r="GU24" s="164"/>
      <c r="GV24" s="164"/>
      <c r="GW24" s="164"/>
      <c r="GX24" s="164"/>
      <c r="GY24" s="164"/>
      <c r="GZ24" s="164"/>
      <c r="HA24" s="164"/>
      <c r="HB24" s="164"/>
      <c r="HC24" s="164"/>
      <c r="HD24" s="164"/>
      <c r="HE24" s="164"/>
      <c r="HF24" s="164"/>
      <c r="HG24" s="164"/>
      <c r="HH24" s="164"/>
      <c r="HI24" s="164"/>
      <c r="HJ24" s="164"/>
      <c r="HK24" s="164"/>
      <c r="HL24" s="164"/>
      <c r="HM24" s="164"/>
      <c r="HN24" s="164"/>
      <c r="HO24" s="164"/>
      <c r="HP24" s="164"/>
      <c r="HQ24" s="164"/>
      <c r="HR24" s="164"/>
      <c r="HS24" s="164"/>
      <c r="HT24" s="164"/>
      <c r="HU24" s="164"/>
      <c r="HV24" s="164"/>
      <c r="HW24" s="164"/>
      <c r="HX24" s="164"/>
      <c r="HY24" s="164"/>
      <c r="HZ24" s="164"/>
      <c r="IA24" s="164"/>
      <c r="IB24" s="164"/>
      <c r="IC24" s="164"/>
      <c r="ID24" s="164"/>
      <c r="IE24" s="164"/>
      <c r="IF24" s="164"/>
      <c r="IG24" s="164"/>
      <c r="IH24" s="164"/>
      <c r="II24" s="164"/>
      <c r="IJ24" s="164"/>
      <c r="IK24" s="164"/>
      <c r="IL24" s="164"/>
      <c r="IM24" s="164"/>
      <c r="IN24" s="164"/>
      <c r="IO24" s="164"/>
      <c r="IP24" s="164"/>
      <c r="IQ24" s="164"/>
      <c r="IR24" s="164"/>
      <c r="IS24" s="164"/>
      <c r="IT24" s="164"/>
      <c r="IU24" s="164"/>
      <c r="IV24" s="164"/>
      <c r="IW24" s="164"/>
      <c r="IX24" s="164"/>
      <c r="IY24" s="164"/>
      <c r="IZ24" s="164"/>
      <c r="JA24" s="164"/>
      <c r="JB24" s="164"/>
      <c r="JC24" s="164"/>
      <c r="JD24" s="164"/>
      <c r="JE24" s="164"/>
      <c r="JF24" s="164"/>
      <c r="JG24" s="164"/>
      <c r="JH24" s="164"/>
      <c r="JI24" s="164"/>
      <c r="JJ24" s="164"/>
      <c r="JK24" s="164"/>
    </row>
    <row r="25" ht="18.75" customHeight="1">
      <c r="A25" s="155"/>
      <c r="B25" s="156"/>
      <c r="C25" s="156"/>
      <c r="D25" s="156"/>
      <c r="E25" s="161"/>
      <c r="F25" s="156"/>
      <c r="G25" s="156"/>
      <c r="H25" s="156"/>
      <c r="I25" s="156"/>
      <c r="J25" s="181" t="s">
        <v>51</v>
      </c>
      <c r="K25" s="93"/>
      <c r="L25" s="177" t="s">
        <v>52</v>
      </c>
      <c r="M25" s="178" t="s">
        <v>53</v>
      </c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4"/>
      <c r="BJ25" s="164"/>
      <c r="BK25" s="164"/>
      <c r="BL25" s="164"/>
      <c r="BM25" s="164"/>
      <c r="BN25" s="164"/>
      <c r="BO25" s="164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4"/>
      <c r="CC25" s="164"/>
      <c r="CD25" s="164"/>
      <c r="CE25" s="164"/>
      <c r="CF25" s="164"/>
      <c r="CG25" s="164"/>
      <c r="CH25" s="164"/>
      <c r="CI25" s="164"/>
      <c r="CJ25" s="164"/>
      <c r="CK25" s="164"/>
      <c r="CL25" s="164"/>
      <c r="CM25" s="164"/>
      <c r="CN25" s="164"/>
      <c r="CO25" s="164"/>
      <c r="CP25" s="164"/>
      <c r="CQ25" s="164"/>
      <c r="CR25" s="164"/>
      <c r="CS25" s="164"/>
      <c r="CT25" s="164"/>
      <c r="CU25" s="164"/>
      <c r="CV25" s="164"/>
      <c r="CW25" s="164"/>
      <c r="CX25" s="164"/>
      <c r="CY25" s="164"/>
      <c r="CZ25" s="164"/>
      <c r="DA25" s="164"/>
      <c r="DB25" s="164"/>
      <c r="DC25" s="164"/>
      <c r="DD25" s="164"/>
      <c r="DE25" s="164"/>
      <c r="DF25" s="164"/>
      <c r="DG25" s="164"/>
      <c r="DH25" s="164"/>
      <c r="DI25" s="164"/>
      <c r="DJ25" s="164"/>
      <c r="DK25" s="164"/>
      <c r="DL25" s="164"/>
      <c r="DM25" s="164"/>
      <c r="DN25" s="164"/>
      <c r="DO25" s="164"/>
      <c r="DP25" s="164"/>
      <c r="DQ25" s="164"/>
      <c r="DR25" s="164"/>
      <c r="DS25" s="164"/>
      <c r="DT25" s="164"/>
      <c r="DU25" s="164"/>
      <c r="DV25" s="164"/>
      <c r="DW25" s="164"/>
      <c r="DX25" s="164"/>
      <c r="DY25" s="164"/>
      <c r="DZ25" s="164"/>
      <c r="EA25" s="164"/>
      <c r="EB25" s="164"/>
      <c r="EC25" s="164"/>
      <c r="ED25" s="164"/>
      <c r="EE25" s="164"/>
      <c r="EF25" s="164"/>
      <c r="EG25" s="164"/>
      <c r="EH25" s="164"/>
      <c r="EI25" s="164"/>
      <c r="EJ25" s="164"/>
      <c r="EK25" s="164"/>
      <c r="EL25" s="164"/>
      <c r="EM25" s="164"/>
      <c r="EN25" s="164"/>
      <c r="EO25" s="164"/>
      <c r="EP25" s="164"/>
      <c r="EQ25" s="164"/>
      <c r="ER25" s="164"/>
      <c r="ES25" s="164"/>
      <c r="ET25" s="164"/>
      <c r="EU25" s="164"/>
      <c r="EV25" s="164"/>
      <c r="EW25" s="164"/>
      <c r="EX25" s="164"/>
      <c r="EY25" s="164"/>
      <c r="EZ25" s="164"/>
      <c r="FA25" s="164"/>
      <c r="FB25" s="164"/>
      <c r="FC25" s="164"/>
      <c r="FD25" s="164"/>
      <c r="FE25" s="164"/>
      <c r="FF25" s="164"/>
      <c r="FG25" s="164"/>
      <c r="FH25" s="164"/>
      <c r="FI25" s="164"/>
      <c r="FJ25" s="164"/>
      <c r="FK25" s="164"/>
      <c r="FL25" s="164"/>
      <c r="FM25" s="164"/>
      <c r="FN25" s="164"/>
      <c r="FO25" s="164"/>
      <c r="FP25" s="164"/>
      <c r="FQ25" s="164"/>
      <c r="FR25" s="164"/>
      <c r="FS25" s="164"/>
      <c r="FT25" s="164"/>
      <c r="FU25" s="164"/>
      <c r="FV25" s="164"/>
      <c r="FW25" s="164"/>
      <c r="FX25" s="164"/>
      <c r="FY25" s="164"/>
      <c r="FZ25" s="164"/>
      <c r="GA25" s="164"/>
      <c r="GB25" s="164"/>
      <c r="GC25" s="164"/>
      <c r="GD25" s="164"/>
      <c r="GE25" s="164"/>
      <c r="GF25" s="164"/>
      <c r="GG25" s="164"/>
      <c r="GH25" s="164"/>
      <c r="GI25" s="164"/>
      <c r="GJ25" s="164"/>
      <c r="GK25" s="164"/>
      <c r="GL25" s="164"/>
      <c r="GM25" s="164"/>
      <c r="GN25" s="164"/>
      <c r="GO25" s="164"/>
      <c r="GP25" s="164"/>
      <c r="GQ25" s="164"/>
      <c r="GR25" s="164"/>
      <c r="GS25" s="164"/>
      <c r="GT25" s="164"/>
      <c r="GU25" s="164"/>
      <c r="GV25" s="164"/>
      <c r="GW25" s="164"/>
      <c r="GX25" s="164"/>
      <c r="GY25" s="164"/>
      <c r="GZ25" s="164"/>
      <c r="HA25" s="164"/>
      <c r="HB25" s="164"/>
      <c r="HC25" s="164"/>
      <c r="HD25" s="164"/>
      <c r="HE25" s="164"/>
      <c r="HF25" s="164"/>
      <c r="HG25" s="164"/>
      <c r="HH25" s="164"/>
      <c r="HI25" s="164"/>
      <c r="HJ25" s="164"/>
      <c r="HK25" s="164"/>
      <c r="HL25" s="164"/>
      <c r="HM25" s="164"/>
      <c r="HN25" s="164"/>
      <c r="HO25" s="164"/>
      <c r="HP25" s="164"/>
      <c r="HQ25" s="164"/>
      <c r="HR25" s="164"/>
      <c r="HS25" s="164"/>
      <c r="HT25" s="164"/>
      <c r="HU25" s="164"/>
      <c r="HV25" s="164"/>
      <c r="HW25" s="164"/>
      <c r="HX25" s="164"/>
      <c r="HY25" s="164"/>
      <c r="HZ25" s="164"/>
      <c r="IA25" s="164"/>
      <c r="IB25" s="164"/>
      <c r="IC25" s="164"/>
      <c r="ID25" s="164"/>
      <c r="IE25" s="164"/>
      <c r="IF25" s="164"/>
      <c r="IG25" s="164"/>
      <c r="IH25" s="164"/>
      <c r="II25" s="164"/>
      <c r="IJ25" s="164"/>
      <c r="IK25" s="164"/>
      <c r="IL25" s="164"/>
      <c r="IM25" s="164"/>
      <c r="IN25" s="164"/>
      <c r="IO25" s="164"/>
      <c r="IP25" s="164"/>
      <c r="IQ25" s="164"/>
      <c r="IR25" s="164"/>
      <c r="IS25" s="164"/>
      <c r="IT25" s="164"/>
      <c r="IU25" s="164"/>
      <c r="IV25" s="164"/>
      <c r="IW25" s="164"/>
      <c r="IX25" s="164"/>
      <c r="IY25" s="164"/>
      <c r="IZ25" s="164"/>
      <c r="JA25" s="164"/>
      <c r="JB25" s="164"/>
      <c r="JC25" s="164"/>
      <c r="JD25" s="164"/>
      <c r="JE25" s="164"/>
      <c r="JF25" s="164"/>
      <c r="JG25" s="164"/>
      <c r="JH25" s="164"/>
      <c r="JI25" s="164"/>
      <c r="JJ25" s="164"/>
      <c r="JK25" s="164"/>
    </row>
    <row r="26" ht="18.75" customHeight="1">
      <c r="A26" s="155"/>
      <c r="B26" s="156"/>
      <c r="C26" s="156"/>
      <c r="D26" s="156"/>
      <c r="E26" s="161"/>
      <c r="F26" s="156"/>
      <c r="G26" s="156"/>
      <c r="H26" s="156"/>
      <c r="I26" s="156"/>
      <c r="J26" s="182"/>
      <c r="K26" s="96"/>
      <c r="L26" s="84"/>
      <c r="M26" s="170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64"/>
      <c r="BD26" s="164"/>
      <c r="BE26" s="164"/>
      <c r="BF26" s="164"/>
      <c r="BG26" s="164"/>
      <c r="BH26" s="164"/>
      <c r="BI26" s="164"/>
      <c r="BJ26" s="164"/>
      <c r="BK26" s="164"/>
      <c r="BL26" s="164"/>
      <c r="BM26" s="164"/>
      <c r="BN26" s="164"/>
      <c r="BO26" s="164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4"/>
      <c r="CC26" s="164"/>
      <c r="CD26" s="164"/>
      <c r="CE26" s="164"/>
      <c r="CF26" s="164"/>
      <c r="CG26" s="164"/>
      <c r="CH26" s="164"/>
      <c r="CI26" s="164"/>
      <c r="CJ26" s="164"/>
      <c r="CK26" s="164"/>
      <c r="CL26" s="164"/>
      <c r="CM26" s="164"/>
      <c r="CN26" s="164"/>
      <c r="CO26" s="164"/>
      <c r="CP26" s="164"/>
      <c r="CQ26" s="164"/>
      <c r="CR26" s="164"/>
      <c r="CS26" s="164"/>
      <c r="CT26" s="164"/>
      <c r="CU26" s="164"/>
      <c r="CV26" s="164"/>
      <c r="CW26" s="164"/>
      <c r="CX26" s="164"/>
      <c r="CY26" s="164"/>
      <c r="CZ26" s="164"/>
      <c r="DA26" s="164"/>
      <c r="DB26" s="164"/>
      <c r="DC26" s="164"/>
      <c r="DD26" s="164"/>
      <c r="DE26" s="164"/>
      <c r="DF26" s="164"/>
      <c r="DG26" s="164"/>
      <c r="DH26" s="164"/>
      <c r="DI26" s="164"/>
      <c r="DJ26" s="164"/>
      <c r="DK26" s="164"/>
      <c r="DL26" s="164"/>
      <c r="DM26" s="164"/>
      <c r="DN26" s="164"/>
      <c r="DO26" s="164"/>
      <c r="DP26" s="164"/>
      <c r="DQ26" s="164"/>
      <c r="DR26" s="164"/>
      <c r="DS26" s="164"/>
      <c r="DT26" s="164"/>
      <c r="DU26" s="164"/>
      <c r="DV26" s="164"/>
      <c r="DW26" s="164"/>
      <c r="DX26" s="164"/>
      <c r="DY26" s="164"/>
      <c r="DZ26" s="164"/>
      <c r="EA26" s="164"/>
      <c r="EB26" s="164"/>
      <c r="EC26" s="164"/>
      <c r="ED26" s="164"/>
      <c r="EE26" s="164"/>
      <c r="EF26" s="164"/>
      <c r="EG26" s="164"/>
      <c r="EH26" s="164"/>
      <c r="EI26" s="164"/>
      <c r="EJ26" s="164"/>
      <c r="EK26" s="164"/>
      <c r="EL26" s="164"/>
      <c r="EM26" s="164"/>
      <c r="EN26" s="164"/>
      <c r="EO26" s="164"/>
      <c r="EP26" s="164"/>
      <c r="EQ26" s="164"/>
      <c r="ER26" s="164"/>
      <c r="ES26" s="164"/>
      <c r="ET26" s="164"/>
      <c r="EU26" s="164"/>
      <c r="EV26" s="164"/>
      <c r="EW26" s="164"/>
      <c r="EX26" s="164"/>
      <c r="EY26" s="164"/>
      <c r="EZ26" s="164"/>
      <c r="FA26" s="164"/>
      <c r="FB26" s="164"/>
      <c r="FC26" s="164"/>
      <c r="FD26" s="164"/>
      <c r="FE26" s="164"/>
      <c r="FF26" s="164"/>
      <c r="FG26" s="164"/>
      <c r="FH26" s="164"/>
      <c r="FI26" s="164"/>
      <c r="FJ26" s="164"/>
      <c r="FK26" s="164"/>
      <c r="FL26" s="164"/>
      <c r="FM26" s="164"/>
      <c r="FN26" s="164"/>
      <c r="FO26" s="164"/>
      <c r="FP26" s="164"/>
      <c r="FQ26" s="164"/>
      <c r="FR26" s="164"/>
      <c r="FS26" s="164"/>
      <c r="FT26" s="164"/>
      <c r="FU26" s="164"/>
      <c r="FV26" s="164"/>
      <c r="FW26" s="164"/>
      <c r="FX26" s="164"/>
      <c r="FY26" s="164"/>
      <c r="FZ26" s="164"/>
      <c r="GA26" s="164"/>
      <c r="GB26" s="164"/>
      <c r="GC26" s="164"/>
      <c r="GD26" s="164"/>
      <c r="GE26" s="164"/>
      <c r="GF26" s="164"/>
      <c r="GG26" s="164"/>
      <c r="GH26" s="164"/>
      <c r="GI26" s="164"/>
      <c r="GJ26" s="164"/>
      <c r="GK26" s="164"/>
      <c r="GL26" s="164"/>
      <c r="GM26" s="164"/>
      <c r="GN26" s="164"/>
      <c r="GO26" s="164"/>
      <c r="GP26" s="164"/>
      <c r="GQ26" s="164"/>
      <c r="GR26" s="164"/>
      <c r="GS26" s="164"/>
      <c r="GT26" s="164"/>
      <c r="GU26" s="164"/>
      <c r="GV26" s="164"/>
      <c r="GW26" s="164"/>
      <c r="GX26" s="164"/>
      <c r="GY26" s="164"/>
      <c r="GZ26" s="164"/>
      <c r="HA26" s="164"/>
      <c r="HB26" s="164"/>
      <c r="HC26" s="164"/>
      <c r="HD26" s="164"/>
      <c r="HE26" s="164"/>
      <c r="HF26" s="164"/>
      <c r="HG26" s="164"/>
      <c r="HH26" s="164"/>
      <c r="HI26" s="164"/>
      <c r="HJ26" s="164"/>
      <c r="HK26" s="164"/>
      <c r="HL26" s="164"/>
      <c r="HM26" s="164"/>
      <c r="HN26" s="164"/>
      <c r="HO26" s="164"/>
      <c r="HP26" s="164"/>
      <c r="HQ26" s="164"/>
      <c r="HR26" s="164"/>
      <c r="HS26" s="164"/>
      <c r="HT26" s="164"/>
      <c r="HU26" s="164"/>
      <c r="HV26" s="164"/>
      <c r="HW26" s="164"/>
      <c r="HX26" s="164"/>
      <c r="HY26" s="164"/>
      <c r="HZ26" s="164"/>
      <c r="IA26" s="164"/>
      <c r="IB26" s="164"/>
      <c r="IC26" s="164"/>
      <c r="ID26" s="164"/>
      <c r="IE26" s="164"/>
      <c r="IF26" s="164"/>
      <c r="IG26" s="164"/>
      <c r="IH26" s="164"/>
      <c r="II26" s="164"/>
      <c r="IJ26" s="164"/>
      <c r="IK26" s="164"/>
      <c r="IL26" s="164"/>
      <c r="IM26" s="164"/>
      <c r="IN26" s="164"/>
      <c r="IO26" s="164"/>
      <c r="IP26" s="164"/>
      <c r="IQ26" s="164"/>
      <c r="IR26" s="164"/>
      <c r="IS26" s="164"/>
      <c r="IT26" s="164"/>
      <c r="IU26" s="164"/>
      <c r="IV26" s="164"/>
      <c r="IW26" s="164"/>
      <c r="IX26" s="164"/>
      <c r="IY26" s="164"/>
      <c r="IZ26" s="164"/>
      <c r="JA26" s="164"/>
      <c r="JB26" s="164"/>
      <c r="JC26" s="164"/>
      <c r="JD26" s="164"/>
      <c r="JE26" s="164"/>
      <c r="JF26" s="164"/>
      <c r="JG26" s="164"/>
      <c r="JH26" s="164"/>
      <c r="JI26" s="164"/>
      <c r="JJ26" s="164"/>
      <c r="JK26" s="164"/>
    </row>
    <row r="27" ht="18.75" customHeight="1">
      <c r="A27" s="155"/>
      <c r="B27" s="156"/>
      <c r="C27" s="156"/>
      <c r="D27" s="156"/>
      <c r="E27" s="161"/>
      <c r="F27" s="156"/>
      <c r="G27" s="156"/>
      <c r="H27" s="156"/>
      <c r="I27" s="156"/>
      <c r="J27" s="183">
        <v>0.0</v>
      </c>
      <c r="K27" s="99"/>
      <c r="L27" s="184">
        <v>0.07407407407407407</v>
      </c>
      <c r="M27" s="185">
        <v>0.0</v>
      </c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4"/>
      <c r="BE27" s="164"/>
      <c r="BF27" s="164"/>
      <c r="BG27" s="164"/>
      <c r="BH27" s="164"/>
      <c r="BI27" s="164"/>
      <c r="BJ27" s="164"/>
      <c r="BK27" s="164"/>
      <c r="BL27" s="164"/>
      <c r="BM27" s="164"/>
      <c r="BN27" s="164"/>
      <c r="BO27" s="164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164"/>
      <c r="CC27" s="164"/>
      <c r="CD27" s="164"/>
      <c r="CE27" s="164"/>
      <c r="CF27" s="164"/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164"/>
      <c r="DB27" s="164"/>
      <c r="DC27" s="164"/>
      <c r="DD27" s="164"/>
      <c r="DE27" s="164"/>
      <c r="DF27" s="164"/>
      <c r="DG27" s="164"/>
      <c r="DH27" s="164"/>
      <c r="DI27" s="164"/>
      <c r="DJ27" s="164"/>
      <c r="DK27" s="164"/>
      <c r="DL27" s="164"/>
      <c r="DM27" s="164"/>
      <c r="DN27" s="164"/>
      <c r="DO27" s="164"/>
      <c r="DP27" s="164"/>
      <c r="DQ27" s="164"/>
      <c r="DR27" s="164"/>
      <c r="DS27" s="164"/>
      <c r="DT27" s="164"/>
      <c r="DU27" s="164"/>
      <c r="DV27" s="164"/>
      <c r="DW27" s="164"/>
      <c r="DX27" s="164"/>
      <c r="DY27" s="164"/>
      <c r="DZ27" s="164"/>
      <c r="EA27" s="164"/>
      <c r="EB27" s="164"/>
      <c r="EC27" s="164"/>
      <c r="ED27" s="164"/>
      <c r="EE27" s="164"/>
      <c r="EF27" s="164"/>
      <c r="EG27" s="164"/>
      <c r="EH27" s="164"/>
      <c r="EI27" s="164"/>
      <c r="EJ27" s="164"/>
      <c r="EK27" s="164"/>
      <c r="EL27" s="164"/>
      <c r="EM27" s="164"/>
      <c r="EN27" s="164"/>
      <c r="EO27" s="164"/>
      <c r="EP27" s="164"/>
      <c r="EQ27" s="164"/>
      <c r="ER27" s="164"/>
      <c r="ES27" s="164"/>
      <c r="ET27" s="164"/>
      <c r="EU27" s="164"/>
      <c r="EV27" s="164"/>
      <c r="EW27" s="164"/>
      <c r="EX27" s="164"/>
      <c r="EY27" s="164"/>
      <c r="EZ27" s="164"/>
      <c r="FA27" s="164"/>
      <c r="FB27" s="164"/>
      <c r="FC27" s="164"/>
      <c r="FD27" s="164"/>
      <c r="FE27" s="164"/>
      <c r="FF27" s="164"/>
      <c r="FG27" s="164"/>
      <c r="FH27" s="164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164"/>
      <c r="FW27" s="164"/>
      <c r="FX27" s="164"/>
      <c r="FY27" s="164"/>
      <c r="FZ27" s="164"/>
      <c r="GA27" s="164"/>
      <c r="GB27" s="164"/>
      <c r="GC27" s="164"/>
      <c r="GD27" s="164"/>
      <c r="GE27" s="164"/>
      <c r="GF27" s="164"/>
      <c r="GG27" s="164"/>
      <c r="GH27" s="164"/>
      <c r="GI27" s="164"/>
      <c r="GJ27" s="164"/>
      <c r="GK27" s="164"/>
      <c r="GL27" s="164"/>
      <c r="GM27" s="164"/>
      <c r="GN27" s="164"/>
      <c r="GO27" s="164"/>
      <c r="GP27" s="164"/>
      <c r="GQ27" s="164"/>
      <c r="GR27" s="164"/>
      <c r="GS27" s="164"/>
      <c r="GT27" s="164"/>
      <c r="GU27" s="164"/>
      <c r="GV27" s="164"/>
      <c r="GW27" s="164"/>
      <c r="GX27" s="164"/>
      <c r="GY27" s="164"/>
      <c r="GZ27" s="164"/>
      <c r="HA27" s="164"/>
      <c r="HB27" s="164"/>
      <c r="HC27" s="164"/>
      <c r="HD27" s="164"/>
      <c r="HE27" s="164"/>
      <c r="HF27" s="164"/>
      <c r="HG27" s="164"/>
      <c r="HH27" s="164"/>
      <c r="HI27" s="164"/>
      <c r="HJ27" s="164"/>
      <c r="HK27" s="164"/>
      <c r="HL27" s="164"/>
      <c r="HM27" s="164"/>
      <c r="HN27" s="164"/>
      <c r="HO27" s="164"/>
      <c r="HP27" s="164"/>
      <c r="HQ27" s="164"/>
      <c r="HR27" s="164"/>
      <c r="HS27" s="164"/>
      <c r="HT27" s="164"/>
      <c r="HU27" s="164"/>
      <c r="HV27" s="164"/>
      <c r="HW27" s="164"/>
      <c r="HX27" s="164"/>
      <c r="HY27" s="164"/>
      <c r="HZ27" s="164"/>
      <c r="IA27" s="164"/>
      <c r="IB27" s="164"/>
      <c r="IC27" s="164"/>
      <c r="ID27" s="164"/>
      <c r="IE27" s="164"/>
      <c r="IF27" s="164"/>
      <c r="IG27" s="164"/>
      <c r="IH27" s="164"/>
      <c r="II27" s="164"/>
      <c r="IJ27" s="164"/>
      <c r="IK27" s="164"/>
      <c r="IL27" s="164"/>
      <c r="IM27" s="164"/>
      <c r="IN27" s="164"/>
      <c r="IO27" s="164"/>
      <c r="IP27" s="164"/>
      <c r="IQ27" s="164"/>
      <c r="IR27" s="164"/>
      <c r="IS27" s="164"/>
      <c r="IT27" s="164"/>
      <c r="IU27" s="164"/>
      <c r="IV27" s="164"/>
      <c r="IW27" s="164"/>
      <c r="IX27" s="164"/>
      <c r="IY27" s="164"/>
      <c r="IZ27" s="164"/>
      <c r="JA27" s="164"/>
      <c r="JB27" s="164"/>
      <c r="JC27" s="164"/>
      <c r="JD27" s="164"/>
      <c r="JE27" s="164"/>
      <c r="JF27" s="164"/>
      <c r="JG27" s="164"/>
      <c r="JH27" s="164"/>
      <c r="JI27" s="164"/>
      <c r="JJ27" s="164"/>
      <c r="JK27" s="164"/>
    </row>
    <row r="28" ht="18.75" customHeight="1">
      <c r="A28" s="155"/>
      <c r="B28" s="156"/>
      <c r="C28" s="156"/>
      <c r="D28" s="156"/>
      <c r="E28" s="161"/>
      <c r="F28" s="156"/>
      <c r="G28" s="156"/>
      <c r="H28" s="156"/>
      <c r="I28" s="156"/>
      <c r="J28" s="186"/>
      <c r="L28" s="176" t="s">
        <v>54</v>
      </c>
      <c r="M28" s="178" t="s">
        <v>55</v>
      </c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  <c r="BF28" s="164"/>
      <c r="BG28" s="164"/>
      <c r="BH28" s="164"/>
      <c r="BI28" s="164"/>
      <c r="BJ28" s="164"/>
      <c r="BK28" s="164"/>
      <c r="BL28" s="164"/>
      <c r="BM28" s="164"/>
      <c r="BN28" s="164"/>
      <c r="BO28" s="164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164"/>
      <c r="CC28" s="164"/>
      <c r="CD28" s="164"/>
      <c r="CE28" s="164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164"/>
      <c r="DB28" s="164"/>
      <c r="DC28" s="164"/>
      <c r="DD28" s="164"/>
      <c r="DE28" s="164"/>
      <c r="DF28" s="164"/>
      <c r="DG28" s="164"/>
      <c r="DH28" s="164"/>
      <c r="DI28" s="164"/>
      <c r="DJ28" s="164"/>
      <c r="DK28" s="164"/>
      <c r="DL28" s="164"/>
      <c r="DM28" s="164"/>
      <c r="DN28" s="164"/>
      <c r="DO28" s="164"/>
      <c r="DP28" s="164"/>
      <c r="DQ28" s="164"/>
      <c r="DR28" s="164"/>
      <c r="DS28" s="164"/>
      <c r="DT28" s="164"/>
      <c r="DU28" s="164"/>
      <c r="DV28" s="164"/>
      <c r="DW28" s="164"/>
      <c r="DX28" s="164"/>
      <c r="DY28" s="164"/>
      <c r="DZ28" s="164"/>
      <c r="EA28" s="164"/>
      <c r="EB28" s="164"/>
      <c r="EC28" s="164"/>
      <c r="ED28" s="164"/>
      <c r="EE28" s="164"/>
      <c r="EF28" s="164"/>
      <c r="EG28" s="164"/>
      <c r="EH28" s="164"/>
      <c r="EI28" s="164"/>
      <c r="EJ28" s="164"/>
      <c r="EK28" s="164"/>
      <c r="EL28" s="164"/>
      <c r="EM28" s="164"/>
      <c r="EN28" s="164"/>
      <c r="EO28" s="164"/>
      <c r="EP28" s="164"/>
      <c r="EQ28" s="164"/>
      <c r="ER28" s="164"/>
      <c r="ES28" s="164"/>
      <c r="ET28" s="164"/>
      <c r="EU28" s="164"/>
      <c r="EV28" s="164"/>
      <c r="EW28" s="164"/>
      <c r="EX28" s="164"/>
      <c r="EY28" s="164"/>
      <c r="EZ28" s="164"/>
      <c r="FA28" s="164"/>
      <c r="FB28" s="164"/>
      <c r="FC28" s="164"/>
      <c r="FD28" s="164"/>
      <c r="FE28" s="164"/>
      <c r="FF28" s="164"/>
      <c r="FG28" s="164"/>
      <c r="FH28" s="164"/>
      <c r="FI28" s="164"/>
      <c r="FJ28" s="164"/>
      <c r="FK28" s="164"/>
      <c r="FL28" s="164"/>
      <c r="FM28" s="164"/>
      <c r="FN28" s="164"/>
      <c r="FO28" s="164"/>
      <c r="FP28" s="164"/>
      <c r="FQ28" s="164"/>
      <c r="FR28" s="164"/>
      <c r="FS28" s="164"/>
      <c r="FT28" s="164"/>
      <c r="FU28" s="164"/>
      <c r="FV28" s="164"/>
      <c r="FW28" s="164"/>
      <c r="FX28" s="164"/>
      <c r="FY28" s="164"/>
      <c r="FZ28" s="164"/>
      <c r="GA28" s="164"/>
      <c r="GB28" s="164"/>
      <c r="GC28" s="164"/>
      <c r="GD28" s="164"/>
      <c r="GE28" s="164"/>
      <c r="GF28" s="164"/>
      <c r="GG28" s="164"/>
      <c r="GH28" s="164"/>
      <c r="GI28" s="164"/>
      <c r="GJ28" s="164"/>
      <c r="GK28" s="164"/>
      <c r="GL28" s="164"/>
      <c r="GM28" s="164"/>
      <c r="GN28" s="164"/>
      <c r="GO28" s="164"/>
      <c r="GP28" s="164"/>
      <c r="GQ28" s="164"/>
      <c r="GR28" s="164"/>
      <c r="GS28" s="164"/>
      <c r="GT28" s="164"/>
      <c r="GU28" s="164"/>
      <c r="GV28" s="164"/>
      <c r="GW28" s="164"/>
      <c r="GX28" s="164"/>
      <c r="GY28" s="164"/>
      <c r="GZ28" s="164"/>
      <c r="HA28" s="164"/>
      <c r="HB28" s="164"/>
      <c r="HC28" s="164"/>
      <c r="HD28" s="164"/>
      <c r="HE28" s="164"/>
      <c r="HF28" s="164"/>
      <c r="HG28" s="164"/>
      <c r="HH28" s="164"/>
      <c r="HI28" s="164"/>
      <c r="HJ28" s="164"/>
      <c r="HK28" s="164"/>
      <c r="HL28" s="164"/>
      <c r="HM28" s="164"/>
      <c r="HN28" s="164"/>
      <c r="HO28" s="164"/>
      <c r="HP28" s="164"/>
      <c r="HQ28" s="164"/>
      <c r="HR28" s="164"/>
      <c r="HS28" s="164"/>
      <c r="HT28" s="164"/>
      <c r="HU28" s="164"/>
      <c r="HV28" s="164"/>
      <c r="HW28" s="164"/>
      <c r="HX28" s="164"/>
      <c r="HY28" s="164"/>
      <c r="HZ28" s="164"/>
      <c r="IA28" s="164"/>
      <c r="IB28" s="164"/>
      <c r="IC28" s="164"/>
      <c r="ID28" s="164"/>
      <c r="IE28" s="164"/>
      <c r="IF28" s="164"/>
      <c r="IG28" s="164"/>
      <c r="IH28" s="164"/>
      <c r="II28" s="164"/>
      <c r="IJ28" s="164"/>
      <c r="IK28" s="164"/>
      <c r="IL28" s="164"/>
      <c r="IM28" s="164"/>
      <c r="IN28" s="164"/>
      <c r="IO28" s="164"/>
      <c r="IP28" s="164"/>
      <c r="IQ28" s="164"/>
      <c r="IR28" s="164"/>
      <c r="IS28" s="164"/>
      <c r="IT28" s="164"/>
      <c r="IU28" s="164"/>
      <c r="IV28" s="164"/>
      <c r="IW28" s="164"/>
      <c r="IX28" s="164"/>
      <c r="IY28" s="164"/>
      <c r="IZ28" s="164"/>
      <c r="JA28" s="164"/>
      <c r="JB28" s="164"/>
      <c r="JC28" s="164"/>
      <c r="JD28" s="164"/>
      <c r="JE28" s="164"/>
      <c r="JF28" s="164"/>
      <c r="JG28" s="164"/>
      <c r="JH28" s="164"/>
      <c r="JI28" s="164"/>
      <c r="JJ28" s="164"/>
      <c r="JK28" s="164"/>
    </row>
    <row r="29" ht="18.75" customHeight="1">
      <c r="A29" s="155"/>
      <c r="B29" s="156"/>
      <c r="C29" s="156"/>
      <c r="D29" s="156"/>
      <c r="E29" s="161"/>
      <c r="F29" s="156"/>
      <c r="G29" s="156"/>
      <c r="H29" s="156"/>
      <c r="I29" s="156"/>
      <c r="J29" s="29"/>
      <c r="L29" s="84"/>
      <c r="M29" s="170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164"/>
      <c r="CC29" s="164"/>
      <c r="CD29" s="164"/>
      <c r="CE29" s="164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164"/>
      <c r="DB29" s="164"/>
      <c r="DC29" s="164"/>
      <c r="DD29" s="164"/>
      <c r="DE29" s="164"/>
      <c r="DF29" s="164"/>
      <c r="DG29" s="164"/>
      <c r="DH29" s="164"/>
      <c r="DI29" s="164"/>
      <c r="DJ29" s="164"/>
      <c r="DK29" s="164"/>
      <c r="DL29" s="164"/>
      <c r="DM29" s="164"/>
      <c r="DN29" s="164"/>
      <c r="DO29" s="164"/>
      <c r="DP29" s="164"/>
      <c r="DQ29" s="164"/>
      <c r="DR29" s="164"/>
      <c r="DS29" s="164"/>
      <c r="DT29" s="164"/>
      <c r="DU29" s="164"/>
      <c r="DV29" s="164"/>
      <c r="DW29" s="164"/>
      <c r="DX29" s="164"/>
      <c r="DY29" s="164"/>
      <c r="DZ29" s="164"/>
      <c r="EA29" s="164"/>
      <c r="EB29" s="164"/>
      <c r="EC29" s="164"/>
      <c r="ED29" s="164"/>
      <c r="EE29" s="164"/>
      <c r="EF29" s="164"/>
      <c r="EG29" s="164"/>
      <c r="EH29" s="164"/>
      <c r="EI29" s="164"/>
      <c r="EJ29" s="164"/>
      <c r="EK29" s="164"/>
      <c r="EL29" s="164"/>
      <c r="EM29" s="164"/>
      <c r="EN29" s="164"/>
      <c r="EO29" s="164"/>
      <c r="EP29" s="164"/>
      <c r="EQ29" s="164"/>
      <c r="ER29" s="164"/>
      <c r="ES29" s="164"/>
      <c r="ET29" s="164"/>
      <c r="EU29" s="164"/>
      <c r="EV29" s="164"/>
      <c r="EW29" s="164"/>
      <c r="EX29" s="164"/>
      <c r="EY29" s="164"/>
      <c r="EZ29" s="164"/>
      <c r="FA29" s="164"/>
      <c r="FB29" s="164"/>
      <c r="FC29" s="164"/>
      <c r="FD29" s="164"/>
      <c r="FE29" s="164"/>
      <c r="FF29" s="164"/>
      <c r="FG29" s="164"/>
      <c r="FH29" s="164"/>
      <c r="FI29" s="164"/>
      <c r="FJ29" s="164"/>
      <c r="FK29" s="164"/>
      <c r="FL29" s="164"/>
      <c r="FM29" s="164"/>
      <c r="FN29" s="164"/>
      <c r="FO29" s="164"/>
      <c r="FP29" s="164"/>
      <c r="FQ29" s="164"/>
      <c r="FR29" s="164"/>
      <c r="FS29" s="164"/>
      <c r="FT29" s="164"/>
      <c r="FU29" s="164"/>
      <c r="FV29" s="164"/>
      <c r="FW29" s="164"/>
      <c r="FX29" s="164"/>
      <c r="FY29" s="164"/>
      <c r="FZ29" s="164"/>
      <c r="GA29" s="164"/>
      <c r="GB29" s="164"/>
      <c r="GC29" s="164"/>
      <c r="GD29" s="164"/>
      <c r="GE29" s="164"/>
      <c r="GF29" s="164"/>
      <c r="GG29" s="164"/>
      <c r="GH29" s="164"/>
      <c r="GI29" s="164"/>
      <c r="GJ29" s="164"/>
      <c r="GK29" s="164"/>
      <c r="GL29" s="164"/>
      <c r="GM29" s="164"/>
      <c r="GN29" s="164"/>
      <c r="GO29" s="164"/>
      <c r="GP29" s="164"/>
      <c r="GQ29" s="164"/>
      <c r="GR29" s="164"/>
      <c r="GS29" s="164"/>
      <c r="GT29" s="164"/>
      <c r="GU29" s="164"/>
      <c r="GV29" s="164"/>
      <c r="GW29" s="164"/>
      <c r="GX29" s="164"/>
      <c r="GY29" s="164"/>
      <c r="GZ29" s="164"/>
      <c r="HA29" s="164"/>
      <c r="HB29" s="164"/>
      <c r="HC29" s="164"/>
      <c r="HD29" s="164"/>
      <c r="HE29" s="164"/>
      <c r="HF29" s="164"/>
      <c r="HG29" s="164"/>
      <c r="HH29" s="164"/>
      <c r="HI29" s="164"/>
      <c r="HJ29" s="164"/>
      <c r="HK29" s="164"/>
      <c r="HL29" s="164"/>
      <c r="HM29" s="164"/>
      <c r="HN29" s="164"/>
      <c r="HO29" s="164"/>
      <c r="HP29" s="164"/>
      <c r="HQ29" s="164"/>
      <c r="HR29" s="164"/>
      <c r="HS29" s="164"/>
      <c r="HT29" s="164"/>
      <c r="HU29" s="164"/>
      <c r="HV29" s="164"/>
      <c r="HW29" s="164"/>
      <c r="HX29" s="164"/>
      <c r="HY29" s="164"/>
      <c r="HZ29" s="164"/>
      <c r="IA29" s="164"/>
      <c r="IB29" s="164"/>
      <c r="IC29" s="164"/>
      <c r="ID29" s="164"/>
      <c r="IE29" s="164"/>
      <c r="IF29" s="164"/>
      <c r="IG29" s="164"/>
      <c r="IH29" s="164"/>
      <c r="II29" s="164"/>
      <c r="IJ29" s="164"/>
      <c r="IK29" s="164"/>
      <c r="IL29" s="164"/>
      <c r="IM29" s="164"/>
      <c r="IN29" s="164"/>
      <c r="IO29" s="164"/>
      <c r="IP29" s="164"/>
      <c r="IQ29" s="164"/>
      <c r="IR29" s="164"/>
      <c r="IS29" s="164"/>
      <c r="IT29" s="164"/>
      <c r="IU29" s="164"/>
      <c r="IV29" s="164"/>
      <c r="IW29" s="164"/>
      <c r="IX29" s="164"/>
      <c r="IY29" s="164"/>
      <c r="IZ29" s="164"/>
      <c r="JA29" s="164"/>
      <c r="JB29" s="164"/>
      <c r="JC29" s="164"/>
      <c r="JD29" s="164"/>
      <c r="JE29" s="164"/>
      <c r="JF29" s="164"/>
      <c r="JG29" s="164"/>
      <c r="JH29" s="164"/>
      <c r="JI29" s="164"/>
      <c r="JJ29" s="164"/>
      <c r="JK29" s="164"/>
    </row>
    <row r="30" ht="18.75" customHeight="1">
      <c r="A30" s="155"/>
      <c r="B30" s="187"/>
      <c r="C30" s="187"/>
      <c r="D30" s="187"/>
      <c r="E30" s="188"/>
      <c r="F30" s="187"/>
      <c r="G30" s="187"/>
      <c r="H30" s="187"/>
      <c r="I30" s="187"/>
      <c r="J30" s="12"/>
      <c r="K30" s="21"/>
      <c r="L30" s="189">
        <v>0.9259259259259259</v>
      </c>
      <c r="M30" s="190">
        <v>0.0</v>
      </c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4"/>
      <c r="BE30" s="164"/>
      <c r="BF30" s="164"/>
      <c r="BG30" s="164"/>
      <c r="BH30" s="164"/>
      <c r="BI30" s="164"/>
      <c r="BJ30" s="164"/>
      <c r="BK30" s="164"/>
      <c r="BL30" s="164"/>
      <c r="BM30" s="164"/>
      <c r="BN30" s="164"/>
      <c r="BO30" s="164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4"/>
      <c r="CC30" s="164"/>
      <c r="CD30" s="164"/>
      <c r="CE30" s="164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164"/>
      <c r="DB30" s="164"/>
      <c r="DC30" s="164"/>
      <c r="DD30" s="164"/>
      <c r="DE30" s="164"/>
      <c r="DF30" s="164"/>
      <c r="DG30" s="164"/>
      <c r="DH30" s="164"/>
      <c r="DI30" s="164"/>
      <c r="DJ30" s="164"/>
      <c r="DK30" s="164"/>
      <c r="DL30" s="164"/>
      <c r="DM30" s="164"/>
      <c r="DN30" s="164"/>
      <c r="DO30" s="164"/>
      <c r="DP30" s="164"/>
      <c r="DQ30" s="164"/>
      <c r="DR30" s="164"/>
      <c r="DS30" s="164"/>
      <c r="DT30" s="164"/>
      <c r="DU30" s="164"/>
      <c r="DV30" s="164"/>
      <c r="DW30" s="164"/>
      <c r="DX30" s="164"/>
      <c r="DY30" s="164"/>
      <c r="DZ30" s="164"/>
      <c r="EA30" s="164"/>
      <c r="EB30" s="164"/>
      <c r="EC30" s="164"/>
      <c r="ED30" s="164"/>
      <c r="EE30" s="164"/>
      <c r="EF30" s="164"/>
      <c r="EG30" s="164"/>
      <c r="EH30" s="164"/>
      <c r="EI30" s="164"/>
      <c r="EJ30" s="164"/>
      <c r="EK30" s="164"/>
      <c r="EL30" s="164"/>
      <c r="EM30" s="164"/>
      <c r="EN30" s="164"/>
      <c r="EO30" s="164"/>
      <c r="EP30" s="164"/>
      <c r="EQ30" s="164"/>
      <c r="ER30" s="164"/>
      <c r="ES30" s="164"/>
      <c r="ET30" s="164"/>
      <c r="EU30" s="164"/>
      <c r="EV30" s="164"/>
      <c r="EW30" s="164"/>
      <c r="EX30" s="164"/>
      <c r="EY30" s="164"/>
      <c r="EZ30" s="164"/>
      <c r="FA30" s="164"/>
      <c r="FB30" s="164"/>
      <c r="FC30" s="164"/>
      <c r="FD30" s="164"/>
      <c r="FE30" s="164"/>
      <c r="FF30" s="164"/>
      <c r="FG30" s="164"/>
      <c r="FH30" s="164"/>
      <c r="FI30" s="164"/>
      <c r="FJ30" s="164"/>
      <c r="FK30" s="164"/>
      <c r="FL30" s="164"/>
      <c r="FM30" s="164"/>
      <c r="FN30" s="164"/>
      <c r="FO30" s="164"/>
      <c r="FP30" s="164"/>
      <c r="FQ30" s="164"/>
      <c r="FR30" s="164"/>
      <c r="FS30" s="164"/>
      <c r="FT30" s="164"/>
      <c r="FU30" s="164"/>
      <c r="FV30" s="164"/>
      <c r="FW30" s="164"/>
      <c r="FX30" s="164"/>
      <c r="FY30" s="164"/>
      <c r="FZ30" s="164"/>
      <c r="GA30" s="164"/>
      <c r="GB30" s="164"/>
      <c r="GC30" s="164"/>
      <c r="GD30" s="164"/>
      <c r="GE30" s="164"/>
      <c r="GF30" s="164"/>
      <c r="GG30" s="164"/>
      <c r="GH30" s="164"/>
      <c r="GI30" s="164"/>
      <c r="GJ30" s="164"/>
      <c r="GK30" s="164"/>
      <c r="GL30" s="164"/>
      <c r="GM30" s="164"/>
      <c r="GN30" s="164"/>
      <c r="GO30" s="164"/>
      <c r="GP30" s="164"/>
      <c r="GQ30" s="164"/>
      <c r="GR30" s="164"/>
      <c r="GS30" s="164"/>
      <c r="GT30" s="164"/>
      <c r="GU30" s="164"/>
      <c r="GV30" s="164"/>
      <c r="GW30" s="164"/>
      <c r="GX30" s="164"/>
      <c r="GY30" s="164"/>
      <c r="GZ30" s="164"/>
      <c r="HA30" s="164"/>
      <c r="HB30" s="164"/>
      <c r="HC30" s="164"/>
      <c r="HD30" s="164"/>
      <c r="HE30" s="164"/>
      <c r="HF30" s="164"/>
      <c r="HG30" s="164"/>
      <c r="HH30" s="164"/>
      <c r="HI30" s="164"/>
      <c r="HJ30" s="164"/>
      <c r="HK30" s="164"/>
      <c r="HL30" s="164"/>
      <c r="HM30" s="164"/>
      <c r="HN30" s="164"/>
      <c r="HO30" s="164"/>
      <c r="HP30" s="164"/>
      <c r="HQ30" s="164"/>
      <c r="HR30" s="164"/>
      <c r="HS30" s="164"/>
      <c r="HT30" s="164"/>
      <c r="HU30" s="164"/>
      <c r="HV30" s="164"/>
      <c r="HW30" s="164"/>
      <c r="HX30" s="164"/>
      <c r="HY30" s="164"/>
      <c r="HZ30" s="164"/>
      <c r="IA30" s="164"/>
      <c r="IB30" s="164"/>
      <c r="IC30" s="164"/>
      <c r="ID30" s="164"/>
      <c r="IE30" s="164"/>
      <c r="IF30" s="164"/>
      <c r="IG30" s="164"/>
      <c r="IH30" s="164"/>
      <c r="II30" s="164"/>
      <c r="IJ30" s="164"/>
      <c r="IK30" s="164"/>
      <c r="IL30" s="164"/>
      <c r="IM30" s="164"/>
      <c r="IN30" s="164"/>
      <c r="IO30" s="164"/>
      <c r="IP30" s="164"/>
      <c r="IQ30" s="164"/>
      <c r="IR30" s="164"/>
      <c r="IS30" s="164"/>
      <c r="IT30" s="164"/>
      <c r="IU30" s="164"/>
      <c r="IV30" s="164"/>
      <c r="IW30" s="164"/>
      <c r="IX30" s="164"/>
      <c r="IY30" s="164"/>
      <c r="IZ30" s="164"/>
      <c r="JA30" s="164"/>
      <c r="JB30" s="164"/>
      <c r="JC30" s="164"/>
      <c r="JD30" s="164"/>
      <c r="JE30" s="164"/>
      <c r="JF30" s="164"/>
      <c r="JG30" s="164"/>
      <c r="JH30" s="164"/>
      <c r="JI30" s="164"/>
      <c r="JJ30" s="164"/>
      <c r="JK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1" t="s">
        <v>67</v>
      </c>
      <c r="B1" s="191" t="s">
        <v>68</v>
      </c>
      <c r="C1" s="191" t="s">
        <v>69</v>
      </c>
      <c r="D1" s="191" t="s">
        <v>70</v>
      </c>
      <c r="E1" s="191" t="s">
        <v>41</v>
      </c>
      <c r="F1" s="191" t="s">
        <v>71</v>
      </c>
      <c r="G1" s="191" t="s">
        <v>72</v>
      </c>
      <c r="H1" s="191" t="s">
        <v>73</v>
      </c>
      <c r="I1" s="191" t="s">
        <v>74</v>
      </c>
      <c r="J1" s="191" t="s">
        <v>75</v>
      </c>
      <c r="K1" s="191" t="s">
        <v>76</v>
      </c>
      <c r="L1" s="191" t="s">
        <v>77</v>
      </c>
      <c r="M1" s="191" t="s">
        <v>78</v>
      </c>
      <c r="N1" s="191" t="s">
        <v>79</v>
      </c>
      <c r="O1" s="191" t="s">
        <v>80</v>
      </c>
      <c r="P1" s="191" t="s">
        <v>81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>
      <c r="A2" s="191" t="s">
        <v>82</v>
      </c>
      <c r="B2" s="191" t="s">
        <v>83</v>
      </c>
      <c r="C2" s="191">
        <v>369.0</v>
      </c>
      <c r="D2" s="191">
        <v>0.0</v>
      </c>
      <c r="E2" s="192"/>
      <c r="F2" s="191" t="s">
        <v>84</v>
      </c>
      <c r="G2" s="191" t="s">
        <v>85</v>
      </c>
      <c r="H2" s="191" t="s">
        <v>86</v>
      </c>
      <c r="I2" s="191" t="s">
        <v>87</v>
      </c>
      <c r="J2" s="191" t="s">
        <v>87</v>
      </c>
      <c r="K2" s="192"/>
      <c r="L2" s="191">
        <v>-8.0</v>
      </c>
      <c r="M2" s="191"/>
      <c r="N2" s="191">
        <v>6.73065</v>
      </c>
      <c r="O2" s="191" t="s">
        <v>88</v>
      </c>
      <c r="P2" s="191" t="s">
        <v>89</v>
      </c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91" t="s">
        <v>90</v>
      </c>
      <c r="B3" s="191" t="s">
        <v>91</v>
      </c>
      <c r="C3" s="191">
        <v>443.0</v>
      </c>
      <c r="D3" s="191">
        <v>14.0</v>
      </c>
      <c r="E3" s="191" t="s">
        <v>49</v>
      </c>
      <c r="F3" s="191" t="s">
        <v>92</v>
      </c>
      <c r="G3" s="191" t="s">
        <v>85</v>
      </c>
      <c r="H3" s="191" t="s">
        <v>93</v>
      </c>
      <c r="I3" s="191" t="s">
        <v>94</v>
      </c>
      <c r="J3" s="191" t="s">
        <v>95</v>
      </c>
      <c r="K3" s="191" t="s">
        <v>96</v>
      </c>
      <c r="L3" s="191">
        <v>-7.0</v>
      </c>
      <c r="M3" s="191">
        <v>0.0020833333333333333</v>
      </c>
      <c r="N3" s="191">
        <v>2.4166333333333334</v>
      </c>
      <c r="O3" s="191" t="s">
        <v>97</v>
      </c>
      <c r="P3" s="191" t="s">
        <v>98</v>
      </c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91" t="s">
        <v>82</v>
      </c>
      <c r="B4" s="191" t="s">
        <v>91</v>
      </c>
      <c r="C4" s="193">
        <v>329.0</v>
      </c>
      <c r="D4" s="191">
        <v>0.0</v>
      </c>
      <c r="E4" s="192"/>
      <c r="F4" s="191" t="s">
        <v>84</v>
      </c>
      <c r="G4" s="191" t="s">
        <v>85</v>
      </c>
      <c r="H4" s="191" t="s">
        <v>99</v>
      </c>
      <c r="I4" s="191" t="s">
        <v>100</v>
      </c>
      <c r="J4" s="191" t="s">
        <v>100</v>
      </c>
      <c r="K4" s="192"/>
      <c r="L4" s="191">
        <v>-4.0</v>
      </c>
      <c r="M4" s="191"/>
      <c r="N4" s="191">
        <v>10.949016666666667</v>
      </c>
      <c r="O4" s="191" t="s">
        <v>88</v>
      </c>
      <c r="P4" s="191" t="s">
        <v>101</v>
      </c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E4" s="192"/>
      <c r="AF4" s="192"/>
    </row>
    <row r="5">
      <c r="A5" s="191" t="s">
        <v>102</v>
      </c>
      <c r="B5" s="191" t="s">
        <v>91</v>
      </c>
      <c r="C5" s="191">
        <v>249.0</v>
      </c>
      <c r="D5" s="191">
        <v>0.0</v>
      </c>
      <c r="E5" s="192"/>
      <c r="F5" s="191" t="s">
        <v>103</v>
      </c>
      <c r="G5" s="191" t="s">
        <v>104</v>
      </c>
      <c r="H5" s="191" t="s">
        <v>105</v>
      </c>
      <c r="I5" s="191" t="s">
        <v>106</v>
      </c>
      <c r="J5" s="191" t="s">
        <v>106</v>
      </c>
      <c r="K5" s="192"/>
      <c r="L5" s="191">
        <v>4.0</v>
      </c>
      <c r="M5" s="191"/>
      <c r="N5" s="191">
        <v>9.794583333333334</v>
      </c>
      <c r="O5" s="191" t="s">
        <v>107</v>
      </c>
      <c r="P5" s="191" t="s">
        <v>108</v>
      </c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91" t="s">
        <v>82</v>
      </c>
      <c r="B6" s="191" t="s">
        <v>91</v>
      </c>
      <c r="C6" s="193">
        <v>926.0</v>
      </c>
      <c r="D6" s="191">
        <v>0.0</v>
      </c>
      <c r="E6" s="192"/>
      <c r="F6" s="191" t="s">
        <v>84</v>
      </c>
      <c r="G6" s="191" t="s">
        <v>104</v>
      </c>
      <c r="H6" s="191" t="s">
        <v>109</v>
      </c>
      <c r="I6" s="191" t="s">
        <v>110</v>
      </c>
      <c r="J6" s="191" t="s">
        <v>110</v>
      </c>
      <c r="K6" s="192"/>
      <c r="L6" s="191">
        <v>-6.0</v>
      </c>
      <c r="M6" s="191"/>
      <c r="N6" s="191">
        <v>8.405083333333334</v>
      </c>
      <c r="O6" s="191" t="s">
        <v>88</v>
      </c>
      <c r="P6" s="191" t="s">
        <v>111</v>
      </c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91" t="s">
        <v>102</v>
      </c>
      <c r="B7" s="191" t="s">
        <v>91</v>
      </c>
      <c r="C7" s="193">
        <v>249.0</v>
      </c>
      <c r="D7" s="191">
        <v>0.0</v>
      </c>
      <c r="E7" s="192"/>
      <c r="F7" s="191" t="s">
        <v>103</v>
      </c>
      <c r="G7" s="191" t="s">
        <v>104</v>
      </c>
      <c r="H7" s="191" t="s">
        <v>112</v>
      </c>
      <c r="I7" s="191" t="s">
        <v>113</v>
      </c>
      <c r="J7" s="191" t="s">
        <v>113</v>
      </c>
      <c r="K7" s="192"/>
      <c r="L7" s="191">
        <v>3.0</v>
      </c>
      <c r="M7" s="191"/>
      <c r="N7" s="191">
        <v>8.900316666666667</v>
      </c>
      <c r="O7" s="191" t="s">
        <v>107</v>
      </c>
      <c r="P7" s="191" t="s">
        <v>114</v>
      </c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91" t="s">
        <v>82</v>
      </c>
      <c r="B8" s="191" t="s">
        <v>91</v>
      </c>
      <c r="C8" s="193">
        <v>204.6</v>
      </c>
      <c r="D8" s="191">
        <v>59.4</v>
      </c>
      <c r="E8" s="192"/>
      <c r="F8" s="191" t="s">
        <v>84</v>
      </c>
      <c r="G8" s="191" t="s">
        <v>85</v>
      </c>
      <c r="H8" s="191" t="s">
        <v>115</v>
      </c>
      <c r="I8" s="191" t="s">
        <v>116</v>
      </c>
      <c r="J8" s="191" t="s">
        <v>116</v>
      </c>
      <c r="K8" s="192"/>
      <c r="L8" s="191">
        <v>-2.0</v>
      </c>
      <c r="M8" s="191"/>
      <c r="N8" s="191">
        <v>12.423533333333333</v>
      </c>
      <c r="O8" s="191" t="s">
        <v>88</v>
      </c>
      <c r="P8" s="191" t="s">
        <v>117</v>
      </c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91" t="s">
        <v>118</v>
      </c>
      <c r="B9" s="191" t="s">
        <v>91</v>
      </c>
      <c r="C9" s="191">
        <v>658.0</v>
      </c>
      <c r="D9" s="191">
        <v>0.0</v>
      </c>
      <c r="E9" s="191" t="s">
        <v>119</v>
      </c>
      <c r="F9" s="191" t="s">
        <v>84</v>
      </c>
      <c r="G9" s="191" t="s">
        <v>85</v>
      </c>
      <c r="H9" s="191" t="s">
        <v>120</v>
      </c>
      <c r="I9" s="191" t="s">
        <v>121</v>
      </c>
      <c r="J9" s="191" t="s">
        <v>121</v>
      </c>
      <c r="K9" s="192"/>
      <c r="L9" s="191">
        <v>-6.0</v>
      </c>
      <c r="M9" s="191"/>
      <c r="N9" s="191">
        <v>8.976666666666667</v>
      </c>
      <c r="O9" s="191" t="s">
        <v>88</v>
      </c>
      <c r="P9" s="191" t="s">
        <v>122</v>
      </c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91" t="s">
        <v>82</v>
      </c>
      <c r="B10" s="191" t="s">
        <v>91</v>
      </c>
      <c r="C10" s="193">
        <v>523.0</v>
      </c>
      <c r="D10" s="191">
        <v>0.0</v>
      </c>
      <c r="E10" s="192"/>
      <c r="F10" s="191" t="s">
        <v>84</v>
      </c>
      <c r="G10" s="191" t="s">
        <v>85</v>
      </c>
      <c r="H10" s="191" t="s">
        <v>123</v>
      </c>
      <c r="I10" s="191" t="s">
        <v>124</v>
      </c>
      <c r="J10" s="191" t="s">
        <v>124</v>
      </c>
      <c r="K10" s="192"/>
      <c r="L10" s="191">
        <v>-2.0</v>
      </c>
      <c r="M10" s="191"/>
      <c r="N10" s="191">
        <v>12.816383333333333</v>
      </c>
      <c r="O10" s="191" t="s">
        <v>88</v>
      </c>
      <c r="P10" s="191" t="s">
        <v>125</v>
      </c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91" t="s">
        <v>126</v>
      </c>
      <c r="B11" s="191" t="s">
        <v>91</v>
      </c>
      <c r="C11" s="191">
        <v>331.0</v>
      </c>
      <c r="D11" s="191">
        <v>0.0</v>
      </c>
      <c r="E11" s="191" t="s">
        <v>56</v>
      </c>
      <c r="F11" s="191" t="s">
        <v>84</v>
      </c>
      <c r="G11" s="191" t="s">
        <v>85</v>
      </c>
      <c r="H11" s="191" t="s">
        <v>127</v>
      </c>
      <c r="I11" s="191" t="s">
        <v>128</v>
      </c>
      <c r="J11" s="191" t="s">
        <v>128</v>
      </c>
      <c r="K11" s="192"/>
      <c r="L11" s="191">
        <v>-7.0</v>
      </c>
      <c r="M11" s="191"/>
      <c r="N11" s="191">
        <v>7.607916666666667</v>
      </c>
      <c r="O11" s="191" t="s">
        <v>88</v>
      </c>
      <c r="P11" s="191" t="s">
        <v>129</v>
      </c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91" t="s">
        <v>82</v>
      </c>
      <c r="B12" s="191" t="s">
        <v>91</v>
      </c>
      <c r="C12" s="193">
        <v>321.0</v>
      </c>
      <c r="D12" s="191">
        <v>0.0</v>
      </c>
      <c r="E12" s="192"/>
      <c r="F12" s="191" t="s">
        <v>84</v>
      </c>
      <c r="G12" s="191" t="s">
        <v>85</v>
      </c>
      <c r="H12" s="191" t="s">
        <v>130</v>
      </c>
      <c r="I12" s="191" t="s">
        <v>131</v>
      </c>
      <c r="J12" s="191" t="s">
        <v>131</v>
      </c>
      <c r="K12" s="192"/>
      <c r="L12" s="191">
        <v>-3.0</v>
      </c>
      <c r="M12" s="191"/>
      <c r="N12" s="191">
        <v>11.620916666666666</v>
      </c>
      <c r="O12" s="191" t="s">
        <v>88</v>
      </c>
      <c r="P12" s="191" t="s">
        <v>132</v>
      </c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91" t="s">
        <v>82</v>
      </c>
      <c r="B13" s="191" t="s">
        <v>91</v>
      </c>
      <c r="C13" s="191">
        <v>717.0</v>
      </c>
      <c r="D13" s="191">
        <v>0.0</v>
      </c>
      <c r="E13" s="192"/>
      <c r="F13" s="191" t="s">
        <v>84</v>
      </c>
      <c r="G13" s="191" t="s">
        <v>85</v>
      </c>
      <c r="H13" s="191" t="s">
        <v>133</v>
      </c>
      <c r="I13" s="191" t="s">
        <v>134</v>
      </c>
      <c r="J13" s="191" t="s">
        <v>134</v>
      </c>
      <c r="K13" s="192"/>
      <c r="L13" s="191">
        <v>-6.0</v>
      </c>
      <c r="M13" s="191"/>
      <c r="N13" s="191">
        <v>8.3808</v>
      </c>
      <c r="O13" s="191" t="s">
        <v>88</v>
      </c>
      <c r="P13" s="191" t="s">
        <v>135</v>
      </c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E13" s="192"/>
      <c r="AF13" s="192"/>
    </row>
    <row r="14">
      <c r="A14" s="191" t="s">
        <v>126</v>
      </c>
      <c r="B14" s="191" t="s">
        <v>91</v>
      </c>
      <c r="C14" s="191">
        <v>553.0</v>
      </c>
      <c r="D14" s="191">
        <v>0.0</v>
      </c>
      <c r="E14" s="191" t="s">
        <v>56</v>
      </c>
      <c r="F14" s="191" t="s">
        <v>84</v>
      </c>
      <c r="G14" s="191" t="s">
        <v>85</v>
      </c>
      <c r="H14" s="191" t="s">
        <v>136</v>
      </c>
      <c r="I14" s="191" t="s">
        <v>137</v>
      </c>
      <c r="J14" s="191" t="s">
        <v>137</v>
      </c>
      <c r="K14" s="192"/>
      <c r="L14" s="191">
        <v>-6.0</v>
      </c>
      <c r="M14" s="191"/>
      <c r="N14" s="191">
        <v>8.742366666666667</v>
      </c>
      <c r="O14" s="191" t="s">
        <v>88</v>
      </c>
      <c r="P14" s="191" t="s">
        <v>138</v>
      </c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91" t="s">
        <v>90</v>
      </c>
      <c r="B15" s="191" t="s">
        <v>91</v>
      </c>
      <c r="C15" s="193">
        <v>366.0</v>
      </c>
      <c r="D15" s="191">
        <v>92.0</v>
      </c>
      <c r="E15" s="192"/>
      <c r="F15" s="191" t="s">
        <v>103</v>
      </c>
      <c r="G15" s="191" t="s">
        <v>85</v>
      </c>
      <c r="H15" s="191" t="s">
        <v>139</v>
      </c>
      <c r="I15" s="191" t="s">
        <v>140</v>
      </c>
      <c r="J15" s="191" t="s">
        <v>140</v>
      </c>
      <c r="K15" s="192"/>
      <c r="L15" s="191">
        <v>1.0</v>
      </c>
      <c r="M15" s="191"/>
      <c r="N15" s="191">
        <v>50.347233333333335</v>
      </c>
      <c r="O15" s="191" t="s">
        <v>97</v>
      </c>
      <c r="P15" s="191" t="s">
        <v>141</v>
      </c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91" t="s">
        <v>82</v>
      </c>
      <c r="B16" s="191" t="s">
        <v>91</v>
      </c>
      <c r="C16" s="193">
        <v>610.0</v>
      </c>
      <c r="D16" s="191">
        <v>0.0</v>
      </c>
      <c r="E16" s="192"/>
      <c r="F16" s="191" t="s">
        <v>84</v>
      </c>
      <c r="G16" s="191" t="s">
        <v>85</v>
      </c>
      <c r="H16" s="191" t="s">
        <v>142</v>
      </c>
      <c r="I16" s="191" t="s">
        <v>143</v>
      </c>
      <c r="J16" s="191" t="s">
        <v>143</v>
      </c>
      <c r="K16" s="192"/>
      <c r="L16" s="191">
        <v>-6.0</v>
      </c>
      <c r="M16" s="191"/>
      <c r="N16" s="191">
        <v>8.295066666666667</v>
      </c>
      <c r="O16" s="191" t="s">
        <v>88</v>
      </c>
      <c r="P16" s="191" t="s">
        <v>144</v>
      </c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91" t="s">
        <v>126</v>
      </c>
      <c r="B17" s="191" t="s">
        <v>91</v>
      </c>
      <c r="C17" s="193">
        <v>273.0</v>
      </c>
      <c r="D17" s="191">
        <v>0.0</v>
      </c>
      <c r="E17" s="191" t="s">
        <v>56</v>
      </c>
      <c r="F17" s="191" t="s">
        <v>84</v>
      </c>
      <c r="G17" s="191" t="s">
        <v>85</v>
      </c>
      <c r="H17" s="191" t="s">
        <v>145</v>
      </c>
      <c r="I17" s="191" t="s">
        <v>146</v>
      </c>
      <c r="J17" s="191" t="s">
        <v>146</v>
      </c>
      <c r="K17" s="192"/>
      <c r="L17" s="191">
        <v>-9.0</v>
      </c>
      <c r="M17" s="191"/>
      <c r="N17" s="191">
        <v>5.994066666666667</v>
      </c>
      <c r="O17" s="191" t="s">
        <v>88</v>
      </c>
      <c r="P17" s="191" t="s">
        <v>147</v>
      </c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91" t="s">
        <v>102</v>
      </c>
      <c r="B18" s="191" t="s">
        <v>91</v>
      </c>
      <c r="C18" s="191">
        <v>49.0</v>
      </c>
      <c r="D18" s="191">
        <v>0.0</v>
      </c>
      <c r="E18" s="192"/>
      <c r="F18" s="191" t="s">
        <v>103</v>
      </c>
      <c r="G18" s="191" t="s">
        <v>104</v>
      </c>
      <c r="H18" s="191" t="s">
        <v>148</v>
      </c>
      <c r="I18" s="191" t="s">
        <v>149</v>
      </c>
      <c r="J18" s="191" t="s">
        <v>149</v>
      </c>
      <c r="K18" s="192"/>
      <c r="L18" s="191">
        <v>-3.0</v>
      </c>
      <c r="M18" s="191"/>
      <c r="N18" s="191">
        <v>1.9094</v>
      </c>
      <c r="O18" s="191" t="s">
        <v>107</v>
      </c>
      <c r="P18" s="191" t="s">
        <v>150</v>
      </c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91" t="s">
        <v>118</v>
      </c>
      <c r="B19" s="191" t="s">
        <v>91</v>
      </c>
      <c r="C19" s="193">
        <v>376.0</v>
      </c>
      <c r="D19" s="191">
        <v>0.0</v>
      </c>
      <c r="E19" s="191" t="s">
        <v>151</v>
      </c>
      <c r="F19" s="191" t="s">
        <v>84</v>
      </c>
      <c r="G19" s="191" t="s">
        <v>85</v>
      </c>
      <c r="H19" s="191" t="s">
        <v>152</v>
      </c>
      <c r="I19" s="191" t="s">
        <v>153</v>
      </c>
      <c r="J19" s="191" t="s">
        <v>153</v>
      </c>
      <c r="K19" s="192"/>
      <c r="L19" s="191">
        <v>-5.0</v>
      </c>
      <c r="M19" s="191"/>
      <c r="N19" s="191">
        <v>9.196683333333333</v>
      </c>
      <c r="O19" s="191" t="s">
        <v>88</v>
      </c>
      <c r="P19" s="191" t="s">
        <v>154</v>
      </c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91" t="s">
        <v>90</v>
      </c>
      <c r="B20" s="191" t="s">
        <v>91</v>
      </c>
      <c r="C20" s="191">
        <v>306.0</v>
      </c>
      <c r="D20" s="191">
        <v>0.0</v>
      </c>
      <c r="E20" s="191" t="s">
        <v>56</v>
      </c>
      <c r="F20" s="191" t="s">
        <v>92</v>
      </c>
      <c r="G20" s="191" t="s">
        <v>104</v>
      </c>
      <c r="H20" s="191" t="s">
        <v>155</v>
      </c>
      <c r="I20" s="191" t="s">
        <v>156</v>
      </c>
      <c r="J20" s="191" t="s">
        <v>157</v>
      </c>
      <c r="K20" s="191" t="s">
        <v>158</v>
      </c>
      <c r="L20" s="191">
        <v>1.0</v>
      </c>
      <c r="M20" s="191">
        <v>3.9635666666666665</v>
      </c>
      <c r="N20" s="191">
        <v>9.35105</v>
      </c>
      <c r="O20" s="191" t="s">
        <v>97</v>
      </c>
      <c r="P20" s="191" t="s">
        <v>159</v>
      </c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91" t="s">
        <v>102</v>
      </c>
      <c r="B21" s="191" t="s">
        <v>91</v>
      </c>
      <c r="C21" s="193">
        <v>309.0</v>
      </c>
      <c r="D21" s="191">
        <v>0.0</v>
      </c>
      <c r="E21" s="192"/>
      <c r="F21" s="191" t="s">
        <v>103</v>
      </c>
      <c r="G21" s="191" t="s">
        <v>104</v>
      </c>
      <c r="H21" s="191" t="s">
        <v>160</v>
      </c>
      <c r="I21" s="191" t="s">
        <v>161</v>
      </c>
      <c r="J21" s="191" t="s">
        <v>161</v>
      </c>
      <c r="K21" s="192"/>
      <c r="L21" s="191">
        <v>0.0</v>
      </c>
      <c r="M21" s="191"/>
      <c r="N21" s="191">
        <v>5.7817</v>
      </c>
      <c r="O21" s="191" t="s">
        <v>107</v>
      </c>
      <c r="P21" s="191" t="s">
        <v>162</v>
      </c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91" t="s">
        <v>102</v>
      </c>
      <c r="B22" s="191" t="s">
        <v>91</v>
      </c>
      <c r="C22" s="191">
        <v>40.0</v>
      </c>
      <c r="D22" s="191">
        <v>0.0</v>
      </c>
      <c r="E22" s="192"/>
      <c r="F22" s="191" t="s">
        <v>103</v>
      </c>
      <c r="G22" s="191" t="s">
        <v>104</v>
      </c>
      <c r="H22" s="191" t="s">
        <v>163</v>
      </c>
      <c r="I22" s="191" t="s">
        <v>164</v>
      </c>
      <c r="J22" s="191" t="s">
        <v>164</v>
      </c>
      <c r="K22" s="192"/>
      <c r="L22" s="191">
        <v>-2.0</v>
      </c>
      <c r="M22" s="191"/>
      <c r="N22" s="191">
        <v>2.4218333333333333</v>
      </c>
      <c r="O22" s="191" t="s">
        <v>107</v>
      </c>
      <c r="P22" s="191" t="s">
        <v>165</v>
      </c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91" t="s">
        <v>90</v>
      </c>
      <c r="B23" s="191" t="s">
        <v>91</v>
      </c>
      <c r="C23" s="191">
        <v>359.0</v>
      </c>
      <c r="D23" s="191">
        <v>0.0</v>
      </c>
      <c r="E23" s="191" t="s">
        <v>49</v>
      </c>
      <c r="F23" s="191" t="s">
        <v>92</v>
      </c>
      <c r="G23" s="191" t="s">
        <v>85</v>
      </c>
      <c r="H23" s="191" t="s">
        <v>166</v>
      </c>
      <c r="I23" s="191" t="s">
        <v>167</v>
      </c>
      <c r="J23" s="191" t="s">
        <v>168</v>
      </c>
      <c r="K23" s="191" t="s">
        <v>169</v>
      </c>
      <c r="L23" s="191">
        <v>-16.0</v>
      </c>
      <c r="M23" s="191">
        <v>0.0013666666666666666</v>
      </c>
      <c r="N23" s="191">
        <v>10.137616666666666</v>
      </c>
      <c r="O23" s="191" t="s">
        <v>97</v>
      </c>
      <c r="P23" s="191" t="s">
        <v>170</v>
      </c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91" t="s">
        <v>90</v>
      </c>
      <c r="B24" s="191" t="s">
        <v>91</v>
      </c>
      <c r="C24" s="191">
        <v>437.0</v>
      </c>
      <c r="D24" s="191">
        <v>131.0</v>
      </c>
      <c r="E24" s="192"/>
      <c r="F24" s="191" t="s">
        <v>103</v>
      </c>
      <c r="G24" s="191" t="s">
        <v>85</v>
      </c>
      <c r="H24" s="191" t="s">
        <v>171</v>
      </c>
      <c r="I24" s="191" t="s">
        <v>172</v>
      </c>
      <c r="J24" s="191" t="s">
        <v>172</v>
      </c>
      <c r="K24" s="192"/>
      <c r="L24" s="191">
        <v>-3.0</v>
      </c>
      <c r="M24" s="191"/>
      <c r="N24" s="191">
        <v>15.010483333333333</v>
      </c>
      <c r="O24" s="191" t="s">
        <v>97</v>
      </c>
      <c r="P24" s="191" t="s">
        <v>173</v>
      </c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91" t="s">
        <v>126</v>
      </c>
      <c r="B25" s="191" t="s">
        <v>91</v>
      </c>
      <c r="C25" s="191">
        <v>281.0</v>
      </c>
      <c r="D25" s="191">
        <v>0.0</v>
      </c>
      <c r="E25" s="191" t="s">
        <v>56</v>
      </c>
      <c r="F25" s="191" t="s">
        <v>84</v>
      </c>
      <c r="G25" s="191" t="s">
        <v>85</v>
      </c>
      <c r="H25" s="191" t="s">
        <v>174</v>
      </c>
      <c r="I25" s="191" t="s">
        <v>175</v>
      </c>
      <c r="J25" s="191" t="s">
        <v>175</v>
      </c>
      <c r="K25" s="192"/>
      <c r="L25" s="191">
        <v>-6.0</v>
      </c>
      <c r="M25" s="191"/>
      <c r="N25" s="191">
        <v>8.103166666666667</v>
      </c>
      <c r="O25" s="191" t="s">
        <v>88</v>
      </c>
      <c r="P25" s="191" t="s">
        <v>176</v>
      </c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91" t="s">
        <v>102</v>
      </c>
      <c r="B26" s="191" t="s">
        <v>91</v>
      </c>
      <c r="C26" s="191">
        <v>558.0</v>
      </c>
      <c r="D26" s="191">
        <v>0.0</v>
      </c>
      <c r="E26" s="192"/>
      <c r="F26" s="191" t="s">
        <v>103</v>
      </c>
      <c r="G26" s="191" t="s">
        <v>104</v>
      </c>
      <c r="H26" s="191" t="s">
        <v>177</v>
      </c>
      <c r="I26" s="191" t="s">
        <v>178</v>
      </c>
      <c r="J26" s="191" t="s">
        <v>178</v>
      </c>
      <c r="K26" s="192"/>
      <c r="L26" s="191">
        <v>0.0</v>
      </c>
      <c r="M26" s="191"/>
      <c r="N26" s="191">
        <v>4.174133333333334</v>
      </c>
      <c r="O26" s="191" t="s">
        <v>107</v>
      </c>
      <c r="P26" s="191" t="s">
        <v>179</v>
      </c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91" t="s">
        <v>126</v>
      </c>
      <c r="B27" s="191" t="s">
        <v>91</v>
      </c>
      <c r="C27" s="193">
        <v>223.0</v>
      </c>
      <c r="D27" s="191">
        <v>0.0</v>
      </c>
      <c r="E27" s="191" t="s">
        <v>56</v>
      </c>
      <c r="F27" s="191" t="s">
        <v>84</v>
      </c>
      <c r="G27" s="191" t="s">
        <v>85</v>
      </c>
      <c r="H27" s="191" t="s">
        <v>180</v>
      </c>
      <c r="I27" s="191" t="s">
        <v>181</v>
      </c>
      <c r="J27" s="191" t="s">
        <v>181</v>
      </c>
      <c r="K27" s="192"/>
      <c r="L27" s="191">
        <v>-9.0</v>
      </c>
      <c r="M27" s="191"/>
      <c r="N27" s="191">
        <v>5.520816666666667</v>
      </c>
      <c r="O27" s="191" t="s">
        <v>88</v>
      </c>
      <c r="P27" s="191" t="s">
        <v>182</v>
      </c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91" t="s">
        <v>118</v>
      </c>
      <c r="B28" s="191" t="s">
        <v>91</v>
      </c>
      <c r="C28" s="193">
        <v>369.0</v>
      </c>
      <c r="D28" s="191">
        <v>0.0</v>
      </c>
      <c r="E28" s="191" t="s">
        <v>183</v>
      </c>
      <c r="F28" s="191" t="s">
        <v>84</v>
      </c>
      <c r="G28" s="191" t="s">
        <v>85</v>
      </c>
      <c r="H28" s="191" t="s">
        <v>184</v>
      </c>
      <c r="I28" s="191" t="s">
        <v>185</v>
      </c>
      <c r="J28" s="191" t="s">
        <v>185</v>
      </c>
      <c r="K28" s="192"/>
      <c r="L28" s="191">
        <v>-6.0</v>
      </c>
      <c r="M28" s="191"/>
      <c r="N28" s="191">
        <v>8.5602</v>
      </c>
      <c r="O28" s="191" t="s">
        <v>88</v>
      </c>
      <c r="P28" s="191" t="s">
        <v>186</v>
      </c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91" t="s">
        <v>82</v>
      </c>
      <c r="B29" s="191" t="s">
        <v>91</v>
      </c>
      <c r="C29" s="193">
        <v>188.0</v>
      </c>
      <c r="D29" s="191">
        <v>0.0</v>
      </c>
      <c r="E29" s="192"/>
      <c r="F29" s="191" t="s">
        <v>84</v>
      </c>
      <c r="G29" s="191" t="s">
        <v>104</v>
      </c>
      <c r="H29" s="191" t="s">
        <v>187</v>
      </c>
      <c r="I29" s="191" t="s">
        <v>188</v>
      </c>
      <c r="J29" s="191" t="s">
        <v>188</v>
      </c>
      <c r="K29" s="192"/>
      <c r="L29" s="191">
        <v>-9.0</v>
      </c>
      <c r="M29" s="191"/>
      <c r="N29" s="191">
        <v>5.947533333333333</v>
      </c>
      <c r="O29" s="191" t="s">
        <v>88</v>
      </c>
      <c r="P29" s="191" t="s">
        <v>189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91" t="s">
        <v>118</v>
      </c>
      <c r="B30" s="191" t="s">
        <v>91</v>
      </c>
      <c r="C30" s="193">
        <v>414.0</v>
      </c>
      <c r="D30" s="191">
        <v>0.0</v>
      </c>
      <c r="E30" s="191" t="s">
        <v>190</v>
      </c>
      <c r="F30" s="191" t="s">
        <v>84</v>
      </c>
      <c r="G30" s="191" t="s">
        <v>85</v>
      </c>
      <c r="H30" s="191" t="s">
        <v>191</v>
      </c>
      <c r="I30" s="191" t="s">
        <v>192</v>
      </c>
      <c r="J30" s="191" t="s">
        <v>192</v>
      </c>
      <c r="K30" s="192"/>
      <c r="L30" s="191">
        <v>-6.0</v>
      </c>
      <c r="M30" s="191"/>
      <c r="N30" s="191">
        <v>8.198683333333333</v>
      </c>
      <c r="O30" s="191" t="s">
        <v>88</v>
      </c>
      <c r="P30" s="191" t="s">
        <v>193</v>
      </c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</row>
    <row r="31">
      <c r="A31" s="191" t="s">
        <v>126</v>
      </c>
      <c r="B31" s="191" t="s">
        <v>91</v>
      </c>
      <c r="C31" s="191">
        <v>329.0</v>
      </c>
      <c r="D31" s="191">
        <v>0.0</v>
      </c>
      <c r="E31" s="191" t="s">
        <v>56</v>
      </c>
      <c r="F31" s="191" t="s">
        <v>84</v>
      </c>
      <c r="G31" s="191" t="s">
        <v>85</v>
      </c>
      <c r="H31" s="191" t="s">
        <v>194</v>
      </c>
      <c r="I31" s="191" t="s">
        <v>195</v>
      </c>
      <c r="J31" s="191" t="s">
        <v>195</v>
      </c>
      <c r="K31" s="192"/>
      <c r="L31" s="191">
        <v>-8.0</v>
      </c>
      <c r="M31" s="191"/>
      <c r="N31" s="191">
        <v>6.3473</v>
      </c>
      <c r="O31" s="191" t="s">
        <v>88</v>
      </c>
      <c r="P31" s="191" t="s">
        <v>196</v>
      </c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</row>
    <row r="32">
      <c r="A32" s="191" t="s">
        <v>90</v>
      </c>
      <c r="B32" s="191" t="s">
        <v>91</v>
      </c>
      <c r="C32" s="191">
        <v>493.0</v>
      </c>
      <c r="D32" s="191">
        <v>0.0</v>
      </c>
      <c r="E32" s="191" t="s">
        <v>49</v>
      </c>
      <c r="F32" s="191" t="s">
        <v>92</v>
      </c>
      <c r="G32" s="191" t="s">
        <v>104</v>
      </c>
      <c r="H32" s="191" t="s">
        <v>197</v>
      </c>
      <c r="I32" s="191" t="s">
        <v>198</v>
      </c>
      <c r="J32" s="191" t="s">
        <v>199</v>
      </c>
      <c r="K32" s="191" t="s">
        <v>200</v>
      </c>
      <c r="L32" s="191">
        <v>-12.0</v>
      </c>
      <c r="M32" s="191">
        <v>0.0024833333333333335</v>
      </c>
      <c r="N32" s="191">
        <v>11.714666666666666</v>
      </c>
      <c r="O32" s="191" t="s">
        <v>97</v>
      </c>
      <c r="P32" s="191" t="s">
        <v>201</v>
      </c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</row>
    <row r="33">
      <c r="A33" s="191" t="s">
        <v>82</v>
      </c>
      <c r="B33" s="191" t="s">
        <v>91</v>
      </c>
      <c r="C33" s="191">
        <v>409.2</v>
      </c>
      <c r="D33" s="191">
        <v>118.8</v>
      </c>
      <c r="E33" s="192"/>
      <c r="F33" s="191" t="s">
        <v>84</v>
      </c>
      <c r="G33" s="191" t="s">
        <v>85</v>
      </c>
      <c r="H33" s="191" t="s">
        <v>202</v>
      </c>
      <c r="I33" s="191" t="s">
        <v>203</v>
      </c>
      <c r="J33" s="191" t="s">
        <v>203</v>
      </c>
      <c r="K33" s="192"/>
      <c r="L33" s="191">
        <v>-4.0</v>
      </c>
      <c r="M33" s="191"/>
      <c r="N33" s="191">
        <v>10.42475</v>
      </c>
      <c r="O33" s="191" t="s">
        <v>88</v>
      </c>
      <c r="P33" s="191" t="s">
        <v>204</v>
      </c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</row>
    <row r="34">
      <c r="A34" s="191" t="s">
        <v>90</v>
      </c>
      <c r="B34" s="191" t="s">
        <v>91</v>
      </c>
      <c r="C34" s="193">
        <v>712.0</v>
      </c>
      <c r="D34" s="191">
        <v>0.0</v>
      </c>
      <c r="E34" s="191" t="s">
        <v>49</v>
      </c>
      <c r="F34" s="191" t="s">
        <v>92</v>
      </c>
      <c r="G34" s="191" t="s">
        <v>85</v>
      </c>
      <c r="H34" s="191" t="s">
        <v>205</v>
      </c>
      <c r="I34" s="191" t="s">
        <v>206</v>
      </c>
      <c r="J34" s="191" t="s">
        <v>207</v>
      </c>
      <c r="K34" s="191" t="s">
        <v>208</v>
      </c>
      <c r="L34" s="191">
        <v>0.0</v>
      </c>
      <c r="M34" s="191">
        <v>0.00355</v>
      </c>
      <c r="N34" s="191">
        <v>16.78076666666667</v>
      </c>
      <c r="O34" s="191" t="s">
        <v>97</v>
      </c>
      <c r="P34" s="191" t="s">
        <v>209</v>
      </c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</row>
    <row r="35">
      <c r="A35" s="191" t="s">
        <v>90</v>
      </c>
      <c r="B35" s="191" t="s">
        <v>91</v>
      </c>
      <c r="C35" s="193">
        <v>329.0</v>
      </c>
      <c r="D35" s="191">
        <v>0.0</v>
      </c>
      <c r="E35" s="191" t="s">
        <v>49</v>
      </c>
      <c r="F35" s="191" t="s">
        <v>92</v>
      </c>
      <c r="G35" s="191" t="s">
        <v>85</v>
      </c>
      <c r="H35" s="191" t="s">
        <v>210</v>
      </c>
      <c r="I35" s="191" t="s">
        <v>211</v>
      </c>
      <c r="J35" s="191" t="s">
        <v>212</v>
      </c>
      <c r="K35" s="191" t="s">
        <v>213</v>
      </c>
      <c r="L35" s="191">
        <v>-15.0</v>
      </c>
      <c r="M35" s="191">
        <v>0.0020166666666666666</v>
      </c>
      <c r="N35" s="191">
        <v>7.633033333333334</v>
      </c>
      <c r="O35" s="191" t="s">
        <v>97</v>
      </c>
      <c r="P35" s="191" t="s">
        <v>214</v>
      </c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</row>
    <row r="36">
      <c r="A36" s="191" t="s">
        <v>102</v>
      </c>
      <c r="B36" s="191" t="s">
        <v>91</v>
      </c>
      <c r="C36" s="193">
        <v>20.0</v>
      </c>
      <c r="D36" s="191">
        <v>35.0</v>
      </c>
      <c r="E36" s="192"/>
      <c r="F36" s="191" t="s">
        <v>103</v>
      </c>
      <c r="G36" s="191" t="s">
        <v>104</v>
      </c>
      <c r="H36" s="191" t="s">
        <v>215</v>
      </c>
      <c r="I36" s="191" t="s">
        <v>216</v>
      </c>
      <c r="J36" s="191" t="s">
        <v>216</v>
      </c>
      <c r="K36" s="192"/>
      <c r="L36" s="191">
        <v>-4.0</v>
      </c>
      <c r="M36" s="191"/>
      <c r="N36" s="191">
        <v>0.08916666666666667</v>
      </c>
      <c r="O36" s="191" t="s">
        <v>107</v>
      </c>
      <c r="P36" s="191" t="s">
        <v>217</v>
      </c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</row>
    <row r="37">
      <c r="A37" s="191" t="s">
        <v>82</v>
      </c>
      <c r="B37" s="191" t="s">
        <v>83</v>
      </c>
      <c r="C37" s="191">
        <v>468.6</v>
      </c>
      <c r="D37" s="191">
        <v>59.4</v>
      </c>
      <c r="E37" s="192"/>
      <c r="F37" s="191" t="s">
        <v>84</v>
      </c>
      <c r="G37" s="191" t="s">
        <v>85</v>
      </c>
      <c r="H37" s="191" t="s">
        <v>218</v>
      </c>
      <c r="I37" s="191" t="s">
        <v>219</v>
      </c>
      <c r="J37" s="191" t="s">
        <v>219</v>
      </c>
      <c r="K37" s="192"/>
      <c r="L37" s="191">
        <v>-8.0</v>
      </c>
      <c r="M37" s="191"/>
      <c r="N37" s="191">
        <v>6.9703333333333335</v>
      </c>
      <c r="O37" s="191" t="s">
        <v>88</v>
      </c>
      <c r="P37" s="191" t="s">
        <v>220</v>
      </c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</row>
    <row r="38">
      <c r="A38" s="191" t="s">
        <v>90</v>
      </c>
      <c r="B38" s="191" t="s">
        <v>91</v>
      </c>
      <c r="C38" s="193">
        <v>298.0</v>
      </c>
      <c r="D38" s="191">
        <v>11.0</v>
      </c>
      <c r="E38" s="191" t="s">
        <v>49</v>
      </c>
      <c r="F38" s="191" t="s">
        <v>92</v>
      </c>
      <c r="G38" s="191" t="s">
        <v>85</v>
      </c>
      <c r="H38" s="191" t="s">
        <v>221</v>
      </c>
      <c r="I38" s="191" t="s">
        <v>222</v>
      </c>
      <c r="J38" s="191" t="s">
        <v>223</v>
      </c>
      <c r="K38" s="191" t="s">
        <v>224</v>
      </c>
      <c r="L38" s="191">
        <v>-2.0</v>
      </c>
      <c r="M38" s="191">
        <v>0.0019666666666666665</v>
      </c>
      <c r="N38" s="191">
        <v>11.25675</v>
      </c>
      <c r="O38" s="191" t="s">
        <v>97</v>
      </c>
      <c r="P38" s="191" t="s">
        <v>225</v>
      </c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</row>
    <row r="39">
      <c r="A39" s="191" t="s">
        <v>82</v>
      </c>
      <c r="B39" s="191" t="s">
        <v>83</v>
      </c>
      <c r="C39" s="191">
        <v>411.03</v>
      </c>
      <c r="D39" s="191">
        <v>78.97</v>
      </c>
      <c r="E39" s="192"/>
      <c r="F39" s="191" t="s">
        <v>84</v>
      </c>
      <c r="G39" s="191" t="s">
        <v>85</v>
      </c>
      <c r="H39" s="191" t="s">
        <v>226</v>
      </c>
      <c r="I39" s="191" t="s">
        <v>227</v>
      </c>
      <c r="J39" s="191" t="s">
        <v>227</v>
      </c>
      <c r="K39" s="192"/>
      <c r="L39" s="191">
        <v>-1.0</v>
      </c>
      <c r="M39" s="191"/>
      <c r="N39" s="191">
        <v>13.500766666666667</v>
      </c>
      <c r="O39" s="191" t="s">
        <v>88</v>
      </c>
      <c r="P39" s="191" t="s">
        <v>228</v>
      </c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</row>
    <row r="40">
      <c r="A40" s="191" t="s">
        <v>90</v>
      </c>
      <c r="B40" s="191" t="s">
        <v>91</v>
      </c>
      <c r="C40" s="191">
        <v>583.0</v>
      </c>
      <c r="D40" s="191">
        <v>0.0</v>
      </c>
      <c r="E40" s="191" t="s">
        <v>49</v>
      </c>
      <c r="F40" s="191" t="s">
        <v>92</v>
      </c>
      <c r="G40" s="191" t="s">
        <v>104</v>
      </c>
      <c r="H40" s="191" t="s">
        <v>229</v>
      </c>
      <c r="I40" s="191" t="s">
        <v>230</v>
      </c>
      <c r="J40" s="191" t="s">
        <v>231</v>
      </c>
      <c r="K40" s="191" t="s">
        <v>232</v>
      </c>
      <c r="L40" s="191">
        <v>-6.0</v>
      </c>
      <c r="M40" s="191">
        <v>0.0027333333333333333</v>
      </c>
      <c r="N40" s="191">
        <v>10.40635</v>
      </c>
      <c r="O40" s="191" t="s">
        <v>97</v>
      </c>
      <c r="P40" s="191" t="s">
        <v>233</v>
      </c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</row>
    <row r="41">
      <c r="A41" s="191" t="s">
        <v>126</v>
      </c>
      <c r="B41" s="191" t="s">
        <v>91</v>
      </c>
      <c r="C41" s="193">
        <v>329.0</v>
      </c>
      <c r="D41" s="191">
        <v>0.0</v>
      </c>
      <c r="E41" s="191" t="s">
        <v>56</v>
      </c>
      <c r="F41" s="191" t="s">
        <v>84</v>
      </c>
      <c r="G41" s="191" t="s">
        <v>85</v>
      </c>
      <c r="H41" s="191" t="s">
        <v>234</v>
      </c>
      <c r="I41" s="191" t="s">
        <v>235</v>
      </c>
      <c r="J41" s="191" t="s">
        <v>235</v>
      </c>
      <c r="K41" s="192"/>
      <c r="L41" s="191">
        <v>-4.0</v>
      </c>
      <c r="M41" s="191"/>
      <c r="N41" s="191">
        <v>10.294366666666667</v>
      </c>
      <c r="O41" s="191" t="s">
        <v>88</v>
      </c>
      <c r="P41" s="191" t="s">
        <v>236</v>
      </c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</row>
    <row r="42">
      <c r="A42" s="191" t="s">
        <v>126</v>
      </c>
      <c r="B42" s="191" t="s">
        <v>91</v>
      </c>
      <c r="C42" s="193">
        <v>672.0</v>
      </c>
      <c r="D42" s="191">
        <v>0.0</v>
      </c>
      <c r="E42" s="191" t="s">
        <v>56</v>
      </c>
      <c r="F42" s="191" t="s">
        <v>84</v>
      </c>
      <c r="G42" s="191" t="s">
        <v>85</v>
      </c>
      <c r="H42" s="191" t="s">
        <v>237</v>
      </c>
      <c r="I42" s="191" t="s">
        <v>238</v>
      </c>
      <c r="J42" s="191" t="s">
        <v>238</v>
      </c>
      <c r="K42" s="192"/>
      <c r="L42" s="191">
        <v>-5.0</v>
      </c>
      <c r="M42" s="191"/>
      <c r="N42" s="191">
        <v>9.84005</v>
      </c>
      <c r="O42" s="191" t="s">
        <v>88</v>
      </c>
      <c r="P42" s="191" t="s">
        <v>239</v>
      </c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</row>
    <row r="43">
      <c r="A43" s="191" t="s">
        <v>82</v>
      </c>
      <c r="B43" s="191" t="s">
        <v>91</v>
      </c>
      <c r="C43" s="191">
        <v>434.0</v>
      </c>
      <c r="D43" s="191">
        <v>0.0</v>
      </c>
      <c r="E43" s="192"/>
      <c r="F43" s="191" t="s">
        <v>84</v>
      </c>
      <c r="G43" s="191" t="s">
        <v>104</v>
      </c>
      <c r="H43" s="191" t="s">
        <v>240</v>
      </c>
      <c r="I43" s="191" t="s">
        <v>241</v>
      </c>
      <c r="J43" s="191" t="s">
        <v>241</v>
      </c>
      <c r="K43" s="192"/>
      <c r="L43" s="191">
        <v>-9.0</v>
      </c>
      <c r="M43" s="191"/>
      <c r="N43" s="191">
        <v>5.87465</v>
      </c>
      <c r="O43" s="191" t="s">
        <v>88</v>
      </c>
      <c r="P43" s="191" t="s">
        <v>242</v>
      </c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</row>
    <row r="44">
      <c r="A44" s="191" t="s">
        <v>82</v>
      </c>
      <c r="B44" s="191" t="s">
        <v>91</v>
      </c>
      <c r="C44" s="193">
        <v>453.0</v>
      </c>
      <c r="D44" s="191">
        <v>0.0</v>
      </c>
      <c r="E44" s="192"/>
      <c r="F44" s="191" t="s">
        <v>84</v>
      </c>
      <c r="G44" s="191" t="s">
        <v>85</v>
      </c>
      <c r="H44" s="191" t="s">
        <v>243</v>
      </c>
      <c r="I44" s="191" t="s">
        <v>244</v>
      </c>
      <c r="J44" s="191" t="s">
        <v>244</v>
      </c>
      <c r="K44" s="192"/>
      <c r="L44" s="191">
        <v>-5.0</v>
      </c>
      <c r="M44" s="191"/>
      <c r="N44" s="191">
        <v>9.7597</v>
      </c>
      <c r="O44" s="191" t="s">
        <v>88</v>
      </c>
      <c r="P44" s="191" t="s">
        <v>245</v>
      </c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</row>
    <row r="45">
      <c r="A45" s="191" t="s">
        <v>102</v>
      </c>
      <c r="B45" s="191" t="s">
        <v>91</v>
      </c>
      <c r="C45" s="191">
        <v>40.0</v>
      </c>
      <c r="D45" s="191">
        <v>70.0</v>
      </c>
      <c r="E45" s="192"/>
      <c r="F45" s="191" t="s">
        <v>103</v>
      </c>
      <c r="G45" s="191" t="s">
        <v>104</v>
      </c>
      <c r="H45" s="191" t="s">
        <v>246</v>
      </c>
      <c r="I45" s="191" t="s">
        <v>247</v>
      </c>
      <c r="J45" s="191" t="s">
        <v>247</v>
      </c>
      <c r="K45" s="192"/>
      <c r="L45" s="191">
        <v>-4.0</v>
      </c>
      <c r="M45" s="191"/>
      <c r="N45" s="191">
        <v>0.16266666666666665</v>
      </c>
      <c r="O45" s="191" t="s">
        <v>107</v>
      </c>
      <c r="P45" s="191" t="s">
        <v>248</v>
      </c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</row>
    <row r="46">
      <c r="A46" s="191" t="s">
        <v>90</v>
      </c>
      <c r="B46" s="191" t="s">
        <v>91</v>
      </c>
      <c r="C46" s="193">
        <v>249.0</v>
      </c>
      <c r="D46" s="191">
        <v>0.0</v>
      </c>
      <c r="E46" s="191" t="s">
        <v>49</v>
      </c>
      <c r="F46" s="191" t="s">
        <v>92</v>
      </c>
      <c r="G46" s="191" t="s">
        <v>85</v>
      </c>
      <c r="H46" s="191" t="s">
        <v>249</v>
      </c>
      <c r="I46" s="191" t="s">
        <v>250</v>
      </c>
      <c r="J46" s="191" t="s">
        <v>251</v>
      </c>
      <c r="K46" s="191" t="s">
        <v>252</v>
      </c>
      <c r="L46" s="191">
        <v>0.0</v>
      </c>
      <c r="M46" s="191">
        <v>0.00295</v>
      </c>
      <c r="N46" s="191">
        <v>7.621366666666667</v>
      </c>
      <c r="O46" s="191" t="s">
        <v>97</v>
      </c>
      <c r="P46" s="191" t="s">
        <v>253</v>
      </c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</row>
    <row r="47">
      <c r="A47" s="191" t="s">
        <v>118</v>
      </c>
      <c r="B47" s="191" t="s">
        <v>91</v>
      </c>
      <c r="C47" s="193">
        <v>602.0</v>
      </c>
      <c r="D47" s="191">
        <v>0.0</v>
      </c>
      <c r="E47" s="191" t="s">
        <v>254</v>
      </c>
      <c r="F47" s="191" t="s">
        <v>84</v>
      </c>
      <c r="G47" s="191" t="s">
        <v>85</v>
      </c>
      <c r="H47" s="191" t="s">
        <v>255</v>
      </c>
      <c r="I47" s="191" t="s">
        <v>256</v>
      </c>
      <c r="J47" s="191" t="s">
        <v>256</v>
      </c>
      <c r="K47" s="192"/>
      <c r="L47" s="191">
        <v>-7.0</v>
      </c>
      <c r="M47" s="191"/>
      <c r="N47" s="191">
        <v>7.72695</v>
      </c>
      <c r="O47" s="191" t="s">
        <v>88</v>
      </c>
      <c r="P47" s="191" t="s">
        <v>257</v>
      </c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</row>
    <row r="48">
      <c r="A48" s="191" t="s">
        <v>82</v>
      </c>
      <c r="B48" s="191" t="s">
        <v>91</v>
      </c>
      <c r="C48" s="193">
        <v>756.0</v>
      </c>
      <c r="D48" s="191">
        <v>0.0</v>
      </c>
      <c r="E48" s="192"/>
      <c r="F48" s="191" t="s">
        <v>84</v>
      </c>
      <c r="G48" s="191" t="s">
        <v>85</v>
      </c>
      <c r="H48" s="191" t="s">
        <v>258</v>
      </c>
      <c r="I48" s="191" t="s">
        <v>259</v>
      </c>
      <c r="J48" s="191" t="s">
        <v>259</v>
      </c>
      <c r="K48" s="192"/>
      <c r="L48" s="191">
        <v>-3.0</v>
      </c>
      <c r="M48" s="191"/>
      <c r="N48" s="191">
        <v>11.435416666666667</v>
      </c>
      <c r="O48" s="191" t="s">
        <v>88</v>
      </c>
      <c r="P48" s="191" t="s">
        <v>260</v>
      </c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</row>
    <row r="49">
      <c r="A49" s="191" t="s">
        <v>90</v>
      </c>
      <c r="B49" s="191" t="s">
        <v>91</v>
      </c>
      <c r="C49" s="191">
        <v>89.0</v>
      </c>
      <c r="D49" s="191">
        <v>0.0</v>
      </c>
      <c r="E49" s="192"/>
      <c r="F49" s="191" t="s">
        <v>103</v>
      </c>
      <c r="G49" s="191" t="s">
        <v>85</v>
      </c>
      <c r="H49" s="191" t="s">
        <v>261</v>
      </c>
      <c r="I49" s="191" t="s">
        <v>262</v>
      </c>
      <c r="J49" s="191" t="s">
        <v>262</v>
      </c>
      <c r="K49" s="192"/>
      <c r="L49" s="191">
        <v>-6.0</v>
      </c>
      <c r="M49" s="191"/>
      <c r="N49" s="191">
        <v>13.3881</v>
      </c>
      <c r="O49" s="191" t="s">
        <v>97</v>
      </c>
      <c r="P49" s="191" t="s">
        <v>263</v>
      </c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</row>
    <row r="50">
      <c r="A50" s="191" t="s">
        <v>90</v>
      </c>
      <c r="B50" s="191" t="s">
        <v>91</v>
      </c>
      <c r="C50" s="191">
        <v>309.0</v>
      </c>
      <c r="D50" s="191">
        <v>0.0</v>
      </c>
      <c r="E50" s="191" t="s">
        <v>49</v>
      </c>
      <c r="F50" s="191" t="s">
        <v>92</v>
      </c>
      <c r="G50" s="191" t="s">
        <v>104</v>
      </c>
      <c r="H50" s="191" t="s">
        <v>264</v>
      </c>
      <c r="I50" s="191" t="s">
        <v>265</v>
      </c>
      <c r="J50" s="191" t="s">
        <v>266</v>
      </c>
      <c r="K50" s="191" t="s">
        <v>267</v>
      </c>
      <c r="L50" s="191">
        <v>-19.0</v>
      </c>
      <c r="M50" s="191">
        <v>0.0020666666666666667</v>
      </c>
      <c r="N50" s="191">
        <v>7.231683333333334</v>
      </c>
      <c r="O50" s="191" t="s">
        <v>97</v>
      </c>
      <c r="P50" s="191" t="s">
        <v>268</v>
      </c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</row>
    <row r="51">
      <c r="A51" s="191" t="s">
        <v>90</v>
      </c>
      <c r="B51" s="193" t="s">
        <v>91</v>
      </c>
      <c r="C51" s="191">
        <v>558.0</v>
      </c>
      <c r="D51" s="191">
        <v>125.0</v>
      </c>
      <c r="E51" s="192"/>
      <c r="F51" s="191" t="s">
        <v>103</v>
      </c>
      <c r="G51" s="191" t="s">
        <v>85</v>
      </c>
      <c r="H51" s="191" t="s">
        <v>269</v>
      </c>
      <c r="I51" s="191" t="s">
        <v>270</v>
      </c>
      <c r="J51" s="191" t="s">
        <v>270</v>
      </c>
      <c r="K51" s="192"/>
      <c r="L51" s="191">
        <v>-9.0</v>
      </c>
      <c r="M51" s="191"/>
      <c r="N51" s="191">
        <v>9.678266666666667</v>
      </c>
      <c r="O51" s="191" t="s">
        <v>97</v>
      </c>
      <c r="P51" s="191" t="s">
        <v>271</v>
      </c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</row>
    <row r="52">
      <c r="A52" s="191" t="s">
        <v>126</v>
      </c>
      <c r="B52" s="191" t="s">
        <v>91</v>
      </c>
      <c r="C52" s="193">
        <v>553.0</v>
      </c>
      <c r="D52" s="191">
        <v>0.0</v>
      </c>
      <c r="E52" s="191" t="s">
        <v>56</v>
      </c>
      <c r="F52" s="191" t="s">
        <v>84</v>
      </c>
      <c r="G52" s="191" t="s">
        <v>85</v>
      </c>
      <c r="H52" s="191" t="s">
        <v>272</v>
      </c>
      <c r="I52" s="191" t="s">
        <v>273</v>
      </c>
      <c r="J52" s="191" t="s">
        <v>273</v>
      </c>
      <c r="K52" s="192"/>
      <c r="L52" s="191">
        <v>-3.0</v>
      </c>
      <c r="M52" s="191"/>
      <c r="N52" s="191">
        <v>11.173216666666667</v>
      </c>
      <c r="O52" s="191" t="s">
        <v>88</v>
      </c>
      <c r="P52" s="191" t="s">
        <v>274</v>
      </c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</row>
    <row r="53">
      <c r="A53" s="191" t="s">
        <v>82</v>
      </c>
      <c r="B53" s="191" t="s">
        <v>91</v>
      </c>
      <c r="C53" s="193">
        <v>394.0</v>
      </c>
      <c r="D53" s="191">
        <v>0.0</v>
      </c>
      <c r="E53" s="192"/>
      <c r="F53" s="191" t="s">
        <v>84</v>
      </c>
      <c r="G53" s="191" t="s">
        <v>85</v>
      </c>
      <c r="H53" s="191" t="s">
        <v>275</v>
      </c>
      <c r="I53" s="191" t="s">
        <v>276</v>
      </c>
      <c r="J53" s="191" t="s">
        <v>276</v>
      </c>
      <c r="K53" s="192"/>
      <c r="L53" s="191">
        <v>3.0</v>
      </c>
      <c r="M53" s="191"/>
      <c r="N53" s="191">
        <v>18.19175</v>
      </c>
      <c r="O53" s="191" t="s">
        <v>88</v>
      </c>
      <c r="P53" s="191" t="s">
        <v>277</v>
      </c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</row>
    <row r="54">
      <c r="A54" s="191" t="s">
        <v>90</v>
      </c>
      <c r="B54" s="191" t="s">
        <v>91</v>
      </c>
      <c r="C54" s="191">
        <v>259.0</v>
      </c>
      <c r="D54" s="191">
        <v>0.0</v>
      </c>
      <c r="E54" s="191" t="s">
        <v>49</v>
      </c>
      <c r="F54" s="191" t="s">
        <v>92</v>
      </c>
      <c r="G54" s="191" t="s">
        <v>85</v>
      </c>
      <c r="H54" s="191" t="s">
        <v>278</v>
      </c>
      <c r="I54" s="191" t="s">
        <v>279</v>
      </c>
      <c r="J54" s="191" t="s">
        <v>280</v>
      </c>
      <c r="K54" s="191" t="s">
        <v>281</v>
      </c>
      <c r="L54" s="191">
        <v>-14.0</v>
      </c>
      <c r="M54" s="191">
        <v>0.0020666666666666667</v>
      </c>
      <c r="N54" s="191">
        <v>8.24735</v>
      </c>
      <c r="O54" s="191" t="s">
        <v>97</v>
      </c>
      <c r="P54" s="191" t="s">
        <v>282</v>
      </c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</row>
    <row r="55">
      <c r="A55" s="191" t="s">
        <v>102</v>
      </c>
      <c r="B55" s="191" t="s">
        <v>91</v>
      </c>
      <c r="C55" s="193">
        <v>39.0</v>
      </c>
      <c r="D55" s="191">
        <v>0.0</v>
      </c>
      <c r="E55" s="192"/>
      <c r="F55" s="191" t="s">
        <v>103</v>
      </c>
      <c r="G55" s="191" t="s">
        <v>104</v>
      </c>
      <c r="H55" s="191" t="s">
        <v>283</v>
      </c>
      <c r="I55" s="191" t="s">
        <v>284</v>
      </c>
      <c r="J55" s="191" t="s">
        <v>284</v>
      </c>
      <c r="K55" s="192"/>
      <c r="L55" s="191">
        <v>-3.0</v>
      </c>
      <c r="M55" s="191"/>
      <c r="N55" s="191">
        <v>1.4128333333333334</v>
      </c>
      <c r="O55" s="191" t="s">
        <v>107</v>
      </c>
      <c r="P55" s="191" t="s">
        <v>285</v>
      </c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</row>
    <row r="56">
      <c r="A56" s="191" t="s">
        <v>82</v>
      </c>
      <c r="B56" s="191" t="s">
        <v>91</v>
      </c>
      <c r="C56" s="193">
        <v>788.0</v>
      </c>
      <c r="D56" s="191">
        <v>0.0</v>
      </c>
      <c r="E56" s="192"/>
      <c r="F56" s="191" t="s">
        <v>84</v>
      </c>
      <c r="G56" s="191" t="s">
        <v>85</v>
      </c>
      <c r="H56" s="191" t="s">
        <v>286</v>
      </c>
      <c r="I56" s="191" t="s">
        <v>287</v>
      </c>
      <c r="J56" s="191" t="s">
        <v>287</v>
      </c>
      <c r="K56" s="192"/>
      <c r="L56" s="191">
        <v>-1.0</v>
      </c>
      <c r="M56" s="191"/>
      <c r="N56" s="191">
        <v>13.272466666666666</v>
      </c>
      <c r="O56" s="191" t="s">
        <v>88</v>
      </c>
      <c r="P56" s="191" t="s">
        <v>288</v>
      </c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</row>
    <row r="57">
      <c r="A57" s="191" t="s">
        <v>82</v>
      </c>
      <c r="B57" s="191" t="s">
        <v>91</v>
      </c>
      <c r="C57" s="193">
        <v>472.75</v>
      </c>
      <c r="D57" s="191">
        <v>137.25</v>
      </c>
      <c r="E57" s="192"/>
      <c r="F57" s="191" t="s">
        <v>84</v>
      </c>
      <c r="G57" s="191" t="s">
        <v>85</v>
      </c>
      <c r="H57" s="191" t="s">
        <v>289</v>
      </c>
      <c r="I57" s="191" t="s">
        <v>290</v>
      </c>
      <c r="J57" s="191" t="s">
        <v>290</v>
      </c>
      <c r="K57" s="192"/>
      <c r="L57" s="191">
        <v>-4.0</v>
      </c>
      <c r="M57" s="191"/>
      <c r="N57" s="191">
        <v>10.754633333333333</v>
      </c>
      <c r="O57" s="191" t="s">
        <v>88</v>
      </c>
      <c r="P57" s="191" t="s">
        <v>291</v>
      </c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</row>
    <row r="58">
      <c r="A58" s="191" t="s">
        <v>82</v>
      </c>
      <c r="B58" s="191" t="s">
        <v>91</v>
      </c>
      <c r="C58" s="191">
        <v>204.6</v>
      </c>
      <c r="D58" s="191">
        <v>59.4</v>
      </c>
      <c r="E58" s="192"/>
      <c r="F58" s="191" t="s">
        <v>84</v>
      </c>
      <c r="G58" s="191" t="s">
        <v>85</v>
      </c>
      <c r="H58" s="191" t="s">
        <v>292</v>
      </c>
      <c r="I58" s="191" t="s">
        <v>293</v>
      </c>
      <c r="J58" s="191" t="s">
        <v>293</v>
      </c>
      <c r="K58" s="192"/>
      <c r="L58" s="191">
        <v>-8.0</v>
      </c>
      <c r="M58" s="191"/>
      <c r="N58" s="191">
        <v>6.565783333333333</v>
      </c>
      <c r="O58" s="191" t="s">
        <v>88</v>
      </c>
      <c r="P58" s="191" t="s">
        <v>117</v>
      </c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</row>
    <row r="59">
      <c r="A59" s="191" t="s">
        <v>102</v>
      </c>
      <c r="B59" s="191" t="s">
        <v>91</v>
      </c>
      <c r="C59" s="193">
        <v>368.0</v>
      </c>
      <c r="D59" s="191">
        <v>0.0</v>
      </c>
      <c r="E59" s="192"/>
      <c r="F59" s="191" t="s">
        <v>103</v>
      </c>
      <c r="G59" s="191" t="s">
        <v>104</v>
      </c>
      <c r="H59" s="191" t="s">
        <v>294</v>
      </c>
      <c r="I59" s="191" t="s">
        <v>295</v>
      </c>
      <c r="J59" s="191" t="s">
        <v>295</v>
      </c>
      <c r="K59" s="192"/>
      <c r="L59" s="191">
        <v>3.0</v>
      </c>
      <c r="M59" s="191"/>
      <c r="N59" s="191">
        <v>8.662683333333334</v>
      </c>
      <c r="O59" s="191" t="s">
        <v>107</v>
      </c>
      <c r="P59" s="191" t="s">
        <v>296</v>
      </c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</row>
    <row r="60">
      <c r="A60" s="191" t="s">
        <v>118</v>
      </c>
      <c r="B60" s="191" t="s">
        <v>91</v>
      </c>
      <c r="C60" s="191">
        <v>329.0</v>
      </c>
      <c r="D60" s="191">
        <v>0.0</v>
      </c>
      <c r="E60" s="191" t="s">
        <v>297</v>
      </c>
      <c r="F60" s="191" t="s">
        <v>84</v>
      </c>
      <c r="G60" s="191" t="s">
        <v>85</v>
      </c>
      <c r="H60" s="191" t="s">
        <v>298</v>
      </c>
      <c r="I60" s="191" t="s">
        <v>299</v>
      </c>
      <c r="J60" s="191" t="s">
        <v>299</v>
      </c>
      <c r="K60" s="192"/>
      <c r="L60" s="191">
        <v>-6.0</v>
      </c>
      <c r="M60" s="191"/>
      <c r="N60" s="191">
        <v>8.975766666666667</v>
      </c>
      <c r="O60" s="191" t="s">
        <v>88</v>
      </c>
      <c r="P60" s="191" t="s">
        <v>300</v>
      </c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</row>
    <row r="61">
      <c r="A61" s="191" t="s">
        <v>82</v>
      </c>
      <c r="B61" s="191" t="s">
        <v>91</v>
      </c>
      <c r="C61" s="193">
        <v>522.58</v>
      </c>
      <c r="D61" s="191">
        <v>124.42</v>
      </c>
      <c r="E61" s="192"/>
      <c r="F61" s="191" t="s">
        <v>84</v>
      </c>
      <c r="G61" s="191" t="s">
        <v>85</v>
      </c>
      <c r="H61" s="191" t="s">
        <v>301</v>
      </c>
      <c r="I61" s="191" t="s">
        <v>302</v>
      </c>
      <c r="J61" s="191" t="s">
        <v>302</v>
      </c>
      <c r="K61" s="192"/>
      <c r="L61" s="191">
        <v>-4.0</v>
      </c>
      <c r="M61" s="191"/>
      <c r="N61" s="191">
        <v>10.597183333333334</v>
      </c>
      <c r="O61" s="191" t="s">
        <v>88</v>
      </c>
      <c r="P61" s="191" t="s">
        <v>303</v>
      </c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</row>
    <row r="62">
      <c r="A62" s="191" t="s">
        <v>90</v>
      </c>
      <c r="B62" s="191" t="s">
        <v>91</v>
      </c>
      <c r="C62" s="191">
        <v>-42.0</v>
      </c>
      <c r="D62" s="191">
        <v>500.0</v>
      </c>
      <c r="E62" s="191" t="s">
        <v>49</v>
      </c>
      <c r="F62" s="191" t="s">
        <v>92</v>
      </c>
      <c r="G62" s="191" t="s">
        <v>85</v>
      </c>
      <c r="H62" s="191" t="s">
        <v>304</v>
      </c>
      <c r="I62" s="191" t="s">
        <v>305</v>
      </c>
      <c r="J62" s="191" t="s">
        <v>306</v>
      </c>
      <c r="K62" s="191" t="s">
        <v>307</v>
      </c>
      <c r="L62" s="191">
        <v>-5.0</v>
      </c>
      <c r="M62" s="191">
        <v>0.0018833333333333334</v>
      </c>
      <c r="N62" s="191">
        <v>15.42275</v>
      </c>
      <c r="O62" s="191" t="s">
        <v>97</v>
      </c>
      <c r="P62" s="191" t="s">
        <v>308</v>
      </c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</row>
    <row r="63">
      <c r="A63" s="191" t="s">
        <v>82</v>
      </c>
      <c r="B63" s="191" t="s">
        <v>91</v>
      </c>
      <c r="C63" s="191">
        <v>793.0</v>
      </c>
      <c r="D63" s="191">
        <v>0.0</v>
      </c>
      <c r="E63" s="192"/>
      <c r="F63" s="191" t="s">
        <v>84</v>
      </c>
      <c r="G63" s="191" t="s">
        <v>85</v>
      </c>
      <c r="H63" s="191" t="s">
        <v>309</v>
      </c>
      <c r="I63" s="191" t="s">
        <v>310</v>
      </c>
      <c r="J63" s="191" t="s">
        <v>310</v>
      </c>
      <c r="K63" s="192"/>
      <c r="L63" s="191">
        <v>-1.0</v>
      </c>
      <c r="M63" s="191"/>
      <c r="N63" s="191">
        <v>13.774366666666667</v>
      </c>
      <c r="O63" s="191" t="s">
        <v>88</v>
      </c>
      <c r="P63" s="191" t="s">
        <v>311</v>
      </c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</row>
    <row r="64">
      <c r="A64" s="191" t="s">
        <v>90</v>
      </c>
      <c r="B64" s="191" t="s">
        <v>91</v>
      </c>
      <c r="C64" s="191">
        <v>453.0</v>
      </c>
      <c r="D64" s="191">
        <v>0.0</v>
      </c>
      <c r="E64" s="191" t="s">
        <v>49</v>
      </c>
      <c r="F64" s="191" t="s">
        <v>92</v>
      </c>
      <c r="G64" s="191" t="s">
        <v>85</v>
      </c>
      <c r="H64" s="191" t="s">
        <v>312</v>
      </c>
      <c r="I64" s="191" t="s">
        <v>313</v>
      </c>
      <c r="J64" s="191" t="s">
        <v>314</v>
      </c>
      <c r="K64" s="191" t="s">
        <v>315</v>
      </c>
      <c r="L64" s="191">
        <v>-1.0</v>
      </c>
      <c r="M64" s="191">
        <v>0.002416666666666667</v>
      </c>
      <c r="N64" s="191">
        <v>23.0693</v>
      </c>
      <c r="O64" s="191" t="s">
        <v>97</v>
      </c>
      <c r="P64" s="191" t="s">
        <v>316</v>
      </c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</row>
    <row r="65">
      <c r="A65" s="191" t="s">
        <v>126</v>
      </c>
      <c r="B65" s="191" t="s">
        <v>91</v>
      </c>
      <c r="C65" s="193">
        <v>329.0</v>
      </c>
      <c r="D65" s="191">
        <v>0.0</v>
      </c>
      <c r="E65" s="191" t="s">
        <v>56</v>
      </c>
      <c r="F65" s="191" t="s">
        <v>84</v>
      </c>
      <c r="G65" s="191" t="s">
        <v>85</v>
      </c>
      <c r="H65" s="191" t="s">
        <v>317</v>
      </c>
      <c r="I65" s="191" t="s">
        <v>318</v>
      </c>
      <c r="J65" s="191" t="s">
        <v>318</v>
      </c>
      <c r="K65" s="192"/>
      <c r="L65" s="191">
        <v>-4.0</v>
      </c>
      <c r="M65" s="191"/>
      <c r="N65" s="191">
        <v>10.6354</v>
      </c>
      <c r="O65" s="191" t="s">
        <v>88</v>
      </c>
      <c r="P65" s="191" t="s">
        <v>319</v>
      </c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</row>
    <row r="66">
      <c r="A66" s="191" t="s">
        <v>82</v>
      </c>
      <c r="B66" s="191" t="s">
        <v>91</v>
      </c>
      <c r="C66" s="191">
        <v>1070.0</v>
      </c>
      <c r="D66" s="191">
        <v>0.0</v>
      </c>
      <c r="E66" s="192"/>
      <c r="F66" s="191" t="s">
        <v>84</v>
      </c>
      <c r="G66" s="191" t="s">
        <v>104</v>
      </c>
      <c r="H66" s="191" t="s">
        <v>320</v>
      </c>
      <c r="I66" s="191" t="s">
        <v>321</v>
      </c>
      <c r="J66" s="191" t="s">
        <v>321</v>
      </c>
      <c r="K66" s="192"/>
      <c r="L66" s="191">
        <v>-1.0</v>
      </c>
      <c r="M66" s="191"/>
      <c r="N66" s="191">
        <v>13.780183333333333</v>
      </c>
      <c r="O66" s="191" t="s">
        <v>88</v>
      </c>
      <c r="P66" s="191" t="s">
        <v>322</v>
      </c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</row>
    <row r="67">
      <c r="A67" s="191" t="s">
        <v>102</v>
      </c>
      <c r="B67" s="191" t="s">
        <v>91</v>
      </c>
      <c r="C67" s="191">
        <v>1235.9</v>
      </c>
      <c r="D67" s="191">
        <v>218.1</v>
      </c>
      <c r="E67" s="191" t="s">
        <v>49</v>
      </c>
      <c r="F67" s="191" t="s">
        <v>92</v>
      </c>
      <c r="G67" s="191" t="s">
        <v>104</v>
      </c>
      <c r="H67" s="191" t="s">
        <v>323</v>
      </c>
      <c r="I67" s="191" t="s">
        <v>324</v>
      </c>
      <c r="J67" s="191" t="s">
        <v>325</v>
      </c>
      <c r="K67" s="191" t="s">
        <v>326</v>
      </c>
      <c r="L67" s="191">
        <v>-44.0</v>
      </c>
      <c r="M67" s="191">
        <v>0.0023333333333333335</v>
      </c>
      <c r="N67" s="191">
        <v>42.2378</v>
      </c>
      <c r="O67" s="191" t="s">
        <v>107</v>
      </c>
      <c r="P67" s="191" t="s">
        <v>327</v>
      </c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</row>
    <row r="68">
      <c r="A68" s="191" t="s">
        <v>90</v>
      </c>
      <c r="B68" s="191" t="s">
        <v>91</v>
      </c>
      <c r="C68" s="191">
        <v>240.0</v>
      </c>
      <c r="D68" s="191">
        <v>9.0</v>
      </c>
      <c r="E68" s="191" t="s">
        <v>49</v>
      </c>
      <c r="F68" s="191" t="s">
        <v>92</v>
      </c>
      <c r="G68" s="191" t="s">
        <v>104</v>
      </c>
      <c r="H68" s="191" t="s">
        <v>328</v>
      </c>
      <c r="I68" s="191" t="s">
        <v>329</v>
      </c>
      <c r="J68" s="191" t="s">
        <v>330</v>
      </c>
      <c r="K68" s="191" t="s">
        <v>331</v>
      </c>
      <c r="L68" s="191">
        <v>-8.0</v>
      </c>
      <c r="M68" s="191">
        <v>21.92995</v>
      </c>
      <c r="N68" s="191">
        <v>109.9884</v>
      </c>
      <c r="O68" s="191" t="s">
        <v>97</v>
      </c>
      <c r="P68" s="191" t="s">
        <v>282</v>
      </c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</row>
    <row r="69">
      <c r="A69" s="191" t="s">
        <v>126</v>
      </c>
      <c r="B69" s="191" t="s">
        <v>91</v>
      </c>
      <c r="C69" s="191">
        <v>528.0</v>
      </c>
      <c r="D69" s="191">
        <v>0.0</v>
      </c>
      <c r="E69" s="191" t="s">
        <v>56</v>
      </c>
      <c r="F69" s="191" t="s">
        <v>84</v>
      </c>
      <c r="G69" s="191" t="s">
        <v>85</v>
      </c>
      <c r="H69" s="191" t="s">
        <v>332</v>
      </c>
      <c r="I69" s="191" t="s">
        <v>333</v>
      </c>
      <c r="J69" s="191" t="s">
        <v>333</v>
      </c>
      <c r="K69" s="192"/>
      <c r="L69" s="191">
        <v>-1.0</v>
      </c>
      <c r="M69" s="191"/>
      <c r="N69" s="191">
        <v>13.20405</v>
      </c>
      <c r="O69" s="191" t="s">
        <v>88</v>
      </c>
      <c r="P69" s="191" t="s">
        <v>334</v>
      </c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</row>
    <row r="70">
      <c r="A70" s="191" t="s">
        <v>126</v>
      </c>
      <c r="B70" s="191" t="s">
        <v>91</v>
      </c>
      <c r="C70" s="193">
        <v>388.0</v>
      </c>
      <c r="D70" s="191">
        <v>0.0</v>
      </c>
      <c r="E70" s="191" t="s">
        <v>56</v>
      </c>
      <c r="F70" s="191" t="s">
        <v>84</v>
      </c>
      <c r="G70" s="191" t="s">
        <v>85</v>
      </c>
      <c r="H70" s="191" t="s">
        <v>335</v>
      </c>
      <c r="I70" s="191" t="s">
        <v>336</v>
      </c>
      <c r="J70" s="191" t="s">
        <v>336</v>
      </c>
      <c r="K70" s="192"/>
      <c r="L70" s="191">
        <v>-1.0</v>
      </c>
      <c r="M70" s="191"/>
      <c r="N70" s="191">
        <v>13.15385</v>
      </c>
      <c r="O70" s="191" t="s">
        <v>88</v>
      </c>
      <c r="P70" s="191" t="s">
        <v>337</v>
      </c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</row>
    <row r="71">
      <c r="A71" s="191" t="s">
        <v>126</v>
      </c>
      <c r="B71" s="191" t="s">
        <v>91</v>
      </c>
      <c r="C71" s="191">
        <v>399.0</v>
      </c>
      <c r="D71" s="191">
        <v>0.0</v>
      </c>
      <c r="E71" s="191" t="s">
        <v>56</v>
      </c>
      <c r="F71" s="191" t="s">
        <v>84</v>
      </c>
      <c r="G71" s="191" t="s">
        <v>85</v>
      </c>
      <c r="H71" s="191" t="s">
        <v>338</v>
      </c>
      <c r="I71" s="191" t="s">
        <v>339</v>
      </c>
      <c r="J71" s="191" t="s">
        <v>339</v>
      </c>
      <c r="K71" s="192"/>
      <c r="L71" s="191">
        <v>-2.0</v>
      </c>
      <c r="M71" s="191"/>
      <c r="N71" s="191">
        <v>12.304166666666667</v>
      </c>
      <c r="O71" s="191" t="s">
        <v>88</v>
      </c>
      <c r="P71" s="191" t="s">
        <v>340</v>
      </c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</row>
    <row r="72">
      <c r="A72" s="191" t="s">
        <v>90</v>
      </c>
      <c r="B72" s="191" t="s">
        <v>91</v>
      </c>
      <c r="C72" s="191">
        <v>319.0</v>
      </c>
      <c r="D72" s="191">
        <v>0.0</v>
      </c>
      <c r="E72" s="191" t="s">
        <v>49</v>
      </c>
      <c r="F72" s="191" t="s">
        <v>92</v>
      </c>
      <c r="G72" s="191" t="s">
        <v>85</v>
      </c>
      <c r="H72" s="191" t="s">
        <v>341</v>
      </c>
      <c r="I72" s="191" t="s">
        <v>342</v>
      </c>
      <c r="J72" s="191" t="s">
        <v>343</v>
      </c>
      <c r="K72" s="191" t="s">
        <v>344</v>
      </c>
      <c r="L72" s="191">
        <v>5.0</v>
      </c>
      <c r="M72" s="191">
        <v>0.017633333333333334</v>
      </c>
      <c r="N72" s="191">
        <v>22.511733333333332</v>
      </c>
      <c r="O72" s="191" t="s">
        <v>97</v>
      </c>
      <c r="P72" s="191" t="s">
        <v>345</v>
      </c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</row>
    <row r="73">
      <c r="A73" s="191" t="s">
        <v>126</v>
      </c>
      <c r="B73" s="191" t="s">
        <v>91</v>
      </c>
      <c r="C73" s="191">
        <v>264.0</v>
      </c>
      <c r="D73" s="191">
        <v>0.0</v>
      </c>
      <c r="E73" s="191" t="s">
        <v>56</v>
      </c>
      <c r="F73" s="191" t="s">
        <v>84</v>
      </c>
      <c r="G73" s="191" t="s">
        <v>85</v>
      </c>
      <c r="H73" s="191" t="s">
        <v>346</v>
      </c>
      <c r="I73" s="191" t="s">
        <v>347</v>
      </c>
      <c r="J73" s="191" t="s">
        <v>347</v>
      </c>
      <c r="K73" s="192"/>
      <c r="L73" s="191">
        <v>-2.0</v>
      </c>
      <c r="M73" s="191"/>
      <c r="N73" s="191">
        <v>12.897433333333334</v>
      </c>
      <c r="O73" s="191" t="s">
        <v>88</v>
      </c>
      <c r="P73" s="191" t="s">
        <v>348</v>
      </c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</row>
    <row r="74">
      <c r="A74" s="191" t="s">
        <v>126</v>
      </c>
      <c r="B74" s="193" t="s">
        <v>91</v>
      </c>
      <c r="C74" s="193">
        <v>354.0</v>
      </c>
      <c r="D74" s="191">
        <v>0.0</v>
      </c>
      <c r="E74" s="191" t="s">
        <v>56</v>
      </c>
      <c r="F74" s="191" t="s">
        <v>84</v>
      </c>
      <c r="G74" s="191" t="s">
        <v>85</v>
      </c>
      <c r="H74" s="191" t="s">
        <v>349</v>
      </c>
      <c r="I74" s="191" t="s">
        <v>350</v>
      </c>
      <c r="J74" s="191" t="s">
        <v>350</v>
      </c>
      <c r="K74" s="192"/>
      <c r="L74" s="191">
        <v>-6.0</v>
      </c>
      <c r="M74" s="191"/>
      <c r="N74" s="191">
        <v>8.288783333333333</v>
      </c>
      <c r="O74" s="191" t="s">
        <v>88</v>
      </c>
      <c r="P74" s="191" t="s">
        <v>351</v>
      </c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</row>
    <row r="75">
      <c r="A75" s="191" t="s">
        <v>90</v>
      </c>
      <c r="B75" s="191" t="s">
        <v>91</v>
      </c>
      <c r="C75" s="191">
        <v>563.0</v>
      </c>
      <c r="D75" s="191">
        <v>0.0</v>
      </c>
      <c r="E75" s="191" t="s">
        <v>49</v>
      </c>
      <c r="F75" s="191" t="s">
        <v>92</v>
      </c>
      <c r="G75" s="191" t="s">
        <v>85</v>
      </c>
      <c r="H75" s="191" t="s">
        <v>352</v>
      </c>
      <c r="I75" s="191" t="s">
        <v>353</v>
      </c>
      <c r="J75" s="191" t="s">
        <v>354</v>
      </c>
      <c r="K75" s="191" t="s">
        <v>355</v>
      </c>
      <c r="L75" s="191">
        <v>-8.0</v>
      </c>
      <c r="M75" s="191">
        <v>0.0018166666666666667</v>
      </c>
      <c r="N75" s="191">
        <v>19.2112</v>
      </c>
      <c r="O75" s="191" t="s">
        <v>97</v>
      </c>
      <c r="P75" s="191" t="s">
        <v>356</v>
      </c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</row>
    <row r="76">
      <c r="A76" s="191" t="s">
        <v>90</v>
      </c>
      <c r="B76" s="191" t="s">
        <v>91</v>
      </c>
      <c r="C76" s="191">
        <v>309.0</v>
      </c>
      <c r="D76" s="191">
        <v>0.0</v>
      </c>
      <c r="E76" s="191" t="s">
        <v>49</v>
      </c>
      <c r="F76" s="191" t="s">
        <v>92</v>
      </c>
      <c r="G76" s="191" t="s">
        <v>104</v>
      </c>
      <c r="H76" s="191" t="s">
        <v>357</v>
      </c>
      <c r="I76" s="191" t="s">
        <v>358</v>
      </c>
      <c r="J76" s="191" t="s">
        <v>359</v>
      </c>
      <c r="K76" s="191" t="s">
        <v>360</v>
      </c>
      <c r="L76" s="191">
        <v>2.0</v>
      </c>
      <c r="M76" s="191">
        <v>0.002266666666666667</v>
      </c>
      <c r="N76" s="191">
        <v>17.532283333333332</v>
      </c>
      <c r="O76" s="191" t="s">
        <v>97</v>
      </c>
      <c r="P76" s="191" t="s">
        <v>345</v>
      </c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</row>
    <row r="77">
      <c r="A77" s="191" t="s">
        <v>126</v>
      </c>
      <c r="B77" s="191" t="s">
        <v>91</v>
      </c>
      <c r="C77" s="193">
        <v>329.0</v>
      </c>
      <c r="D77" s="191">
        <v>0.0</v>
      </c>
      <c r="E77" s="191" t="s">
        <v>56</v>
      </c>
      <c r="F77" s="191" t="s">
        <v>84</v>
      </c>
      <c r="G77" s="191" t="s">
        <v>85</v>
      </c>
      <c r="H77" s="191" t="s">
        <v>361</v>
      </c>
      <c r="I77" s="191" t="s">
        <v>362</v>
      </c>
      <c r="J77" s="191" t="s">
        <v>362</v>
      </c>
      <c r="K77" s="192"/>
      <c r="L77" s="191">
        <v>-5.0</v>
      </c>
      <c r="M77" s="191"/>
      <c r="N77" s="191">
        <v>9.98895</v>
      </c>
      <c r="O77" s="191" t="s">
        <v>88</v>
      </c>
      <c r="P77" s="191" t="s">
        <v>363</v>
      </c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</row>
    <row r="78">
      <c r="A78" s="191" t="s">
        <v>82</v>
      </c>
      <c r="B78" s="191" t="s">
        <v>91</v>
      </c>
      <c r="C78" s="191">
        <v>289.0</v>
      </c>
      <c r="D78" s="191">
        <v>0.0</v>
      </c>
      <c r="E78" s="192"/>
      <c r="F78" s="191" t="s">
        <v>84</v>
      </c>
      <c r="G78" s="191" t="s">
        <v>85</v>
      </c>
      <c r="H78" s="191" t="s">
        <v>364</v>
      </c>
      <c r="I78" s="191" t="s">
        <v>365</v>
      </c>
      <c r="J78" s="191" t="s">
        <v>365</v>
      </c>
      <c r="K78" s="192"/>
      <c r="L78" s="191">
        <v>0.0</v>
      </c>
      <c r="M78" s="191"/>
      <c r="N78" s="191">
        <v>15.574983333333334</v>
      </c>
      <c r="O78" s="191" t="s">
        <v>88</v>
      </c>
      <c r="P78" s="191" t="s">
        <v>366</v>
      </c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</row>
    <row r="79">
      <c r="A79" s="191" t="s">
        <v>82</v>
      </c>
      <c r="B79" s="191" t="s">
        <v>91</v>
      </c>
      <c r="C79" s="191">
        <v>394.0</v>
      </c>
      <c r="D79" s="191">
        <v>0.0</v>
      </c>
      <c r="E79" s="192"/>
      <c r="F79" s="191" t="s">
        <v>84</v>
      </c>
      <c r="G79" s="191" t="s">
        <v>85</v>
      </c>
      <c r="H79" s="191" t="s">
        <v>367</v>
      </c>
      <c r="I79" s="191" t="s">
        <v>368</v>
      </c>
      <c r="J79" s="191" t="s">
        <v>368</v>
      </c>
      <c r="K79" s="192"/>
      <c r="L79" s="191">
        <v>3.0</v>
      </c>
      <c r="M79" s="191"/>
      <c r="N79" s="191">
        <v>18.5053</v>
      </c>
      <c r="O79" s="191" t="s">
        <v>88</v>
      </c>
      <c r="P79" s="191" t="s">
        <v>369</v>
      </c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</row>
    <row r="80">
      <c r="A80" s="191" t="s">
        <v>82</v>
      </c>
      <c r="B80" s="191" t="s">
        <v>91</v>
      </c>
      <c r="C80" s="193">
        <v>423.0</v>
      </c>
      <c r="D80" s="191">
        <v>0.0</v>
      </c>
      <c r="E80" s="192"/>
      <c r="F80" s="191" t="s">
        <v>84</v>
      </c>
      <c r="G80" s="191" t="s">
        <v>104</v>
      </c>
      <c r="H80" s="191" t="s">
        <v>370</v>
      </c>
      <c r="I80" s="191" t="s">
        <v>371</v>
      </c>
      <c r="J80" s="191" t="s">
        <v>371</v>
      </c>
      <c r="K80" s="192"/>
      <c r="L80" s="191">
        <v>0.0</v>
      </c>
      <c r="M80" s="191"/>
      <c r="N80" s="191">
        <v>15.452</v>
      </c>
      <c r="O80" s="191" t="s">
        <v>88</v>
      </c>
      <c r="P80" s="191" t="s">
        <v>372</v>
      </c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</row>
    <row r="81">
      <c r="A81" s="191" t="s">
        <v>90</v>
      </c>
      <c r="B81" s="191" t="s">
        <v>91</v>
      </c>
      <c r="C81" s="191">
        <v>359.0</v>
      </c>
      <c r="D81" s="191">
        <v>15.0</v>
      </c>
      <c r="E81" s="191" t="s">
        <v>56</v>
      </c>
      <c r="F81" s="191" t="s">
        <v>92</v>
      </c>
      <c r="G81" s="191" t="s">
        <v>85</v>
      </c>
      <c r="H81" s="191" t="s">
        <v>373</v>
      </c>
      <c r="I81" s="191" t="s">
        <v>374</v>
      </c>
      <c r="J81" s="191" t="s">
        <v>375</v>
      </c>
      <c r="K81" s="191" t="s">
        <v>376</v>
      </c>
      <c r="L81" s="191">
        <v>8.0</v>
      </c>
      <c r="M81" s="191">
        <v>1.0522666666666667</v>
      </c>
      <c r="N81" s="191">
        <v>22.673183333333334</v>
      </c>
      <c r="O81" s="191" t="s">
        <v>97</v>
      </c>
      <c r="P81" s="191" t="s">
        <v>377</v>
      </c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</row>
    <row r="82">
      <c r="A82" s="191" t="s">
        <v>126</v>
      </c>
      <c r="B82" s="191" t="s">
        <v>91</v>
      </c>
      <c r="C82" s="193">
        <v>243.0</v>
      </c>
      <c r="D82" s="191">
        <v>0.0</v>
      </c>
      <c r="E82" s="191" t="s">
        <v>56</v>
      </c>
      <c r="F82" s="191" t="s">
        <v>84</v>
      </c>
      <c r="G82" s="191" t="s">
        <v>85</v>
      </c>
      <c r="H82" s="191" t="s">
        <v>378</v>
      </c>
      <c r="I82" s="191" t="s">
        <v>379</v>
      </c>
      <c r="J82" s="191" t="s">
        <v>379</v>
      </c>
      <c r="K82" s="192"/>
      <c r="L82" s="191">
        <v>-5.0</v>
      </c>
      <c r="M82" s="191"/>
      <c r="N82" s="191">
        <v>9.625933333333334</v>
      </c>
      <c r="O82" s="191" t="s">
        <v>88</v>
      </c>
      <c r="P82" s="191" t="s">
        <v>380</v>
      </c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</row>
    <row r="83">
      <c r="A83" s="191" t="s">
        <v>118</v>
      </c>
      <c r="B83" s="191" t="s">
        <v>91</v>
      </c>
      <c r="C83" s="191">
        <v>264.0</v>
      </c>
      <c r="D83" s="191">
        <v>0.0</v>
      </c>
      <c r="E83" s="191" t="s">
        <v>381</v>
      </c>
      <c r="F83" s="191" t="s">
        <v>84</v>
      </c>
      <c r="G83" s="191" t="s">
        <v>85</v>
      </c>
      <c r="H83" s="191" t="s">
        <v>382</v>
      </c>
      <c r="I83" s="191" t="s">
        <v>383</v>
      </c>
      <c r="J83" s="191" t="s">
        <v>383</v>
      </c>
      <c r="K83" s="192"/>
      <c r="L83" s="191">
        <v>-8.0</v>
      </c>
      <c r="M83" s="191"/>
      <c r="N83" s="191">
        <v>6.7185</v>
      </c>
      <c r="O83" s="191" t="s">
        <v>88</v>
      </c>
      <c r="P83" s="191" t="s">
        <v>384</v>
      </c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</row>
    <row r="84">
      <c r="A84" s="191" t="s">
        <v>90</v>
      </c>
      <c r="B84" s="191" t="s">
        <v>91</v>
      </c>
      <c r="C84" s="193">
        <v>259.0</v>
      </c>
      <c r="D84" s="191">
        <v>0.0</v>
      </c>
      <c r="E84" s="191" t="s">
        <v>49</v>
      </c>
      <c r="F84" s="191" t="s">
        <v>92</v>
      </c>
      <c r="G84" s="191" t="s">
        <v>85</v>
      </c>
      <c r="H84" s="191" t="s">
        <v>385</v>
      </c>
      <c r="I84" s="191" t="s">
        <v>386</v>
      </c>
      <c r="J84" s="191" t="s">
        <v>387</v>
      </c>
      <c r="K84" s="191" t="s">
        <v>388</v>
      </c>
      <c r="L84" s="191">
        <v>-14.0</v>
      </c>
      <c r="M84" s="191">
        <v>0.0019833333333333335</v>
      </c>
      <c r="N84" s="191">
        <v>3.0616166666666667</v>
      </c>
      <c r="O84" s="191" t="s">
        <v>97</v>
      </c>
      <c r="P84" s="191" t="s">
        <v>389</v>
      </c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</row>
    <row r="85">
      <c r="A85" s="191" t="s">
        <v>90</v>
      </c>
      <c r="B85" s="191" t="s">
        <v>91</v>
      </c>
      <c r="C85" s="193">
        <v>356.0</v>
      </c>
      <c r="D85" s="191">
        <v>0.0</v>
      </c>
      <c r="E85" s="191" t="s">
        <v>49</v>
      </c>
      <c r="F85" s="191" t="s">
        <v>92</v>
      </c>
      <c r="G85" s="191" t="s">
        <v>85</v>
      </c>
      <c r="H85" s="191" t="s">
        <v>390</v>
      </c>
      <c r="I85" s="191" t="s">
        <v>391</v>
      </c>
      <c r="J85" s="191" t="s">
        <v>392</v>
      </c>
      <c r="K85" s="191" t="s">
        <v>393</v>
      </c>
      <c r="L85" s="191">
        <v>9.0</v>
      </c>
      <c r="M85" s="191">
        <v>0.0019666666666666665</v>
      </c>
      <c r="N85" s="191">
        <v>5.960333333333334</v>
      </c>
      <c r="O85" s="191" t="s">
        <v>97</v>
      </c>
      <c r="P85" s="191" t="s">
        <v>394</v>
      </c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</row>
    <row r="86">
      <c r="A86" s="191" t="s">
        <v>118</v>
      </c>
      <c r="B86" s="191" t="s">
        <v>91</v>
      </c>
      <c r="C86" s="191">
        <v>658.0</v>
      </c>
      <c r="D86" s="191">
        <v>0.0</v>
      </c>
      <c r="E86" s="191" t="s">
        <v>395</v>
      </c>
      <c r="F86" s="191" t="s">
        <v>84</v>
      </c>
      <c r="G86" s="191" t="s">
        <v>85</v>
      </c>
      <c r="H86" s="191" t="s">
        <v>396</v>
      </c>
      <c r="I86" s="191" t="s">
        <v>397</v>
      </c>
      <c r="J86" s="191" t="s">
        <v>397</v>
      </c>
      <c r="K86" s="192"/>
      <c r="L86" s="191">
        <v>0.0</v>
      </c>
      <c r="M86" s="191"/>
      <c r="N86" s="191">
        <v>14.524366666666667</v>
      </c>
      <c r="O86" s="191" t="s">
        <v>88</v>
      </c>
      <c r="P86" s="191" t="s">
        <v>398</v>
      </c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</row>
    <row r="87">
      <c r="A87" s="191" t="s">
        <v>82</v>
      </c>
      <c r="B87" s="191" t="s">
        <v>91</v>
      </c>
      <c r="C87" s="191">
        <v>388.0</v>
      </c>
      <c r="D87" s="191">
        <v>0.0</v>
      </c>
      <c r="E87" s="192"/>
      <c r="F87" s="191" t="s">
        <v>84</v>
      </c>
      <c r="G87" s="191" t="s">
        <v>85</v>
      </c>
      <c r="H87" s="191" t="s">
        <v>399</v>
      </c>
      <c r="I87" s="191" t="s">
        <v>400</v>
      </c>
      <c r="J87" s="191" t="s">
        <v>400</v>
      </c>
      <c r="K87" s="192"/>
      <c r="L87" s="191">
        <v>-7.0</v>
      </c>
      <c r="M87" s="191"/>
      <c r="N87" s="191">
        <v>7.280666666666667</v>
      </c>
      <c r="O87" s="191" t="s">
        <v>88</v>
      </c>
      <c r="P87" s="191" t="s">
        <v>401</v>
      </c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</row>
    <row r="88">
      <c r="A88" s="191" t="s">
        <v>126</v>
      </c>
      <c r="B88" s="191" t="s">
        <v>91</v>
      </c>
      <c r="C88" s="191">
        <v>233.0</v>
      </c>
      <c r="D88" s="191">
        <v>0.0</v>
      </c>
      <c r="E88" s="191" t="s">
        <v>56</v>
      </c>
      <c r="F88" s="191" t="s">
        <v>84</v>
      </c>
      <c r="G88" s="191" t="s">
        <v>85</v>
      </c>
      <c r="H88" s="191" t="s">
        <v>402</v>
      </c>
      <c r="I88" s="191" t="s">
        <v>403</v>
      </c>
      <c r="J88" s="191" t="s">
        <v>403</v>
      </c>
      <c r="K88" s="192"/>
      <c r="L88" s="191">
        <v>-3.0</v>
      </c>
      <c r="M88" s="191"/>
      <c r="N88" s="191">
        <v>11.968216666666667</v>
      </c>
      <c r="O88" s="191" t="s">
        <v>88</v>
      </c>
      <c r="P88" s="191" t="s">
        <v>404</v>
      </c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</row>
    <row r="89">
      <c r="A89" s="191" t="s">
        <v>90</v>
      </c>
      <c r="B89" s="191" t="s">
        <v>91</v>
      </c>
      <c r="C89" s="193">
        <v>638.0</v>
      </c>
      <c r="D89" s="191">
        <v>0.0</v>
      </c>
      <c r="E89" s="191" t="s">
        <v>49</v>
      </c>
      <c r="F89" s="191" t="s">
        <v>92</v>
      </c>
      <c r="G89" s="191" t="s">
        <v>85</v>
      </c>
      <c r="H89" s="191" t="s">
        <v>405</v>
      </c>
      <c r="I89" s="191" t="s">
        <v>406</v>
      </c>
      <c r="J89" s="191" t="s">
        <v>407</v>
      </c>
      <c r="K89" s="191" t="s">
        <v>408</v>
      </c>
      <c r="L89" s="191">
        <v>4.0</v>
      </c>
      <c r="M89" s="191">
        <v>0.0018333333333333333</v>
      </c>
      <c r="N89" s="191">
        <v>9.756783333333333</v>
      </c>
      <c r="O89" s="191" t="s">
        <v>97</v>
      </c>
      <c r="P89" s="191" t="s">
        <v>409</v>
      </c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</row>
    <row r="90">
      <c r="A90" s="191" t="s">
        <v>90</v>
      </c>
      <c r="B90" s="191" t="s">
        <v>91</v>
      </c>
      <c r="C90" s="193">
        <v>376.0</v>
      </c>
      <c r="D90" s="191">
        <v>0.0</v>
      </c>
      <c r="E90" s="191" t="s">
        <v>49</v>
      </c>
      <c r="F90" s="191" t="s">
        <v>92</v>
      </c>
      <c r="G90" s="191" t="s">
        <v>85</v>
      </c>
      <c r="H90" s="191" t="s">
        <v>410</v>
      </c>
      <c r="I90" s="191" t="s">
        <v>411</v>
      </c>
      <c r="J90" s="191" t="s">
        <v>412</v>
      </c>
      <c r="K90" s="191" t="s">
        <v>413</v>
      </c>
      <c r="L90" s="191">
        <v>12.0</v>
      </c>
      <c r="M90" s="191">
        <v>0.002</v>
      </c>
      <c r="N90" s="191">
        <v>6.208383333333333</v>
      </c>
      <c r="O90" s="191" t="s">
        <v>97</v>
      </c>
      <c r="P90" s="191" t="s">
        <v>414</v>
      </c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</row>
    <row r="91">
      <c r="A91" s="191" t="s">
        <v>82</v>
      </c>
      <c r="B91" s="191" t="s">
        <v>83</v>
      </c>
      <c r="C91" s="191">
        <v>618.0</v>
      </c>
      <c r="D91" s="191">
        <v>0.0</v>
      </c>
      <c r="E91" s="192"/>
      <c r="F91" s="191" t="s">
        <v>84</v>
      </c>
      <c r="G91" s="191" t="s">
        <v>85</v>
      </c>
      <c r="H91" s="191" t="s">
        <v>415</v>
      </c>
      <c r="I91" s="191" t="s">
        <v>416</v>
      </c>
      <c r="J91" s="191" t="s">
        <v>416</v>
      </c>
      <c r="K91" s="192"/>
      <c r="L91" s="191">
        <v>3.0</v>
      </c>
      <c r="M91" s="191"/>
      <c r="N91" s="191">
        <v>18.437066666666666</v>
      </c>
      <c r="O91" s="191" t="s">
        <v>88</v>
      </c>
      <c r="P91" s="191" t="s">
        <v>417</v>
      </c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</row>
    <row r="92">
      <c r="A92" s="191" t="s">
        <v>90</v>
      </c>
      <c r="B92" s="191" t="s">
        <v>91</v>
      </c>
      <c r="C92" s="191">
        <v>1536.0</v>
      </c>
      <c r="D92" s="191">
        <v>0.0</v>
      </c>
      <c r="E92" s="191" t="s">
        <v>49</v>
      </c>
      <c r="F92" s="191" t="s">
        <v>92</v>
      </c>
      <c r="G92" s="191" t="s">
        <v>85</v>
      </c>
      <c r="H92" s="191" t="s">
        <v>418</v>
      </c>
      <c r="I92" s="191" t="s">
        <v>419</v>
      </c>
      <c r="J92" s="191" t="s">
        <v>420</v>
      </c>
      <c r="K92" s="191" t="s">
        <v>421</v>
      </c>
      <c r="L92" s="191">
        <v>-3.0</v>
      </c>
      <c r="M92" s="191">
        <v>0.005083333333333333</v>
      </c>
      <c r="N92" s="191">
        <v>19.391816666666667</v>
      </c>
      <c r="O92" s="191" t="s">
        <v>97</v>
      </c>
      <c r="P92" s="191" t="s">
        <v>422</v>
      </c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</row>
    <row r="93">
      <c r="A93" s="191" t="s">
        <v>126</v>
      </c>
      <c r="B93" s="191" t="s">
        <v>91</v>
      </c>
      <c r="C93" s="193">
        <v>352.0</v>
      </c>
      <c r="D93" s="191">
        <v>0.0</v>
      </c>
      <c r="E93" s="191" t="s">
        <v>56</v>
      </c>
      <c r="F93" s="191" t="s">
        <v>84</v>
      </c>
      <c r="G93" s="191" t="s">
        <v>85</v>
      </c>
      <c r="H93" s="191" t="s">
        <v>423</v>
      </c>
      <c r="I93" s="191" t="s">
        <v>424</v>
      </c>
      <c r="J93" s="191" t="s">
        <v>424</v>
      </c>
      <c r="K93" s="192"/>
      <c r="L93" s="191">
        <v>6.0</v>
      </c>
      <c r="M93" s="191"/>
      <c r="N93" s="191">
        <v>21.324133333333332</v>
      </c>
      <c r="O93" s="191" t="s">
        <v>88</v>
      </c>
      <c r="P93" s="191" t="s">
        <v>425</v>
      </c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</row>
    <row r="94">
      <c r="A94" s="191" t="s">
        <v>82</v>
      </c>
      <c r="B94" s="191" t="s">
        <v>83</v>
      </c>
      <c r="C94" s="191">
        <v>605.0</v>
      </c>
      <c r="D94" s="191">
        <v>0.0</v>
      </c>
      <c r="E94" s="192"/>
      <c r="F94" s="191" t="s">
        <v>84</v>
      </c>
      <c r="G94" s="191" t="s">
        <v>85</v>
      </c>
      <c r="H94" s="191" t="s">
        <v>426</v>
      </c>
      <c r="I94" s="191" t="s">
        <v>427</v>
      </c>
      <c r="J94" s="191" t="s">
        <v>427</v>
      </c>
      <c r="K94" s="192"/>
      <c r="L94" s="191">
        <v>6.0</v>
      </c>
      <c r="M94" s="191"/>
      <c r="N94" s="191">
        <v>21.492066666666666</v>
      </c>
      <c r="O94" s="191" t="s">
        <v>88</v>
      </c>
      <c r="P94" s="191" t="s">
        <v>428</v>
      </c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</row>
    <row r="95">
      <c r="A95" s="191" t="s">
        <v>126</v>
      </c>
      <c r="B95" s="191" t="s">
        <v>91</v>
      </c>
      <c r="C95" s="191">
        <v>558.0</v>
      </c>
      <c r="D95" s="191">
        <v>0.0</v>
      </c>
      <c r="E95" s="191" t="s">
        <v>56</v>
      </c>
      <c r="F95" s="191" t="s">
        <v>84</v>
      </c>
      <c r="G95" s="191" t="s">
        <v>85</v>
      </c>
      <c r="H95" s="191" t="s">
        <v>429</v>
      </c>
      <c r="I95" s="191" t="s">
        <v>430</v>
      </c>
      <c r="J95" s="191" t="s">
        <v>430</v>
      </c>
      <c r="K95" s="192"/>
      <c r="L95" s="191">
        <v>2.0</v>
      </c>
      <c r="M95" s="191"/>
      <c r="N95" s="191">
        <v>17.507066666666667</v>
      </c>
      <c r="O95" s="191" t="s">
        <v>88</v>
      </c>
      <c r="P95" s="191" t="s">
        <v>431</v>
      </c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</row>
    <row r="96">
      <c r="A96" s="191" t="s">
        <v>82</v>
      </c>
      <c r="B96" s="191" t="s">
        <v>83</v>
      </c>
      <c r="C96" s="191">
        <v>5679.0</v>
      </c>
      <c r="D96" s="191">
        <v>0.0</v>
      </c>
      <c r="E96" s="192"/>
      <c r="F96" s="191" t="s">
        <v>84</v>
      </c>
      <c r="G96" s="191" t="s">
        <v>85</v>
      </c>
      <c r="H96" s="191" t="s">
        <v>432</v>
      </c>
      <c r="I96" s="191" t="s">
        <v>433</v>
      </c>
      <c r="J96" s="191" t="s">
        <v>433</v>
      </c>
      <c r="K96" s="192"/>
      <c r="L96" s="191">
        <v>13.0</v>
      </c>
      <c r="M96" s="191"/>
      <c r="N96" s="191">
        <v>30.469733333333334</v>
      </c>
      <c r="O96" s="191" t="s">
        <v>88</v>
      </c>
      <c r="P96" s="191" t="s">
        <v>434</v>
      </c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</row>
    <row r="97">
      <c r="A97" s="191" t="s">
        <v>90</v>
      </c>
      <c r="B97" s="191" t="s">
        <v>91</v>
      </c>
      <c r="C97" s="193">
        <v>247.0</v>
      </c>
      <c r="D97" s="191">
        <v>62.0</v>
      </c>
      <c r="E97" s="192"/>
      <c r="F97" s="191" t="s">
        <v>103</v>
      </c>
      <c r="G97" s="191" t="s">
        <v>435</v>
      </c>
      <c r="H97" s="191" t="s">
        <v>436</v>
      </c>
      <c r="I97" s="191" t="s">
        <v>437</v>
      </c>
      <c r="J97" s="191" t="s">
        <v>437</v>
      </c>
      <c r="K97" s="192"/>
      <c r="L97" s="191">
        <v>-12.0</v>
      </c>
      <c r="M97" s="191"/>
      <c r="N97" s="191">
        <v>6.979066666666666</v>
      </c>
      <c r="O97" s="191" t="s">
        <v>97</v>
      </c>
      <c r="P97" s="191" t="s">
        <v>438</v>
      </c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</row>
    <row r="98">
      <c r="A98" s="191" t="s">
        <v>82</v>
      </c>
      <c r="B98" s="191" t="s">
        <v>83</v>
      </c>
      <c r="C98" s="191">
        <v>523.0</v>
      </c>
      <c r="D98" s="191">
        <v>0.0</v>
      </c>
      <c r="E98" s="192"/>
      <c r="F98" s="191" t="s">
        <v>84</v>
      </c>
      <c r="G98" s="191" t="s">
        <v>85</v>
      </c>
      <c r="H98" s="191" t="s">
        <v>439</v>
      </c>
      <c r="I98" s="191" t="s">
        <v>440</v>
      </c>
      <c r="J98" s="191" t="s">
        <v>440</v>
      </c>
      <c r="K98" s="192"/>
      <c r="L98" s="191">
        <v>-2.0</v>
      </c>
      <c r="M98" s="191"/>
      <c r="N98" s="191">
        <v>12.4963</v>
      </c>
      <c r="O98" s="191" t="s">
        <v>88</v>
      </c>
      <c r="P98" s="191" t="s">
        <v>441</v>
      </c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</row>
    <row r="99">
      <c r="A99" s="191" t="s">
        <v>126</v>
      </c>
      <c r="B99" s="191" t="s">
        <v>91</v>
      </c>
      <c r="C99" s="193">
        <v>702.0</v>
      </c>
      <c r="D99" s="191">
        <v>0.0</v>
      </c>
      <c r="E99" s="191" t="s">
        <v>56</v>
      </c>
      <c r="F99" s="191" t="s">
        <v>84</v>
      </c>
      <c r="G99" s="191" t="s">
        <v>85</v>
      </c>
      <c r="H99" s="191" t="s">
        <v>442</v>
      </c>
      <c r="I99" s="191" t="s">
        <v>443</v>
      </c>
      <c r="J99" s="191" t="s">
        <v>443</v>
      </c>
      <c r="K99" s="192"/>
      <c r="L99" s="191">
        <v>0.0</v>
      </c>
      <c r="M99" s="191"/>
      <c r="N99" s="191">
        <v>15.754733333333334</v>
      </c>
      <c r="O99" s="191" t="s">
        <v>88</v>
      </c>
      <c r="P99" s="191" t="s">
        <v>444</v>
      </c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</row>
    <row r="100">
      <c r="A100" s="191" t="s">
        <v>102</v>
      </c>
      <c r="B100" s="191" t="s">
        <v>91</v>
      </c>
      <c r="C100" s="193">
        <v>618.0</v>
      </c>
      <c r="D100" s="191">
        <v>0.0</v>
      </c>
      <c r="E100" s="191" t="s">
        <v>49</v>
      </c>
      <c r="F100" s="191" t="s">
        <v>92</v>
      </c>
      <c r="G100" s="191" t="s">
        <v>104</v>
      </c>
      <c r="H100" s="191" t="s">
        <v>445</v>
      </c>
      <c r="I100" s="191" t="s">
        <v>446</v>
      </c>
      <c r="J100" s="191" t="s">
        <v>447</v>
      </c>
      <c r="K100" s="191" t="s">
        <v>448</v>
      </c>
      <c r="L100" s="191">
        <v>-9.0</v>
      </c>
      <c r="M100" s="191">
        <v>0.002533333333333333</v>
      </c>
      <c r="N100" s="191">
        <v>12.910733333333333</v>
      </c>
      <c r="O100" s="191" t="s">
        <v>107</v>
      </c>
      <c r="P100" s="191" t="s">
        <v>449</v>
      </c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</row>
    <row r="101">
      <c r="A101" s="191" t="s">
        <v>90</v>
      </c>
      <c r="B101" s="191" t="s">
        <v>91</v>
      </c>
      <c r="C101" s="193">
        <v>598.0</v>
      </c>
      <c r="D101" s="191">
        <v>149.0</v>
      </c>
      <c r="E101" s="192"/>
      <c r="F101" s="191" t="s">
        <v>103</v>
      </c>
      <c r="G101" s="191" t="s">
        <v>104</v>
      </c>
      <c r="H101" s="191" t="s">
        <v>450</v>
      </c>
      <c r="I101" s="191" t="s">
        <v>451</v>
      </c>
      <c r="J101" s="191" t="s">
        <v>451</v>
      </c>
      <c r="K101" s="192"/>
      <c r="L101" s="191">
        <v>-3.0</v>
      </c>
      <c r="M101" s="191"/>
      <c r="N101" s="191">
        <v>29.536583333333333</v>
      </c>
      <c r="O101" s="191" t="s">
        <v>97</v>
      </c>
      <c r="P101" s="191" t="s">
        <v>452</v>
      </c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</row>
    <row r="111">
      <c r="A111" s="192"/>
      <c r="B111" s="192"/>
      <c r="C111" s="194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</row>
    <row r="113">
      <c r="A113" s="192"/>
      <c r="B113" s="194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E116" s="192"/>
      <c r="AF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E117" s="192"/>
      <c r="AF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E123" s="192"/>
      <c r="AF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</row>
    <row r="128">
      <c r="A128" s="192"/>
      <c r="B128" s="194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E128" s="192"/>
      <c r="AF128" s="192"/>
    </row>
    <row r="129">
      <c r="A129" s="192"/>
      <c r="B129" s="192"/>
      <c r="C129" s="194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</row>
    <row r="131">
      <c r="A131" s="192"/>
      <c r="B131" s="192"/>
      <c r="C131" s="194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</row>
    <row r="132">
      <c r="A132" s="192"/>
      <c r="B132" s="192"/>
      <c r="C132" s="194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</row>
    <row r="137">
      <c r="A137" s="192"/>
      <c r="B137" s="192"/>
      <c r="C137" s="194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E140" s="192"/>
      <c r="AF140" s="192"/>
    </row>
    <row r="141">
      <c r="A141" s="192"/>
      <c r="B141" s="192"/>
      <c r="C141" s="192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</row>
    <row r="142">
      <c r="A142" s="192"/>
      <c r="B142" s="192"/>
      <c r="C142" s="194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</row>
    <row r="144">
      <c r="A144" s="192"/>
      <c r="B144" s="192"/>
      <c r="C144" s="194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E144" s="192"/>
      <c r="AF144" s="192"/>
    </row>
    <row r="145">
      <c r="A145" s="192"/>
      <c r="B145" s="192"/>
      <c r="C145" s="194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</row>
    <row r="149">
      <c r="A149" s="192"/>
      <c r="B149" s="192"/>
      <c r="C149" s="192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E152" s="192"/>
      <c r="AF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E155" s="192"/>
      <c r="AF155" s="192"/>
    </row>
    <row r="156">
      <c r="A156" s="192"/>
      <c r="B156" s="192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</row>
    <row r="157">
      <c r="A157" s="192"/>
      <c r="B157" s="192"/>
      <c r="C157" s="194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E157" s="192"/>
      <c r="AF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E158" s="192"/>
      <c r="AF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E160" s="192"/>
      <c r="AF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E165" s="192"/>
      <c r="AF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E169" s="192"/>
      <c r="AF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</row>
    <row r="171">
      <c r="A171" s="192"/>
      <c r="B171" s="192"/>
      <c r="C171" s="194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E171" s="192"/>
      <c r="AF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</row>
    <row r="173">
      <c r="A173" s="192"/>
      <c r="B173" s="192"/>
      <c r="C173" s="192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E173" s="192"/>
      <c r="AF173" s="192"/>
    </row>
    <row r="174">
      <c r="A174" s="192"/>
      <c r="B174" s="194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E174" s="192"/>
      <c r="AF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E175" s="192"/>
      <c r="AF175" s="192"/>
    </row>
    <row r="176">
      <c r="A176" s="192"/>
      <c r="B176" s="192"/>
      <c r="C176" s="194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E177" s="192"/>
      <c r="AF177" s="192"/>
    </row>
    <row r="178">
      <c r="A178" s="192"/>
      <c r="B178" s="192"/>
      <c r="C178" s="194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E178" s="192"/>
      <c r="AF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</row>
    <row r="180">
      <c r="A180" s="192"/>
      <c r="B180" s="192"/>
      <c r="C180" s="194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</row>
    <row r="181">
      <c r="A181" s="192"/>
      <c r="B181" s="192"/>
      <c r="C181" s="194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</row>
    <row r="182">
      <c r="A182" s="192"/>
      <c r="B182" s="192"/>
      <c r="C182" s="194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E186" s="192"/>
      <c r="AF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</row>
    <row r="188">
      <c r="A188" s="192"/>
      <c r="B188" s="192"/>
      <c r="C188" s="192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E188" s="192"/>
      <c r="AF188" s="192"/>
    </row>
    <row r="189">
      <c r="A189" s="192"/>
      <c r="B189" s="192"/>
      <c r="C189" s="192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E189" s="192"/>
      <c r="AF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</row>
    <row r="191">
      <c r="A191" s="192"/>
      <c r="B191" s="192"/>
      <c r="C191" s="194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E191" s="192"/>
      <c r="AF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E192" s="192"/>
      <c r="AF192" s="192"/>
    </row>
    <row r="193">
      <c r="A193" s="192"/>
      <c r="B193" s="192"/>
      <c r="C193" s="194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E193" s="192"/>
      <c r="AF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E194" s="192"/>
      <c r="AF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E196" s="192"/>
      <c r="AF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E197" s="192"/>
      <c r="AF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E198" s="192"/>
      <c r="AF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E199" s="192"/>
      <c r="AF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E201" s="192"/>
      <c r="AF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E203" s="192"/>
      <c r="AF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E204" s="192"/>
      <c r="AF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E205" s="192"/>
      <c r="AF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E207" s="192"/>
      <c r="AF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E208" s="192"/>
      <c r="AF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E209" s="192"/>
      <c r="AF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</row>
    <row r="220">
      <c r="A220" s="192"/>
      <c r="B220" s="192"/>
      <c r="C220" s="194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2"/>
      <c r="X256" s="192"/>
      <c r="Y256" s="192"/>
      <c r="Z256" s="192"/>
      <c r="AA256" s="192"/>
      <c r="AB256" s="192"/>
      <c r="A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</row>
    <row r="260">
      <c r="A260" s="192"/>
      <c r="B260" s="192"/>
      <c r="C260" s="194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2"/>
      <c r="X260" s="192"/>
      <c r="Y260" s="192"/>
      <c r="Z260" s="192"/>
      <c r="AA260" s="192"/>
      <c r="AB260" s="192"/>
      <c r="A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S270" s="192"/>
      <c r="T270" s="192"/>
      <c r="U270" s="192"/>
      <c r="V270" s="192"/>
      <c r="W270" s="192"/>
      <c r="X270" s="192"/>
      <c r="Y270" s="192"/>
      <c r="Z270" s="192"/>
      <c r="AB270" s="192"/>
      <c r="A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2"/>
      <c r="X273" s="192"/>
      <c r="Y273" s="192"/>
      <c r="Z273" s="192"/>
      <c r="AA273" s="192"/>
      <c r="AB273" s="192"/>
      <c r="A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</row>
    <row r="279">
      <c r="A279" s="192"/>
      <c r="B279" s="192"/>
      <c r="C279" s="194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</row>
    <row r="286">
      <c r="A286" s="192"/>
      <c r="B286" s="192"/>
      <c r="C286" s="194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S287" s="192"/>
      <c r="T287" s="192"/>
      <c r="U287" s="192"/>
      <c r="V287" s="192"/>
      <c r="W287" s="192"/>
      <c r="X287" s="192"/>
      <c r="Y287" s="192"/>
      <c r="Z287" s="192"/>
      <c r="AB287" s="192"/>
      <c r="AC287" s="192"/>
    </row>
    <row r="288">
      <c r="A288" s="192"/>
      <c r="B288" s="192"/>
      <c r="C288" s="194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S288" s="192"/>
      <c r="T288" s="192"/>
      <c r="U288" s="192"/>
      <c r="V288" s="192"/>
      <c r="W288" s="192"/>
      <c r="X288" s="192"/>
      <c r="Y288" s="192"/>
      <c r="Z288" s="192"/>
      <c r="AB288" s="192"/>
      <c r="A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S291" s="192"/>
      <c r="T291" s="192"/>
      <c r="U291" s="192"/>
      <c r="V291" s="192"/>
      <c r="W291" s="192"/>
      <c r="X291" s="192"/>
      <c r="Y291" s="192"/>
      <c r="Z291" s="192"/>
      <c r="AB291" s="192"/>
      <c r="A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S292" s="192"/>
      <c r="T292" s="192"/>
      <c r="U292" s="192"/>
      <c r="V292" s="192"/>
      <c r="W292" s="192"/>
      <c r="X292" s="192"/>
      <c r="Y292" s="192"/>
      <c r="Z292" s="192"/>
      <c r="AB292" s="192"/>
      <c r="A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S298" s="192"/>
      <c r="T298" s="192"/>
      <c r="U298" s="192"/>
      <c r="V298" s="192"/>
      <c r="W298" s="192"/>
      <c r="X298" s="192"/>
      <c r="Y298" s="192"/>
      <c r="Z298" s="192"/>
      <c r="AB298" s="192"/>
      <c r="A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O299" s="192"/>
      <c r="P299" s="192"/>
      <c r="Q299" s="192"/>
      <c r="S299" s="192"/>
      <c r="T299" s="192"/>
      <c r="U299" s="192"/>
      <c r="V299" s="192"/>
      <c r="W299" s="192"/>
      <c r="X299" s="192"/>
      <c r="Y299" s="192"/>
      <c r="Z299" s="192"/>
      <c r="AB299" s="192"/>
      <c r="A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S301" s="192"/>
      <c r="T301" s="192"/>
      <c r="U301" s="192"/>
      <c r="V301" s="192"/>
      <c r="W301" s="192"/>
      <c r="X301" s="192"/>
      <c r="Y301" s="192"/>
      <c r="Z301" s="192"/>
      <c r="AB301" s="192"/>
      <c r="A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S303" s="192"/>
      <c r="T303" s="192"/>
      <c r="U303" s="192"/>
      <c r="V303" s="192"/>
      <c r="W303" s="192"/>
      <c r="X303" s="192"/>
      <c r="Y303" s="192"/>
      <c r="Z303" s="192"/>
      <c r="AB303" s="192"/>
      <c r="A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S305" s="192"/>
      <c r="T305" s="192"/>
      <c r="U305" s="192"/>
      <c r="V305" s="192"/>
      <c r="W305" s="192"/>
      <c r="X305" s="192"/>
      <c r="Y305" s="192"/>
      <c r="Z305" s="192"/>
      <c r="AB305" s="192"/>
      <c r="A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S309" s="192"/>
      <c r="T309" s="192"/>
      <c r="U309" s="192"/>
      <c r="V309" s="192"/>
      <c r="W309" s="192"/>
      <c r="X309" s="192"/>
      <c r="Y309" s="192"/>
      <c r="Z309" s="192"/>
      <c r="AB309" s="192"/>
      <c r="A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S312" s="192"/>
      <c r="T312" s="192"/>
      <c r="U312" s="192"/>
      <c r="V312" s="192"/>
      <c r="W312" s="192"/>
      <c r="X312" s="192"/>
      <c r="Y312" s="192"/>
      <c r="Z312" s="192"/>
      <c r="AB312" s="192"/>
      <c r="A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</row>
    <row r="315">
      <c r="A315" s="192"/>
      <c r="B315" s="192"/>
      <c r="C315" s="194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S316" s="192"/>
      <c r="T316" s="192"/>
      <c r="U316" s="192"/>
      <c r="V316" s="192"/>
      <c r="W316" s="192"/>
      <c r="X316" s="192"/>
      <c r="Y316" s="192"/>
      <c r="Z316" s="192"/>
      <c r="AB316" s="192"/>
      <c r="AC316" s="192"/>
      <c r="AD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S318" s="192"/>
      <c r="T318" s="192"/>
      <c r="U318" s="192"/>
      <c r="V318" s="192"/>
      <c r="W318" s="192"/>
      <c r="X318" s="192"/>
      <c r="Y318" s="192"/>
      <c r="Z318" s="192"/>
      <c r="AB318" s="192"/>
      <c r="A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S321" s="192"/>
      <c r="T321" s="192"/>
      <c r="U321" s="192"/>
      <c r="V321" s="192"/>
      <c r="W321" s="192"/>
      <c r="X321" s="192"/>
      <c r="Y321" s="192"/>
      <c r="Z321" s="192"/>
      <c r="AB321" s="192"/>
      <c r="AC321" s="192"/>
      <c r="AD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O322" s="192"/>
      <c r="P322" s="192"/>
      <c r="Q322" s="192"/>
      <c r="S322" s="192"/>
      <c r="T322" s="192"/>
      <c r="U322" s="192"/>
      <c r="V322" s="192"/>
      <c r="W322" s="192"/>
      <c r="X322" s="192"/>
      <c r="Y322" s="192"/>
      <c r="Z322" s="192"/>
      <c r="AB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O323" s="192"/>
      <c r="P323" s="192"/>
      <c r="Q323" s="192"/>
      <c r="S323" s="192"/>
      <c r="T323" s="192"/>
      <c r="U323" s="192"/>
      <c r="V323" s="192"/>
      <c r="W323" s="192"/>
      <c r="X323" s="192"/>
      <c r="Y323" s="192"/>
      <c r="Z323" s="192"/>
      <c r="AB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O324" s="192"/>
      <c r="P324" s="192"/>
      <c r="Q324" s="192"/>
      <c r="S324" s="192"/>
      <c r="T324" s="192"/>
      <c r="U324" s="192"/>
      <c r="V324" s="192"/>
      <c r="W324" s="192"/>
      <c r="X324" s="192"/>
      <c r="Y324" s="192"/>
      <c r="Z324" s="192"/>
      <c r="AB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O327" s="192"/>
      <c r="P327" s="192"/>
      <c r="Q327" s="192"/>
      <c r="S327" s="192"/>
      <c r="T327" s="192"/>
      <c r="U327" s="192"/>
      <c r="V327" s="192"/>
      <c r="W327" s="192"/>
      <c r="X327" s="192"/>
      <c r="Y327" s="192"/>
      <c r="Z327" s="192"/>
      <c r="AB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S329" s="192"/>
      <c r="T329" s="192"/>
      <c r="U329" s="192"/>
      <c r="V329" s="192"/>
      <c r="W329" s="192"/>
      <c r="X329" s="192"/>
      <c r="Y329" s="192"/>
      <c r="Z329" s="192"/>
      <c r="AB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S330" s="192"/>
      <c r="T330" s="192"/>
      <c r="U330" s="192"/>
      <c r="V330" s="192"/>
      <c r="W330" s="192"/>
      <c r="X330" s="192"/>
      <c r="Y330" s="192"/>
      <c r="Z330" s="192"/>
      <c r="AB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2"/>
      <c r="X331" s="192"/>
      <c r="Y331" s="192"/>
      <c r="Z331" s="192"/>
      <c r="AA331" s="192"/>
      <c r="AB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O334" s="192"/>
      <c r="P334" s="192"/>
      <c r="Q334" s="192"/>
      <c r="S334" s="192"/>
      <c r="T334" s="192"/>
      <c r="U334" s="192"/>
      <c r="V334" s="192"/>
      <c r="W334" s="192"/>
      <c r="X334" s="192"/>
      <c r="Y334" s="192"/>
      <c r="Z334" s="192"/>
      <c r="AB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O335" s="192"/>
      <c r="P335" s="192"/>
      <c r="Q335" s="192"/>
      <c r="S335" s="192"/>
      <c r="T335" s="192"/>
      <c r="U335" s="192"/>
      <c r="V335" s="192"/>
      <c r="W335" s="192"/>
      <c r="X335" s="192"/>
      <c r="Y335" s="192"/>
      <c r="Z335" s="192"/>
      <c r="AB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O337" s="192"/>
      <c r="P337" s="192"/>
      <c r="Q337" s="192"/>
      <c r="S337" s="192"/>
      <c r="T337" s="192"/>
      <c r="U337" s="192"/>
      <c r="V337" s="192"/>
      <c r="W337" s="192"/>
      <c r="X337" s="192"/>
      <c r="Y337" s="192"/>
      <c r="Z337" s="192"/>
      <c r="AB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S338" s="192"/>
      <c r="T338" s="192"/>
      <c r="U338" s="192"/>
      <c r="V338" s="192"/>
      <c r="W338" s="192"/>
      <c r="X338" s="192"/>
      <c r="Y338" s="192"/>
      <c r="Z338" s="192"/>
      <c r="AB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S339" s="192"/>
      <c r="T339" s="192"/>
      <c r="U339" s="192"/>
      <c r="V339" s="192"/>
      <c r="W339" s="192"/>
      <c r="X339" s="192"/>
      <c r="Y339" s="192"/>
      <c r="Z339" s="192"/>
      <c r="AB339" s="192"/>
    </row>
    <row r="340">
      <c r="A340" s="192"/>
      <c r="B340" s="192"/>
      <c r="C340" s="194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O340" s="192"/>
      <c r="P340" s="192"/>
      <c r="Q340" s="192"/>
      <c r="S340" s="192"/>
      <c r="T340" s="192"/>
      <c r="U340" s="192"/>
      <c r="V340" s="192"/>
      <c r="W340" s="192"/>
      <c r="X340" s="192"/>
      <c r="Y340" s="192"/>
      <c r="Z340" s="192"/>
      <c r="AB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O341" s="192"/>
      <c r="P341" s="192"/>
      <c r="Q341" s="192"/>
      <c r="S341" s="192"/>
      <c r="T341" s="192"/>
      <c r="U341" s="192"/>
      <c r="V341" s="192"/>
      <c r="W341" s="192"/>
      <c r="X341" s="192"/>
      <c r="Y341" s="192"/>
      <c r="Z341" s="192"/>
      <c r="AB341" s="192"/>
    </row>
    <row r="342">
      <c r="A342" s="192"/>
      <c r="B342" s="192"/>
      <c r="C342" s="194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O342" s="192"/>
      <c r="P342" s="192"/>
      <c r="Q342" s="192"/>
      <c r="S342" s="192"/>
      <c r="T342" s="192"/>
      <c r="U342" s="192"/>
      <c r="V342" s="192"/>
      <c r="W342" s="192"/>
      <c r="X342" s="192"/>
      <c r="Y342" s="192"/>
      <c r="Z342" s="192"/>
      <c r="AB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O343" s="192"/>
      <c r="P343" s="192"/>
      <c r="Q343" s="192"/>
      <c r="S343" s="192"/>
      <c r="T343" s="192"/>
      <c r="U343" s="192"/>
      <c r="V343" s="192"/>
      <c r="W343" s="192"/>
      <c r="X343" s="192"/>
      <c r="Y343" s="192"/>
      <c r="Z343" s="192"/>
      <c r="AB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O346" s="192"/>
      <c r="P346" s="192"/>
      <c r="Q346" s="192"/>
      <c r="S346" s="192"/>
      <c r="T346" s="192"/>
      <c r="U346" s="192"/>
      <c r="V346" s="192"/>
      <c r="W346" s="192"/>
      <c r="X346" s="192"/>
      <c r="Y346" s="192"/>
      <c r="Z346" s="192"/>
      <c r="AB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O347" s="192"/>
      <c r="P347" s="192"/>
      <c r="Q347" s="192"/>
      <c r="S347" s="192"/>
      <c r="T347" s="192"/>
      <c r="U347" s="192"/>
      <c r="V347" s="192"/>
      <c r="W347" s="192"/>
      <c r="X347" s="192"/>
      <c r="Y347" s="192"/>
      <c r="Z347" s="192"/>
      <c r="AB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2"/>
      <c r="X349" s="192"/>
      <c r="Y349" s="192"/>
      <c r="Z349" s="192"/>
      <c r="AA349" s="192"/>
      <c r="AB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2"/>
      <c r="X353" s="192"/>
      <c r="Y353" s="192"/>
      <c r="Z353" s="192"/>
      <c r="AA353" s="192"/>
      <c r="AB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O355" s="192"/>
      <c r="P355" s="192"/>
      <c r="Q355" s="192"/>
      <c r="S355" s="192"/>
      <c r="T355" s="192"/>
      <c r="U355" s="192"/>
      <c r="V355" s="192"/>
      <c r="W355" s="192"/>
      <c r="X355" s="192"/>
      <c r="Y355" s="192"/>
      <c r="Z355" s="192"/>
      <c r="AB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O358" s="192"/>
      <c r="P358" s="192"/>
      <c r="Q358" s="192"/>
      <c r="S358" s="192"/>
      <c r="T358" s="192"/>
      <c r="U358" s="192"/>
      <c r="V358" s="192"/>
      <c r="W358" s="192"/>
      <c r="X358" s="192"/>
      <c r="Y358" s="192"/>
      <c r="Z358" s="192"/>
      <c r="AB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O359" s="192"/>
      <c r="P359" s="192"/>
      <c r="Q359" s="192"/>
      <c r="S359" s="192"/>
      <c r="T359" s="192"/>
      <c r="U359" s="192"/>
      <c r="V359" s="192"/>
      <c r="W359" s="192"/>
      <c r="X359" s="192"/>
      <c r="Y359" s="192"/>
      <c r="Z359" s="192"/>
      <c r="AB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S360" s="192"/>
      <c r="T360" s="192"/>
      <c r="U360" s="192"/>
      <c r="V360" s="192"/>
      <c r="W360" s="192"/>
      <c r="X360" s="192"/>
      <c r="Y360" s="192"/>
      <c r="Z360" s="192"/>
      <c r="AB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2"/>
      <c r="X362" s="192"/>
      <c r="Y362" s="192"/>
      <c r="Z362" s="192"/>
      <c r="AA362" s="192"/>
      <c r="AB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</row>
    <row r="368">
      <c r="C368" s="194"/>
    </row>
    <row r="403">
      <c r="C403" s="194"/>
    </row>
    <row r="414">
      <c r="C414" s="194"/>
    </row>
    <row r="431">
      <c r="C431" s="194"/>
    </row>
    <row r="438">
      <c r="C438" s="194"/>
    </row>
    <row r="443">
      <c r="C443" s="194"/>
    </row>
    <row r="476">
      <c r="C476" s="194"/>
    </row>
    <row r="478">
      <c r="C478" s="194"/>
    </row>
    <row r="584">
      <c r="C584" s="194"/>
    </row>
    <row r="676">
      <c r="C676" s="194"/>
    </row>
    <row r="689">
      <c r="C689" s="194"/>
    </row>
    <row r="725">
      <c r="C725" s="194"/>
    </row>
    <row r="733">
      <c r="C733" s="194"/>
    </row>
    <row r="737">
      <c r="C737" s="194"/>
    </row>
    <row r="797">
      <c r="C797" s="194"/>
    </row>
    <row r="860">
      <c r="C860" s="194"/>
    </row>
    <row r="883">
      <c r="S883" s="194"/>
    </row>
    <row r="884">
      <c r="S884" s="194"/>
    </row>
    <row r="885">
      <c r="S885" s="194"/>
    </row>
    <row r="889">
      <c r="S889" s="194"/>
    </row>
    <row r="890">
      <c r="S890" s="194"/>
    </row>
    <row r="891">
      <c r="S891" s="194"/>
    </row>
    <row r="894">
      <c r="S894" s="194"/>
    </row>
    <row r="896">
      <c r="S896" s="194"/>
    </row>
    <row r="899">
      <c r="S899" s="194"/>
    </row>
    <row r="900">
      <c r="S900" s="194"/>
    </row>
    <row r="901">
      <c r="S901" s="194"/>
    </row>
    <row r="902">
      <c r="S902" s="194"/>
    </row>
    <row r="903">
      <c r="S903" s="194"/>
    </row>
    <row r="904">
      <c r="S904" s="194"/>
    </row>
    <row r="906">
      <c r="S906" s="194"/>
    </row>
    <row r="907">
      <c r="S907" s="194"/>
    </row>
    <row r="909">
      <c r="S909" s="194"/>
    </row>
    <row r="910">
      <c r="S910" s="194"/>
    </row>
    <row r="912">
      <c r="S912" s="194"/>
    </row>
    <row r="913">
      <c r="S913" s="194"/>
    </row>
    <row r="914">
      <c r="S914" s="194"/>
    </row>
    <row r="915">
      <c r="S915" s="194"/>
    </row>
    <row r="916">
      <c r="S916" s="194"/>
    </row>
    <row r="917">
      <c r="S917" s="194"/>
    </row>
    <row r="919">
      <c r="S919" s="194"/>
    </row>
    <row r="920">
      <c r="S920" s="194"/>
    </row>
    <row r="921">
      <c r="S921" s="194"/>
    </row>
    <row r="922">
      <c r="S922" s="194"/>
    </row>
    <row r="923">
      <c r="S923" s="194"/>
    </row>
    <row r="924">
      <c r="S924" s="194"/>
    </row>
    <row r="925">
      <c r="S925" s="194"/>
    </row>
    <row r="927">
      <c r="S927" s="194"/>
    </row>
    <row r="929">
      <c r="S929" s="194"/>
    </row>
    <row r="930">
      <c r="S930" s="194"/>
    </row>
    <row r="932">
      <c r="S932" s="194"/>
    </row>
    <row r="933">
      <c r="S933" s="194"/>
    </row>
    <row r="934">
      <c r="S934" s="194"/>
    </row>
    <row r="935">
      <c r="S935" s="194"/>
    </row>
    <row r="936">
      <c r="S936" s="194"/>
    </row>
    <row r="938">
      <c r="S938" s="194"/>
    </row>
    <row r="939">
      <c r="S939" s="194"/>
    </row>
    <row r="940">
      <c r="C940" s="194"/>
      <c r="S940" s="194"/>
    </row>
    <row r="941">
      <c r="S941" s="194"/>
    </row>
    <row r="942">
      <c r="S942" s="194"/>
    </row>
    <row r="943">
      <c r="S943" s="194"/>
    </row>
    <row r="944">
      <c r="S944" s="194"/>
    </row>
    <row r="945">
      <c r="S945" s="194"/>
    </row>
    <row r="947">
      <c r="S947" s="194"/>
    </row>
    <row r="948">
      <c r="S948" s="194"/>
    </row>
    <row r="949">
      <c r="S949" s="194"/>
    </row>
    <row r="950">
      <c r="S950" s="194"/>
    </row>
    <row r="951">
      <c r="S951" s="194"/>
    </row>
    <row r="953">
      <c r="S953" s="194"/>
    </row>
    <row r="956">
      <c r="S956" s="194"/>
    </row>
    <row r="958">
      <c r="S958" s="194"/>
    </row>
    <row r="960">
      <c r="S960" s="194"/>
    </row>
    <row r="961">
      <c r="S961" s="194"/>
    </row>
    <row r="962">
      <c r="C962" s="194"/>
      <c r="S962" s="194"/>
    </row>
    <row r="965">
      <c r="S965" s="194"/>
    </row>
    <row r="967">
      <c r="S967" s="194"/>
    </row>
    <row r="968">
      <c r="S968" s="194"/>
    </row>
    <row r="970">
      <c r="S970" s="194"/>
    </row>
    <row r="971">
      <c r="S971" s="194"/>
    </row>
    <row r="973">
      <c r="S973" s="194"/>
    </row>
    <row r="975">
      <c r="S975" s="194"/>
    </row>
    <row r="976">
      <c r="S976" s="194"/>
    </row>
    <row r="977">
      <c r="S977" s="194"/>
    </row>
    <row r="979">
      <c r="S979" s="194"/>
    </row>
    <row r="980">
      <c r="S980" s="194"/>
    </row>
    <row r="981">
      <c r="S981" s="194"/>
    </row>
    <row r="982">
      <c r="S982" s="194"/>
    </row>
    <row r="983">
      <c r="S983" s="194"/>
    </row>
    <row r="985">
      <c r="S985" s="194"/>
    </row>
    <row r="986">
      <c r="S986" s="194"/>
    </row>
    <row r="987">
      <c r="S987" s="194"/>
    </row>
    <row r="989">
      <c r="S989" s="194"/>
    </row>
    <row r="990">
      <c r="S990" s="194"/>
    </row>
    <row r="991">
      <c r="S991" s="194"/>
    </row>
    <row r="992">
      <c r="S992" s="194"/>
    </row>
    <row r="993">
      <c r="C993" s="194"/>
    </row>
    <row r="995">
      <c r="S995" s="194"/>
    </row>
    <row r="996">
      <c r="S996" s="194"/>
    </row>
    <row r="997">
      <c r="S997" s="194"/>
    </row>
    <row r="999">
      <c r="S999" s="194"/>
    </row>
    <row r="1000">
      <c r="S1000" s="194"/>
    </row>
    <row r="1001">
      <c r="S1001" s="194"/>
    </row>
    <row r="1003">
      <c r="S1003" s="194"/>
    </row>
    <row r="1004">
      <c r="S1004" s="194"/>
    </row>
    <row r="1005">
      <c r="S1005" s="194"/>
    </row>
    <row r="1006">
      <c r="S1006" s="194"/>
    </row>
    <row r="1007">
      <c r="S1007" s="194"/>
    </row>
    <row r="1008">
      <c r="S1008" s="194"/>
    </row>
    <row r="1009">
      <c r="S1009" s="194"/>
    </row>
    <row r="1010">
      <c r="S1010" s="194"/>
    </row>
    <row r="1014">
      <c r="S1014" s="194"/>
    </row>
    <row r="1015">
      <c r="S1015" s="194"/>
    </row>
    <row r="1016">
      <c r="S1016" s="194"/>
    </row>
    <row r="1018">
      <c r="S1018" s="194"/>
    </row>
    <row r="1019">
      <c r="S1019" s="194"/>
    </row>
    <row r="1020">
      <c r="S1020" s="194"/>
    </row>
    <row r="1021">
      <c r="S1021" s="194"/>
    </row>
    <row r="1022">
      <c r="S1022" s="194"/>
    </row>
    <row r="1023">
      <c r="S1023" s="194"/>
    </row>
    <row r="1024">
      <c r="S1024" s="194"/>
    </row>
    <row r="1025">
      <c r="S1025" s="194"/>
    </row>
    <row r="1027">
      <c r="S1027" s="194"/>
    </row>
    <row r="1028">
      <c r="S1028" s="194"/>
    </row>
    <row r="1029">
      <c r="S1029" s="194"/>
    </row>
    <row r="1031">
      <c r="S1031" s="194"/>
    </row>
    <row r="1032">
      <c r="S1032" s="194"/>
    </row>
    <row r="1034">
      <c r="S1034" s="194"/>
    </row>
    <row r="1035">
      <c r="S1035" s="194"/>
    </row>
    <row r="1036">
      <c r="S1036" s="194"/>
    </row>
    <row r="1037">
      <c r="S1037" s="194"/>
    </row>
    <row r="1038">
      <c r="S1038" s="194"/>
    </row>
    <row r="1039">
      <c r="S1039" s="194"/>
    </row>
    <row r="1040">
      <c r="S1040" s="194"/>
    </row>
    <row r="1041">
      <c r="S1041" s="194"/>
    </row>
    <row r="1043">
      <c r="S1043" s="194"/>
    </row>
    <row r="1044">
      <c r="S1044" s="194"/>
    </row>
    <row r="1045">
      <c r="S1045" s="194"/>
    </row>
    <row r="1047">
      <c r="S1047" s="194"/>
    </row>
    <row r="1048">
      <c r="S1048" s="194"/>
    </row>
    <row r="1050">
      <c r="S1050" s="194"/>
    </row>
    <row r="1051">
      <c r="S1051" s="194"/>
    </row>
    <row r="1052">
      <c r="S1052" s="194"/>
    </row>
    <row r="1053">
      <c r="S1053" s="194"/>
    </row>
    <row r="1054">
      <c r="S1054" s="194"/>
    </row>
    <row r="1055">
      <c r="S1055" s="194"/>
    </row>
    <row r="1056">
      <c r="S1056" s="194"/>
    </row>
    <row r="1058">
      <c r="S1058" s="194"/>
    </row>
    <row r="1060">
      <c r="S1060" s="194"/>
    </row>
    <row r="1062">
      <c r="S1062" s="194"/>
    </row>
    <row r="1065">
      <c r="S1065" s="194"/>
    </row>
    <row r="1066">
      <c r="S1066" s="194"/>
    </row>
    <row r="1067">
      <c r="S1067" s="194"/>
    </row>
    <row r="1068">
      <c r="S1068" s="194"/>
    </row>
    <row r="1069">
      <c r="S1069" s="194"/>
    </row>
    <row r="1071">
      <c r="S1071" s="194"/>
    </row>
    <row r="1072">
      <c r="C1072" s="194"/>
      <c r="S1072" s="194"/>
    </row>
    <row r="1073">
      <c r="C1073" s="194"/>
    </row>
    <row r="1074">
      <c r="S1074" s="194"/>
    </row>
    <row r="1075">
      <c r="S1075" s="194"/>
    </row>
    <row r="1076">
      <c r="S1076" s="194"/>
    </row>
    <row r="1077">
      <c r="S1077" s="194"/>
    </row>
    <row r="1078">
      <c r="S1078" s="194"/>
    </row>
    <row r="1079">
      <c r="S1079" s="194"/>
    </row>
    <row r="1080">
      <c r="S1080" s="194"/>
    </row>
    <row r="1081">
      <c r="S1081" s="194"/>
    </row>
    <row r="1083">
      <c r="S1083" s="194"/>
    </row>
    <row r="1084">
      <c r="S1084" s="194"/>
    </row>
    <row r="1087">
      <c r="S1087" s="194"/>
    </row>
    <row r="1088">
      <c r="S1088" s="194"/>
    </row>
    <row r="1090">
      <c r="S1090" s="194"/>
    </row>
    <row r="1091">
      <c r="S1091" s="194"/>
    </row>
    <row r="1095">
      <c r="S1095" s="194"/>
    </row>
    <row r="1096">
      <c r="S1096" s="194"/>
    </row>
    <row r="1097">
      <c r="S1097" s="194"/>
    </row>
    <row r="1099">
      <c r="S1099" s="194"/>
    </row>
    <row r="1101">
      <c r="S1101" s="194"/>
    </row>
    <row r="1102">
      <c r="S1102" s="194"/>
    </row>
    <row r="1103">
      <c r="S1103" s="194"/>
    </row>
    <row r="1104">
      <c r="C1104" s="194"/>
      <c r="S1104" s="194"/>
    </row>
    <row r="1105">
      <c r="S1105" s="194"/>
    </row>
    <row r="1106">
      <c r="S1106" s="194"/>
    </row>
    <row r="1107">
      <c r="S1107" s="194"/>
    </row>
    <row r="1109">
      <c r="S1109" s="194"/>
    </row>
    <row r="1110">
      <c r="S1110" s="194"/>
    </row>
    <row r="1111">
      <c r="S1111" s="194"/>
    </row>
    <row r="1112">
      <c r="S1112" s="194"/>
    </row>
    <row r="1113">
      <c r="S1113" s="194"/>
    </row>
    <row r="1114">
      <c r="S1114" s="194"/>
    </row>
    <row r="1115">
      <c r="S1115" s="194"/>
    </row>
    <row r="1116">
      <c r="S1116" s="194"/>
    </row>
    <row r="1117">
      <c r="S1117" s="194"/>
    </row>
    <row r="1119">
      <c r="S1119" s="194"/>
    </row>
    <row r="1120">
      <c r="S1120" s="194"/>
    </row>
    <row r="1121">
      <c r="S1121" s="194"/>
    </row>
    <row r="1122">
      <c r="S1122" s="194"/>
    </row>
    <row r="1124">
      <c r="S1124" s="194"/>
    </row>
    <row r="1125">
      <c r="S1125" s="194"/>
    </row>
    <row r="1126">
      <c r="S1126" s="194"/>
    </row>
    <row r="1127">
      <c r="S1127" s="194"/>
    </row>
    <row r="1129">
      <c r="S1129" s="194"/>
    </row>
    <row r="1130">
      <c r="S1130" s="194"/>
    </row>
    <row r="1132">
      <c r="S1132" s="194"/>
    </row>
    <row r="1133">
      <c r="S1133" s="194"/>
    </row>
    <row r="1134">
      <c r="S1134" s="194"/>
    </row>
    <row r="1135">
      <c r="S1135" s="194"/>
    </row>
    <row r="1137">
      <c r="S1137" s="194"/>
    </row>
    <row r="1139">
      <c r="S1139" s="194"/>
    </row>
    <row r="1142">
      <c r="C1142" s="194"/>
      <c r="S1142" s="194"/>
    </row>
    <row r="1143">
      <c r="C1143" s="194"/>
    </row>
    <row r="1145">
      <c r="S1145" s="194"/>
    </row>
    <row r="1146">
      <c r="S1146" s="194"/>
    </row>
    <row r="1147">
      <c r="S1147" s="194"/>
    </row>
    <row r="1148">
      <c r="S1148" s="194"/>
    </row>
    <row r="1152">
      <c r="S1152" s="194"/>
    </row>
    <row r="1153">
      <c r="S1153" s="194"/>
    </row>
    <row r="1154">
      <c r="S1154" s="194"/>
    </row>
    <row r="1155">
      <c r="S1155" s="194"/>
    </row>
    <row r="1157">
      <c r="S1157" s="194"/>
    </row>
    <row r="1158">
      <c r="S1158" s="194"/>
    </row>
    <row r="1159">
      <c r="S1159" s="194"/>
    </row>
    <row r="1161">
      <c r="S1161" s="194"/>
    </row>
    <row r="1162">
      <c r="S1162" s="194"/>
    </row>
    <row r="1163">
      <c r="S1163" s="194"/>
    </row>
    <row r="1164">
      <c r="S1164" s="194"/>
    </row>
    <row r="1165">
      <c r="S1165" s="194"/>
    </row>
    <row r="1166">
      <c r="S1166" s="194"/>
    </row>
    <row r="1167">
      <c r="S1167" s="194"/>
    </row>
    <row r="1168">
      <c r="S1168" s="194"/>
    </row>
    <row r="1169">
      <c r="S1169" s="194"/>
    </row>
    <row r="1170">
      <c r="S1170" s="194"/>
    </row>
    <row r="1171">
      <c r="S1171" s="194"/>
    </row>
    <row r="1172">
      <c r="S1172" s="194"/>
    </row>
    <row r="1173">
      <c r="S1173" s="194"/>
    </row>
    <row r="1174">
      <c r="S1174" s="194"/>
    </row>
    <row r="1175">
      <c r="S1175" s="194"/>
    </row>
    <row r="1176">
      <c r="S1176" s="194"/>
    </row>
    <row r="1177">
      <c r="S1177" s="194"/>
    </row>
    <row r="1178">
      <c r="S1178" s="194"/>
    </row>
    <row r="1180">
      <c r="C1180" s="194"/>
      <c r="S1180" s="194"/>
    </row>
    <row r="1181">
      <c r="C1181" s="194"/>
    </row>
    <row r="1182">
      <c r="C1182" s="194"/>
      <c r="S1182" s="194"/>
    </row>
    <row r="1183">
      <c r="C1183" s="194"/>
    </row>
    <row r="1184">
      <c r="S1184" s="194"/>
    </row>
    <row r="1185">
      <c r="S1185" s="194"/>
    </row>
    <row r="1186">
      <c r="S1186" s="194"/>
    </row>
    <row r="1189">
      <c r="S1189" s="194"/>
    </row>
    <row r="1190">
      <c r="S1190" s="194"/>
    </row>
    <row r="1192">
      <c r="S1192" s="194"/>
    </row>
    <row r="1193">
      <c r="S1193" s="194"/>
    </row>
    <row r="1194">
      <c r="S1194" s="194"/>
    </row>
    <row r="1196">
      <c r="S1196" s="194"/>
    </row>
    <row r="1197">
      <c r="S1197" s="194"/>
    </row>
    <row r="1198">
      <c r="S1198" s="194"/>
    </row>
    <row r="1200">
      <c r="S1200" s="194"/>
    </row>
    <row r="1201">
      <c r="S1201" s="194"/>
    </row>
    <row r="1202">
      <c r="S1202" s="194"/>
    </row>
    <row r="1203">
      <c r="S1203" s="194"/>
    </row>
    <row r="1209">
      <c r="S1209" s="194"/>
    </row>
    <row r="1210">
      <c r="S1210" s="194"/>
    </row>
    <row r="1211">
      <c r="S1211" s="194"/>
    </row>
    <row r="1213">
      <c r="S1213" s="194"/>
    </row>
    <row r="1214">
      <c r="S1214" s="194"/>
    </row>
    <row r="1215">
      <c r="S1215" s="194"/>
    </row>
    <row r="1216">
      <c r="S1216" s="194"/>
    </row>
    <row r="1217">
      <c r="S1217" s="194"/>
    </row>
    <row r="1218">
      <c r="S1218" s="194"/>
    </row>
    <row r="1219">
      <c r="S1219" s="194"/>
    </row>
    <row r="1220">
      <c r="S1220" s="194"/>
    </row>
    <row r="1222">
      <c r="S1222" s="194"/>
    </row>
    <row r="1224">
      <c r="S1224" s="194"/>
    </row>
    <row r="1225">
      <c r="S1225" s="194"/>
    </row>
    <row r="1226">
      <c r="S1226" s="194"/>
    </row>
    <row r="1227">
      <c r="S1227" s="194"/>
    </row>
    <row r="1228">
      <c r="S1228" s="194"/>
    </row>
    <row r="1229">
      <c r="S1229" s="194"/>
    </row>
    <row r="1230">
      <c r="S1230" s="194"/>
    </row>
    <row r="1231">
      <c r="S1231" s="194"/>
    </row>
    <row r="1232">
      <c r="S1232" s="194"/>
    </row>
    <row r="1233">
      <c r="S1233" s="194"/>
    </row>
    <row r="1234">
      <c r="S1234" s="194"/>
    </row>
    <row r="1235">
      <c r="S1235" s="194"/>
    </row>
    <row r="1237">
      <c r="S1237" s="194"/>
    </row>
    <row r="1239">
      <c r="S1239" s="194"/>
    </row>
    <row r="1240">
      <c r="S1240" s="194"/>
    </row>
    <row r="1243">
      <c r="S1243" s="194"/>
    </row>
    <row r="1244">
      <c r="S1244" s="194"/>
    </row>
    <row r="1245">
      <c r="S1245" s="194"/>
    </row>
    <row r="1246">
      <c r="S1246" s="194"/>
    </row>
    <row r="1247">
      <c r="S1247" s="194"/>
    </row>
    <row r="1248">
      <c r="C1248" s="194"/>
    </row>
    <row r="1251">
      <c r="S1251" s="194"/>
    </row>
    <row r="1253">
      <c r="S1253" s="194"/>
    </row>
    <row r="1254">
      <c r="S1254" s="194"/>
    </row>
    <row r="1255">
      <c r="S1255" s="194"/>
    </row>
    <row r="1256">
      <c r="S1256" s="194"/>
    </row>
    <row r="1258">
      <c r="S1258" s="194"/>
    </row>
    <row r="1259">
      <c r="S1259" s="194"/>
    </row>
    <row r="1260">
      <c r="S1260" s="194"/>
    </row>
    <row r="1261">
      <c r="S1261" s="194"/>
    </row>
    <row r="1262">
      <c r="S1262" s="194"/>
    </row>
    <row r="1264">
      <c r="S1264" s="194"/>
    </row>
    <row r="1265">
      <c r="S1265" s="194"/>
    </row>
    <row r="1267">
      <c r="S1267" s="194"/>
    </row>
    <row r="1268">
      <c r="S1268" s="194"/>
    </row>
    <row r="1269">
      <c r="S1269" s="194"/>
    </row>
    <row r="1270">
      <c r="S1270" s="194"/>
    </row>
    <row r="1272">
      <c r="S1272" s="194"/>
    </row>
    <row r="1273">
      <c r="S1273" s="194"/>
    </row>
    <row r="1275">
      <c r="S1275" s="194"/>
    </row>
    <row r="1277">
      <c r="S1277" s="194"/>
    </row>
    <row r="1278">
      <c r="S1278" s="194"/>
    </row>
    <row r="1279">
      <c r="S1279" s="194"/>
    </row>
    <row r="1280">
      <c r="S1280" s="194"/>
    </row>
    <row r="1281">
      <c r="S1281" s="194"/>
    </row>
    <row r="1285">
      <c r="S1285" s="194"/>
    </row>
    <row r="1286">
      <c r="S1286" s="194"/>
    </row>
    <row r="1287">
      <c r="S1287" s="194"/>
    </row>
    <row r="1288">
      <c r="S1288" s="194"/>
    </row>
    <row r="1289">
      <c r="S1289" s="194"/>
    </row>
    <row r="1290">
      <c r="S1290" s="194"/>
    </row>
    <row r="1291">
      <c r="S1291" s="194"/>
    </row>
    <row r="1421">
      <c r="C1421" s="194"/>
    </row>
    <row r="1501">
      <c r="C1501" s="194"/>
    </row>
    <row r="1571">
      <c r="C1571" s="194"/>
    </row>
    <row r="1609">
      <c r="C1609" s="194"/>
    </row>
    <row r="1611">
      <c r="C1611" s="194"/>
    </row>
    <row r="2338">
      <c r="C2338" s="194"/>
    </row>
    <row r="2495">
      <c r="C2495" s="194"/>
    </row>
    <row r="2636">
      <c r="C2636" s="194"/>
    </row>
    <row r="2777">
      <c r="C2777" s="194"/>
    </row>
    <row r="2849">
      <c r="C2849" s="194"/>
    </row>
    <row r="2992">
      <c r="C2992" s="194"/>
    </row>
    <row r="3013">
      <c r="C3013" s="194"/>
    </row>
    <row r="3213">
      <c r="C3213" s="19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1</v>
      </c>
      <c r="B1" s="191" t="s">
        <v>453</v>
      </c>
      <c r="C1" s="191" t="s">
        <v>454</v>
      </c>
      <c r="D1" s="191" t="s">
        <v>455</v>
      </c>
      <c r="E1" s="191" t="s">
        <v>456</v>
      </c>
      <c r="F1" s="191" t="s">
        <v>457</v>
      </c>
      <c r="G1" s="191" t="s">
        <v>458</v>
      </c>
      <c r="H1" s="191" t="s">
        <v>459</v>
      </c>
      <c r="I1" s="191" t="s">
        <v>460</v>
      </c>
      <c r="J1" s="191" t="s">
        <v>461</v>
      </c>
      <c r="K1" s="191" t="s">
        <v>462</v>
      </c>
      <c r="L1" s="191" t="s">
        <v>463</v>
      </c>
      <c r="M1" s="191" t="s">
        <v>464</v>
      </c>
      <c r="N1" s="191" t="s">
        <v>465</v>
      </c>
      <c r="O1" s="191" t="s">
        <v>44</v>
      </c>
      <c r="P1" s="191" t="s">
        <v>57</v>
      </c>
      <c r="Q1" s="191" t="s">
        <v>15</v>
      </c>
      <c r="R1" s="191" t="s">
        <v>36</v>
      </c>
      <c r="S1" s="191" t="s">
        <v>466</v>
      </c>
      <c r="T1" s="191" t="s">
        <v>467</v>
      </c>
      <c r="U1" s="191" t="s">
        <v>468</v>
      </c>
      <c r="V1" s="191" t="s">
        <v>469</v>
      </c>
      <c r="W1" s="191" t="s">
        <v>470</v>
      </c>
      <c r="X1" s="191" t="s">
        <v>471</v>
      </c>
      <c r="Y1" s="191" t="s">
        <v>13</v>
      </c>
      <c r="Z1" s="191" t="s">
        <v>17</v>
      </c>
      <c r="AA1" s="191" t="s">
        <v>12</v>
      </c>
      <c r="AB1" s="191" t="s">
        <v>3</v>
      </c>
      <c r="AC1" s="191" t="s">
        <v>472</v>
      </c>
      <c r="AD1" s="191" t="s">
        <v>2</v>
      </c>
      <c r="AE1" s="191" t="s">
        <v>29</v>
      </c>
      <c r="AF1" s="191" t="s">
        <v>32</v>
      </c>
      <c r="AG1" s="191" t="s">
        <v>33</v>
      </c>
      <c r="AH1" s="191" t="s">
        <v>34</v>
      </c>
      <c r="AI1" s="191" t="s">
        <v>35</v>
      </c>
      <c r="AJ1" s="191" t="s">
        <v>37</v>
      </c>
      <c r="AK1" s="191" t="s">
        <v>38</v>
      </c>
      <c r="AL1" s="191" t="s">
        <v>473</v>
      </c>
      <c r="AM1" s="191" t="s">
        <v>40</v>
      </c>
      <c r="AN1" s="191" t="s">
        <v>474</v>
      </c>
      <c r="AO1" s="191" t="s">
        <v>46</v>
      </c>
      <c r="AP1" s="191" t="s">
        <v>47</v>
      </c>
      <c r="AQ1" s="191" t="s">
        <v>48</v>
      </c>
      <c r="AR1" s="191" t="s">
        <v>475</v>
      </c>
      <c r="AS1" s="191" t="s">
        <v>52</v>
      </c>
      <c r="AT1" s="191" t="s">
        <v>53</v>
      </c>
      <c r="AU1" s="191" t="s">
        <v>54</v>
      </c>
      <c r="AV1" s="191" t="s">
        <v>55</v>
      </c>
    </row>
    <row r="2">
      <c r="A2" s="195">
        <v>45524.0</v>
      </c>
      <c r="B2" s="191" t="s">
        <v>476</v>
      </c>
      <c r="C2" s="191" t="s">
        <v>477</v>
      </c>
      <c r="D2" s="196" t="s">
        <v>24</v>
      </c>
      <c r="E2" s="196" t="s">
        <v>64</v>
      </c>
      <c r="G2" s="196" t="s">
        <v>478</v>
      </c>
    </row>
    <row r="3">
      <c r="A3" s="195">
        <v>45524.0</v>
      </c>
      <c r="B3" s="191" t="s">
        <v>476</v>
      </c>
      <c r="C3" s="191" t="s">
        <v>479</v>
      </c>
      <c r="D3" s="196" t="s">
        <v>64</v>
      </c>
      <c r="E3" s="196" t="s">
        <v>480</v>
      </c>
      <c r="G3" s="196" t="s">
        <v>481</v>
      </c>
    </row>
    <row r="4">
      <c r="A4" s="195">
        <v>45524.0</v>
      </c>
      <c r="B4" s="191" t="s">
        <v>476</v>
      </c>
      <c r="H4" s="191" t="s">
        <v>482</v>
      </c>
      <c r="I4" s="196" t="s">
        <v>50</v>
      </c>
      <c r="J4" s="196" t="s">
        <v>483</v>
      </c>
      <c r="L4" s="196" t="s">
        <v>484</v>
      </c>
      <c r="M4" s="197">
        <v>9.0</v>
      </c>
    </row>
    <row r="5">
      <c r="A5" s="195">
        <v>45524.0</v>
      </c>
      <c r="B5" s="191" t="s">
        <v>476</v>
      </c>
      <c r="H5" s="191" t="s">
        <v>485</v>
      </c>
      <c r="I5" s="196" t="s">
        <v>483</v>
      </c>
      <c r="J5" s="196" t="s">
        <v>28</v>
      </c>
      <c r="L5" s="196" t="s">
        <v>486</v>
      </c>
      <c r="M5" s="197">
        <v>13.0</v>
      </c>
      <c r="N5" s="191" t="b">
        <v>1</v>
      </c>
      <c r="O5" s="197">
        <v>520.0</v>
      </c>
    </row>
    <row r="6">
      <c r="A6" s="195">
        <v>45524.0</v>
      </c>
      <c r="B6" s="191" t="s">
        <v>476</v>
      </c>
      <c r="H6" s="191" t="s">
        <v>487</v>
      </c>
      <c r="I6" s="196" t="s">
        <v>25</v>
      </c>
      <c r="J6" s="196" t="s">
        <v>480</v>
      </c>
      <c r="L6" s="196" t="s">
        <v>488</v>
      </c>
    </row>
    <row r="7">
      <c r="A7" s="195">
        <v>45524.0</v>
      </c>
      <c r="B7" s="191" t="s">
        <v>476</v>
      </c>
      <c r="P7" s="197">
        <v>7.0</v>
      </c>
      <c r="Q7" s="191" t="s">
        <v>477</v>
      </c>
      <c r="R7" s="191" t="s">
        <v>479</v>
      </c>
      <c r="S7" s="197">
        <v>8461.0</v>
      </c>
      <c r="T7" s="197">
        <v>3807.0</v>
      </c>
      <c r="U7" s="197">
        <v>8309.0</v>
      </c>
      <c r="V7" s="197">
        <v>10131.0</v>
      </c>
      <c r="W7" s="197">
        <v>1300.0</v>
      </c>
      <c r="X7" s="197">
        <v>2815.0</v>
      </c>
      <c r="Y7" s="197">
        <v>3723.0</v>
      </c>
      <c r="AA7" s="197">
        <v>1160.0</v>
      </c>
      <c r="AB7" s="197">
        <v>42831.0</v>
      </c>
      <c r="AC7" s="197">
        <v>0.0</v>
      </c>
      <c r="AD7" s="197">
        <v>0.38519359264204933</v>
      </c>
      <c r="AE7" s="197">
        <v>2000.0</v>
      </c>
      <c r="AH7" s="197">
        <v>3420.0</v>
      </c>
      <c r="AI7" s="197">
        <v>520.0</v>
      </c>
      <c r="AJ7" s="197">
        <v>0.0</v>
      </c>
      <c r="AK7" s="197">
        <v>0.0</v>
      </c>
      <c r="AL7" s="197">
        <v>7.0</v>
      </c>
      <c r="AM7" s="191" t="s">
        <v>489</v>
      </c>
      <c r="AN7" s="197">
        <v>1.0</v>
      </c>
      <c r="AO7" s="197">
        <v>107.0</v>
      </c>
      <c r="AP7" s="197">
        <v>29.0</v>
      </c>
      <c r="AQ7" s="197">
        <v>5.0</v>
      </c>
      <c r="AR7" s="197">
        <v>5.0</v>
      </c>
      <c r="AS7" s="197">
        <v>0.2413793103448276</v>
      </c>
      <c r="AT7" s="197">
        <v>5.0</v>
      </c>
      <c r="AU7" s="197">
        <v>0.7586206896551724</v>
      </c>
      <c r="AV7" s="197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/>
      <c r="B1" s="198"/>
      <c r="C1" s="199" t="str">
        <f>IFERROR(__xludf.DUMMYFUNCTION("IMPORTRANGE(""1TpIiNTfR1pnpn85VWQTTdvQ2Xcr0GStmWJ2UvfKxG_A"", ""Mzdy!A1:F200"")")," ")</f>
        <v> 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200">
        <f>IFERROR(__xludf.DUMMYFUNCTION("IMPORTRANGE(""1TpIiNTfR1pnpn85VWQTTdvQ2Xcr0GStmWJ2UvfKxG_A"", ""Mzdy!ac1:ad200"")"),30.0)</f>
        <v>30</v>
      </c>
      <c r="W1" s="201" t="str">
        <f>IFERROR(__xludf.DUMMYFUNCTION("""COMPUTED_VALUE"""),"dní")</f>
        <v>dní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</row>
    <row r="2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201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</row>
    <row r="3">
      <c r="A3" s="198"/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201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</row>
    <row r="4">
      <c r="A4" s="202" t="s">
        <v>490</v>
      </c>
      <c r="B4" s="202" t="s">
        <v>491</v>
      </c>
      <c r="C4" s="198" t="str">
        <f>IFERROR(__xludf.DUMMYFUNCTION("""COMPUTED_VALUE"""),"Manažer")</f>
        <v>Manažer</v>
      </c>
      <c r="D4" s="198" t="str">
        <f>IFERROR(__xludf.DUMMYFUNCTION("""COMPUTED_VALUE"""),"Instore")</f>
        <v>Instore</v>
      </c>
      <c r="E4" s="198" t="str">
        <f>IFERROR(__xludf.DUMMYFUNCTION("""COMPUTED_VALUE"""),"První domácí,          Pobočky max 4")</f>
        <v>První domácí,          Pobočky max 4</v>
      </c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 t="str">
        <f>IFERROR(__xludf.DUMMYFUNCTION("""COMPUTED_VALUE"""),"Sp.hr. / h")</f>
        <v>Sp.hr. / h</v>
      </c>
      <c r="W4" s="201" t="str">
        <f>IFERROR(__xludf.DUMMYFUNCTION("""COMPUTED_VALUE"""),"Sp.hr. / den")</f>
        <v>Sp.hr. / den</v>
      </c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</row>
    <row r="5">
      <c r="A5" s="198" t="str">
        <f>IF(AND(B5&lt;&gt;"", C5=TRUE, E5=Report!$B$1), B5, "")</f>
        <v/>
      </c>
      <c r="B5" s="203" t="str">
        <f>IF(OR(E5=Report!$B$1, F5=Report!$B$1, G5=Report!$B$1, H5=Report!$B$1), D5, "")</f>
        <v/>
      </c>
      <c r="C5" s="198" t="b">
        <f>IFERROR(__xludf.DUMMYFUNCTION("""COMPUTED_VALUE"""),TRUE)</f>
        <v>1</v>
      </c>
      <c r="D5" s="198" t="str">
        <f>IFERROR(__xludf.DUMMYFUNCTION("""COMPUTED_VALUE"""),"Nedbal Michal")</f>
        <v>Nedbal Michal</v>
      </c>
      <c r="E5" s="198" t="str">
        <f>IFERROR(__xludf.DUMMYFUNCTION("""COMPUTED_VALUE"""),"Zličín")</f>
        <v>Zličín</v>
      </c>
      <c r="F5" s="198" t="str">
        <f>IFERROR(__xludf.DUMMYFUNCTION("""COMPUTED_VALUE"""),"Malešice")</f>
        <v>Malešice</v>
      </c>
      <c r="G5" s="198" t="str">
        <f>IFERROR(__xludf.DUMMYFUNCTION("""COMPUTED_VALUE"""),"Prosek")</f>
        <v>Prosek</v>
      </c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201">
        <f>IFERROR(__xludf.DUMMYFUNCTION("""COMPUTED_VALUE"""),432.3078)</f>
        <v>432.3078</v>
      </c>
      <c r="W5" s="201">
        <f>IFERROR(__xludf.DUMMYFUNCTION("""COMPUTED_VALUE"""),2882.052)</f>
        <v>2882.052</v>
      </c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</row>
    <row r="6">
      <c r="A6" s="198" t="str">
        <f>IF(AND(B6&lt;&gt;"", C6=TRUE, E6=Report!$B$1), B6, "")</f>
        <v/>
      </c>
      <c r="B6" s="203" t="str">
        <f>IF(OR(E6=Report!$B$1, F6=Report!$B$1, G6=Report!$B$1, H6=Report!$B$1), D6, "")</f>
        <v>Sova Martin</v>
      </c>
      <c r="C6" s="198" t="b">
        <f>IFERROR(__xludf.DUMMYFUNCTION("""COMPUTED_VALUE"""),TRUE)</f>
        <v>1</v>
      </c>
      <c r="D6" s="198" t="str">
        <f>IFERROR(__xludf.DUMMYFUNCTION("""COMPUTED_VALUE"""),"Sova Martin")</f>
        <v>Sova Martin</v>
      </c>
      <c r="E6" s="198" t="str">
        <f>IFERROR(__xludf.DUMMYFUNCTION("""COMPUTED_VALUE"""),"Chodov")</f>
        <v>Chodov</v>
      </c>
      <c r="F6" s="198" t="str">
        <f>IFERROR(__xludf.DUMMYFUNCTION("""COMPUTED_VALUE"""),"Libuš")</f>
        <v>Libuš</v>
      </c>
      <c r="G6" s="198" t="str">
        <f>IFERROR(__xludf.DUMMYFUNCTION("""COMPUTED_VALUE"""),"Výroba")</f>
        <v>Výroba</v>
      </c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201">
        <f>IFERROR(__xludf.DUMMYFUNCTION("""COMPUTED_VALUE"""),432.3078)</f>
        <v>432.3078</v>
      </c>
      <c r="W6" s="201">
        <f>IFERROR(__xludf.DUMMYFUNCTION("""COMPUTED_VALUE"""),2882.052)</f>
        <v>2882.052</v>
      </c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</row>
    <row r="7">
      <c r="A7" s="198" t="str">
        <f>IF(AND(B7&lt;&gt;"", C7=TRUE, E7=Report!$B$1), B7, "")</f>
        <v/>
      </c>
      <c r="B7" s="203" t="str">
        <f>IF(OR(E7=Report!$B$1, F7=Report!$B$1, G7=Report!$B$1, H7=Report!$B$1), D7, "")</f>
        <v/>
      </c>
      <c r="C7" s="198" t="b">
        <f>IFERROR(__xludf.DUMMYFUNCTION("""COMPUTED_VALUE"""),TRUE)</f>
        <v>1</v>
      </c>
      <c r="D7" s="198" t="str">
        <f>IFERROR(__xludf.DUMMYFUNCTION("""COMPUTED_VALUE"""),"Paziak Viktoriia")</f>
        <v>Paziak Viktoriia</v>
      </c>
      <c r="E7" s="198" t="str">
        <f>IFERROR(__xludf.DUMMYFUNCTION("""COMPUTED_VALUE"""),"Výroba")</f>
        <v>Výroba</v>
      </c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201">
        <f>IFERROR(__xludf.DUMMYFUNCTION("""COMPUTED_VALUE"""),341.19)</f>
        <v>341.19</v>
      </c>
      <c r="W7" s="201">
        <f>IFERROR(__xludf.DUMMYFUNCTION("""COMPUTED_VALUE"""),2274.6)</f>
        <v>2274.6</v>
      </c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</row>
    <row r="8">
      <c r="A8" s="198" t="str">
        <f>IF(AND(B8&lt;&gt;"", C8=TRUE, E8=Report!$B$1), B8, "")</f>
        <v/>
      </c>
      <c r="B8" s="203" t="str">
        <f>IF(OR(E8=Report!$B$1, F8=Report!$B$1, G8=Report!$B$1, H8=Report!$B$1), D8, "")</f>
        <v>Ahurieva Viktoriia</v>
      </c>
      <c r="C8" s="198" t="b">
        <f>IFERROR(__xludf.DUMMYFUNCTION("""COMPUTED_VALUE"""),FALSE)</f>
        <v>0</v>
      </c>
      <c r="D8" s="198" t="str">
        <f>IFERROR(__xludf.DUMMYFUNCTION("""COMPUTED_VALUE"""),"Ahurieva Viktoriia")</f>
        <v>Ahurieva Viktoriia</v>
      </c>
      <c r="E8" s="198" t="str">
        <f>IFERROR(__xludf.DUMMYFUNCTION("""COMPUTED_VALUE"""),"Libuš")</f>
        <v>Libuš</v>
      </c>
      <c r="F8" s="198" t="str">
        <f>IFERROR(__xludf.DUMMYFUNCTION("""COMPUTED_VALUE"""),"Malešice")</f>
        <v>Malešice</v>
      </c>
      <c r="G8" s="198" t="str">
        <f>IFERROR(__xludf.DUMMYFUNCTION("""COMPUTED_VALUE"""),"Výroba")</f>
        <v>Výroba</v>
      </c>
      <c r="H8" s="198" t="str">
        <f>IFERROR(__xludf.DUMMYFUNCTION("""COMPUTED_VALUE"""),"Prosek")</f>
        <v>Prosek</v>
      </c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201">
        <f>IFERROR(__xludf.DUMMYFUNCTION("""COMPUTED_VALUE"""),432.3078)</f>
        <v>432.3078</v>
      </c>
      <c r="W8" s="201">
        <f>IFERROR(__xludf.DUMMYFUNCTION("""COMPUTED_VALUE"""),2882.052)</f>
        <v>2882.052</v>
      </c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</row>
    <row r="9">
      <c r="A9" s="198" t="str">
        <f>IF(AND(B9&lt;&gt;"", C9=TRUE, E9=Report!$B$1), B9, "")</f>
        <v/>
      </c>
      <c r="B9" s="203" t="str">
        <f>IF(OR(E9=Report!$B$1, F9=Report!$B$1, G9=Report!$B$1, H9=Report!$B$1), D9, "")</f>
        <v/>
      </c>
      <c r="C9" s="198" t="b">
        <f>IFERROR(__xludf.DUMMYFUNCTION("""COMPUTED_VALUE"""),TRUE)</f>
        <v>1</v>
      </c>
      <c r="D9" s="198" t="str">
        <f>IFERROR(__xludf.DUMMYFUNCTION("""COMPUTED_VALUE"""),"Pešová Hana")</f>
        <v>Pešová Hana</v>
      </c>
      <c r="E9" s="198" t="str">
        <f>IFERROR(__xludf.DUMMYFUNCTION("""COMPUTED_VALUE"""),"Chodov")</f>
        <v>Chodov</v>
      </c>
      <c r="F9" s="198" t="str">
        <f>IFERROR(__xludf.DUMMYFUNCTION("""COMPUTED_VALUE"""),"Prosek")</f>
        <v>Prosek</v>
      </c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201">
        <f>IFERROR(__xludf.DUMMYFUNCTION("""COMPUTED_VALUE"""),341.19)</f>
        <v>341.19</v>
      </c>
      <c r="W9" s="201">
        <f>IFERROR(__xludf.DUMMYFUNCTION("""COMPUTED_VALUE"""),2274.6)</f>
        <v>2274.6</v>
      </c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</row>
    <row r="10">
      <c r="A10" s="198" t="str">
        <f>IF(AND(B10&lt;&gt;"", C10=TRUE, E10=Report!$B$1), B10, "")</f>
        <v/>
      </c>
      <c r="B10" s="203" t="str">
        <f>IF(OR(E10=Report!$B$1, F10=Report!$B$1, G10=Report!$B$1, H10=Report!$B$1), D10, "")</f>
        <v>Šebesta Tomáš</v>
      </c>
      <c r="C10" s="198" t="b">
        <f>IFERROR(__xludf.DUMMYFUNCTION("""COMPUTED_VALUE"""),TRUE)</f>
        <v>1</v>
      </c>
      <c r="D10" s="198" t="str">
        <f>IFERROR(__xludf.DUMMYFUNCTION("""COMPUTED_VALUE"""),"Šebesta Tomáš")</f>
        <v>Šebesta Tomáš</v>
      </c>
      <c r="E10" s="198" t="str">
        <f>IFERROR(__xludf.DUMMYFUNCTION("""COMPUTED_VALUE"""),"Prosek")</f>
        <v>Prosek</v>
      </c>
      <c r="F10" s="198" t="str">
        <f>IFERROR(__xludf.DUMMYFUNCTION("""COMPUTED_VALUE"""),"Libuš")</f>
        <v>Libuš</v>
      </c>
      <c r="G10" s="198" t="str">
        <f>IFERROR(__xludf.DUMMYFUNCTION("""COMPUTED_VALUE"""),"Malešice")</f>
        <v>Malešice</v>
      </c>
      <c r="H10" s="198" t="str">
        <f>IFERROR(__xludf.DUMMYFUNCTION("""COMPUTED_VALUE"""),"Chodov")</f>
        <v>Chodov</v>
      </c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201">
        <f>IFERROR(__xludf.DUMMYFUNCTION("""COMPUTED_VALUE"""),432.3078)</f>
        <v>432.3078</v>
      </c>
      <c r="W10" s="201">
        <f>IFERROR(__xludf.DUMMYFUNCTION("""COMPUTED_VALUE"""),2882.052)</f>
        <v>2882.052</v>
      </c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</row>
    <row r="11">
      <c r="A11" s="198" t="str">
        <f>IF(AND(B11&lt;&gt;"", C11=TRUE, E11=Report!$B$1), B11, "")</f>
        <v/>
      </c>
      <c r="B11" s="203" t="str">
        <f>IF(OR(E11=Report!$B$1, F11=Report!$B$1, G11=Report!$B$1, H11=Report!$B$1), D11, "")</f>
        <v/>
      </c>
      <c r="C11" s="198" t="b">
        <f>IFERROR(__xludf.DUMMYFUNCTION("""COMPUTED_VALUE"""),FALSE)</f>
        <v>0</v>
      </c>
      <c r="D11" s="198" t="str">
        <f>IFERROR(__xludf.DUMMYFUNCTION("""COMPUTED_VALUE"""),"Hanakova Ayuna")</f>
        <v>Hanakova Ayuna</v>
      </c>
      <c r="E11" s="198" t="str">
        <f>IFERROR(__xludf.DUMMYFUNCTION("""COMPUTED_VALUE"""),"Zličín")</f>
        <v>Zličín</v>
      </c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201">
        <f>IFERROR(__xludf.DUMMYFUNCTION("""COMPUTED_VALUE"""),295.698)</f>
        <v>295.698</v>
      </c>
      <c r="W11" s="201">
        <f>IFERROR(__xludf.DUMMYFUNCTION("""COMPUTED_VALUE"""),0.0)</f>
        <v>0</v>
      </c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</row>
    <row r="12">
      <c r="A12" s="198" t="str">
        <f>IF(AND(B12&lt;&gt;"", C12=TRUE, E12=Report!$B$1), B12, "")</f>
        <v/>
      </c>
      <c r="B12" s="203" t="str">
        <f>IF(OR(E12=Report!$B$1, F12=Report!$B$1, G12=Report!$B$1, H12=Report!$B$1), D12, "")</f>
        <v/>
      </c>
      <c r="C12" s="198" t="b">
        <f>IFERROR(__xludf.DUMMYFUNCTION("""COMPUTED_VALUE"""),FALSE)</f>
        <v>0</v>
      </c>
      <c r="D12" s="198" t="str">
        <f>IFERROR(__xludf.DUMMYFUNCTION("""COMPUTED_VALUE"""),"Vondráček Lukáš")</f>
        <v>Vondráček Lukáš</v>
      </c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201">
        <f>IFERROR(__xludf.DUMMYFUNCTION("""COMPUTED_VALUE"""),0.0)</f>
        <v>0</v>
      </c>
      <c r="W12" s="201">
        <f>IFERROR(__xludf.DUMMYFUNCTION("""COMPUTED_VALUE"""),0.0)</f>
        <v>0</v>
      </c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</row>
    <row r="13">
      <c r="A13" s="198" t="str">
        <f>IF(AND(B13&lt;&gt;"", C13=TRUE, E13=Report!$B$1), B13, "")</f>
        <v/>
      </c>
      <c r="B13" s="203" t="str">
        <f>IF(OR(E13=Report!$B$1, F13=Report!$B$1, G13=Report!$B$1, H13=Report!$B$1), D13, "")</f>
        <v/>
      </c>
      <c r="C13" s="198" t="b">
        <f>IFERROR(__xludf.DUMMYFUNCTION("""COMPUTED_VALUE"""),TRUE)</f>
        <v>1</v>
      </c>
      <c r="D13" s="198" t="str">
        <f>IFERROR(__xludf.DUMMYFUNCTION("""COMPUTED_VALUE"""),"Veselý Ondřej")</f>
        <v>Veselý Ondřej</v>
      </c>
      <c r="E13" s="198" t="str">
        <f>IFERROR(__xludf.DUMMYFUNCTION("""COMPUTED_VALUE"""),"Zličín")</f>
        <v>Zličín</v>
      </c>
      <c r="F13" s="198" t="str">
        <f>IFERROR(__xludf.DUMMYFUNCTION("""COMPUTED_VALUE"""),"Malešice")</f>
        <v>Malešice</v>
      </c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201">
        <f>IFERROR(__xludf.DUMMYFUNCTION("""COMPUTED_VALUE"""),341.19)</f>
        <v>341.19</v>
      </c>
      <c r="W13" s="201">
        <f>IFERROR(__xludf.DUMMYFUNCTION("""COMPUTED_VALUE"""),2274.6)</f>
        <v>2274.6</v>
      </c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</row>
    <row r="14">
      <c r="A14" s="198" t="str">
        <f>IF(AND(B14&lt;&gt;"", C14=TRUE, E14=Report!$B$1), B14, "")</f>
        <v/>
      </c>
      <c r="B14" s="203" t="str">
        <f>IF(OR(E14=Report!$B$1, F14=Report!$B$1, G14=Report!$B$1, H14=Report!$B$1), D14, "")</f>
        <v>Coufal Jakub</v>
      </c>
      <c r="C14" s="198" t="b">
        <f>IFERROR(__xludf.DUMMYFUNCTION("""COMPUTED_VALUE"""),FALSE)</f>
        <v>0</v>
      </c>
      <c r="D14" s="198" t="str">
        <f>IFERROR(__xludf.DUMMYFUNCTION("""COMPUTED_VALUE"""),"Coufal Jakub")</f>
        <v>Coufal Jakub</v>
      </c>
      <c r="E14" s="198" t="str">
        <f>IFERROR(__xludf.DUMMYFUNCTION("""COMPUTED_VALUE"""),"Libuš")</f>
        <v>Libuš</v>
      </c>
      <c r="F14" s="198" t="str">
        <f>IFERROR(__xludf.DUMMYFUNCTION("""COMPUTED_VALUE"""),"Malešice")</f>
        <v>Malešice</v>
      </c>
      <c r="G14" s="198" t="str">
        <f>IFERROR(__xludf.DUMMYFUNCTION("""COMPUTED_VALUE"""),"Prosek")</f>
        <v>Prosek</v>
      </c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201">
        <f>IFERROR(__xludf.DUMMYFUNCTION("""COMPUTED_VALUE"""),250.20600000000002)</f>
        <v>250.206</v>
      </c>
      <c r="W14" s="201">
        <f>IFERROR(__xludf.DUMMYFUNCTION("""COMPUTED_VALUE"""),0.0)</f>
        <v>0</v>
      </c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</row>
    <row r="15">
      <c r="A15" s="198" t="str">
        <f>IF(AND(B15&lt;&gt;"", C15=TRUE, E15=Report!$B$1), B15, "")</f>
        <v/>
      </c>
      <c r="B15" s="203" t="str">
        <f>IF(OR(E15=Report!$B$1, F15=Report!$B$1, G15=Report!$B$1, H15=Report!$B$1), D15, "")</f>
        <v/>
      </c>
      <c r="C15" s="198" t="b">
        <f>IFERROR(__xludf.DUMMYFUNCTION("""COMPUTED_VALUE"""),TRUE)</f>
        <v>1</v>
      </c>
      <c r="D15" s="198" t="str">
        <f>IFERROR(__xludf.DUMMYFUNCTION("""COMPUTED_VALUE"""),"Kinkorová Petra")</f>
        <v>Kinkorová Petra</v>
      </c>
      <c r="E15" s="198" t="str">
        <f>IFERROR(__xludf.DUMMYFUNCTION("""COMPUTED_VALUE"""),"Malešice")</f>
        <v>Malešice</v>
      </c>
      <c r="F15" s="198" t="str">
        <f>IFERROR(__xludf.DUMMYFUNCTION("""COMPUTED_VALUE"""),"Zličín")</f>
        <v>Zličín</v>
      </c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201">
        <f>IFERROR(__xludf.DUMMYFUNCTION("""COMPUTED_VALUE"""),341.19)</f>
        <v>341.19</v>
      </c>
      <c r="W15" s="201">
        <f>IFERROR(__xludf.DUMMYFUNCTION("""COMPUTED_VALUE"""),2274.6)</f>
        <v>2274.6</v>
      </c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</row>
    <row r="16">
      <c r="A16" s="198" t="str">
        <f>IF(AND(B16&lt;&gt;"", C16=TRUE, E16=Report!$B$1), B16, "")</f>
        <v/>
      </c>
      <c r="B16" s="203" t="str">
        <f>IF(OR(E16=Report!$B$1, F16=Report!$B$1, G16=Report!$B$1, H16=Report!$B$1), D16, "")</f>
        <v/>
      </c>
      <c r="C16" s="198" t="b">
        <f>IFERROR(__xludf.DUMMYFUNCTION("""COMPUTED_VALUE"""),TRUE)</f>
        <v>1</v>
      </c>
      <c r="D16" s="198" t="str">
        <f>IFERROR(__xludf.DUMMYFUNCTION("""COMPUTED_VALUE"""),"Nováková Adéla")</f>
        <v>Nováková Adéla</v>
      </c>
      <c r="E16" s="198" t="str">
        <f>IFERROR(__xludf.DUMMYFUNCTION("""COMPUTED_VALUE"""),"Prosek")</f>
        <v>Prosek</v>
      </c>
      <c r="F16" s="198" t="str">
        <f>IFERROR(__xludf.DUMMYFUNCTION("""COMPUTED_VALUE"""),"Malešice")</f>
        <v>Malešice</v>
      </c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201">
        <f>IFERROR(__xludf.DUMMYFUNCTION("""COMPUTED_VALUE"""),341.19)</f>
        <v>341.19</v>
      </c>
      <c r="W16" s="201">
        <f>IFERROR(__xludf.DUMMYFUNCTION("""COMPUTED_VALUE"""),2274.6)</f>
        <v>2274.6</v>
      </c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</row>
    <row r="17">
      <c r="A17" s="198" t="str">
        <f>IF(AND(B17&lt;&gt;"", C17=TRUE, E17=Report!$B$1), B17, "")</f>
        <v/>
      </c>
      <c r="B17" s="203" t="str">
        <f>IF(OR(E17=Report!$B$1, F17=Report!$B$1, G17=Report!$B$1, H17=Report!$B$1), D17, "")</f>
        <v/>
      </c>
      <c r="C17" s="198" t="b">
        <f>IFERROR(__xludf.DUMMYFUNCTION("""COMPUTED_VALUE"""),FALSE)</f>
        <v>0</v>
      </c>
      <c r="D17" s="198" t="str">
        <f>IFERROR(__xludf.DUMMYFUNCTION("""COMPUTED_VALUE"""),"Pechová Barbora")</f>
        <v>Pechová Barbora</v>
      </c>
      <c r="E17" s="198" t="str">
        <f>IFERROR(__xludf.DUMMYFUNCTION("""COMPUTED_VALUE"""),"Zličín")</f>
        <v>Zličín</v>
      </c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201">
        <f>IFERROR(__xludf.DUMMYFUNCTION("""COMPUTED_VALUE"""),267.6)</f>
        <v>267.6</v>
      </c>
      <c r="W17" s="201">
        <f>IFERROR(__xludf.DUMMYFUNCTION("""COMPUTED_VALUE"""),0.0)</f>
        <v>0</v>
      </c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</row>
    <row r="18">
      <c r="A18" s="198" t="str">
        <f>IF(AND(B18&lt;&gt;"", C18=TRUE, E18=Report!$B$1), B18, "")</f>
        <v/>
      </c>
      <c r="B18" s="203" t="str">
        <f>IF(OR(E18=Report!$B$1, F18=Report!$B$1, G18=Report!$B$1, H18=Report!$B$1), D18, "")</f>
        <v/>
      </c>
      <c r="C18" s="198" t="b">
        <f>IFERROR(__xludf.DUMMYFUNCTION("""COMPUTED_VALUE"""),FALSE)</f>
        <v>0</v>
      </c>
      <c r="D18" s="198" t="str">
        <f>IFERROR(__xludf.DUMMYFUNCTION("""COMPUTED_VALUE"""),"Stepanenko Solomiia")</f>
        <v>Stepanenko Solomiia</v>
      </c>
      <c r="E18" s="198" t="str">
        <f>IFERROR(__xludf.DUMMYFUNCTION("""COMPUTED_VALUE"""),"Výroba")</f>
        <v>Výroba</v>
      </c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201">
        <f>IFERROR(__xludf.DUMMYFUNCTION("""COMPUTED_VALUE"""),286.332)</f>
        <v>286.332</v>
      </c>
      <c r="W18" s="201">
        <f>IFERROR(__xludf.DUMMYFUNCTION("""COMPUTED_VALUE"""),0.0)</f>
        <v>0</v>
      </c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</row>
    <row r="19">
      <c r="A19" s="198" t="str">
        <f>IF(AND(B19&lt;&gt;"", C19=TRUE, E19=Report!$B$1), B19, "")</f>
        <v/>
      </c>
      <c r="B19" s="203" t="str">
        <f>IF(OR(E19=Report!$B$1, F19=Report!$B$1, G19=Report!$B$1, H19=Report!$B$1), D19, "")</f>
        <v/>
      </c>
      <c r="C19" s="198" t="b">
        <f>IFERROR(__xludf.DUMMYFUNCTION("""COMPUTED_VALUE"""),FALSE)</f>
        <v>0</v>
      </c>
      <c r="D19" s="198" t="str">
        <f>IFERROR(__xludf.DUMMYFUNCTION("""COMPUTED_VALUE"""),"Rothová Anastasia")</f>
        <v>Rothová Anastasia</v>
      </c>
      <c r="E19" s="198" t="str">
        <f>IFERROR(__xludf.DUMMYFUNCTION("""COMPUTED_VALUE"""),"Bolevec")</f>
        <v>Bolevec</v>
      </c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201">
        <f>IFERROR(__xludf.DUMMYFUNCTION("""COMPUTED_VALUE"""),341.19)</f>
        <v>341.19</v>
      </c>
      <c r="W19" s="201">
        <f>IFERROR(__xludf.DUMMYFUNCTION("""COMPUTED_VALUE"""),0.0)</f>
        <v>0</v>
      </c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</row>
    <row r="20">
      <c r="A20" s="198" t="str">
        <f>IF(AND(B20&lt;&gt;"", C20=TRUE, E20=Report!$B$1), B20, "")</f>
        <v/>
      </c>
      <c r="B20" s="203" t="str">
        <f>IF(OR(E20=Report!$B$1, F20=Report!$B$1, G20=Report!$B$1, H20=Report!$B$1), D20, "")</f>
        <v/>
      </c>
      <c r="C20" s="198" t="b">
        <f>IFERROR(__xludf.DUMMYFUNCTION("""COMPUTED_VALUE"""),FALSE)</f>
        <v>0</v>
      </c>
      <c r="D20" s="198" t="str">
        <f>IFERROR(__xludf.DUMMYFUNCTION("""COMPUTED_VALUE"""),"Pánková Vendula")</f>
        <v>Pánková Vendula</v>
      </c>
      <c r="E20" s="198" t="str">
        <f>IFERROR(__xludf.DUMMYFUNCTION("""COMPUTED_VALUE"""),"Zličín")</f>
        <v>Zličín</v>
      </c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201">
        <f>IFERROR(__xludf.DUMMYFUNCTION("""COMPUTED_VALUE"""),267.6)</f>
        <v>267.6</v>
      </c>
      <c r="W20" s="201">
        <f>IFERROR(__xludf.DUMMYFUNCTION("""COMPUTED_VALUE"""),0.0)</f>
        <v>0</v>
      </c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</row>
    <row r="21">
      <c r="A21" s="198" t="str">
        <f>IF(AND(B21&lt;&gt;"", C21=TRUE, E21=Report!$B$1), B21, "")</f>
        <v>Hegedüs Erik</v>
      </c>
      <c r="B21" s="203" t="str">
        <f>IF(OR(E21=Report!$B$1, F21=Report!$B$1, G21=Report!$B$1, H21=Report!$B$1), D21, "")</f>
        <v>Hegedüs Erik</v>
      </c>
      <c r="C21" s="198" t="b">
        <f>IFERROR(__xludf.DUMMYFUNCTION("""COMPUTED_VALUE"""),TRUE)</f>
        <v>1</v>
      </c>
      <c r="D21" s="198" t="str">
        <f>IFERROR(__xludf.DUMMYFUNCTION("""COMPUTED_VALUE"""),"Hegedüs Erik")</f>
        <v>Hegedüs Erik</v>
      </c>
      <c r="E21" s="198" t="str">
        <f>IFERROR(__xludf.DUMMYFUNCTION("""COMPUTED_VALUE"""),"Libuš")</f>
        <v>Libuš</v>
      </c>
      <c r="F21" s="198" t="str">
        <f>IFERROR(__xludf.DUMMYFUNCTION("""COMPUTED_VALUE"""),"Chodov")</f>
        <v>Chodov</v>
      </c>
      <c r="G21" s="198" t="str">
        <f>IFERROR(__xludf.DUMMYFUNCTION("""COMPUTED_VALUE"""),"Malešice")</f>
        <v>Malešice</v>
      </c>
      <c r="H21" s="198" t="str">
        <f>IFERROR(__xludf.DUMMYFUNCTION("""COMPUTED_VALUE"""),"Zličín")</f>
        <v>Zličín</v>
      </c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201">
        <f>IFERROR(__xludf.DUMMYFUNCTION("""COMPUTED_VALUE"""),432.3078)</f>
        <v>432.3078</v>
      </c>
      <c r="W21" s="201">
        <f>IFERROR(__xludf.DUMMYFUNCTION("""COMPUTED_VALUE"""),2882.052)</f>
        <v>2882.052</v>
      </c>
      <c r="X21" s="198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</row>
    <row r="22">
      <c r="A22" s="198" t="str">
        <f>IF(AND(B22&lt;&gt;"", C22=TRUE, E22=Report!$B$1), B22, "")</f>
        <v/>
      </c>
      <c r="B22" s="203" t="str">
        <f>IF(OR(E22=Report!$B$1, F22=Report!$B$1, G22=Report!$B$1, H22=Report!$B$1), D22, "")</f>
        <v/>
      </c>
      <c r="C22" s="198" t="b">
        <f>IFERROR(__xludf.DUMMYFUNCTION("""COMPUTED_VALUE"""),TRUE)</f>
        <v>1</v>
      </c>
      <c r="D22" s="198" t="str">
        <f>IFERROR(__xludf.DUMMYFUNCTION("""COMPUTED_VALUE"""),"Roth Stanislav ml.")</f>
        <v>Roth Stanislav ml.</v>
      </c>
      <c r="E22" s="198" t="str">
        <f>IFERROR(__xludf.DUMMYFUNCTION("""COMPUTED_VALUE"""),"Bolevec")</f>
        <v>Bolevec</v>
      </c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201">
        <f>IFERROR(__xludf.DUMMYFUNCTION("""COMPUTED_VALUE"""),432.3078)</f>
        <v>432.3078</v>
      </c>
      <c r="W22" s="201">
        <f>IFERROR(__xludf.DUMMYFUNCTION("""COMPUTED_VALUE"""),2882.052)</f>
        <v>2882.052</v>
      </c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</row>
    <row r="23">
      <c r="A23" s="198" t="str">
        <f>IF(AND(B23&lt;&gt;"", C23=TRUE, E23=Report!$B$1), B23, "")</f>
        <v/>
      </c>
      <c r="B23" s="203" t="str">
        <f>IF(OR(E23=Report!$B$1, F23=Report!$B$1, G23=Report!$B$1, H23=Report!$B$1), D23, "")</f>
        <v/>
      </c>
      <c r="C23" s="198" t="b">
        <f>IFERROR(__xludf.DUMMYFUNCTION("""COMPUTED_VALUE"""),FALSE)</f>
        <v>0</v>
      </c>
      <c r="D23" s="198" t="str">
        <f>IFERROR(__xludf.DUMMYFUNCTION("""COMPUTED_VALUE"""),"Makula Radek")</f>
        <v>Makula Radek</v>
      </c>
      <c r="E23" s="198" t="str">
        <f>IFERROR(__xludf.DUMMYFUNCTION("""COMPUTED_VALUE"""),"Prosek")</f>
        <v>Prosek</v>
      </c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201">
        <f>IFERROR(__xludf.DUMMYFUNCTION("""COMPUTED_VALUE"""),250.20600000000002)</f>
        <v>250.206</v>
      </c>
      <c r="W23" s="201">
        <f>IFERROR(__xludf.DUMMYFUNCTION("""COMPUTED_VALUE"""),0.0)</f>
        <v>0</v>
      </c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</row>
    <row r="24">
      <c r="A24" s="198" t="str">
        <f>IF(AND(B24&lt;&gt;"", C24=TRUE, E24=Report!$B$1), B24, "")</f>
        <v/>
      </c>
      <c r="B24" s="203" t="str">
        <f>IF(OR(E24=Report!$B$1, F24=Report!$B$1, G24=Report!$B$1, H24=Report!$B$1), D24, "")</f>
        <v>Bubník Martin</v>
      </c>
      <c r="C24" s="198" t="b">
        <f>IFERROR(__xludf.DUMMYFUNCTION("""COMPUTED_VALUE"""),FALSE)</f>
        <v>0</v>
      </c>
      <c r="D24" s="198" t="str">
        <f>IFERROR(__xludf.DUMMYFUNCTION("""COMPUTED_VALUE"""),"Bubník Martin")</f>
        <v>Bubník Martin</v>
      </c>
      <c r="E24" s="198" t="str">
        <f>IFERROR(__xludf.DUMMYFUNCTION("""COMPUTED_VALUE"""),"Libuš")</f>
        <v>Libuš</v>
      </c>
      <c r="F24" s="198" t="str">
        <f>IFERROR(__xludf.DUMMYFUNCTION("""COMPUTED_VALUE"""),"Malešice")</f>
        <v>Malešice</v>
      </c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201">
        <f>IFERROR(__xludf.DUMMYFUNCTION("""COMPUTED_VALUE"""),267.6)</f>
        <v>267.6</v>
      </c>
      <c r="W24" s="201">
        <f>IFERROR(__xludf.DUMMYFUNCTION("""COMPUTED_VALUE"""),0.0)</f>
        <v>0</v>
      </c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</row>
    <row r="25">
      <c r="A25" s="198" t="str">
        <f>IF(AND(B25&lt;&gt;"", C25=TRUE, E25=Report!$B$1), B25, "")</f>
        <v/>
      </c>
      <c r="B25" s="203" t="str">
        <f>IF(OR(E25=Report!$B$1, F25=Report!$B$1, G25=Report!$B$1, H25=Report!$B$1), D25, "")</f>
        <v/>
      </c>
      <c r="C25" s="198" t="b">
        <f>IFERROR(__xludf.DUMMYFUNCTION("""COMPUTED_VALUE"""),FALSE)</f>
        <v>0</v>
      </c>
      <c r="D25" s="198" t="str">
        <f>IFERROR(__xludf.DUMMYFUNCTION("""COMPUTED_VALUE"""),"Mirga Simon")</f>
        <v>Mirga Simon</v>
      </c>
      <c r="E25" s="198" t="str">
        <f>IFERROR(__xludf.DUMMYFUNCTION("""COMPUTED_VALUE"""),"Malešice")</f>
        <v>Malešice</v>
      </c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201">
        <f>IFERROR(__xludf.DUMMYFUNCTION("""COMPUTED_VALUE"""),231.474)</f>
        <v>231.474</v>
      </c>
      <c r="W25" s="201">
        <f>IFERROR(__xludf.DUMMYFUNCTION("""COMPUTED_VALUE"""),0.0)</f>
        <v>0</v>
      </c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</row>
    <row r="26">
      <c r="A26" s="198" t="str">
        <f>IF(AND(B26&lt;&gt;"", C26=TRUE, E26=Report!$B$1), B26, "")</f>
        <v/>
      </c>
      <c r="B26" s="203" t="str">
        <f>IF(OR(E26=Report!$B$1, F26=Report!$B$1, G26=Report!$B$1, H26=Report!$B$1), D26, "")</f>
        <v/>
      </c>
      <c r="C26" s="198" t="b">
        <f>IFERROR(__xludf.DUMMYFUNCTION("""COMPUTED_VALUE"""),FALSE)</f>
        <v>0</v>
      </c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201">
        <f>IFERROR(__xludf.DUMMYFUNCTION("""COMPUTED_VALUE"""),0.0)</f>
        <v>0</v>
      </c>
      <c r="W26" s="201">
        <f>IFERROR(__xludf.DUMMYFUNCTION("""COMPUTED_VALUE"""),0.0)</f>
        <v>0</v>
      </c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</row>
    <row r="27">
      <c r="A27" s="198" t="str">
        <f>IF(AND(B27&lt;&gt;"", C27=TRUE, E27=Report!$B$1), B27, "")</f>
        <v/>
      </c>
      <c r="B27" s="203" t="str">
        <f>IF(OR(E27=Report!$B$1, F27=Report!$B$1, G27=Report!$B$1, H27=Report!$B$1), D27, "")</f>
        <v>Berdar Vasyl</v>
      </c>
      <c r="C27" s="198" t="b">
        <f>IFERROR(__xludf.DUMMYFUNCTION("""COMPUTED_VALUE"""),FALSE)</f>
        <v>0</v>
      </c>
      <c r="D27" s="198" t="str">
        <f>IFERROR(__xludf.DUMMYFUNCTION("""COMPUTED_VALUE"""),"Berdar Vasyl")</f>
        <v>Berdar Vasyl</v>
      </c>
      <c r="E27" s="198" t="str">
        <f>IFERROR(__xludf.DUMMYFUNCTION("""COMPUTED_VALUE"""),"Libuš")</f>
        <v>Libuš</v>
      </c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201">
        <f>IFERROR(__xludf.DUMMYFUNCTION("""COMPUTED_VALUE"""),286.332)</f>
        <v>286.332</v>
      </c>
      <c r="W27" s="201">
        <f>IFERROR(__xludf.DUMMYFUNCTION("""COMPUTED_VALUE"""),0.0)</f>
        <v>0</v>
      </c>
      <c r="X27" s="198"/>
      <c r="Y27" s="198"/>
      <c r="Z27" s="198"/>
      <c r="AA27" s="198"/>
      <c r="AB27" s="198"/>
      <c r="AC27" s="198"/>
      <c r="AD27" s="198"/>
      <c r="AE27" s="198"/>
      <c r="AF27" s="198"/>
      <c r="AG27" s="198"/>
      <c r="AH27" s="198"/>
      <c r="AI27" s="198"/>
      <c r="AJ27" s="198"/>
      <c r="AK27" s="198"/>
    </row>
    <row r="28">
      <c r="A28" s="198" t="str">
        <f>IF(AND(B28&lt;&gt;"", C28=TRUE, E28=Report!$B$1), B28, "")</f>
        <v/>
      </c>
      <c r="B28" s="203" t="str">
        <f>IF(OR(E28=Report!$B$1, F28=Report!$B$1, G28=Report!$B$1, H28=Report!$B$1), D28, "")</f>
        <v/>
      </c>
      <c r="C28" s="198" t="b">
        <f>IFERROR(__xludf.DUMMYFUNCTION("""COMPUTED_VALUE"""),FALSE)</f>
        <v>0</v>
      </c>
      <c r="D28" s="198" t="str">
        <f>IFERROR(__xludf.DUMMYFUNCTION("""COMPUTED_VALUE"""),"Yarushynskyi Vladyslav")</f>
        <v>Yarushynskyi Vladyslav</v>
      </c>
      <c r="E28" s="198" t="str">
        <f>IFERROR(__xludf.DUMMYFUNCTION("""COMPUTED_VALUE"""),"Malešice")</f>
        <v>Malešice</v>
      </c>
      <c r="F28" s="198" t="str">
        <f>IFERROR(__xludf.DUMMYFUNCTION("""COMPUTED_VALUE"""),"Chodov")</f>
        <v>Chodov</v>
      </c>
      <c r="G28" s="198" t="str">
        <f>IFERROR(__xludf.DUMMYFUNCTION("""COMPUTED_VALUE"""),"Zličín")</f>
        <v>Zličín</v>
      </c>
      <c r="H28" s="198" t="str">
        <f>IFERROR(__xludf.DUMMYFUNCTION("""COMPUTED_VALUE"""),"Prosek")</f>
        <v>Prosek</v>
      </c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201">
        <f>IFERROR(__xludf.DUMMYFUNCTION("""COMPUTED_VALUE"""),267.6)</f>
        <v>267.6</v>
      </c>
      <c r="W28" s="201">
        <f>IFERROR(__xludf.DUMMYFUNCTION("""COMPUTED_VALUE"""),0.0)</f>
        <v>0</v>
      </c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</row>
    <row r="29">
      <c r="A29" s="198" t="str">
        <f>IF(AND(B29&lt;&gt;"", C29=TRUE, E29=Report!$B$1), B29, "")</f>
        <v/>
      </c>
      <c r="B29" s="203" t="str">
        <f>IF(OR(E29=Report!$B$1, F29=Report!$B$1, G29=Report!$B$1, H29=Report!$B$1), D29, "")</f>
        <v/>
      </c>
      <c r="C29" s="198" t="b">
        <f>IFERROR(__xludf.DUMMYFUNCTION("""COMPUTED_VALUE"""),FALSE)</f>
        <v>0</v>
      </c>
      <c r="D29" s="198" t="str">
        <f>IFERROR(__xludf.DUMMYFUNCTION("""COMPUTED_VALUE"""),"Raboch Tomáš")</f>
        <v>Raboch Tomáš</v>
      </c>
      <c r="E29" s="198" t="str">
        <f>IFERROR(__xludf.DUMMYFUNCTION("""COMPUTED_VALUE"""),"Bolevec")</f>
        <v>Bolevec</v>
      </c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201">
        <f>IFERROR(__xludf.DUMMYFUNCTION("""COMPUTED_VALUE"""),250.20600000000002)</f>
        <v>250.206</v>
      </c>
      <c r="W29" s="201">
        <f>IFERROR(__xludf.DUMMYFUNCTION("""COMPUTED_VALUE"""),0.0)</f>
        <v>0</v>
      </c>
      <c r="X29" s="198"/>
      <c r="Y29" s="198"/>
      <c r="Z29" s="198"/>
      <c r="AA29" s="198"/>
      <c r="AB29" s="198"/>
      <c r="AC29" s="198"/>
      <c r="AD29" s="198"/>
      <c r="AE29" s="198"/>
      <c r="AF29" s="198"/>
      <c r="AG29" s="198"/>
      <c r="AH29" s="198"/>
      <c r="AI29" s="198"/>
      <c r="AJ29" s="198"/>
      <c r="AK29" s="198"/>
    </row>
    <row r="30">
      <c r="A30" s="198" t="str">
        <f>IF(AND(B30&lt;&gt;"", C30=TRUE, E30=Report!$B$1), B30, "")</f>
        <v/>
      </c>
      <c r="B30" s="203" t="str">
        <f>IF(OR(E30=Report!$B$1, F30=Report!$B$1, G30=Report!$B$1, H30=Report!$B$1), D30, "")</f>
        <v/>
      </c>
      <c r="C30" s="198" t="b">
        <f>IFERROR(__xludf.DUMMYFUNCTION("""COMPUTED_VALUE"""),FALSE)</f>
        <v>0</v>
      </c>
      <c r="D30" s="198" t="str">
        <f>IFERROR(__xludf.DUMMYFUNCTION("""COMPUTED_VALUE"""),"Židek Petr")</f>
        <v>Židek Petr</v>
      </c>
      <c r="E30" s="198" t="str">
        <f>IFERROR(__xludf.DUMMYFUNCTION("""COMPUTED_VALUE"""),"Chodov")</f>
        <v>Chodov</v>
      </c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201">
        <f>IFERROR(__xludf.DUMMYFUNCTION("""COMPUTED_VALUE"""),250.20600000000002)</f>
        <v>250.206</v>
      </c>
      <c r="W30" s="201">
        <f>IFERROR(__xludf.DUMMYFUNCTION("""COMPUTED_VALUE"""),0.0)</f>
        <v>0</v>
      </c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</row>
    <row r="31">
      <c r="A31" s="198" t="str">
        <f>IF(AND(B31&lt;&gt;"", C31=TRUE, E31=Report!$B$1), B31, "")</f>
        <v/>
      </c>
      <c r="B31" s="203" t="str">
        <f>IF(OR(E31=Report!$B$1, F31=Report!$B$1, G31=Report!$B$1, H31=Report!$B$1), D31, "")</f>
        <v>Gorol Patrik</v>
      </c>
      <c r="C31" s="198" t="b">
        <f>IFERROR(__xludf.DUMMYFUNCTION("""COMPUTED_VALUE"""),FALSE)</f>
        <v>0</v>
      </c>
      <c r="D31" s="198" t="str">
        <f>IFERROR(__xludf.DUMMYFUNCTION("""COMPUTED_VALUE"""),"Gorol Patrik")</f>
        <v>Gorol Patrik</v>
      </c>
      <c r="E31" s="198" t="str">
        <f>IFERROR(__xludf.DUMMYFUNCTION("""COMPUTED_VALUE"""),"Malešice")</f>
        <v>Malešice</v>
      </c>
      <c r="F31" s="198" t="str">
        <f>IFERROR(__xludf.DUMMYFUNCTION("""COMPUTED_VALUE"""),"Libuš")</f>
        <v>Libuš</v>
      </c>
      <c r="G31" s="198" t="str">
        <f>IFERROR(__xludf.DUMMYFUNCTION("""COMPUTED_VALUE"""),"Prosek")</f>
        <v>Prosek</v>
      </c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201">
        <f>IFERROR(__xludf.DUMMYFUNCTION("""COMPUTED_VALUE"""),231.474)</f>
        <v>231.474</v>
      </c>
      <c r="W31" s="201">
        <f>IFERROR(__xludf.DUMMYFUNCTION("""COMPUTED_VALUE"""),0.0)</f>
        <v>0</v>
      </c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/>
      <c r="AI31" s="198"/>
      <c r="AJ31" s="198"/>
      <c r="AK31" s="198"/>
    </row>
    <row r="32">
      <c r="A32" s="198" t="str">
        <f>IF(AND(B32&lt;&gt;"", C32=TRUE, E32=Report!$B$1), B32, "")</f>
        <v/>
      </c>
      <c r="B32" s="203" t="str">
        <f>IF(OR(E32=Report!$B$1, F32=Report!$B$1, G32=Report!$B$1, H32=Report!$B$1), D32, "")</f>
        <v/>
      </c>
      <c r="C32" s="198" t="b">
        <f>IFERROR(__xludf.DUMMYFUNCTION("""COMPUTED_VALUE"""),FALSE)</f>
        <v>0</v>
      </c>
      <c r="D32" s="198" t="str">
        <f>IFERROR(__xludf.DUMMYFUNCTION("""COMPUTED_VALUE"""),"Kratochvíl Kryštof")</f>
        <v>Kratochvíl Kryštof</v>
      </c>
      <c r="E32" s="198" t="str">
        <f>IFERROR(__xludf.DUMMYFUNCTION("""COMPUTED_VALUE"""),"Bolevec")</f>
        <v>Bolevec</v>
      </c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201">
        <f>IFERROR(__xludf.DUMMYFUNCTION("""COMPUTED_VALUE"""),267.6)</f>
        <v>267.6</v>
      </c>
      <c r="W32" s="201">
        <f>IFERROR(__xludf.DUMMYFUNCTION("""COMPUTED_VALUE"""),0.0)</f>
        <v>0</v>
      </c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</row>
    <row r="33">
      <c r="A33" s="198" t="str">
        <f>IF(AND(B33&lt;&gt;"", C33=TRUE, E33=Report!$B$1), B33, "")</f>
        <v/>
      </c>
      <c r="B33" s="203" t="str">
        <f>IF(OR(E33=Report!$B$1, F33=Report!$B$1, G33=Report!$B$1, H33=Report!$B$1), D33, "")</f>
        <v>Hegedüs Gergö</v>
      </c>
      <c r="C33" s="198" t="b">
        <f>IFERROR(__xludf.DUMMYFUNCTION("""COMPUTED_VALUE"""),FALSE)</f>
        <v>0</v>
      </c>
      <c r="D33" s="198" t="str">
        <f>IFERROR(__xludf.DUMMYFUNCTION("""COMPUTED_VALUE"""),"Hegedüs Gergö")</f>
        <v>Hegedüs Gergö</v>
      </c>
      <c r="E33" s="198" t="str">
        <f>IFERROR(__xludf.DUMMYFUNCTION("""COMPUTED_VALUE"""),"Libuš")</f>
        <v>Libuš</v>
      </c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201">
        <f>IFERROR(__xludf.DUMMYFUNCTION("""COMPUTED_VALUE"""),214.08)</f>
        <v>214.08</v>
      </c>
      <c r="W33" s="201">
        <f>IFERROR(__xludf.DUMMYFUNCTION("""COMPUTED_VALUE"""),0.0)</f>
        <v>0</v>
      </c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</row>
    <row r="34">
      <c r="A34" s="198" t="str">
        <f>IF(AND(B34&lt;&gt;"", C34=TRUE, E34=Report!$B$1), B34, "")</f>
        <v/>
      </c>
      <c r="B34" s="203" t="str">
        <f>IF(OR(E34=Report!$B$1, F34=Report!$B$1, G34=Report!$B$1, H34=Report!$B$1), D34, "")</f>
        <v>Barvínková Eliška</v>
      </c>
      <c r="C34" s="198" t="b">
        <f>IFERROR(__xludf.DUMMYFUNCTION("""COMPUTED_VALUE"""),FALSE)</f>
        <v>0</v>
      </c>
      <c r="D34" s="198" t="str">
        <f>IFERROR(__xludf.DUMMYFUNCTION("""COMPUTED_VALUE"""),"Barvínková Eliška")</f>
        <v>Barvínková Eliška</v>
      </c>
      <c r="E34" s="198" t="str">
        <f>IFERROR(__xludf.DUMMYFUNCTION("""COMPUTED_VALUE"""),"Libuš")</f>
        <v>Libuš</v>
      </c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201">
        <f>IFERROR(__xludf.DUMMYFUNCTION("""COMPUTED_VALUE"""),231.474)</f>
        <v>231.474</v>
      </c>
      <c r="W34" s="201">
        <f>IFERROR(__xludf.DUMMYFUNCTION("""COMPUTED_VALUE"""),0.0)</f>
        <v>0</v>
      </c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</row>
    <row r="35">
      <c r="A35" s="198" t="str">
        <f>IF(AND(B35&lt;&gt;"", C35=TRUE, E35=Report!$B$1), B35, "")</f>
        <v/>
      </c>
      <c r="B35" s="203" t="str">
        <f>IF(OR(E35=Report!$B$1, F35=Report!$B$1, G35=Report!$B$1, H35=Report!$B$1), D35, "")</f>
        <v/>
      </c>
      <c r="C35" s="198" t="b">
        <f>IFERROR(__xludf.DUMMYFUNCTION("""COMPUTED_VALUE"""),FALSE)</f>
        <v>0</v>
      </c>
      <c r="D35" s="198" t="str">
        <f>IFERROR(__xludf.DUMMYFUNCTION("""COMPUTED_VALUE"""),"Kursheva Diana")</f>
        <v>Kursheva Diana</v>
      </c>
      <c r="E35" s="198" t="str">
        <f>IFERROR(__xludf.DUMMYFUNCTION("""COMPUTED_VALUE"""),"Výroba")</f>
        <v>Výroba</v>
      </c>
      <c r="F35" s="198" t="str">
        <f>IFERROR(__xludf.DUMMYFUNCTION("""COMPUTED_VALUE"""),"Chodov")</f>
        <v>Chodov</v>
      </c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201">
        <f>IFERROR(__xludf.DUMMYFUNCTION("""COMPUTED_VALUE"""),250.20600000000002)</f>
        <v>250.206</v>
      </c>
      <c r="W35" s="201">
        <f>IFERROR(__xludf.DUMMYFUNCTION("""COMPUTED_VALUE"""),0.0)</f>
        <v>0</v>
      </c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</row>
    <row r="36">
      <c r="A36" s="198" t="str">
        <f>IF(AND(B36&lt;&gt;"", C36=TRUE, E36=Report!$B$1), B36, "")</f>
        <v/>
      </c>
      <c r="B36" s="203" t="str">
        <f>IF(OR(E36=Report!$B$1, F36=Report!$B$1, G36=Report!$B$1, H36=Report!$B$1), D36, "")</f>
        <v/>
      </c>
      <c r="C36" s="198" t="b">
        <f>IFERROR(__xludf.DUMMYFUNCTION("""COMPUTED_VALUE"""),FALSE)</f>
        <v>0</v>
      </c>
      <c r="D36" s="198" t="str">
        <f>IFERROR(__xludf.DUMMYFUNCTION("""COMPUTED_VALUE"""),"Tůma Vladimír")</f>
        <v>Tůma Vladimír</v>
      </c>
      <c r="E36" s="198" t="str">
        <f>IFERROR(__xludf.DUMMYFUNCTION("""COMPUTED_VALUE"""),"Bolevec")</f>
        <v>Bolevec</v>
      </c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201">
        <f>IFERROR(__xludf.DUMMYFUNCTION("""COMPUTED_VALUE"""),250.20600000000002)</f>
        <v>250.206</v>
      </c>
      <c r="W36" s="201">
        <f>IFERROR(__xludf.DUMMYFUNCTION("""COMPUTED_VALUE"""),0.0)</f>
        <v>0</v>
      </c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</row>
    <row r="37">
      <c r="A37" s="198" t="str">
        <f>IF(AND(B37&lt;&gt;"", C37=TRUE, E37=Report!$B$1), B37, "")</f>
        <v/>
      </c>
      <c r="B37" s="203" t="str">
        <f>IF(OR(E37=Report!$B$1, F37=Report!$B$1, G37=Report!$B$1, H37=Report!$B$1), D37, "")</f>
        <v>Kubík Martin</v>
      </c>
      <c r="C37" s="198" t="b">
        <f>IFERROR(__xludf.DUMMYFUNCTION("""COMPUTED_VALUE"""),FALSE)</f>
        <v>0</v>
      </c>
      <c r="D37" s="198" t="str">
        <f>IFERROR(__xludf.DUMMYFUNCTION("""COMPUTED_VALUE"""),"Kubík Martin")</f>
        <v>Kubík Martin</v>
      </c>
      <c r="E37" s="198" t="str">
        <f>IFERROR(__xludf.DUMMYFUNCTION("""COMPUTED_VALUE"""),"Libuš")</f>
        <v>Libuš</v>
      </c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201">
        <f>IFERROR(__xludf.DUMMYFUNCTION("""COMPUTED_VALUE"""),250.20600000000002)</f>
        <v>250.206</v>
      </c>
      <c r="W37" s="201">
        <f>IFERROR(__xludf.DUMMYFUNCTION("""COMPUTED_VALUE"""),0.0)</f>
        <v>0</v>
      </c>
      <c r="X37" s="198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</row>
    <row r="38">
      <c r="A38" s="198" t="str">
        <f>IF(AND(B38&lt;&gt;"", C38=TRUE, E38=Report!$B$1), B38, "")</f>
        <v/>
      </c>
      <c r="B38" s="203" t="str">
        <f>IF(OR(E38=Report!$B$1, F38=Report!$B$1, G38=Report!$B$1, H38=Report!$B$1), D38, "")</f>
        <v/>
      </c>
      <c r="C38" s="198" t="b">
        <f>IFERROR(__xludf.DUMMYFUNCTION("""COMPUTED_VALUE"""),FALSE)</f>
        <v>0</v>
      </c>
      <c r="D38" s="198" t="str">
        <f>IFERROR(__xludf.DUMMYFUNCTION("""COMPUTED_VALUE"""),"Putna Jaroslav")</f>
        <v>Putna Jaroslav</v>
      </c>
      <c r="E38" s="198" t="str">
        <f>IFERROR(__xludf.DUMMYFUNCTION("""COMPUTED_VALUE"""),"Zličín")</f>
        <v>Zličín</v>
      </c>
      <c r="F38" s="198" t="str">
        <f>IFERROR(__xludf.DUMMYFUNCTION("""COMPUTED_VALUE"""),"Prosek")</f>
        <v>Prosek</v>
      </c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201">
        <f>IFERROR(__xludf.DUMMYFUNCTION("""COMPUTED_VALUE"""),250.20600000000002)</f>
        <v>250.206</v>
      </c>
      <c r="W38" s="201">
        <f>IFERROR(__xludf.DUMMYFUNCTION("""COMPUTED_VALUE"""),0.0)</f>
        <v>0</v>
      </c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</row>
    <row r="39">
      <c r="A39" s="198" t="str">
        <f>IF(AND(B39&lt;&gt;"", C39=TRUE, E39=Report!$B$1), B39, "")</f>
        <v/>
      </c>
      <c r="B39" s="203" t="str">
        <f>IF(OR(E39=Report!$B$1, F39=Report!$B$1, G39=Report!$B$1, H39=Report!$B$1), D39, "")</f>
        <v>Kopic Jakub</v>
      </c>
      <c r="C39" s="198" t="b">
        <f>IFERROR(__xludf.DUMMYFUNCTION("""COMPUTED_VALUE"""),FALSE)</f>
        <v>0</v>
      </c>
      <c r="D39" s="198" t="str">
        <f>IFERROR(__xludf.DUMMYFUNCTION("""COMPUTED_VALUE"""),"Kopic Jakub")</f>
        <v>Kopic Jakub</v>
      </c>
      <c r="E39" s="198" t="str">
        <f>IFERROR(__xludf.DUMMYFUNCTION("""COMPUTED_VALUE"""),"Malešice")</f>
        <v>Malešice</v>
      </c>
      <c r="F39" s="198" t="str">
        <f>IFERROR(__xludf.DUMMYFUNCTION("""COMPUTED_VALUE"""),"Prosek")</f>
        <v>Prosek</v>
      </c>
      <c r="G39" s="198" t="str">
        <f>IFERROR(__xludf.DUMMYFUNCTION("""COMPUTED_VALUE"""),"Libuš")</f>
        <v>Libuš</v>
      </c>
      <c r="H39" s="198" t="str">
        <f>IFERROR(__xludf.DUMMYFUNCTION("""COMPUTED_VALUE"""),"Prosek")</f>
        <v>Prosek</v>
      </c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201">
        <f>IFERROR(__xludf.DUMMYFUNCTION("""COMPUTED_VALUE"""),250.20600000000002)</f>
        <v>250.206</v>
      </c>
      <c r="W39" s="201">
        <f>IFERROR(__xludf.DUMMYFUNCTION("""COMPUTED_VALUE"""),0.0)</f>
        <v>0</v>
      </c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</row>
    <row r="40">
      <c r="A40" s="198" t="str">
        <f>IF(AND(B40&lt;&gt;"", C40=TRUE, E40=Report!$B$1), B40, "")</f>
        <v/>
      </c>
      <c r="B40" s="203" t="str">
        <f>IF(OR(E40=Report!$B$1, F40=Report!$B$1, G40=Report!$B$1, H40=Report!$B$1), D40, "")</f>
        <v/>
      </c>
      <c r="C40" s="198" t="b">
        <f>IFERROR(__xludf.DUMMYFUNCTION("""COMPUTED_VALUE"""),FALSE)</f>
        <v>0</v>
      </c>
      <c r="D40" s="198" t="str">
        <f>IFERROR(__xludf.DUMMYFUNCTION("""COMPUTED_VALUE"""),"Fáberová Kateřina")</f>
        <v>Fáberová Kateřina</v>
      </c>
      <c r="E40" s="198" t="str">
        <f>IFERROR(__xludf.DUMMYFUNCTION("""COMPUTED_VALUE"""),"Prosek")</f>
        <v>Prosek</v>
      </c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201">
        <f>IFERROR(__xludf.DUMMYFUNCTION("""COMPUTED_VALUE"""),250.20600000000002)</f>
        <v>250.206</v>
      </c>
      <c r="W40" s="201">
        <f>IFERROR(__xludf.DUMMYFUNCTION("""COMPUTED_VALUE"""),0.0)</f>
        <v>0</v>
      </c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</row>
    <row r="41">
      <c r="A41" s="198" t="str">
        <f>IF(AND(B41&lt;&gt;"", C41=TRUE, E41=Report!$B$1), B41, "")</f>
        <v/>
      </c>
      <c r="B41" s="203" t="str">
        <f>IF(OR(E41=Report!$B$1, F41=Report!$B$1, G41=Report!$B$1, H41=Report!$B$1), D41, "")</f>
        <v/>
      </c>
      <c r="C41" s="198" t="b">
        <f>IFERROR(__xludf.DUMMYFUNCTION("""COMPUTED_VALUE"""),FALSE)</f>
        <v>0</v>
      </c>
      <c r="D41" s="198" t="str">
        <f>IFERROR(__xludf.DUMMYFUNCTION("""COMPUTED_VALUE"""),"Chlubnová Adéla")</f>
        <v>Chlubnová Adéla</v>
      </c>
      <c r="E41" s="198" t="str">
        <f>IFERROR(__xludf.DUMMYFUNCTION("""COMPUTED_VALUE"""),"Chodov")</f>
        <v>Chodov</v>
      </c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201">
        <f>IFERROR(__xludf.DUMMYFUNCTION("""COMPUTED_VALUE"""),250.20600000000002)</f>
        <v>250.206</v>
      </c>
      <c r="W41" s="201">
        <f>IFERROR(__xludf.DUMMYFUNCTION("""COMPUTED_VALUE"""),0.0)</f>
        <v>0</v>
      </c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</row>
    <row r="42">
      <c r="A42" s="198" t="str">
        <f>IF(AND(B42&lt;&gt;"", C42=TRUE, E42=Report!$B$1), B42, "")</f>
        <v/>
      </c>
      <c r="B42" s="203" t="str">
        <f>IF(OR(E42=Report!$B$1, F42=Report!$B$1, G42=Report!$B$1, H42=Report!$B$1), D42, "")</f>
        <v/>
      </c>
      <c r="C42" s="198" t="b">
        <f>IFERROR(__xludf.DUMMYFUNCTION("""COMPUTED_VALUE"""),FALSE)</f>
        <v>0</v>
      </c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201">
        <f>IFERROR(__xludf.DUMMYFUNCTION("""COMPUTED_VALUE"""),0.0)</f>
        <v>0</v>
      </c>
      <c r="W42" s="201">
        <f>IFERROR(__xludf.DUMMYFUNCTION("""COMPUTED_VALUE"""),0.0)</f>
        <v>0</v>
      </c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</row>
    <row r="43">
      <c r="A43" s="198" t="str">
        <f>IF(AND(B43&lt;&gt;"", C43=TRUE, E43=Report!$B$1), B43, "")</f>
        <v/>
      </c>
      <c r="B43" s="203" t="str">
        <f>IF(OR(E43=Report!$B$1, F43=Report!$B$1, G43=Report!$B$1, H43=Report!$B$1), D43, "")</f>
        <v/>
      </c>
      <c r="C43" s="198" t="b">
        <f>IFERROR(__xludf.DUMMYFUNCTION("""COMPUTED_VALUE"""),FALSE)</f>
        <v>0</v>
      </c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201">
        <f>IFERROR(__xludf.DUMMYFUNCTION("""COMPUTED_VALUE"""),0.0)</f>
        <v>0</v>
      </c>
      <c r="W43" s="201">
        <f>IFERROR(__xludf.DUMMYFUNCTION("""COMPUTED_VALUE"""),0.0)</f>
        <v>0</v>
      </c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/>
      <c r="AI43" s="198"/>
      <c r="AJ43" s="198"/>
      <c r="AK43" s="198"/>
    </row>
    <row r="44">
      <c r="A44" s="198"/>
      <c r="B44" s="204" t="str">
        <f>IF(OR(E44=Report!$B$1, F44=Report!$B$1, G44=Report!$B$1, H44=Report!$B$1), D44, "")</f>
        <v/>
      </c>
      <c r="C44" s="198" t="b">
        <f>IFERROR(__xludf.DUMMYFUNCTION("""COMPUTED_VALUE"""),FALSE)</f>
        <v>0</v>
      </c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201">
        <f>IFERROR(__xludf.DUMMYFUNCTION("""COMPUTED_VALUE"""),0.0)</f>
        <v>0</v>
      </c>
      <c r="W44" s="201">
        <f>IFERROR(__xludf.DUMMYFUNCTION("""COMPUTED_VALUE"""),0.0)</f>
        <v>0</v>
      </c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</row>
    <row r="45">
      <c r="A45" s="198"/>
      <c r="B45" s="204" t="str">
        <f>IF(OR(E45=Report!$B$1, F45=Report!$B$1, G45=Report!$B$1, H45=Report!$B$1), D45, "")</f>
        <v/>
      </c>
      <c r="C45" s="198" t="b">
        <f>IFERROR(__xludf.DUMMYFUNCTION("""COMPUTED_VALUE"""),FALSE)</f>
        <v>0</v>
      </c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201">
        <f>IFERROR(__xludf.DUMMYFUNCTION("""COMPUTED_VALUE"""),0.0)</f>
        <v>0</v>
      </c>
      <c r="W45" s="201">
        <f>IFERROR(__xludf.DUMMYFUNCTION("""COMPUTED_VALUE"""),0.0)</f>
        <v>0</v>
      </c>
      <c r="X45" s="198"/>
      <c r="Y45" s="198"/>
      <c r="Z45" s="198"/>
      <c r="AA45" s="198"/>
      <c r="AB45" s="198"/>
      <c r="AC45" s="198"/>
      <c r="AD45" s="198"/>
      <c r="AE45" s="198"/>
      <c r="AF45" s="198"/>
      <c r="AG45" s="198"/>
      <c r="AH45" s="198"/>
      <c r="AI45" s="198"/>
      <c r="AJ45" s="198"/>
      <c r="AK45" s="198"/>
    </row>
    <row r="46">
      <c r="A46" s="198"/>
      <c r="B46" s="204" t="str">
        <f>IF(OR(E46=Report!$B$1, F46=Report!$B$1, G46=Report!$B$1, H46=Report!$B$1), D46, "")</f>
        <v/>
      </c>
      <c r="C46" s="198" t="b">
        <f>IFERROR(__xludf.DUMMYFUNCTION("""COMPUTED_VALUE"""),FALSE)</f>
        <v>0</v>
      </c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201">
        <f>IFERROR(__xludf.DUMMYFUNCTION("""COMPUTED_VALUE"""),0.0)</f>
        <v>0</v>
      </c>
      <c r="W46" s="201">
        <f>IFERROR(__xludf.DUMMYFUNCTION("""COMPUTED_VALUE"""),0.0)</f>
        <v>0</v>
      </c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</row>
    <row r="47">
      <c r="A47" s="198"/>
      <c r="B47" s="204" t="str">
        <f>IF(OR(E47=Report!$B$1, F47=Report!$B$1, G47=Report!$B$1, H47=Report!$B$1), D47, "")</f>
        <v/>
      </c>
      <c r="C47" s="198" t="b">
        <f>IFERROR(__xludf.DUMMYFUNCTION("""COMPUTED_VALUE"""),FALSE)</f>
        <v>0</v>
      </c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201">
        <f>IFERROR(__xludf.DUMMYFUNCTION("""COMPUTED_VALUE"""),0.0)</f>
        <v>0</v>
      </c>
      <c r="W47" s="201">
        <f>IFERROR(__xludf.DUMMYFUNCTION("""COMPUTED_VALUE"""),0.0)</f>
        <v>0</v>
      </c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</row>
    <row r="48">
      <c r="A48" s="198"/>
      <c r="B48" s="204" t="str">
        <f>IF(OR(E48=Report!$B$1, F48=Report!$B$1, G48=Report!$B$1, H48=Report!$B$1), D48, "")</f>
        <v/>
      </c>
      <c r="C48" s="198" t="b">
        <f>IFERROR(__xludf.DUMMYFUNCTION("""COMPUTED_VALUE"""),FALSE)</f>
        <v>0</v>
      </c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201">
        <f>IFERROR(__xludf.DUMMYFUNCTION("""COMPUTED_VALUE"""),0.0)</f>
        <v>0</v>
      </c>
      <c r="W48" s="201">
        <f>IFERROR(__xludf.DUMMYFUNCTION("""COMPUTED_VALUE"""),0.0)</f>
        <v>0</v>
      </c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</row>
    <row r="49">
      <c r="A49" s="198"/>
      <c r="B49" s="204" t="str">
        <f>IF(OR(E49=Report!$B$1, F49=Report!$B$1, G49=Report!$B$1, H49=Report!$B$1), D49, "")</f>
        <v/>
      </c>
      <c r="C49" s="198" t="b">
        <f>IFERROR(__xludf.DUMMYFUNCTION("""COMPUTED_VALUE"""),FALSE)</f>
        <v>0</v>
      </c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201">
        <f>IFERROR(__xludf.DUMMYFUNCTION("""COMPUTED_VALUE"""),0.0)</f>
        <v>0</v>
      </c>
      <c r="W49" s="201">
        <f>IFERROR(__xludf.DUMMYFUNCTION("""COMPUTED_VALUE"""),0.0)</f>
        <v>0</v>
      </c>
      <c r="X49" s="198"/>
      <c r="Y49" s="198"/>
      <c r="Z49" s="198"/>
      <c r="AA49" s="198"/>
      <c r="AB49" s="198"/>
      <c r="AC49" s="198"/>
      <c r="AD49" s="198"/>
      <c r="AE49" s="198"/>
      <c r="AF49" s="198"/>
      <c r="AG49" s="198"/>
      <c r="AH49" s="198"/>
      <c r="AI49" s="198"/>
      <c r="AJ49" s="198"/>
      <c r="AK49" s="198"/>
    </row>
    <row r="50">
      <c r="A50" s="198"/>
      <c r="B50" s="204" t="str">
        <f>IF(OR(E50=Report!$B$1, F50=Report!$B$1, G50=Report!$B$1, H50=Report!$B$1), D50, "")</f>
        <v/>
      </c>
      <c r="C50" s="198" t="b">
        <f>IFERROR(__xludf.DUMMYFUNCTION("""COMPUTED_VALUE"""),FALSE)</f>
        <v>0</v>
      </c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201">
        <f>IFERROR(__xludf.DUMMYFUNCTION("""COMPUTED_VALUE"""),0.0)</f>
        <v>0</v>
      </c>
      <c r="W50" s="201">
        <f>IFERROR(__xludf.DUMMYFUNCTION("""COMPUTED_VALUE"""),0.0)</f>
        <v>0</v>
      </c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</row>
    <row r="51">
      <c r="A51" s="198"/>
      <c r="B51" s="204" t="str">
        <f>IF(OR(E51=Report!$B$1, F51=Report!$B$1, G51=Report!$B$1, H51=Report!$B$1), D51, "")</f>
        <v/>
      </c>
      <c r="C51" s="198" t="b">
        <f>IFERROR(__xludf.DUMMYFUNCTION("""COMPUTED_VALUE"""),FALSE)</f>
        <v>0</v>
      </c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201">
        <f>IFERROR(__xludf.DUMMYFUNCTION("""COMPUTED_VALUE"""),0.0)</f>
        <v>0</v>
      </c>
      <c r="W51" s="201">
        <f>IFERROR(__xludf.DUMMYFUNCTION("""COMPUTED_VALUE"""),0.0)</f>
        <v>0</v>
      </c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</row>
    <row r="52">
      <c r="A52" s="198"/>
      <c r="B52" s="204" t="str">
        <f>IF(OR(E52=Report!$B$1, F52=Report!$B$1, G52=Report!$B$1, H52=Report!$B$1), D52, "")</f>
        <v/>
      </c>
      <c r="C52" s="198" t="b">
        <f>IFERROR(__xludf.DUMMYFUNCTION("""COMPUTED_VALUE"""),FALSE)</f>
        <v>0</v>
      </c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201">
        <f>IFERROR(__xludf.DUMMYFUNCTION("""COMPUTED_VALUE"""),0.0)</f>
        <v>0</v>
      </c>
      <c r="W52" s="201">
        <f>IFERROR(__xludf.DUMMYFUNCTION("""COMPUTED_VALUE"""),0.0)</f>
        <v>0</v>
      </c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</row>
    <row r="53">
      <c r="A53" s="198"/>
      <c r="B53" s="204" t="str">
        <f>IF(OR(E53=Report!$B$1, F53=Report!$B$1, G53=Report!$B$1, H53=Report!$B$1), D53, "")</f>
        <v/>
      </c>
      <c r="C53" s="198" t="b">
        <f>IFERROR(__xludf.DUMMYFUNCTION("""COMPUTED_VALUE"""),FALSE)</f>
        <v>0</v>
      </c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201">
        <f>IFERROR(__xludf.DUMMYFUNCTION("""COMPUTED_VALUE"""),0.0)</f>
        <v>0</v>
      </c>
      <c r="W53" s="201">
        <f>IFERROR(__xludf.DUMMYFUNCTION("""COMPUTED_VALUE"""),0.0)</f>
        <v>0</v>
      </c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</row>
    <row r="54">
      <c r="A54" s="198"/>
      <c r="B54" s="204" t="str">
        <f>IF(OR(E54=Report!$B$1, F54=Report!$B$1, G54=Report!$B$1, H54=Report!$B$1), D54, "")</f>
        <v/>
      </c>
      <c r="C54" s="198" t="b">
        <f>IFERROR(__xludf.DUMMYFUNCTION("""COMPUTED_VALUE"""),FALSE)</f>
        <v>0</v>
      </c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201">
        <f>IFERROR(__xludf.DUMMYFUNCTION("""COMPUTED_VALUE"""),0.0)</f>
        <v>0</v>
      </c>
      <c r="W54" s="201">
        <f>IFERROR(__xludf.DUMMYFUNCTION("""COMPUTED_VALUE"""),0.0)</f>
        <v>0</v>
      </c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</row>
    <row r="55">
      <c r="A55" s="198"/>
      <c r="B55" s="204" t="str">
        <f>IF(OR(E55=Report!$B$1, F55=Report!$B$1, G55=Report!$B$1, H55=Report!$B$1), D55, "")</f>
        <v/>
      </c>
      <c r="C55" s="198" t="b">
        <f>IFERROR(__xludf.DUMMYFUNCTION("""COMPUTED_VALUE"""),FALSE)</f>
        <v>0</v>
      </c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201">
        <f>IFERROR(__xludf.DUMMYFUNCTION("""COMPUTED_VALUE"""),0.0)</f>
        <v>0</v>
      </c>
      <c r="W55" s="201">
        <f>IFERROR(__xludf.DUMMYFUNCTION("""COMPUTED_VALUE"""),0.0)</f>
        <v>0</v>
      </c>
      <c r="X55" s="198"/>
      <c r="Y55" s="198"/>
      <c r="Z55" s="198"/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</row>
    <row r="56">
      <c r="A56" s="198"/>
      <c r="B56" s="204" t="str">
        <f>IF(OR(E56=Report!$B$1, F56=Report!$B$1, G56=Report!$B$1, H56=Report!$B$1), D56, "")</f>
        <v/>
      </c>
      <c r="C56" s="198" t="b">
        <f>IFERROR(__xludf.DUMMYFUNCTION("""COMPUTED_VALUE"""),FALSE)</f>
        <v>0</v>
      </c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201">
        <f>IFERROR(__xludf.DUMMYFUNCTION("""COMPUTED_VALUE"""),250.20600000000002)</f>
        <v>250.206</v>
      </c>
      <c r="W56" s="201">
        <f>IFERROR(__xludf.DUMMYFUNCTION("""COMPUTED_VALUE"""),0.0)</f>
        <v>0</v>
      </c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</row>
    <row r="57">
      <c r="A57" s="198"/>
      <c r="B57" s="204" t="str">
        <f>IF(OR(E57=Report!$B$1, F57=Report!$B$1, G57=Report!$B$1, H57=Report!$B$1), D57, "")</f>
        <v/>
      </c>
      <c r="C57" s="198" t="b">
        <f>IFERROR(__xludf.DUMMYFUNCTION("""COMPUTED_VALUE"""),FALSE)</f>
        <v>0</v>
      </c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201">
        <f>IFERROR(__xludf.DUMMYFUNCTION("""COMPUTED_VALUE"""),0.0)</f>
        <v>0</v>
      </c>
      <c r="W57" s="201">
        <f>IFERROR(__xludf.DUMMYFUNCTION("""COMPUTED_VALUE"""),0.0)</f>
        <v>0</v>
      </c>
      <c r="X57" s="198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</row>
    <row r="58">
      <c r="A58" s="198"/>
      <c r="B58" s="204" t="str">
        <f>IF(OR(E58=Report!$B$1, F58=Report!$B$1, G58=Report!$B$1, H58=Report!$B$1), D58, "")</f>
        <v/>
      </c>
      <c r="C58" s="198"/>
      <c r="D58" s="198" t="str">
        <f>IFERROR(__xludf.DUMMYFUNCTION("""COMPUTED_VALUE"""),"End")</f>
        <v>End</v>
      </c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201">
        <f>IFERROR(__xludf.DUMMYFUNCTION("""COMPUTED_VALUE"""),0.0)</f>
        <v>0</v>
      </c>
      <c r="W58" s="201">
        <f>IFERROR(__xludf.DUMMYFUNCTION("""COMPUTED_VALUE"""),0.0)</f>
        <v>0</v>
      </c>
      <c r="X58" s="198"/>
      <c r="Y58" s="198"/>
      <c r="Z58" s="198"/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</row>
    <row r="59">
      <c r="A59" s="198"/>
      <c r="B59" s="204" t="str">
        <f>IF(OR(E59=Report!$B$1, F59=Report!$B$1, G59=Report!$B$1, H59=Report!$B$1), D59, "")</f>
        <v/>
      </c>
      <c r="C59" s="198"/>
      <c r="D59" s="198" t="str">
        <f>IFERROR(__xludf.DUMMYFUNCTION("""COMPUTED_VALUE"""),"Suma instor")</f>
        <v>Suma instor</v>
      </c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01"/>
      <c r="X59" s="198"/>
      <c r="Y59" s="198"/>
      <c r="Z59" s="198"/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</row>
    <row r="60">
      <c r="A60" s="198"/>
      <c r="B60" s="204" t="str">
        <f>IF(OR(E60=Report!$B$1, F60=Report!$B$1, G60=Report!$B$1, H60=Report!$B$1), D60, "")</f>
        <v/>
      </c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201"/>
      <c r="X60" s="198"/>
      <c r="Y60" s="198"/>
      <c r="Z60" s="198"/>
      <c r="AA60" s="198"/>
      <c r="AB60" s="198"/>
      <c r="AC60" s="198"/>
      <c r="AD60" s="198"/>
      <c r="AE60" s="198"/>
      <c r="AF60" s="198"/>
      <c r="AG60" s="198"/>
      <c r="AH60" s="198"/>
      <c r="AI60" s="198"/>
      <c r="AJ60" s="198"/>
      <c r="AK60" s="198"/>
    </row>
    <row r="61">
      <c r="A61" s="198"/>
      <c r="B61" s="203" t="str">
        <f>IF(OR(E61=Report!$B$1, F61=Report!$B$1, G61=Report!$B$1, H61=Report!$B$1), D61, "")</f>
        <v/>
      </c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201"/>
      <c r="X61" s="198"/>
      <c r="Y61" s="198"/>
      <c r="Z61" s="198"/>
      <c r="AA61" s="198"/>
      <c r="AB61" s="198"/>
      <c r="AC61" s="198"/>
      <c r="AD61" s="198"/>
      <c r="AE61" s="198"/>
      <c r="AF61" s="198"/>
      <c r="AG61" s="198"/>
      <c r="AH61" s="198"/>
      <c r="AI61" s="198"/>
      <c r="AJ61" s="198"/>
      <c r="AK61" s="198"/>
    </row>
    <row r="62">
      <c r="A62" s="198"/>
      <c r="B62" s="203" t="str">
        <f>IF(OR(E62=Report!$B$1, F62=Report!$B$1, G62=Report!$B$1, H62=Report!$B$1), D62, "")</f>
        <v/>
      </c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01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</row>
    <row r="63">
      <c r="A63" s="198"/>
      <c r="B63" s="203" t="str">
        <f>IF(OR(E63=Report!$B$1, F63=Report!$B$1, G63=Report!$B$1, H63=Report!$B$1), D63, "")</f>
        <v/>
      </c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201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</row>
    <row r="64">
      <c r="A64" s="198"/>
      <c r="B64" s="203" t="str">
        <f>IF(OR(E64=Report!$B$1, F64=Report!$B$1, G64=Report!$B$1, H64=Report!$B$1), D64, "")</f>
        <v/>
      </c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201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</row>
    <row r="65">
      <c r="A65" s="198"/>
      <c r="B65" s="203" t="str">
        <f>IF(OR(E65=Report!$B$1, F65=Report!$B$1, G65=Report!$B$1, H65=Report!$B$1), D65, "")</f>
        <v/>
      </c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201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</row>
    <row r="66">
      <c r="A66" s="198"/>
      <c r="B66" s="203" t="str">
        <f>IF(OR(E66=Report!$B$1, F66=Report!$B$1, G66=Report!$B$1, H66=Report!$B$1), D66, "")</f>
        <v/>
      </c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201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</row>
    <row r="67">
      <c r="A67" s="198"/>
      <c r="B67" s="203" t="str">
        <f>IF(OR(E67=Report!$B$1, F67=Report!$B$1, G67=Report!$B$1, H67=Report!$B$1), D67, "")</f>
        <v/>
      </c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201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</row>
    <row r="68">
      <c r="A68" s="198"/>
      <c r="B68" s="203" t="str">
        <f>IF(OR(E68=Report!$B$1, F68=Report!$B$1, G68=Report!$B$1, H68=Report!$B$1), D68, "")</f>
        <v/>
      </c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201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</row>
    <row r="69">
      <c r="A69" s="198"/>
      <c r="B69" s="203" t="str">
        <f>IF(OR(E69=Report!$B$1, F69=Report!$B$1, G69=Report!$B$1, H69=Report!$B$1), D69, "")</f>
        <v/>
      </c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201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</row>
    <row r="70">
      <c r="A70" s="198"/>
      <c r="B70" s="203" t="str">
        <f>IF(OR(E70=Report!$B$1, F70=Report!$B$1, G70=Report!$B$1, H70=Report!$B$1), D70, "")</f>
        <v/>
      </c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201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</row>
    <row r="71">
      <c r="A71" s="198"/>
      <c r="B71" s="203" t="str">
        <f>IF(OR(E71=Report!$B$1, F71=Report!$B$1, G71=Report!$B$1, H71=Report!$B$1), D71, "")</f>
        <v/>
      </c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201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</row>
    <row r="72">
      <c r="A72" s="198"/>
      <c r="B72" s="203" t="str">
        <f>IF(OR(E72=Report!$B$1, F72=Report!$B$1, G72=Report!$B$1, H72=Report!$B$1), D72, "")</f>
        <v/>
      </c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201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</row>
    <row r="73">
      <c r="A73" s="198"/>
      <c r="B73" s="203" t="str">
        <f>IF(OR(E73=Report!$B$1, F73=Report!$B$1, G73=Report!$B$1, H73=Report!$B$1), D73, "")</f>
        <v/>
      </c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201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</row>
    <row r="74">
      <c r="A74" s="198"/>
      <c r="B74" s="203" t="str">
        <f>IF(OR(E74=Report!$B$1, F74=Report!$B$1, G74=Report!$B$1, H74=Report!$B$1), D74, "")</f>
        <v/>
      </c>
      <c r="C74" s="198" t="str">
        <f>IFERROR(__xludf.DUMMYFUNCTION("""COMPUTED_VALUE"""),"Manažer")</f>
        <v>Manažer</v>
      </c>
      <c r="D74" s="198" t="str">
        <f>IFERROR(__xludf.DUMMYFUNCTION("""COMPUTED_VALUE"""),"Kurýr")</f>
        <v>Kurýr</v>
      </c>
      <c r="E74" s="198" t="str">
        <f>IFERROR(__xludf.DUMMYFUNCTION("""COMPUTED_VALUE"""),"První domácí,          Pobočky max 4    ")</f>
        <v>První domácí,          Pobočky max 4    </v>
      </c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 t="str">
        <f>IFERROR(__xludf.DUMMYFUNCTION("""COMPUTED_VALUE"""),"Sp.hr. / h")</f>
        <v>Sp.hr. / h</v>
      </c>
      <c r="W74" s="201" t="str">
        <f>IFERROR(__xludf.DUMMYFUNCTION("""COMPUTED_VALUE"""),"Sp.hr. / den")</f>
        <v>Sp.hr. / den</v>
      </c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</row>
    <row r="75">
      <c r="A75" s="198"/>
      <c r="B75" s="203" t="str">
        <f>IF(OR(E75=Report!$B$1, F75=Report!$B$1, G75=Report!$B$1, H75=Report!$B$1), D75, "")</f>
        <v>Jurkovič Martin</v>
      </c>
      <c r="C75" s="198" t="b">
        <f>IFERROR(__xludf.DUMMYFUNCTION("""COMPUTED_VALUE"""),FALSE)</f>
        <v>0</v>
      </c>
      <c r="D75" s="198" t="str">
        <f>IFERROR(__xludf.DUMMYFUNCTION("""COMPUTED_VALUE"""),"Jurkovič Martin")</f>
        <v>Jurkovič Martin</v>
      </c>
      <c r="E75" s="198" t="str">
        <f>IFERROR(__xludf.DUMMYFUNCTION("""COMPUTED_VALUE"""),"Libuš")</f>
        <v>Libuš</v>
      </c>
      <c r="F75" s="198" t="str">
        <f>IFERROR(__xludf.DUMMYFUNCTION("""COMPUTED_VALUE"""),"Chodov")</f>
        <v>Chodov</v>
      </c>
      <c r="G75" s="198" t="str">
        <f>IFERROR(__xludf.DUMMYFUNCTION("""COMPUTED_VALUE"""),"Malešice")</f>
        <v>Malešice</v>
      </c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201">
        <f>IFERROR(__xludf.DUMMYFUNCTION("""COMPUTED_VALUE"""),150.0)</f>
        <v>150</v>
      </c>
      <c r="W75" s="201">
        <f>IFERROR(__xludf.DUMMYFUNCTION("""COMPUTED_VALUE"""),0.0)</f>
        <v>0</v>
      </c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</row>
    <row r="76">
      <c r="A76" s="198"/>
      <c r="B76" s="203" t="str">
        <f>IF(OR(E76=Report!$B$1, F76=Report!$B$1, G76=Report!$B$1, H76=Report!$B$1), D76, "")</f>
        <v/>
      </c>
      <c r="C76" s="198" t="b">
        <f>IFERROR(__xludf.DUMMYFUNCTION("""COMPUTED_VALUE"""),FALSE)</f>
        <v>0</v>
      </c>
      <c r="D76" s="198" t="str">
        <f>IFERROR(__xludf.DUMMYFUNCTION("""COMPUTED_VALUE"""),"Navrátil Ondřej")</f>
        <v>Navrátil Ondřej</v>
      </c>
      <c r="E76" s="198" t="str">
        <f>IFERROR(__xludf.DUMMYFUNCTION("""COMPUTED_VALUE"""),"Chodov")</f>
        <v>Chodov</v>
      </c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201">
        <f>IFERROR(__xludf.DUMMYFUNCTION("""COMPUTED_VALUE"""),267.6)</f>
        <v>267.6</v>
      </c>
      <c r="W76" s="201">
        <f>IFERROR(__xludf.DUMMYFUNCTION("""COMPUTED_VALUE"""),0.0)</f>
        <v>0</v>
      </c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</row>
    <row r="77">
      <c r="A77" s="198"/>
      <c r="B77" s="203" t="str">
        <f>IF(OR(E77=Report!$B$1, F77=Report!$B$1, G77=Report!$B$1, H77=Report!$B$1), D77, "")</f>
        <v/>
      </c>
      <c r="C77" s="198" t="b">
        <f>IFERROR(__xludf.DUMMYFUNCTION("""COMPUTED_VALUE"""),FALSE)</f>
        <v>0</v>
      </c>
      <c r="D77" s="198" t="str">
        <f>IFERROR(__xludf.DUMMYFUNCTION("""COMPUTED_VALUE"""),"Němec Filip")</f>
        <v>Němec Filip</v>
      </c>
      <c r="E77" s="198" t="str">
        <f>IFERROR(__xludf.DUMMYFUNCTION("""COMPUTED_VALUE"""),"Zličín")</f>
        <v>Zličín</v>
      </c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201">
        <f>IFERROR(__xludf.DUMMYFUNCTION("""COMPUTED_VALUE"""),231.474)</f>
        <v>231.474</v>
      </c>
      <c r="W77" s="201">
        <f>IFERROR(__xludf.DUMMYFUNCTION("""COMPUTED_VALUE"""),0.0)</f>
        <v>0</v>
      </c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</row>
    <row r="78">
      <c r="A78" s="198"/>
      <c r="B78" s="203" t="str">
        <f>IF(OR(E78=Report!$B$1, F78=Report!$B$1, G78=Report!$B$1, H78=Report!$B$1), D78, "")</f>
        <v/>
      </c>
      <c r="C78" s="198" t="b">
        <f>IFERROR(__xludf.DUMMYFUNCTION("""COMPUTED_VALUE"""),FALSE)</f>
        <v>0</v>
      </c>
      <c r="D78" s="198" t="str">
        <f>IFERROR(__xludf.DUMMYFUNCTION("""COMPUTED_VALUE"""),"Zimmer Jakub")</f>
        <v>Zimmer Jakub</v>
      </c>
      <c r="E78" s="198" t="str">
        <f>IFERROR(__xludf.DUMMYFUNCTION("""COMPUTED_VALUE"""),"Zličín")</f>
        <v>Zličín</v>
      </c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201">
        <f>IFERROR(__xludf.DUMMYFUNCTION("""COMPUTED_VALUE"""),267.6)</f>
        <v>267.6</v>
      </c>
      <c r="W78" s="201">
        <f>IFERROR(__xludf.DUMMYFUNCTION("""COMPUTED_VALUE"""),0.0)</f>
        <v>0</v>
      </c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</row>
    <row r="79">
      <c r="A79" s="198"/>
      <c r="B79" s="203" t="str">
        <f>IF(OR(E79=Report!$B$1, F79=Report!$B$1, G79=Report!$B$1, H79=Report!$B$1), D79, "")</f>
        <v>Nekolný Vladimír</v>
      </c>
      <c r="C79" s="198" t="b">
        <f>IFERROR(__xludf.DUMMYFUNCTION("""COMPUTED_VALUE"""),FALSE)</f>
        <v>0</v>
      </c>
      <c r="D79" s="198" t="str">
        <f>IFERROR(__xludf.DUMMYFUNCTION("""COMPUTED_VALUE"""),"Nekolný Vladimír")</f>
        <v>Nekolný Vladimír</v>
      </c>
      <c r="E79" s="198" t="str">
        <f>IFERROR(__xludf.DUMMYFUNCTION("""COMPUTED_VALUE"""),"Chodov")</f>
        <v>Chodov</v>
      </c>
      <c r="F79" s="198" t="str">
        <f>IFERROR(__xludf.DUMMYFUNCTION("""COMPUTED_VALUE"""),"Libuš")</f>
        <v>Libuš</v>
      </c>
      <c r="G79" s="198" t="str">
        <f>IFERROR(__xludf.DUMMYFUNCTION("""COMPUTED_VALUE"""),"Zličín")</f>
        <v>Zličín</v>
      </c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f>IFERROR(__xludf.DUMMYFUNCTION("""COMPUTED_VALUE"""),231.474)</f>
        <v>231.474</v>
      </c>
      <c r="W79" s="201">
        <f>IFERROR(__xludf.DUMMYFUNCTION("""COMPUTED_VALUE"""),0.0)</f>
        <v>0</v>
      </c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</row>
    <row r="80">
      <c r="A80" s="198"/>
      <c r="B80" s="203" t="str">
        <f>IF(OR(E80=Report!$B$1, F80=Report!$B$1, G80=Report!$B$1, H80=Report!$B$1), D80, "")</f>
        <v>Hanibal Filip</v>
      </c>
      <c r="C80" s="198" t="b">
        <f>IFERROR(__xludf.DUMMYFUNCTION("""COMPUTED_VALUE"""),FALSE)</f>
        <v>0</v>
      </c>
      <c r="D80" s="198" t="str">
        <f>IFERROR(__xludf.DUMMYFUNCTION("""COMPUTED_VALUE"""),"Hanibal Filip")</f>
        <v>Hanibal Filip</v>
      </c>
      <c r="E80" s="198" t="str">
        <f>IFERROR(__xludf.DUMMYFUNCTION("""COMPUTED_VALUE"""),"Malešice")</f>
        <v>Malešice</v>
      </c>
      <c r="F80" s="198" t="str">
        <f>IFERROR(__xludf.DUMMYFUNCTION("""COMPUTED_VALUE"""),"Libuš")</f>
        <v>Libuš</v>
      </c>
      <c r="G80" s="198" t="str">
        <f>IFERROR(__xludf.DUMMYFUNCTION("""COMPUTED_VALUE"""),"Prosek")</f>
        <v>Prosek</v>
      </c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201">
        <f>IFERROR(__xludf.DUMMYFUNCTION("""COMPUTED_VALUE"""),250.20600000000002)</f>
        <v>250.206</v>
      </c>
      <c r="W80" s="201">
        <f>IFERROR(__xludf.DUMMYFUNCTION("""COMPUTED_VALUE"""),0.0)</f>
        <v>0</v>
      </c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</row>
    <row r="81">
      <c r="A81" s="198"/>
      <c r="B81" s="203" t="str">
        <f>IF(OR(E81=Report!$B$1, F81=Report!$B$1, G81=Report!$B$1, H81=Report!$B$1), D81, "")</f>
        <v/>
      </c>
      <c r="C81" s="198" t="b">
        <f>IFERROR(__xludf.DUMMYFUNCTION("""COMPUTED_VALUE"""),FALSE)</f>
        <v>0</v>
      </c>
      <c r="D81" s="198" t="str">
        <f>IFERROR(__xludf.DUMMYFUNCTION("""COMPUTED_VALUE"""),"Novák Jakub")</f>
        <v>Novák Jakub</v>
      </c>
      <c r="E81" s="198" t="str">
        <f>IFERROR(__xludf.DUMMYFUNCTION("""COMPUTED_VALUE"""),"Zličín")</f>
        <v>Zličín</v>
      </c>
      <c r="F81" s="198" t="str">
        <f>IFERROR(__xludf.DUMMYFUNCTION("""COMPUTED_VALUE"""),"Malešice")</f>
        <v>Malešice</v>
      </c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201">
        <f>IFERROR(__xludf.DUMMYFUNCTION("""COMPUTED_VALUE"""),231.474)</f>
        <v>231.474</v>
      </c>
      <c r="W81" s="201">
        <f>IFERROR(__xludf.DUMMYFUNCTION("""COMPUTED_VALUE"""),0.0)</f>
        <v>0</v>
      </c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</row>
    <row r="82">
      <c r="A82" s="198"/>
      <c r="B82" s="203" t="str">
        <f>IF(OR(E82=Report!$B$1, F82=Report!$B$1, G82=Report!$B$1, H82=Report!$B$1), D82, "")</f>
        <v/>
      </c>
      <c r="C82" s="198" t="b">
        <f>IFERROR(__xludf.DUMMYFUNCTION("""COMPUTED_VALUE"""),FALSE)</f>
        <v>0</v>
      </c>
      <c r="D82" s="198" t="str">
        <f>IFERROR(__xludf.DUMMYFUNCTION("""COMPUTED_VALUE"""),"Černohorský Otakar")</f>
        <v>Černohorský Otakar</v>
      </c>
      <c r="E82" s="198" t="str">
        <f>IFERROR(__xludf.DUMMYFUNCTION("""COMPUTED_VALUE"""),"Zličín")</f>
        <v>Zličín</v>
      </c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201">
        <f>IFERROR(__xludf.DUMMYFUNCTION("""COMPUTED_VALUE"""),231.474)</f>
        <v>231.474</v>
      </c>
      <c r="W82" s="201">
        <f>IFERROR(__xludf.DUMMYFUNCTION("""COMPUTED_VALUE"""),0.0)</f>
        <v>0</v>
      </c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</row>
    <row r="83">
      <c r="A83" s="198"/>
      <c r="B83" s="203" t="str">
        <f>IF(OR(E83=Report!$B$1, F83=Report!$B$1, G83=Report!$B$1, H83=Report!$B$1), D83, "")</f>
        <v>Nedvěd Dominik</v>
      </c>
      <c r="C83" s="198" t="b">
        <f>IFERROR(__xludf.DUMMYFUNCTION("""COMPUTED_VALUE"""),FALSE)</f>
        <v>0</v>
      </c>
      <c r="D83" s="198" t="str">
        <f>IFERROR(__xludf.DUMMYFUNCTION("""COMPUTED_VALUE"""),"Nedvěd Dominik")</f>
        <v>Nedvěd Dominik</v>
      </c>
      <c r="E83" s="198" t="str">
        <f>IFERROR(__xludf.DUMMYFUNCTION("""COMPUTED_VALUE"""),"Libuš")</f>
        <v>Libuš</v>
      </c>
      <c r="F83" s="198" t="str">
        <f>IFERROR(__xludf.DUMMYFUNCTION("""COMPUTED_VALUE"""),"Malešice")</f>
        <v>Malešice</v>
      </c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201">
        <f>IFERROR(__xludf.DUMMYFUNCTION("""COMPUTED_VALUE"""),231.474)</f>
        <v>231.474</v>
      </c>
      <c r="W83" s="201">
        <f>IFERROR(__xludf.DUMMYFUNCTION("""COMPUTED_VALUE"""),0.0)</f>
        <v>0</v>
      </c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</row>
    <row r="84">
      <c r="A84" s="198"/>
      <c r="B84" s="203" t="str">
        <f>IF(OR(E84=Report!$B$1, F84=Report!$B$1, G84=Report!$B$1, H84=Report!$B$1), D84, "")</f>
        <v>Lanský Zoltan</v>
      </c>
      <c r="C84" s="198" t="b">
        <f>IFERROR(__xludf.DUMMYFUNCTION("""COMPUTED_VALUE"""),FALSE)</f>
        <v>0</v>
      </c>
      <c r="D84" s="198" t="str">
        <f>IFERROR(__xludf.DUMMYFUNCTION("""COMPUTED_VALUE"""),"Lanský Zoltan")</f>
        <v>Lanský Zoltan</v>
      </c>
      <c r="E84" s="198" t="str">
        <f>IFERROR(__xludf.DUMMYFUNCTION("""COMPUTED_VALUE"""),"Chodov")</f>
        <v>Chodov</v>
      </c>
      <c r="F84" s="198" t="str">
        <f>IFERROR(__xludf.DUMMYFUNCTION("""COMPUTED_VALUE"""),"Libuš")</f>
        <v>Libuš</v>
      </c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201">
        <f>IFERROR(__xludf.DUMMYFUNCTION("""COMPUTED_VALUE"""),250.20600000000002)</f>
        <v>250.206</v>
      </c>
      <c r="W84" s="201">
        <f>IFERROR(__xludf.DUMMYFUNCTION("""COMPUTED_VALUE"""),0.0)</f>
        <v>0</v>
      </c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</row>
    <row r="85">
      <c r="A85" s="198"/>
      <c r="B85" s="203" t="str">
        <f>IF(OR(E85=Report!$B$1, F85=Report!$B$1, G85=Report!$B$1, H85=Report!$B$1), D85, "")</f>
        <v/>
      </c>
      <c r="C85" s="198" t="b">
        <f>IFERROR(__xludf.DUMMYFUNCTION("""COMPUTED_VALUE"""),FALSE)</f>
        <v>0</v>
      </c>
      <c r="D85" s="198" t="str">
        <f>IFERROR(__xludf.DUMMYFUNCTION("""COMPUTED_VALUE"""),"Lowe Jana")</f>
        <v>Lowe Jana</v>
      </c>
      <c r="E85" s="198" t="str">
        <f>IFERROR(__xludf.DUMMYFUNCTION("""COMPUTED_VALUE"""),"Zličín")</f>
        <v>Zličín</v>
      </c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f>IFERROR(__xludf.DUMMYFUNCTION("""COMPUTED_VALUE"""),150.0)</f>
        <v>150</v>
      </c>
      <c r="W85" s="201">
        <f>IFERROR(__xludf.DUMMYFUNCTION("""COMPUTED_VALUE"""),0.0)</f>
        <v>0</v>
      </c>
      <c r="X85" s="198"/>
      <c r="Y85" s="198"/>
      <c r="Z85" s="198"/>
      <c r="AA85" s="198"/>
      <c r="AB85" s="198"/>
      <c r="AC85" s="198"/>
      <c r="AD85" s="198"/>
      <c r="AE85" s="198"/>
      <c r="AF85" s="198"/>
      <c r="AG85" s="198"/>
      <c r="AH85" s="198"/>
      <c r="AI85" s="198"/>
      <c r="AJ85" s="198"/>
      <c r="AK85" s="198"/>
    </row>
    <row r="86">
      <c r="A86" s="198"/>
      <c r="B86" s="203" t="str">
        <f>IF(OR(E86=Report!$B$1, F86=Report!$B$1, G86=Report!$B$1, H86=Report!$B$1), D86, "")</f>
        <v/>
      </c>
      <c r="C86" s="198" t="b">
        <f>IFERROR(__xludf.DUMMYFUNCTION("""COMPUTED_VALUE"""),FALSE)</f>
        <v>0</v>
      </c>
      <c r="D86" s="198" t="str">
        <f>IFERROR(__xludf.DUMMYFUNCTION("""COMPUTED_VALUE"""),"Mikuš Pavel")</f>
        <v>Mikuš Pavel</v>
      </c>
      <c r="E86" s="198" t="str">
        <f>IFERROR(__xludf.DUMMYFUNCTION("""COMPUTED_VALUE"""),"Prosek")</f>
        <v>Prosek</v>
      </c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f>IFERROR(__xludf.DUMMYFUNCTION("""COMPUTED_VALUE"""),250.20600000000002)</f>
        <v>250.206</v>
      </c>
      <c r="W86" s="201">
        <f>IFERROR(__xludf.DUMMYFUNCTION("""COMPUTED_VALUE"""),0.0)</f>
        <v>0</v>
      </c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</row>
    <row r="87">
      <c r="A87" s="198"/>
      <c r="B87" s="203" t="str">
        <f>IF(OR(E87=Report!$B$1, F87=Report!$B$1, G87=Report!$B$1, H87=Report!$B$1), D87, "")</f>
        <v/>
      </c>
      <c r="C87" s="198" t="b">
        <f>IFERROR(__xludf.DUMMYFUNCTION("""COMPUTED_VALUE"""),FALSE)</f>
        <v>0</v>
      </c>
      <c r="D87" s="198" t="str">
        <f>IFERROR(__xludf.DUMMYFUNCTION("""COMPUTED_VALUE"""),"Hyský Aleš")</f>
        <v>Hyský Aleš</v>
      </c>
      <c r="E87" s="198" t="str">
        <f>IFERROR(__xludf.DUMMYFUNCTION("""COMPUTED_VALUE"""),"Chodov")</f>
        <v>Chodov</v>
      </c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f>IFERROR(__xludf.DUMMYFUNCTION("""COMPUTED_VALUE"""),231.474)</f>
        <v>231.474</v>
      </c>
      <c r="W87" s="201">
        <f>IFERROR(__xludf.DUMMYFUNCTION("""COMPUTED_VALUE"""),0.0)</f>
        <v>0</v>
      </c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198"/>
      <c r="AI87" s="198"/>
      <c r="AJ87" s="198"/>
      <c r="AK87" s="198"/>
    </row>
    <row r="88">
      <c r="A88" s="198"/>
      <c r="B88" s="203" t="str">
        <f>IF(OR(E88=Report!$B$1, F88=Report!$B$1, G88=Report!$B$1, H88=Report!$B$1), D88, "")</f>
        <v/>
      </c>
      <c r="C88" s="198" t="b">
        <f>IFERROR(__xludf.DUMMYFUNCTION("""COMPUTED_VALUE"""),FALSE)</f>
        <v>0</v>
      </c>
      <c r="D88" s="198" t="str">
        <f>IFERROR(__xludf.DUMMYFUNCTION("""COMPUTED_VALUE"""),"Šmídová Sabina")</f>
        <v>Šmídová Sabina</v>
      </c>
      <c r="E88" s="198" t="str">
        <f>IFERROR(__xludf.DUMMYFUNCTION("""COMPUTED_VALUE"""),"Chodov")</f>
        <v>Chodov</v>
      </c>
      <c r="F88" s="198" t="str">
        <f>IFERROR(__xludf.DUMMYFUNCTION("""COMPUTED_VALUE"""),"Prosek")</f>
        <v>Prosek</v>
      </c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f>IFERROR(__xludf.DUMMYFUNCTION("""COMPUTED_VALUE"""),250.20600000000002)</f>
        <v>250.206</v>
      </c>
      <c r="W88" s="201">
        <f>IFERROR(__xludf.DUMMYFUNCTION("""COMPUTED_VALUE"""),0.0)</f>
        <v>0</v>
      </c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</row>
    <row r="89">
      <c r="A89" s="198"/>
      <c r="B89" s="203" t="str">
        <f>IF(OR(E89=Report!$B$1, F89=Report!$B$1, G89=Report!$B$1, H89=Report!$B$1), D89, "")</f>
        <v>Lažek Jaroslav</v>
      </c>
      <c r="C89" s="198" t="b">
        <f>IFERROR(__xludf.DUMMYFUNCTION("""COMPUTED_VALUE"""),FALSE)</f>
        <v>0</v>
      </c>
      <c r="D89" s="198" t="str">
        <f>IFERROR(__xludf.DUMMYFUNCTION("""COMPUTED_VALUE"""),"Lažek Jaroslav")</f>
        <v>Lažek Jaroslav</v>
      </c>
      <c r="E89" s="198" t="str">
        <f>IFERROR(__xludf.DUMMYFUNCTION("""COMPUTED_VALUE"""),"Libuš")</f>
        <v>Libuš</v>
      </c>
      <c r="F89" s="198" t="str">
        <f>IFERROR(__xludf.DUMMYFUNCTION("""COMPUTED_VALUE"""),"Chodov")</f>
        <v>Chodov</v>
      </c>
      <c r="G89" s="198" t="str">
        <f>IFERROR(__xludf.DUMMYFUNCTION("""COMPUTED_VALUE"""),"Malešice")</f>
        <v>Malešice</v>
      </c>
      <c r="H89" s="198" t="str">
        <f>IFERROR(__xludf.DUMMYFUNCTION("""COMPUTED_VALUE"""),"Výroba")</f>
        <v>Výroba</v>
      </c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f>IFERROR(__xludf.DUMMYFUNCTION("""COMPUTED_VALUE"""),170.0)</f>
        <v>170</v>
      </c>
      <c r="W89" s="201">
        <f>IFERROR(__xludf.DUMMYFUNCTION("""COMPUTED_VALUE"""),0.0)</f>
        <v>0</v>
      </c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</row>
    <row r="90">
      <c r="A90" s="198"/>
      <c r="B90" s="203" t="str">
        <f>IF(OR(E90=Report!$B$1, F90=Report!$B$1, G90=Report!$B$1, H90=Report!$B$1), D90, "")</f>
        <v/>
      </c>
      <c r="C90" s="198" t="b">
        <f>IFERROR(__xludf.DUMMYFUNCTION("""COMPUTED_VALUE"""),FALSE)</f>
        <v>0</v>
      </c>
      <c r="D90" s="198" t="str">
        <f>IFERROR(__xludf.DUMMYFUNCTION("""COMPUTED_VALUE"""),"Kormash Liubov")</f>
        <v>Kormash Liubov</v>
      </c>
      <c r="E90" s="198" t="str">
        <f>IFERROR(__xludf.DUMMYFUNCTION("""COMPUTED_VALUE"""),"Zličín")</f>
        <v>Zličín</v>
      </c>
      <c r="F90" s="198" t="str">
        <f>IFERROR(__xludf.DUMMYFUNCTION("""COMPUTED_VALUE"""),"Prosek")</f>
        <v>Prosek</v>
      </c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201">
        <f>IFERROR(__xludf.DUMMYFUNCTION("""COMPUTED_VALUE"""),160.0)</f>
        <v>160</v>
      </c>
      <c r="W90" s="201">
        <f>IFERROR(__xludf.DUMMYFUNCTION("""COMPUTED_VALUE"""),0.0)</f>
        <v>0</v>
      </c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</row>
    <row r="91">
      <c r="A91" s="198"/>
      <c r="B91" s="203" t="str">
        <f>IF(OR(E91=Report!$B$1, F91=Report!$B$1, G91=Report!$B$1, H91=Report!$B$1), D91, "")</f>
        <v/>
      </c>
      <c r="C91" s="198" t="b">
        <f>IFERROR(__xludf.DUMMYFUNCTION("""COMPUTED_VALUE"""),FALSE)</f>
        <v>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201">
        <f>IFERROR(__xludf.DUMMYFUNCTION("""COMPUTED_VALUE"""),0.0)</f>
        <v>0</v>
      </c>
      <c r="W91" s="201">
        <f>IFERROR(__xludf.DUMMYFUNCTION("""COMPUTED_VALUE"""),0.0)</f>
        <v>0</v>
      </c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</row>
    <row r="92">
      <c r="A92" s="198"/>
      <c r="B92" s="203" t="str">
        <f>IF(OR(E92=Report!$B$1, F92=Report!$B$1, G92=Report!$B$1, H92=Report!$B$1), D92, "")</f>
        <v/>
      </c>
      <c r="C92" s="198" t="b">
        <f>IFERROR(__xludf.DUMMYFUNCTION("""COMPUTED_VALUE"""),FALSE)</f>
        <v>0</v>
      </c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201">
        <f>IFERROR(__xludf.DUMMYFUNCTION("""COMPUTED_VALUE"""),0.0)</f>
        <v>0</v>
      </c>
      <c r="W92" s="201">
        <f>IFERROR(__xludf.DUMMYFUNCTION("""COMPUTED_VALUE"""),0.0)</f>
        <v>0</v>
      </c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</row>
    <row r="93">
      <c r="A93" s="198"/>
      <c r="B93" s="203" t="str">
        <f>IF(OR(E93=Report!$B$1, F93=Report!$B$1, G93=Report!$B$1, H93=Report!$B$1), D93, "")</f>
        <v>Chlubna Tomáš</v>
      </c>
      <c r="C93" s="198" t="b">
        <f>IFERROR(__xludf.DUMMYFUNCTION("""COMPUTED_VALUE"""),FALSE)</f>
        <v>0</v>
      </c>
      <c r="D93" s="198" t="str">
        <f>IFERROR(__xludf.DUMMYFUNCTION("""COMPUTED_VALUE"""),"Chlubna Tomáš")</f>
        <v>Chlubna Tomáš</v>
      </c>
      <c r="E93" s="198" t="str">
        <f>IFERROR(__xludf.DUMMYFUNCTION("""COMPUTED_VALUE"""),"Chodov")</f>
        <v>Chodov</v>
      </c>
      <c r="F93" s="198" t="str">
        <f>IFERROR(__xludf.DUMMYFUNCTION("""COMPUTED_VALUE"""),"Libuš")</f>
        <v>Libuš</v>
      </c>
      <c r="G93" s="198" t="str">
        <f>IFERROR(__xludf.DUMMYFUNCTION("""COMPUTED_VALUE"""),"Výroba")</f>
        <v>Výroba</v>
      </c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201">
        <f>IFERROR(__xludf.DUMMYFUNCTION("""COMPUTED_VALUE"""),250.20600000000002)</f>
        <v>250.206</v>
      </c>
      <c r="W93" s="201">
        <f>IFERROR(__xludf.DUMMYFUNCTION("""COMPUTED_VALUE"""),0.0)</f>
        <v>0</v>
      </c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</row>
    <row r="94">
      <c r="A94" s="198"/>
      <c r="B94" s="203" t="str">
        <f>IF(OR(E94=Report!$B$1, F94=Report!$B$1, G94=Report!$B$1, H94=Report!$B$1), D94, "")</f>
        <v/>
      </c>
      <c r="C94" s="198" t="b">
        <f>IFERROR(__xludf.DUMMYFUNCTION("""COMPUTED_VALUE"""),FALSE)</f>
        <v>0</v>
      </c>
      <c r="D94" s="198" t="str">
        <f>IFERROR(__xludf.DUMMYFUNCTION("""COMPUTED_VALUE"""),"Vychivskyi Volodymyr")</f>
        <v>Vychivskyi Volodymyr</v>
      </c>
      <c r="E94" s="198" t="str">
        <f>IFERROR(__xludf.DUMMYFUNCTION("""COMPUTED_VALUE"""),"Malešice")</f>
        <v>Malešice</v>
      </c>
      <c r="F94" s="198" t="str">
        <f>IFERROR(__xludf.DUMMYFUNCTION("""COMPUTED_VALUE"""),"Prosek")</f>
        <v>Prosek</v>
      </c>
      <c r="G94" s="198" t="str">
        <f>IFERROR(__xludf.DUMMYFUNCTION("""COMPUTED_VALUE"""),"Zličín")</f>
        <v>Zličín</v>
      </c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201">
        <f>IFERROR(__xludf.DUMMYFUNCTION("""COMPUTED_VALUE"""),250.20600000000002)</f>
        <v>250.206</v>
      </c>
      <c r="W94" s="201">
        <f>IFERROR(__xludf.DUMMYFUNCTION("""COMPUTED_VALUE"""),0.0)</f>
        <v>0</v>
      </c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</row>
    <row r="95">
      <c r="A95" s="198"/>
      <c r="B95" s="203" t="str">
        <f>IF(OR(E95=Report!$B$1, F95=Report!$B$1, G95=Report!$B$1, H95=Report!$B$1), D95, "")</f>
        <v/>
      </c>
      <c r="C95" s="198" t="b">
        <f>IFERROR(__xludf.DUMMYFUNCTION("""COMPUTED_VALUE"""),FALSE)</f>
        <v>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201">
        <f>IFERROR(__xludf.DUMMYFUNCTION("""COMPUTED_VALUE"""),0.0)</f>
        <v>0</v>
      </c>
      <c r="W95" s="201">
        <f>IFERROR(__xludf.DUMMYFUNCTION("""COMPUTED_VALUE"""),0.0)</f>
        <v>0</v>
      </c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</row>
    <row r="96">
      <c r="A96" s="198"/>
      <c r="B96" s="203" t="str">
        <f>IF(OR(E96=Report!$B$1, F96=Report!$B$1, G96=Report!$B$1, H96=Report!$B$1), D96, "")</f>
        <v>Hřebík Martin</v>
      </c>
      <c r="C96" s="198" t="b">
        <f>IFERROR(__xludf.DUMMYFUNCTION("""COMPUTED_VALUE"""),FALSE)</f>
        <v>0</v>
      </c>
      <c r="D96" s="198" t="str">
        <f>IFERROR(__xludf.DUMMYFUNCTION("""COMPUTED_VALUE"""),"Hřebík Martin")</f>
        <v>Hřebík Martin</v>
      </c>
      <c r="E96" s="198" t="str">
        <f>IFERROR(__xludf.DUMMYFUNCTION("""COMPUTED_VALUE"""),"Výroba")</f>
        <v>Výroba</v>
      </c>
      <c r="F96" s="198" t="str">
        <f>IFERROR(__xludf.DUMMYFUNCTION("""COMPUTED_VALUE"""),"Chodov")</f>
        <v>Chodov</v>
      </c>
      <c r="G96" s="198" t="str">
        <f>IFERROR(__xludf.DUMMYFUNCTION("""COMPUTED_VALUE"""),"Prosek")</f>
        <v>Prosek</v>
      </c>
      <c r="H96" s="198" t="str">
        <f>IFERROR(__xludf.DUMMYFUNCTION("""COMPUTED_VALUE"""),"Libuš")</f>
        <v>Libuš</v>
      </c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201">
        <f>IFERROR(__xludf.DUMMYFUNCTION("""COMPUTED_VALUE"""),386.68199999999996)</f>
        <v>386.682</v>
      </c>
      <c r="W96" s="201">
        <f>IFERROR(__xludf.DUMMYFUNCTION("""COMPUTED_VALUE"""),2577.8799999999997)</f>
        <v>2577.88</v>
      </c>
      <c r="X96" s="198"/>
      <c r="Y96" s="198"/>
      <c r="Z96" s="198"/>
      <c r="AA96" s="198"/>
      <c r="AB96" s="198"/>
      <c r="AC96" s="198"/>
      <c r="AD96" s="198"/>
      <c r="AE96" s="198"/>
      <c r="AF96" s="198"/>
      <c r="AG96" s="198"/>
      <c r="AH96" s="198"/>
      <c r="AI96" s="198"/>
      <c r="AJ96" s="198"/>
      <c r="AK96" s="198"/>
    </row>
    <row r="97">
      <c r="A97" s="198"/>
      <c r="B97" s="203" t="str">
        <f>IF(OR(E97=Report!$B$1, F97=Report!$B$1, G97=Report!$B$1, H97=Report!$B$1), D97, "")</f>
        <v>Eszenyiová Patrícia</v>
      </c>
      <c r="C97" s="198" t="b">
        <f>IFERROR(__xludf.DUMMYFUNCTION("""COMPUTED_VALUE"""),FALSE)</f>
        <v>0</v>
      </c>
      <c r="D97" s="198" t="str">
        <f>IFERROR(__xludf.DUMMYFUNCTION("""COMPUTED_VALUE"""),"Eszenyiová Patrícia")</f>
        <v>Eszenyiová Patrícia</v>
      </c>
      <c r="E97" s="198" t="str">
        <f>IFERROR(__xludf.DUMMYFUNCTION("""COMPUTED_VALUE"""),"Libuš")</f>
        <v>Libuš</v>
      </c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f>IFERROR(__xludf.DUMMYFUNCTION("""COMPUTED_VALUE"""),250.20600000000002)</f>
        <v>250.206</v>
      </c>
      <c r="W97" s="201">
        <f>IFERROR(__xludf.DUMMYFUNCTION("""COMPUTED_VALUE"""),0.0)</f>
        <v>0</v>
      </c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</row>
    <row r="98">
      <c r="A98" s="198"/>
      <c r="B98" s="203" t="str">
        <f>IF(OR(E98=Report!$B$1, F98=Report!$B$1, G98=Report!$B$1, H98=Report!$B$1), D98, "")</f>
        <v>Reischl Jan</v>
      </c>
      <c r="C98" s="198" t="b">
        <f>IFERROR(__xludf.DUMMYFUNCTION("""COMPUTED_VALUE"""),FALSE)</f>
        <v>0</v>
      </c>
      <c r="D98" s="198" t="str">
        <f>IFERROR(__xludf.DUMMYFUNCTION("""COMPUTED_VALUE"""),"Reischl Jan")</f>
        <v>Reischl Jan</v>
      </c>
      <c r="E98" s="198" t="str">
        <f>IFERROR(__xludf.DUMMYFUNCTION("""COMPUTED_VALUE"""),"Malešice")</f>
        <v>Malešice</v>
      </c>
      <c r="F98" s="198" t="str">
        <f>IFERROR(__xludf.DUMMYFUNCTION("""COMPUTED_VALUE"""),"Chodov")</f>
        <v>Chodov</v>
      </c>
      <c r="G98" s="198" t="str">
        <f>IFERROR(__xludf.DUMMYFUNCTION("""COMPUTED_VALUE"""),"Libuš")</f>
        <v>Libuš</v>
      </c>
      <c r="H98" s="198" t="str">
        <f>IFERROR(__xludf.DUMMYFUNCTION("""COMPUTED_VALUE"""),"Prosek")</f>
        <v>Prosek</v>
      </c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201">
        <f>IFERROR(__xludf.DUMMYFUNCTION("""COMPUTED_VALUE"""),214.08)</f>
        <v>214.08</v>
      </c>
      <c r="W98" s="201">
        <f>IFERROR(__xludf.DUMMYFUNCTION("""COMPUTED_VALUE"""),0.0)</f>
        <v>0</v>
      </c>
      <c r="X98" s="198"/>
      <c r="Y98" s="198"/>
      <c r="Z98" s="198"/>
      <c r="AA98" s="198"/>
      <c r="AB98" s="198"/>
      <c r="AC98" s="198"/>
      <c r="AD98" s="198"/>
      <c r="AE98" s="198"/>
      <c r="AF98" s="198"/>
      <c r="AG98" s="198"/>
      <c r="AH98" s="198"/>
      <c r="AI98" s="198"/>
      <c r="AJ98" s="198"/>
      <c r="AK98" s="198"/>
    </row>
    <row r="99">
      <c r="A99" s="198"/>
      <c r="B99" s="203" t="str">
        <f>IF(OR(E99=Report!$B$1, F99=Report!$B$1, G99=Report!$B$1, H99=Report!$B$1), D99, "")</f>
        <v/>
      </c>
      <c r="C99" s="198" t="b">
        <f>IFERROR(__xludf.DUMMYFUNCTION("""COMPUTED_VALUE"""),FALSE)</f>
        <v>0</v>
      </c>
      <c r="D99" s="198" t="str">
        <f>IFERROR(__xludf.DUMMYFUNCTION("""COMPUTED_VALUE"""),"Mikešová Adéla")</f>
        <v>Mikešová Adéla</v>
      </c>
      <c r="E99" s="198" t="str">
        <f>IFERROR(__xludf.DUMMYFUNCTION("""COMPUTED_VALUE"""),"Bolevec")</f>
        <v>Bolevec</v>
      </c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201">
        <f>IFERROR(__xludf.DUMMYFUNCTION("""COMPUTED_VALUE"""),214.08)</f>
        <v>214.08</v>
      </c>
      <c r="W99" s="201">
        <f>IFERROR(__xludf.DUMMYFUNCTION("""COMPUTED_VALUE"""),0.0)</f>
        <v>0</v>
      </c>
      <c r="X99" s="198"/>
      <c r="Y99" s="198"/>
      <c r="Z99" s="198"/>
      <c r="AA99" s="198"/>
      <c r="AB99" s="198"/>
      <c r="AC99" s="198"/>
      <c r="AD99" s="198"/>
      <c r="AE99" s="198"/>
      <c r="AF99" s="198"/>
      <c r="AG99" s="198"/>
      <c r="AH99" s="198"/>
      <c r="AI99" s="198"/>
      <c r="AJ99" s="198"/>
      <c r="AK99" s="198"/>
    </row>
    <row r="100">
      <c r="A100" s="198"/>
      <c r="B100" s="203" t="str">
        <f>IF(OR(E100=Report!$B$1, F100=Report!$B$1, G100=Report!$B$1, H100=Report!$B$1), D100, "")</f>
        <v/>
      </c>
      <c r="C100" s="198" t="b">
        <f>IFERROR(__xludf.DUMMYFUNCTION("""COMPUTED_VALUE"""),FALSE)</f>
        <v>0</v>
      </c>
      <c r="D100" s="198" t="str">
        <f>IFERROR(__xludf.DUMMYFUNCTION("""COMPUTED_VALUE"""),"Pražák Aleš")</f>
        <v>Pražák Aleš</v>
      </c>
      <c r="E100" s="198" t="str">
        <f>IFERROR(__xludf.DUMMYFUNCTION("""COMPUTED_VALUE"""),"Chodov")</f>
        <v>Chodov</v>
      </c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201">
        <f>IFERROR(__xludf.DUMMYFUNCTION("""COMPUTED_VALUE"""),231.474)</f>
        <v>231.474</v>
      </c>
      <c r="W100" s="201">
        <f>IFERROR(__xludf.DUMMYFUNCTION("""COMPUTED_VALUE"""),0.0)</f>
        <v>0</v>
      </c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</row>
    <row r="101">
      <c r="A101" s="198"/>
      <c r="B101" s="203" t="str">
        <f>IF(OR(E101=Report!$B$1, F101=Report!$B$1, G101=Report!$B$1, H101=Report!$B$1), D101, "")</f>
        <v/>
      </c>
      <c r="C101" s="198" t="b">
        <f>IFERROR(__xludf.DUMMYFUNCTION("""COMPUTED_VALUE"""),FALSE)</f>
        <v>0</v>
      </c>
      <c r="D101" s="198" t="str">
        <f>IFERROR(__xludf.DUMMYFUNCTION("""COMPUTED_VALUE"""),"Chyský David")</f>
        <v>Chyský David</v>
      </c>
      <c r="E101" s="198" t="str">
        <f>IFERROR(__xludf.DUMMYFUNCTION("""COMPUTED_VALUE"""),"Chodov")</f>
        <v>Chodov</v>
      </c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201">
        <f>IFERROR(__xludf.DUMMYFUNCTION("""COMPUTED_VALUE"""),231.474)</f>
        <v>231.474</v>
      </c>
      <c r="W101" s="201">
        <f>IFERROR(__xludf.DUMMYFUNCTION("""COMPUTED_VALUE"""),0.0)</f>
        <v>0</v>
      </c>
      <c r="X101" s="198"/>
      <c r="Y101" s="198"/>
      <c r="Z101" s="198"/>
      <c r="AA101" s="198"/>
      <c r="AB101" s="198"/>
      <c r="AC101" s="198"/>
      <c r="AD101" s="198"/>
      <c r="AE101" s="198"/>
      <c r="AF101" s="198"/>
      <c r="AG101" s="198"/>
      <c r="AH101" s="198"/>
      <c r="AI101" s="198"/>
      <c r="AJ101" s="198"/>
      <c r="AK101" s="198"/>
    </row>
    <row r="102">
      <c r="A102" s="198"/>
      <c r="B102" s="203" t="str">
        <f>IF(OR(E102=Report!$B$1, F102=Report!$B$1, G102=Report!$B$1, H102=Report!$B$1), D102, "")</f>
        <v/>
      </c>
      <c r="C102" s="198" t="b">
        <f>IFERROR(__xludf.DUMMYFUNCTION("""COMPUTED_VALUE"""),FALSE)</f>
        <v>0</v>
      </c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201">
        <f>IFERROR(__xludf.DUMMYFUNCTION("""COMPUTED_VALUE"""),0.0)</f>
        <v>0</v>
      </c>
      <c r="W102" s="201">
        <f>IFERROR(__xludf.DUMMYFUNCTION("""COMPUTED_VALUE"""),0.0)</f>
        <v>0</v>
      </c>
      <c r="X102" s="198"/>
      <c r="Y102" s="198"/>
      <c r="Z102" s="198"/>
      <c r="AA102" s="198"/>
      <c r="AB102" s="198"/>
      <c r="AC102" s="198"/>
      <c r="AD102" s="198"/>
      <c r="AE102" s="198"/>
      <c r="AF102" s="198"/>
      <c r="AG102" s="198"/>
      <c r="AH102" s="198"/>
      <c r="AI102" s="198"/>
      <c r="AJ102" s="198"/>
      <c r="AK102" s="198"/>
    </row>
    <row r="103">
      <c r="A103" s="198"/>
      <c r="B103" s="203" t="str">
        <f>IF(OR(E103=Report!$B$1, F103=Report!$B$1, G103=Report!$B$1, H103=Report!$B$1), D103, "")</f>
        <v/>
      </c>
      <c r="C103" s="198" t="b">
        <f>IFERROR(__xludf.DUMMYFUNCTION("""COMPUTED_VALUE"""),FALSE)</f>
        <v>0</v>
      </c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201">
        <f>IFERROR(__xludf.DUMMYFUNCTION("""COMPUTED_VALUE"""),0.0)</f>
        <v>0</v>
      </c>
      <c r="W103" s="201">
        <f>IFERROR(__xludf.DUMMYFUNCTION("""COMPUTED_VALUE"""),0.0)</f>
        <v>0</v>
      </c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</row>
    <row r="104">
      <c r="A104" s="198"/>
      <c r="B104" s="203" t="str">
        <f>IF(OR(E104=Report!$B$1, F104=Report!$B$1, G104=Report!$B$1, H104=Report!$B$1), D104, "")</f>
        <v/>
      </c>
      <c r="C104" s="198" t="b">
        <f>IFERROR(__xludf.DUMMYFUNCTION("""COMPUTED_VALUE"""),FALSE)</f>
        <v>0</v>
      </c>
      <c r="D104" s="198" t="str">
        <f>IFERROR(__xludf.DUMMYFUNCTION("""COMPUTED_VALUE"""),"Kulinič Michail")</f>
        <v>Kulinič Michail</v>
      </c>
      <c r="E104" s="198" t="str">
        <f>IFERROR(__xludf.DUMMYFUNCTION("""COMPUTED_VALUE"""),"Prosek")</f>
        <v>Prosek</v>
      </c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201">
        <f>IFERROR(__xludf.DUMMYFUNCTION("""COMPUTED_VALUE"""),231.474)</f>
        <v>231.474</v>
      </c>
      <c r="W104" s="201">
        <f>IFERROR(__xludf.DUMMYFUNCTION("""COMPUTED_VALUE"""),0.0)</f>
        <v>0</v>
      </c>
      <c r="X104" s="198"/>
      <c r="Y104" s="198"/>
      <c r="Z104" s="198"/>
      <c r="AA104" s="198"/>
      <c r="AB104" s="198"/>
      <c r="AC104" s="198"/>
      <c r="AD104" s="198"/>
      <c r="AE104" s="198"/>
      <c r="AF104" s="198"/>
      <c r="AG104" s="198"/>
      <c r="AH104" s="198"/>
      <c r="AI104" s="198"/>
      <c r="AJ104" s="198"/>
      <c r="AK104" s="198"/>
    </row>
    <row r="105">
      <c r="A105" s="198"/>
      <c r="B105" s="203" t="str">
        <f>IF(OR(E105=Report!$B$1, F105=Report!$B$1, G105=Report!$B$1, H105=Report!$B$1), D105, "")</f>
        <v>Kalina Filip</v>
      </c>
      <c r="C105" s="198" t="b">
        <f>IFERROR(__xludf.DUMMYFUNCTION("""COMPUTED_VALUE"""),FALSE)</f>
        <v>0</v>
      </c>
      <c r="D105" s="198" t="str">
        <f>IFERROR(__xludf.DUMMYFUNCTION("""COMPUTED_VALUE"""),"Kalina Filip")</f>
        <v>Kalina Filip</v>
      </c>
      <c r="E105" s="198" t="str">
        <f>IFERROR(__xludf.DUMMYFUNCTION("""COMPUTED_VALUE"""),"Malešice")</f>
        <v>Malešice</v>
      </c>
      <c r="F105" s="198" t="str">
        <f>IFERROR(__xludf.DUMMYFUNCTION("""COMPUTED_VALUE"""),"Libuš")</f>
        <v>Libuš</v>
      </c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201">
        <f>IFERROR(__xludf.DUMMYFUNCTION("""COMPUTED_VALUE"""),231.474)</f>
        <v>231.474</v>
      </c>
      <c r="W105" s="201">
        <f>IFERROR(__xludf.DUMMYFUNCTION("""COMPUTED_VALUE"""),0.0)</f>
        <v>0</v>
      </c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</row>
    <row r="106">
      <c r="A106" s="198"/>
      <c r="B106" s="203" t="str">
        <f>IF(OR(E106=Report!$B$1, F106=Report!$B$1, G106=Report!$B$1, H106=Report!$B$1), D106, "")</f>
        <v/>
      </c>
      <c r="C106" s="198" t="b">
        <f>IFERROR(__xludf.DUMMYFUNCTION("""COMPUTED_VALUE"""),FALSE)</f>
        <v>0</v>
      </c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201">
        <f>IFERROR(__xludf.DUMMYFUNCTION("""COMPUTED_VALUE"""),0.0)</f>
        <v>0</v>
      </c>
      <c r="W106" s="201">
        <f>IFERROR(__xludf.DUMMYFUNCTION("""COMPUTED_VALUE"""),0.0)</f>
        <v>0</v>
      </c>
      <c r="X106" s="198"/>
      <c r="Y106" s="198"/>
      <c r="Z106" s="198"/>
      <c r="AA106" s="198"/>
      <c r="AB106" s="198"/>
      <c r="AC106" s="198"/>
      <c r="AD106" s="198"/>
      <c r="AE106" s="198"/>
      <c r="AF106" s="198"/>
      <c r="AG106" s="198"/>
      <c r="AH106" s="198"/>
      <c r="AI106" s="198"/>
      <c r="AJ106" s="198"/>
      <c r="AK106" s="198"/>
    </row>
    <row r="107">
      <c r="A107" s="198"/>
      <c r="B107" s="203" t="str">
        <f>IF(OR(E107=Report!$B$1, F107=Report!$B$1, G107=Report!$B$1, H107=Report!$B$1), D107, "")</f>
        <v/>
      </c>
      <c r="C107" s="198" t="b">
        <f>IFERROR(__xludf.DUMMYFUNCTION("""COMPUTED_VALUE"""),FALSE)</f>
        <v>0</v>
      </c>
      <c r="D107" s="198" t="str">
        <f>IFERROR(__xludf.DUMMYFUNCTION("""COMPUTED_VALUE"""),"Kaločai Rudolf")</f>
        <v>Kaločai Rudolf</v>
      </c>
      <c r="E107" s="198" t="str">
        <f>IFERROR(__xludf.DUMMYFUNCTION("""COMPUTED_VALUE"""),"Bolevec")</f>
        <v>Bolevec</v>
      </c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201">
        <f>IFERROR(__xludf.DUMMYFUNCTION("""COMPUTED_VALUE"""),140.0)</f>
        <v>140</v>
      </c>
      <c r="W107" s="201">
        <f>IFERROR(__xludf.DUMMYFUNCTION("""COMPUTED_VALUE"""),0.0)</f>
        <v>0</v>
      </c>
      <c r="X107" s="198"/>
      <c r="Y107" s="198"/>
      <c r="Z107" s="198"/>
      <c r="AA107" s="198"/>
      <c r="AB107" s="198"/>
      <c r="AC107" s="198"/>
      <c r="AD107" s="198"/>
      <c r="AE107" s="198"/>
      <c r="AF107" s="198"/>
      <c r="AG107" s="198"/>
      <c r="AH107" s="198"/>
      <c r="AI107" s="198"/>
      <c r="AJ107" s="198"/>
      <c r="AK107" s="198"/>
    </row>
    <row r="108">
      <c r="A108" s="198"/>
      <c r="B108" s="203" t="str">
        <f>IF(OR(E108=Report!$B$1, F108=Report!$B$1, G108=Report!$B$1, H108=Report!$B$1), D108, "")</f>
        <v>Dušek Sam</v>
      </c>
      <c r="C108" s="198" t="b">
        <f>IFERROR(__xludf.DUMMYFUNCTION("""COMPUTED_VALUE"""),FALSE)</f>
        <v>0</v>
      </c>
      <c r="D108" s="198" t="str">
        <f>IFERROR(__xludf.DUMMYFUNCTION("""COMPUTED_VALUE"""),"Dušek Sam")</f>
        <v>Dušek Sam</v>
      </c>
      <c r="E108" s="198" t="str">
        <f>IFERROR(__xludf.DUMMYFUNCTION("""COMPUTED_VALUE"""),"Libuš")</f>
        <v>Libuš</v>
      </c>
      <c r="F108" s="198" t="str">
        <f>IFERROR(__xludf.DUMMYFUNCTION("""COMPUTED_VALUE"""),"Malešice")</f>
        <v>Malešice</v>
      </c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201">
        <f>IFERROR(__xludf.DUMMYFUNCTION("""COMPUTED_VALUE"""),250.20600000000002)</f>
        <v>250.206</v>
      </c>
      <c r="W108" s="201">
        <f>IFERROR(__xludf.DUMMYFUNCTION("""COMPUTED_VALUE"""),0.0)</f>
        <v>0</v>
      </c>
      <c r="X108" s="198"/>
      <c r="Y108" s="198"/>
      <c r="Z108" s="198"/>
      <c r="AA108" s="198"/>
      <c r="AB108" s="198"/>
      <c r="AC108" s="198"/>
      <c r="AD108" s="198"/>
      <c r="AE108" s="198"/>
      <c r="AF108" s="198"/>
      <c r="AG108" s="198"/>
      <c r="AH108" s="198"/>
      <c r="AI108" s="198"/>
      <c r="AJ108" s="198"/>
      <c r="AK108" s="198"/>
    </row>
    <row r="109">
      <c r="A109" s="198"/>
      <c r="B109" s="203" t="str">
        <f>IF(OR(E109=Report!$B$1, F109=Report!$B$1, G109=Report!$B$1, H109=Report!$B$1), D109, "")</f>
        <v/>
      </c>
      <c r="C109" s="198" t="b">
        <f>IFERROR(__xludf.DUMMYFUNCTION("""COMPUTED_VALUE"""),FALSE)</f>
        <v>0</v>
      </c>
      <c r="D109" s="198" t="str">
        <f>IFERROR(__xludf.DUMMYFUNCTION("""COMPUTED_VALUE"""),"Kačena Stanislav")</f>
        <v>Kačena Stanislav</v>
      </c>
      <c r="E109" s="198" t="str">
        <f>IFERROR(__xludf.DUMMYFUNCTION("""COMPUTED_VALUE"""),"Prosek")</f>
        <v>Prosek</v>
      </c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201">
        <f>IFERROR(__xludf.DUMMYFUNCTION("""COMPUTED_VALUE"""),231.474)</f>
        <v>231.474</v>
      </c>
      <c r="W109" s="201">
        <f>IFERROR(__xludf.DUMMYFUNCTION("""COMPUTED_VALUE"""),0.0)</f>
        <v>0</v>
      </c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198"/>
      <c r="AI109" s="198"/>
      <c r="AJ109" s="198"/>
      <c r="AK109" s="198"/>
    </row>
    <row r="110">
      <c r="A110" s="198"/>
      <c r="B110" s="203" t="str">
        <f>IF(OR(E110=Report!$B$1, F110=Report!$B$1, G110=Report!$B$1, H110=Report!$B$1), D110, "")</f>
        <v>Cieslar Marek</v>
      </c>
      <c r="C110" s="198" t="b">
        <f>IFERROR(__xludf.DUMMYFUNCTION("""COMPUTED_VALUE"""),FALSE)</f>
        <v>0</v>
      </c>
      <c r="D110" s="198" t="str">
        <f>IFERROR(__xludf.DUMMYFUNCTION("""COMPUTED_VALUE"""),"Cieslar Marek")</f>
        <v>Cieslar Marek</v>
      </c>
      <c r="E110" s="198" t="str">
        <f>IFERROR(__xludf.DUMMYFUNCTION("""COMPUTED_VALUE"""),"Libuš")</f>
        <v>Libuš</v>
      </c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201">
        <f>IFERROR(__xludf.DUMMYFUNCTION("""COMPUTED_VALUE"""),214.08)</f>
        <v>214.08</v>
      </c>
      <c r="W110" s="201">
        <f>IFERROR(__xludf.DUMMYFUNCTION("""COMPUTED_VALUE"""),0.0)</f>
        <v>0</v>
      </c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198"/>
      <c r="AI110" s="198"/>
      <c r="AJ110" s="198"/>
      <c r="AK110" s="198"/>
    </row>
    <row r="111">
      <c r="A111" s="198"/>
      <c r="B111" s="203" t="str">
        <f>IF(OR(E111=Report!$B$1, F111=Report!$B$1, G111=Report!$B$1, H111=Report!$B$1), D111, "")</f>
        <v/>
      </c>
      <c r="C111" s="198" t="b">
        <f>IFERROR(__xludf.DUMMYFUNCTION("""COMPUTED_VALUE"""),FALSE)</f>
        <v>0</v>
      </c>
      <c r="D111" s="198" t="str">
        <f>IFERROR(__xludf.DUMMYFUNCTION("""COMPUTED_VALUE"""),"Banga Adam")</f>
        <v>Banga Adam</v>
      </c>
      <c r="E111" s="198" t="str">
        <f>IFERROR(__xludf.DUMMYFUNCTION("""COMPUTED_VALUE"""),"Zličín")</f>
        <v>Zličín</v>
      </c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201">
        <f>IFERROR(__xludf.DUMMYFUNCTION("""COMPUTED_VALUE"""),231.474)</f>
        <v>231.474</v>
      </c>
      <c r="W111" s="201">
        <f>IFERROR(__xludf.DUMMYFUNCTION("""COMPUTED_VALUE"""),0.0)</f>
        <v>0</v>
      </c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</row>
    <row r="112">
      <c r="A112" s="198"/>
      <c r="B112" s="203" t="str">
        <f>IF(OR(E112=Report!$B$1, F112=Report!$B$1, G112=Report!$B$1, H112=Report!$B$1), D112, "")</f>
        <v/>
      </c>
      <c r="C112" s="198" t="b">
        <f>IFERROR(__xludf.DUMMYFUNCTION("""COMPUTED_VALUE"""),FALSE)</f>
        <v>0</v>
      </c>
      <c r="D112" s="198" t="str">
        <f>IFERROR(__xludf.DUMMYFUNCTION("""COMPUTED_VALUE"""),"Vopatová Anna")</f>
        <v>Vopatová Anna</v>
      </c>
      <c r="E112" s="198" t="str">
        <f>IFERROR(__xludf.DUMMYFUNCTION("""COMPUTED_VALUE"""),"Bolevec")</f>
        <v>Bolevec</v>
      </c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201">
        <f>IFERROR(__xludf.DUMMYFUNCTION("""COMPUTED_VALUE"""),214.08)</f>
        <v>214.08</v>
      </c>
      <c r="W112" s="201">
        <f>IFERROR(__xludf.DUMMYFUNCTION("""COMPUTED_VALUE"""),0.0)</f>
        <v>0</v>
      </c>
      <c r="X112" s="198"/>
      <c r="Y112" s="198"/>
      <c r="Z112" s="198"/>
      <c r="AA112" s="198"/>
      <c r="AB112" s="198"/>
      <c r="AC112" s="198"/>
      <c r="AD112" s="198"/>
      <c r="AE112" s="198"/>
      <c r="AF112" s="198"/>
      <c r="AG112" s="198"/>
      <c r="AH112" s="198"/>
      <c r="AI112" s="198"/>
      <c r="AJ112" s="198"/>
      <c r="AK112" s="198"/>
    </row>
    <row r="113">
      <c r="A113" s="198"/>
      <c r="B113" s="203" t="str">
        <f>IF(OR(E113=Report!$B$1, F113=Report!$B$1, G113=Report!$B$1, H113=Report!$B$1), D113, "")</f>
        <v/>
      </c>
      <c r="C113" s="198" t="b">
        <f>IFERROR(__xludf.DUMMYFUNCTION("""COMPUTED_VALUE"""),FALSE)</f>
        <v>0</v>
      </c>
      <c r="D113" s="198" t="str">
        <f>IFERROR(__xludf.DUMMYFUNCTION("""COMPUTED_VALUE"""),"Vopatová Šárka")</f>
        <v>Vopatová Šárka</v>
      </c>
      <c r="E113" s="198" t="str">
        <f>IFERROR(__xludf.DUMMYFUNCTION("""COMPUTED_VALUE"""),"Bolevec")</f>
        <v>Bolevec</v>
      </c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201">
        <f>IFERROR(__xludf.DUMMYFUNCTION("""COMPUTED_VALUE"""),214.08)</f>
        <v>214.08</v>
      </c>
      <c r="W113" s="201">
        <f>IFERROR(__xludf.DUMMYFUNCTION("""COMPUTED_VALUE"""),0.0)</f>
        <v>0</v>
      </c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</row>
    <row r="114">
      <c r="A114" s="198"/>
      <c r="B114" s="203" t="str">
        <f>IF(OR(E114=Report!$B$1, F114=Report!$B$1, G114=Report!$B$1, H114=Report!$B$1), D114, "")</f>
        <v/>
      </c>
      <c r="C114" s="198" t="b">
        <f>IFERROR(__xludf.DUMMYFUNCTION("""COMPUTED_VALUE"""),FALSE)</f>
        <v>0</v>
      </c>
      <c r="D114" s="198" t="str">
        <f>IFERROR(__xludf.DUMMYFUNCTION("""COMPUTED_VALUE"""),"Richterová Monika")</f>
        <v>Richterová Monika</v>
      </c>
      <c r="E114" s="198" t="str">
        <f>IFERROR(__xludf.DUMMYFUNCTION("""COMPUTED_VALUE"""),"Malešice")</f>
        <v>Malešice</v>
      </c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201">
        <f>IFERROR(__xludf.DUMMYFUNCTION("""COMPUTED_VALUE"""),214.08)</f>
        <v>214.08</v>
      </c>
      <c r="W114" s="201">
        <f>IFERROR(__xludf.DUMMYFUNCTION("""COMPUTED_VALUE"""),0.0)</f>
        <v>0</v>
      </c>
      <c r="X114" s="198"/>
      <c r="Y114" s="198"/>
      <c r="Z114" s="198"/>
      <c r="AA114" s="198"/>
      <c r="AB114" s="198"/>
      <c r="AC114" s="198"/>
      <c r="AD114" s="198"/>
      <c r="AE114" s="198"/>
      <c r="AF114" s="198"/>
      <c r="AG114" s="198"/>
      <c r="AH114" s="198"/>
      <c r="AI114" s="198"/>
      <c r="AJ114" s="198"/>
      <c r="AK114" s="198"/>
    </row>
    <row r="115">
      <c r="A115" s="198"/>
      <c r="B115" s="203" t="str">
        <f>IF(OR(E115=Report!$B$1, F115=Report!$B$1, G115=Report!$B$1, H115=Report!$B$1), D115, "")</f>
        <v>Serin David</v>
      </c>
      <c r="C115" s="198" t="b">
        <f>IFERROR(__xludf.DUMMYFUNCTION("""COMPUTED_VALUE"""),FALSE)</f>
        <v>0</v>
      </c>
      <c r="D115" s="198" t="str">
        <f>IFERROR(__xludf.DUMMYFUNCTION("""COMPUTED_VALUE"""),"Serin David")</f>
        <v>Serin David</v>
      </c>
      <c r="E115" s="198" t="str">
        <f>IFERROR(__xludf.DUMMYFUNCTION("""COMPUTED_VALUE"""),"Libuš")</f>
        <v>Libuš</v>
      </c>
      <c r="F115" s="198" t="str">
        <f>IFERROR(__xludf.DUMMYFUNCTION("""COMPUTED_VALUE"""),"Malešice")</f>
        <v>Malešice</v>
      </c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201">
        <f>IFERROR(__xludf.DUMMYFUNCTION("""COMPUTED_VALUE"""),250.20600000000002)</f>
        <v>250.206</v>
      </c>
      <c r="W115" s="201">
        <f>IFERROR(__xludf.DUMMYFUNCTION("""COMPUTED_VALUE"""),0.0)</f>
        <v>0</v>
      </c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</row>
    <row r="116">
      <c r="A116" s="198"/>
      <c r="B116" s="203" t="str">
        <f>IF(OR(E116=Report!$B$1, F116=Report!$B$1, G116=Report!$B$1, H116=Report!$B$1), D116, "")</f>
        <v/>
      </c>
      <c r="C116" s="198" t="b">
        <f>IFERROR(__xludf.DUMMYFUNCTION("""COMPUTED_VALUE"""),FALSE)</f>
        <v>0</v>
      </c>
      <c r="D116" s="198" t="str">
        <f>IFERROR(__xludf.DUMMYFUNCTION("""COMPUTED_VALUE"""),"Fabera Tomáš")</f>
        <v>Fabera Tomáš</v>
      </c>
      <c r="E116" s="198" t="str">
        <f>IFERROR(__xludf.DUMMYFUNCTION("""COMPUTED_VALUE"""),"Chodov")</f>
        <v>Chodov</v>
      </c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201">
        <f>IFERROR(__xludf.DUMMYFUNCTION("""COMPUTED_VALUE"""),231.474)</f>
        <v>231.474</v>
      </c>
      <c r="W116" s="201">
        <f>IFERROR(__xludf.DUMMYFUNCTION("""COMPUTED_VALUE"""),0.0)</f>
        <v>0</v>
      </c>
      <c r="X116" s="198"/>
      <c r="Y116" s="198"/>
      <c r="Z116" s="198"/>
      <c r="AA116" s="198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</row>
    <row r="117">
      <c r="A117" s="198"/>
      <c r="B117" s="203" t="str">
        <f>IF(OR(E117=Report!$B$1, F117=Report!$B$1, G117=Report!$B$1, H117=Report!$B$1), D117, "")</f>
        <v/>
      </c>
      <c r="C117" s="198" t="b">
        <f>IFERROR(__xludf.DUMMYFUNCTION("""COMPUTED_VALUE"""),FALSE)</f>
        <v>0</v>
      </c>
      <c r="D117" s="198" t="str">
        <f>IFERROR(__xludf.DUMMYFUNCTION("""COMPUTED_VALUE"""),"Hendrych Rostislav")</f>
        <v>Hendrych Rostislav</v>
      </c>
      <c r="E117" s="198" t="str">
        <f>IFERROR(__xludf.DUMMYFUNCTION("""COMPUTED_VALUE"""),"Malešice")</f>
        <v>Malešice</v>
      </c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201">
        <f>IFERROR(__xludf.DUMMYFUNCTION("""COMPUTED_VALUE"""),250.20600000000002)</f>
        <v>250.206</v>
      </c>
      <c r="W117" s="201">
        <f>IFERROR(__xludf.DUMMYFUNCTION("""COMPUTED_VALUE"""),0.0)</f>
        <v>0</v>
      </c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</row>
    <row r="118">
      <c r="A118" s="198"/>
      <c r="B118" s="203" t="str">
        <f>IF(OR(E118=Report!$B$1, F118=Report!$B$1, G118=Report!$B$1, H118=Report!$B$1), D118, "")</f>
        <v/>
      </c>
      <c r="C118" s="198" t="b">
        <f>IFERROR(__xludf.DUMMYFUNCTION("""COMPUTED_VALUE"""),FALSE)</f>
        <v>0</v>
      </c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201">
        <f>IFERROR(__xludf.DUMMYFUNCTION("""COMPUTED_VALUE"""),0.0)</f>
        <v>0</v>
      </c>
      <c r="W118" s="201">
        <f>IFERROR(__xludf.DUMMYFUNCTION("""COMPUTED_VALUE"""),0.0)</f>
        <v>0</v>
      </c>
      <c r="X118" s="198"/>
      <c r="Y118" s="198"/>
      <c r="Z118" s="198"/>
      <c r="AA118" s="198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</row>
    <row r="119">
      <c r="A119" s="198"/>
      <c r="B119" s="203" t="str">
        <f>IF(OR(E119=Report!$B$1, F119=Report!$B$1, G119=Report!$B$1, H119=Report!$B$1), D119, "")</f>
        <v/>
      </c>
      <c r="C119" s="198" t="b">
        <f>IFERROR(__xludf.DUMMYFUNCTION("""COMPUTED_VALUE"""),FALSE)</f>
        <v>0</v>
      </c>
      <c r="D119" s="198" t="str">
        <f>IFERROR(__xludf.DUMMYFUNCTION("""COMPUTED_VALUE"""),"Světlík František")</f>
        <v>Světlík František</v>
      </c>
      <c r="E119" s="198" t="str">
        <f>IFERROR(__xludf.DUMMYFUNCTION("""COMPUTED_VALUE"""),"Bolevec")</f>
        <v>Bolevec</v>
      </c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201">
        <f>IFERROR(__xludf.DUMMYFUNCTION("""COMPUTED_VALUE"""),214.08)</f>
        <v>214.08</v>
      </c>
      <c r="W119" s="201">
        <f>IFERROR(__xludf.DUMMYFUNCTION("""COMPUTED_VALUE"""),0.0)</f>
        <v>0</v>
      </c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</row>
    <row r="120">
      <c r="A120" s="198"/>
      <c r="B120" s="203" t="str">
        <f>IF(OR(E120=Report!$B$1, F120=Report!$B$1, G120=Report!$B$1, H120=Report!$B$1), D120, "")</f>
        <v/>
      </c>
      <c r="C120" s="198" t="b">
        <f>IFERROR(__xludf.DUMMYFUNCTION("""COMPUTED_VALUE"""),FALSE)</f>
        <v>0</v>
      </c>
      <c r="D120" s="198" t="str">
        <f>IFERROR(__xludf.DUMMYFUNCTION("""COMPUTED_VALUE"""),"Ženíšek Lukáš")</f>
        <v>Ženíšek Lukáš</v>
      </c>
      <c r="E120" s="198" t="str">
        <f>IFERROR(__xludf.DUMMYFUNCTION("""COMPUTED_VALUE"""),"Bolevec")</f>
        <v>Bolevec</v>
      </c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201">
        <f>IFERROR(__xludf.DUMMYFUNCTION("""COMPUTED_VALUE"""),214.08)</f>
        <v>214.08</v>
      </c>
      <c r="W120" s="201">
        <f>IFERROR(__xludf.DUMMYFUNCTION("""COMPUTED_VALUE"""),0.0)</f>
        <v>0</v>
      </c>
      <c r="X120" s="198"/>
      <c r="Y120" s="198"/>
      <c r="Z120" s="198"/>
      <c r="AA120" s="198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</row>
    <row r="121">
      <c r="A121" s="198"/>
      <c r="B121" s="203" t="str">
        <f>IF(OR(E121=Report!$B$1, F121=Report!$B$1, G121=Report!$B$1, H121=Report!$B$1), D121, "")</f>
        <v/>
      </c>
      <c r="C121" s="198" t="b">
        <f>IFERROR(__xludf.DUMMYFUNCTION("""COMPUTED_VALUE"""),FALSE)</f>
        <v>0</v>
      </c>
      <c r="D121" s="198"/>
      <c r="E121" s="198" t="str">
        <f>IFERROR(__xludf.DUMMYFUNCTION("""COMPUTED_VALUE"""),"Chodov")</f>
        <v>Chodov</v>
      </c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201">
        <f>IFERROR(__xludf.DUMMYFUNCTION("""COMPUTED_VALUE"""),231.474)</f>
        <v>231.474</v>
      </c>
      <c r="W121" s="201">
        <f>IFERROR(__xludf.DUMMYFUNCTION("""COMPUTED_VALUE"""),0.0)</f>
        <v>0</v>
      </c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</row>
    <row r="122">
      <c r="A122" s="198"/>
      <c r="B122" s="203" t="str">
        <f>IF(OR(E122=Report!$B$1, F122=Report!$B$1, G122=Report!$B$1, H122=Report!$B$1), D122, "")</f>
        <v/>
      </c>
      <c r="C122" s="198" t="b">
        <f>IFERROR(__xludf.DUMMYFUNCTION("""COMPUTED_VALUE"""),FALSE)</f>
        <v>0</v>
      </c>
      <c r="D122" s="198" t="str">
        <f>IFERROR(__xludf.DUMMYFUNCTION("""COMPUTED_VALUE"""),"Roth Stanislav st.")</f>
        <v>Roth Stanislav st.</v>
      </c>
      <c r="E122" s="198" t="str">
        <f>IFERROR(__xludf.DUMMYFUNCTION("""COMPUTED_VALUE"""),"Bolevec")</f>
        <v>Bolevec</v>
      </c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201">
        <f>IFERROR(__xludf.DUMMYFUNCTION("""COMPUTED_VALUE"""),49506.0)</f>
        <v>49506</v>
      </c>
      <c r="W122" s="201">
        <f>IFERROR(__xludf.DUMMYFUNCTION("""COMPUTED_VALUE"""),1650.2)</f>
        <v>1650.2</v>
      </c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198"/>
      <c r="AI122" s="198"/>
      <c r="AJ122" s="198"/>
      <c r="AK122" s="198"/>
    </row>
    <row r="123">
      <c r="A123" s="198"/>
      <c r="B123" s="203" t="str">
        <f>IF(OR(E123=Report!$B$1, F123=Report!$B$1, G123=Report!$B$1, H123=Report!$B$1), D123, "")</f>
        <v/>
      </c>
      <c r="C123" s="198" t="b">
        <f>IFERROR(__xludf.DUMMYFUNCTION("""COMPUTED_VALUE"""),FALSE)</f>
        <v>0</v>
      </c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201">
        <f>IFERROR(__xludf.DUMMYFUNCTION("""COMPUTED_VALUE"""),0.0)</f>
        <v>0</v>
      </c>
      <c r="W123" s="201">
        <f>IFERROR(__xludf.DUMMYFUNCTION("""COMPUTED_VALUE"""),0.0)</f>
        <v>0</v>
      </c>
      <c r="X123" s="198"/>
      <c r="Y123" s="198"/>
      <c r="Z123" s="198"/>
      <c r="AA123" s="198"/>
      <c r="AB123" s="198"/>
      <c r="AC123" s="198"/>
      <c r="AD123" s="198"/>
      <c r="AE123" s="198"/>
      <c r="AF123" s="198"/>
      <c r="AG123" s="198"/>
      <c r="AH123" s="198"/>
      <c r="AI123" s="198"/>
      <c r="AJ123" s="198"/>
      <c r="AK123" s="198"/>
    </row>
    <row r="124">
      <c r="A124" s="198"/>
      <c r="B124" s="203" t="str">
        <f>IF(OR(E124=Report!$B$1, F124=Report!$B$1, G124=Report!$B$1, H124=Report!$B$1), D124, "")</f>
        <v/>
      </c>
      <c r="C124" s="198" t="b">
        <f>IFERROR(__xludf.DUMMYFUNCTION("""COMPUTED_VALUE"""),FALSE)</f>
        <v>0</v>
      </c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201">
        <f>IFERROR(__xludf.DUMMYFUNCTION("""COMPUTED_VALUE"""),0.0)</f>
        <v>0</v>
      </c>
      <c r="W124" s="201">
        <f>IFERROR(__xludf.DUMMYFUNCTION("""COMPUTED_VALUE"""),0.0)</f>
        <v>0</v>
      </c>
      <c r="X124" s="198"/>
      <c r="Y124" s="198"/>
      <c r="Z124" s="198"/>
      <c r="AA124" s="198"/>
      <c r="AB124" s="198"/>
      <c r="AC124" s="198"/>
      <c r="AD124" s="198"/>
      <c r="AE124" s="198"/>
      <c r="AF124" s="198"/>
      <c r="AG124" s="198"/>
      <c r="AH124" s="198"/>
      <c r="AI124" s="198"/>
      <c r="AJ124" s="198"/>
      <c r="AK124" s="198"/>
    </row>
    <row r="125">
      <c r="A125" s="198"/>
      <c r="B125" s="203" t="str">
        <f>IF(OR(E125=Report!$B$1, F125=Report!$B$1, G125=Report!$B$1, H125=Report!$B$1), D125, "")</f>
        <v/>
      </c>
      <c r="C125" s="198" t="b">
        <f>IFERROR(__xludf.DUMMYFUNCTION("""COMPUTED_VALUE"""),FALSE)</f>
        <v>0</v>
      </c>
      <c r="D125" s="198" t="str">
        <f>IFERROR(__xludf.DUMMYFUNCTION("""COMPUTED_VALUE"""),"Vaníková Anna")</f>
        <v>Vaníková Anna</v>
      </c>
      <c r="E125" s="198" t="str">
        <f>IFERROR(__xludf.DUMMYFUNCTION("""COMPUTED_VALUE"""),"Zličín")</f>
        <v>Zličín</v>
      </c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201">
        <f>IFERROR(__xludf.DUMMYFUNCTION("""COMPUTED_VALUE"""),231.474)</f>
        <v>231.474</v>
      </c>
      <c r="W125" s="201">
        <f>IFERROR(__xludf.DUMMYFUNCTION("""COMPUTED_VALUE"""),0.0)</f>
        <v>0</v>
      </c>
      <c r="X125" s="198"/>
      <c r="Y125" s="198"/>
      <c r="Z125" s="198"/>
      <c r="AA125" s="198"/>
      <c r="AB125" s="198"/>
      <c r="AC125" s="198"/>
      <c r="AD125" s="198"/>
      <c r="AE125" s="198"/>
      <c r="AF125" s="198"/>
      <c r="AG125" s="198"/>
      <c r="AH125" s="198"/>
      <c r="AI125" s="198"/>
      <c r="AJ125" s="198"/>
      <c r="AK125" s="198"/>
    </row>
    <row r="126">
      <c r="A126" s="198"/>
      <c r="B126" s="203" t="str">
        <f>IF(OR(E126=Report!$B$1, F126=Report!$B$1, G126=Report!$B$1, H126=Report!$B$1), D126, "")</f>
        <v>Břicháč Pavel</v>
      </c>
      <c r="C126" s="198" t="b">
        <f>IFERROR(__xludf.DUMMYFUNCTION("""COMPUTED_VALUE"""),FALSE)</f>
        <v>0</v>
      </c>
      <c r="D126" s="198" t="str">
        <f>IFERROR(__xludf.DUMMYFUNCTION("""COMPUTED_VALUE"""),"Břicháč Pavel")</f>
        <v>Břicháč Pavel</v>
      </c>
      <c r="E126" s="198" t="str">
        <f>IFERROR(__xludf.DUMMYFUNCTION("""COMPUTED_VALUE"""),"Libuš")</f>
        <v>Libuš</v>
      </c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201">
        <f>IFERROR(__xludf.DUMMYFUNCTION("""COMPUTED_VALUE"""),231.474)</f>
        <v>231.474</v>
      </c>
      <c r="W126" s="201">
        <f>IFERROR(__xludf.DUMMYFUNCTION("""COMPUTED_VALUE"""),0.0)</f>
        <v>0</v>
      </c>
      <c r="X126" s="198"/>
      <c r="Y126" s="198"/>
      <c r="Z126" s="198"/>
      <c r="AA126" s="198"/>
      <c r="AB126" s="198"/>
      <c r="AC126" s="198"/>
      <c r="AD126" s="198"/>
      <c r="AE126" s="198"/>
      <c r="AF126" s="198"/>
      <c r="AG126" s="198"/>
      <c r="AH126" s="198"/>
      <c r="AI126" s="198"/>
      <c r="AJ126" s="198"/>
      <c r="AK126" s="198"/>
    </row>
    <row r="127">
      <c r="A127" s="198"/>
      <c r="B127" s="203" t="str">
        <f>IF(OR(E127=Report!$B$1, F127=Report!$B$1, G127=Report!$B$1, H127=Report!$B$1), D127, "")</f>
        <v/>
      </c>
      <c r="C127" s="198" t="b">
        <f>IFERROR(__xludf.DUMMYFUNCTION("""COMPUTED_VALUE"""),FALSE)</f>
        <v>0</v>
      </c>
      <c r="D127" s="198" t="str">
        <f>IFERROR(__xludf.DUMMYFUNCTION("""COMPUTED_VALUE"""),"Čerešňák Michal")</f>
        <v>Čerešňák Michal</v>
      </c>
      <c r="E127" s="198" t="str">
        <f>IFERROR(__xludf.DUMMYFUNCTION("""COMPUTED_VALUE"""),"Zličín")</f>
        <v>Zličín</v>
      </c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201">
        <f>IFERROR(__xludf.DUMMYFUNCTION("""COMPUTED_VALUE"""),170.0)</f>
        <v>170</v>
      </c>
      <c r="W127" s="201">
        <f>IFERROR(__xludf.DUMMYFUNCTION("""COMPUTED_VALUE"""),0.0)</f>
        <v>0</v>
      </c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</row>
    <row r="128">
      <c r="A128" s="198"/>
      <c r="B128" s="203" t="str">
        <f>IF(OR(E128=Report!$B$1, F128=Report!$B$1, G128=Report!$B$1, H128=Report!$B$1), D128, "")</f>
        <v>Weindling Josef</v>
      </c>
      <c r="C128" s="198" t="b">
        <f>IFERROR(__xludf.DUMMYFUNCTION("""COMPUTED_VALUE"""),FALSE)</f>
        <v>0</v>
      </c>
      <c r="D128" s="198" t="str">
        <f>IFERROR(__xludf.DUMMYFUNCTION("""COMPUTED_VALUE"""),"Weindling Josef")</f>
        <v>Weindling Josef</v>
      </c>
      <c r="E128" s="198" t="str">
        <f>IFERROR(__xludf.DUMMYFUNCTION("""COMPUTED_VALUE"""),"Libuš")</f>
        <v>Libuš</v>
      </c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201">
        <f>IFERROR(__xludf.DUMMYFUNCTION("""COMPUTED_VALUE"""),231.474)</f>
        <v>231.474</v>
      </c>
      <c r="W128" s="201">
        <f>IFERROR(__xludf.DUMMYFUNCTION("""COMPUTED_VALUE"""),0.0)</f>
        <v>0</v>
      </c>
      <c r="X128" s="198"/>
      <c r="Y128" s="198"/>
      <c r="Z128" s="198"/>
      <c r="AA128" s="198"/>
      <c r="AB128" s="198"/>
      <c r="AC128" s="198"/>
      <c r="AD128" s="198"/>
      <c r="AE128" s="198"/>
      <c r="AF128" s="198"/>
      <c r="AG128" s="198"/>
      <c r="AH128" s="198"/>
      <c r="AI128" s="198"/>
      <c r="AJ128" s="198"/>
      <c r="AK128" s="198"/>
    </row>
    <row r="129">
      <c r="A129" s="198"/>
      <c r="B129" s="203" t="str">
        <f>IF(OR(E129=Report!$B$1, F129=Report!$B$1, G129=Report!$B$1, H129=Report!$B$1), D129, "")</f>
        <v/>
      </c>
      <c r="C129" s="198" t="b">
        <f>IFERROR(__xludf.DUMMYFUNCTION("""COMPUTED_VALUE"""),FALSE)</f>
        <v>0</v>
      </c>
      <c r="D129" s="198" t="str">
        <f>IFERROR(__xludf.DUMMYFUNCTION("""COMPUTED_VALUE"""),"Fux Vojtěch")</f>
        <v>Fux Vojtěch</v>
      </c>
      <c r="E129" s="198" t="str">
        <f>IFERROR(__xludf.DUMMYFUNCTION("""COMPUTED_VALUE"""),"Chodov")</f>
        <v>Chodov</v>
      </c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201">
        <f>IFERROR(__xludf.DUMMYFUNCTION("""COMPUTED_VALUE"""),200.0)</f>
        <v>200</v>
      </c>
      <c r="W129" s="201">
        <f>IFERROR(__xludf.DUMMYFUNCTION("""COMPUTED_VALUE"""),0.0)</f>
        <v>0</v>
      </c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</row>
    <row r="130">
      <c r="A130" s="198"/>
      <c r="B130" s="203" t="str">
        <f>IF(OR(E130=Report!$B$1, F130=Report!$B$1, G130=Report!$B$1, H130=Report!$B$1), D130, "")</f>
        <v/>
      </c>
      <c r="C130" s="198" t="b">
        <f>IFERROR(__xludf.DUMMYFUNCTION("""COMPUTED_VALUE"""),FALSE)</f>
        <v>0</v>
      </c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201">
        <f>IFERROR(__xludf.DUMMYFUNCTION("""COMPUTED_VALUE"""),0.0)</f>
        <v>0</v>
      </c>
      <c r="W130" s="201">
        <f>IFERROR(__xludf.DUMMYFUNCTION("""COMPUTED_VALUE"""),0.0)</f>
        <v>0</v>
      </c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198"/>
      <c r="AI130" s="198"/>
      <c r="AJ130" s="198"/>
      <c r="AK130" s="198"/>
    </row>
    <row r="131">
      <c r="A131" s="198"/>
      <c r="B131" s="203" t="str">
        <f>IF(OR(E131=Report!$B$1, F131=Report!$B$1, G131=Report!$B$1, H131=Report!$B$1), D131, "")</f>
        <v/>
      </c>
      <c r="C131" s="198" t="b">
        <f>IFERROR(__xludf.DUMMYFUNCTION("""COMPUTED_VALUE"""),FALSE)</f>
        <v>0</v>
      </c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201">
        <f>IFERROR(__xludf.DUMMYFUNCTION("""COMPUTED_VALUE"""),0.0)</f>
        <v>0</v>
      </c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198"/>
      <c r="AI131" s="198"/>
      <c r="AJ131" s="198"/>
      <c r="AK131" s="198"/>
    </row>
    <row r="132">
      <c r="A132" s="198"/>
      <c r="B132" s="203" t="str">
        <f>IF(OR(E132=Report!$B$1, F132=Report!$B$1, G132=Report!$B$1, H132=Report!$B$1), D132, "")</f>
        <v/>
      </c>
      <c r="C132" s="198" t="b">
        <f>IFERROR(__xludf.DUMMYFUNCTION("""COMPUTED_VALUE"""),FALSE)</f>
        <v>0</v>
      </c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201">
        <f>IFERROR(__xludf.DUMMYFUNCTION("""COMPUTED_VALUE"""),0.0)</f>
        <v>0</v>
      </c>
      <c r="W132" s="201">
        <f>IFERROR(__xludf.DUMMYFUNCTION("""COMPUTED_VALUE"""),0.0)</f>
        <v>0</v>
      </c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</row>
    <row r="133">
      <c r="A133" s="198"/>
      <c r="B133" s="203" t="str">
        <f>IF(OR(E133=Report!$B$1, F133=Report!$B$1, G133=Report!$B$1, H133=Report!$B$1), D133, "")</f>
        <v/>
      </c>
      <c r="C133" s="198" t="b">
        <f>IFERROR(__xludf.DUMMYFUNCTION("""COMPUTED_VALUE"""),FALSE)</f>
        <v>0</v>
      </c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201">
        <f>IFERROR(__xludf.DUMMYFUNCTION("""COMPUTED_VALUE"""),0.0)</f>
        <v>0</v>
      </c>
      <c r="W133" s="201">
        <f>IFERROR(__xludf.DUMMYFUNCTION("""COMPUTED_VALUE"""),0.0)</f>
        <v>0</v>
      </c>
      <c r="X133" s="198"/>
      <c r="Y133" s="198"/>
      <c r="Z133" s="198"/>
      <c r="AA133" s="198"/>
      <c r="AB133" s="198"/>
      <c r="AC133" s="198"/>
      <c r="AD133" s="198"/>
      <c r="AE133" s="198"/>
      <c r="AF133" s="198"/>
      <c r="AG133" s="198"/>
      <c r="AH133" s="198"/>
      <c r="AI133" s="198"/>
      <c r="AJ133" s="198"/>
      <c r="AK133" s="198"/>
    </row>
    <row r="134">
      <c r="A134" s="198"/>
      <c r="B134" s="203" t="str">
        <f>IF(OR(E134=Report!$B$1, F134=Report!$B$1, G134=Report!$B$1, H134=Report!$B$1), D134, "")</f>
        <v/>
      </c>
      <c r="C134" s="198" t="b">
        <f>IFERROR(__xludf.DUMMYFUNCTION("""COMPUTED_VALUE"""),FALSE)</f>
        <v>0</v>
      </c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201">
        <f>IFERROR(__xludf.DUMMYFUNCTION("""COMPUTED_VALUE"""),0.0)</f>
        <v>0</v>
      </c>
      <c r="W134" s="201">
        <f>IFERROR(__xludf.DUMMYFUNCTION("""COMPUTED_VALUE"""),0.0)</f>
        <v>0</v>
      </c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</row>
    <row r="135">
      <c r="A135" s="198"/>
      <c r="B135" s="203" t="str">
        <f>IF(OR(E135=Report!$B$1, F135=Report!$B$1, G135=Report!$B$1, H135=Report!$B$1), D135, "")</f>
        <v/>
      </c>
      <c r="C135" s="198" t="b">
        <f>IFERROR(__xludf.DUMMYFUNCTION("""COMPUTED_VALUE"""),FALSE)</f>
        <v>0</v>
      </c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201">
        <f>IFERROR(__xludf.DUMMYFUNCTION("""COMPUTED_VALUE"""),0.0)</f>
        <v>0</v>
      </c>
      <c r="W135" s="201">
        <f>IFERROR(__xludf.DUMMYFUNCTION("""COMPUTED_VALUE"""),0.0)</f>
        <v>0</v>
      </c>
      <c r="X135" s="198"/>
      <c r="Y135" s="198"/>
      <c r="Z135" s="198"/>
      <c r="AA135" s="198"/>
      <c r="AB135" s="198"/>
      <c r="AC135" s="198"/>
      <c r="AD135" s="198"/>
      <c r="AE135" s="198"/>
      <c r="AF135" s="198"/>
      <c r="AG135" s="198"/>
      <c r="AH135" s="198"/>
      <c r="AI135" s="198"/>
      <c r="AJ135" s="198"/>
      <c r="AK135" s="198"/>
    </row>
    <row r="136">
      <c r="A136" s="198"/>
      <c r="B136" s="203" t="str">
        <f>IF(OR(E136=Report!$B$1, F136=Report!$B$1, G136=Report!$B$1, H136=Report!$B$1), D136, "")</f>
        <v/>
      </c>
      <c r="C136" s="198" t="b">
        <f>IFERROR(__xludf.DUMMYFUNCTION("""COMPUTED_VALUE"""),FALSE)</f>
        <v>0</v>
      </c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201">
        <f>IFERROR(__xludf.DUMMYFUNCTION("""COMPUTED_VALUE"""),0.0)</f>
        <v>0</v>
      </c>
      <c r="W136" s="201">
        <f>IFERROR(__xludf.DUMMYFUNCTION("""COMPUTED_VALUE"""),0.0)</f>
        <v>0</v>
      </c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</row>
    <row r="137">
      <c r="A137" s="198"/>
      <c r="B137" s="203" t="str">
        <f>IF(OR(E137=Report!$B$1, F137=Report!$B$1, G137=Report!$B$1, H137=Report!$B$1), D137, "")</f>
        <v/>
      </c>
      <c r="C137" s="198" t="b">
        <f>IFERROR(__xludf.DUMMYFUNCTION("""COMPUTED_VALUE"""),FALSE)</f>
        <v>0</v>
      </c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201">
        <f>IFERROR(__xludf.DUMMYFUNCTION("""COMPUTED_VALUE"""),0.0)</f>
        <v>0</v>
      </c>
      <c r="W137" s="201">
        <f>IFERROR(__xludf.DUMMYFUNCTION("""COMPUTED_VALUE"""),0.0)</f>
        <v>0</v>
      </c>
      <c r="X137" s="198"/>
      <c r="Y137" s="198"/>
      <c r="Z137" s="198"/>
      <c r="AA137" s="198"/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</row>
    <row r="138">
      <c r="A138" s="198"/>
      <c r="B138" s="203" t="str">
        <f>IF(OR(E138=Report!$B$1, F138=Report!$B$1, G138=Report!$B$1, H138=Report!$B$1), D138, "")</f>
        <v/>
      </c>
      <c r="C138" s="198" t="b">
        <f>IFERROR(__xludf.DUMMYFUNCTION("""COMPUTED_VALUE"""),FALSE)</f>
        <v>0</v>
      </c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201">
        <f>IFERROR(__xludf.DUMMYFUNCTION("""COMPUTED_VALUE"""),0.0)</f>
        <v>0</v>
      </c>
      <c r="W138" s="201">
        <f>IFERROR(__xludf.DUMMYFUNCTION("""COMPUTED_VALUE"""),0.0)</f>
        <v>0</v>
      </c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</row>
    <row r="139">
      <c r="A139" s="198"/>
      <c r="B139" s="203" t="str">
        <f>IF(OR(E139=Report!$B$1, F139=Report!$B$1, G139=Report!$B$1, H139=Report!$B$1), D139, "")</f>
        <v/>
      </c>
      <c r="C139" s="198" t="b">
        <f>IFERROR(__xludf.DUMMYFUNCTION("""COMPUTED_VALUE"""),FALSE)</f>
        <v>0</v>
      </c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201">
        <f>IFERROR(__xludf.DUMMYFUNCTION("""COMPUTED_VALUE"""),0.0)</f>
        <v>0</v>
      </c>
      <c r="W139" s="201">
        <f>IFERROR(__xludf.DUMMYFUNCTION("""COMPUTED_VALUE"""),0.0)</f>
        <v>0</v>
      </c>
      <c r="X139" s="198"/>
      <c r="Y139" s="198"/>
      <c r="Z139" s="198"/>
      <c r="AA139" s="198"/>
      <c r="AB139" s="198"/>
      <c r="AC139" s="198"/>
      <c r="AD139" s="198"/>
      <c r="AE139" s="198"/>
      <c r="AF139" s="198"/>
      <c r="AG139" s="198"/>
      <c r="AH139" s="198"/>
      <c r="AI139" s="198"/>
      <c r="AJ139" s="198"/>
      <c r="AK139" s="198"/>
    </row>
    <row r="140">
      <c r="A140" s="198"/>
      <c r="B140" s="203" t="str">
        <f>IF(OR(E140=Report!$B$1, F140=Report!$B$1, G140=Report!$B$1, H140=Report!$B$1), D140, "")</f>
        <v/>
      </c>
      <c r="C140" s="198" t="b">
        <f>IFERROR(__xludf.DUMMYFUNCTION("""COMPUTED_VALUE"""),FALSE)</f>
        <v>0</v>
      </c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201">
        <f>IFERROR(__xludf.DUMMYFUNCTION("""COMPUTED_VALUE"""),0.0)</f>
        <v>0</v>
      </c>
      <c r="W140" s="201">
        <f>IFERROR(__xludf.DUMMYFUNCTION("""COMPUTED_VALUE"""),0.0)</f>
        <v>0</v>
      </c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</row>
    <row r="141">
      <c r="A141" s="198"/>
      <c r="B141" s="203" t="str">
        <f>IF(OR(E141=Report!$B$1, F141=Report!$B$1, G141=Report!$B$1, H141=Report!$B$1), D141, "")</f>
        <v/>
      </c>
      <c r="C141" s="198" t="b">
        <f>IFERROR(__xludf.DUMMYFUNCTION("""COMPUTED_VALUE"""),FALSE)</f>
        <v>0</v>
      </c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201">
        <f>IFERROR(__xludf.DUMMYFUNCTION("""COMPUTED_VALUE"""),0.0)</f>
        <v>0</v>
      </c>
      <c r="W141" s="201">
        <f>IFERROR(__xludf.DUMMYFUNCTION("""COMPUTED_VALUE"""),0.0)</f>
        <v>0</v>
      </c>
      <c r="X141" s="198"/>
      <c r="Y141" s="198"/>
      <c r="Z141" s="198"/>
      <c r="AA141" s="198"/>
      <c r="AB141" s="198"/>
      <c r="AC141" s="198"/>
      <c r="AD141" s="198"/>
      <c r="AE141" s="198"/>
      <c r="AF141" s="198"/>
      <c r="AG141" s="198"/>
      <c r="AH141" s="198"/>
      <c r="AI141" s="198"/>
      <c r="AJ141" s="198"/>
      <c r="AK141" s="198"/>
    </row>
    <row r="142">
      <c r="A142" s="198"/>
      <c r="B142" s="203" t="str">
        <f>IF(OR(E142=Report!$B$1, F142=Report!$B$1, G142=Report!$B$1, H142=Report!$B$1), D142, "")</f>
        <v/>
      </c>
      <c r="C142" s="198" t="b">
        <f>IFERROR(__xludf.DUMMYFUNCTION("""COMPUTED_VALUE"""),FALSE)</f>
        <v>0</v>
      </c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201">
        <f>IFERROR(__xludf.DUMMYFUNCTION("""COMPUTED_VALUE"""),0.0)</f>
        <v>0</v>
      </c>
      <c r="W142" s="201">
        <f>IFERROR(__xludf.DUMMYFUNCTION("""COMPUTED_VALUE"""),0.0)</f>
        <v>0</v>
      </c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</row>
    <row r="143">
      <c r="A143" s="198"/>
      <c r="B143" s="203" t="str">
        <f>IF(OR(E143=Report!$B$1, F143=Report!$B$1, G143=Report!$B$1, H143=Report!$B$1), D143, "")</f>
        <v/>
      </c>
      <c r="C143" s="198" t="b">
        <f>IFERROR(__xludf.DUMMYFUNCTION("""COMPUTED_VALUE"""),FALSE)</f>
        <v>0</v>
      </c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201">
        <f>IFERROR(__xludf.DUMMYFUNCTION("""COMPUTED_VALUE"""),0.0)</f>
        <v>0</v>
      </c>
      <c r="W143" s="201">
        <f>IFERROR(__xludf.DUMMYFUNCTION("""COMPUTED_VALUE"""),0.0)</f>
        <v>0</v>
      </c>
      <c r="X143" s="198"/>
      <c r="Y143" s="198"/>
      <c r="Z143" s="198"/>
      <c r="AA143" s="198"/>
      <c r="AB143" s="198"/>
      <c r="AC143" s="198"/>
      <c r="AD143" s="198"/>
      <c r="AE143" s="198"/>
      <c r="AF143" s="198"/>
      <c r="AG143" s="198"/>
      <c r="AH143" s="198"/>
      <c r="AI143" s="198"/>
      <c r="AJ143" s="198"/>
      <c r="AK143" s="198"/>
    </row>
    <row r="144">
      <c r="A144" s="198"/>
      <c r="B144" s="203" t="str">
        <f>IF(OR(E144=Report!$B$1, F144=Report!$B$1, G144=Report!$B$1, H144=Report!$B$1), D144, "")</f>
        <v/>
      </c>
      <c r="C144" s="198" t="b">
        <f>IFERROR(__xludf.DUMMYFUNCTION("""COMPUTED_VALUE"""),FALSE)</f>
        <v>0</v>
      </c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201">
        <f>IFERROR(__xludf.DUMMYFUNCTION("""COMPUTED_VALUE"""),0.0)</f>
        <v>0</v>
      </c>
      <c r="W144" s="201">
        <f>IFERROR(__xludf.DUMMYFUNCTION("""COMPUTED_VALUE"""),0.0)</f>
        <v>0</v>
      </c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198"/>
      <c r="AI144" s="198"/>
      <c r="AJ144" s="198"/>
      <c r="AK144" s="198"/>
    </row>
    <row r="145">
      <c r="A145" s="198"/>
      <c r="B145" s="203" t="str">
        <f>IF(OR(E145=Report!$B$1, F145=Report!$B$1, G145=Report!$B$1, H145=Report!$B$1), D145, "")</f>
        <v/>
      </c>
      <c r="C145" s="198" t="b">
        <f>IFERROR(__xludf.DUMMYFUNCTION("""COMPUTED_VALUE"""),FALSE)</f>
        <v>0</v>
      </c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201">
        <f>IFERROR(__xludf.DUMMYFUNCTION("""COMPUTED_VALUE"""),0.0)</f>
        <v>0</v>
      </c>
      <c r="W145" s="201">
        <f>IFERROR(__xludf.DUMMYFUNCTION("""COMPUTED_VALUE"""),0.0)</f>
        <v>0</v>
      </c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198"/>
      <c r="AI145" s="198"/>
      <c r="AJ145" s="198"/>
      <c r="AK145" s="198"/>
    </row>
    <row r="146">
      <c r="A146" s="198"/>
      <c r="B146" s="203" t="str">
        <f>IF(OR(E146=Report!$B$1, F146=Report!$B$1, G146=Report!$B$1, H146=Report!$B$1), D146, "")</f>
        <v/>
      </c>
      <c r="C146" s="198" t="b">
        <f>IFERROR(__xludf.DUMMYFUNCTION("""COMPUTED_VALUE"""),FALSE)</f>
        <v>0</v>
      </c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201">
        <f>IFERROR(__xludf.DUMMYFUNCTION("""COMPUTED_VALUE"""),0.0)</f>
        <v>0</v>
      </c>
      <c r="W146" s="201">
        <f>IFERROR(__xludf.DUMMYFUNCTION("""COMPUTED_VALUE"""),0.0)</f>
        <v>0</v>
      </c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</row>
    <row r="147">
      <c r="A147" s="198"/>
      <c r="B147" s="203" t="str">
        <f>IF(OR(E147=Report!$B$1, F147=Report!$B$1, G147=Report!$B$1, H147=Report!$B$1), D147, "")</f>
        <v/>
      </c>
      <c r="C147" s="198" t="b">
        <f>IFERROR(__xludf.DUMMYFUNCTION("""COMPUTED_VALUE"""),FALSE)</f>
        <v>0</v>
      </c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201">
        <f>IFERROR(__xludf.DUMMYFUNCTION("""COMPUTED_VALUE"""),0.0)</f>
        <v>0</v>
      </c>
      <c r="W147" s="201">
        <f>IFERROR(__xludf.DUMMYFUNCTION("""COMPUTED_VALUE"""),0.0)</f>
        <v>0</v>
      </c>
      <c r="X147" s="198"/>
      <c r="Y147" s="198"/>
      <c r="Z147" s="198"/>
      <c r="AA147" s="198"/>
      <c r="AB147" s="198"/>
      <c r="AC147" s="198"/>
      <c r="AD147" s="198"/>
      <c r="AE147" s="198"/>
      <c r="AF147" s="198"/>
      <c r="AG147" s="198"/>
      <c r="AH147" s="198"/>
      <c r="AI147" s="198"/>
      <c r="AJ147" s="198"/>
      <c r="AK147" s="198"/>
    </row>
    <row r="148">
      <c r="A148" s="198"/>
      <c r="B148" s="203" t="str">
        <f>IF(OR(E148=Report!$B$1, F148=Report!$B$1, G148=Report!$B$1, H148=Report!$B$1), D148, "")</f>
        <v/>
      </c>
      <c r="C148" s="198" t="b">
        <f>IFERROR(__xludf.DUMMYFUNCTION("""COMPUTED_VALUE"""),FALSE)</f>
        <v>0</v>
      </c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201">
        <f>IFERROR(__xludf.DUMMYFUNCTION("""COMPUTED_VALUE"""),0.0)</f>
        <v>0</v>
      </c>
      <c r="W148" s="201">
        <f>IFERROR(__xludf.DUMMYFUNCTION("""COMPUTED_VALUE"""),0.0)</f>
        <v>0</v>
      </c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</row>
    <row r="149">
      <c r="A149" s="198"/>
      <c r="B149" s="203" t="str">
        <f>IF(OR(E149=Report!$B$1, F149=Report!$B$1, G149=Report!$B$1, H149=Report!$B$1), D149, "")</f>
        <v/>
      </c>
      <c r="C149" s="198" t="b">
        <f>IFERROR(__xludf.DUMMYFUNCTION("""COMPUTED_VALUE"""),FALSE)</f>
        <v>0</v>
      </c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201">
        <f>IFERROR(__xludf.DUMMYFUNCTION("""COMPUTED_VALUE"""),0.0)</f>
        <v>0</v>
      </c>
      <c r="W149" s="201">
        <f>IFERROR(__xludf.DUMMYFUNCTION("""COMPUTED_VALUE"""),0.0)</f>
        <v>0</v>
      </c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198"/>
      <c r="AH149" s="198"/>
      <c r="AI149" s="198"/>
      <c r="AJ149" s="198"/>
      <c r="AK149" s="198"/>
    </row>
    <row r="150">
      <c r="A150" s="198"/>
      <c r="B150" s="203" t="str">
        <f>IF(OR(E150=Report!$B$1, F150=Report!$B$1, G150=Report!$B$1, H150=Report!$B$1), D150, "")</f>
        <v/>
      </c>
      <c r="C150" s="198" t="b">
        <f>IFERROR(__xludf.DUMMYFUNCTION("""COMPUTED_VALUE"""),FALSE)</f>
        <v>0</v>
      </c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201">
        <f>IFERROR(__xludf.DUMMYFUNCTION("""COMPUTED_VALUE"""),0.0)</f>
        <v>0</v>
      </c>
      <c r="W150" s="201">
        <f>IFERROR(__xludf.DUMMYFUNCTION("""COMPUTED_VALUE"""),0.0)</f>
        <v>0</v>
      </c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</row>
    <row r="151">
      <c r="A151" s="198"/>
      <c r="B151" s="203" t="str">
        <f>IF(OR(E151=Report!$B$1, F151=Report!$B$1, G151=Report!$B$1, H151=Report!$B$1), D151, "")</f>
        <v/>
      </c>
      <c r="C151" s="198" t="b">
        <f>IFERROR(__xludf.DUMMYFUNCTION("""COMPUTED_VALUE"""),FALSE)</f>
        <v>0</v>
      </c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201">
        <f>IFERROR(__xludf.DUMMYFUNCTION("""COMPUTED_VALUE"""),100.0)</f>
        <v>100</v>
      </c>
      <c r="W151" s="201">
        <f>IFERROR(__xludf.DUMMYFUNCTION("""COMPUTED_VALUE"""),0.0)</f>
        <v>0</v>
      </c>
      <c r="X151" s="198"/>
      <c r="Y151" s="198"/>
      <c r="Z151" s="19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</row>
    <row r="152">
      <c r="A152" s="198"/>
      <c r="B152" s="203" t="str">
        <f>IF(OR(E152=Report!$B$1, F152=Report!$B$1, G152=Report!$B$1, H152=Report!$B$1), D152, "")</f>
        <v/>
      </c>
      <c r="C152" s="198" t="b">
        <f>IFERROR(__xludf.DUMMYFUNCTION("""COMPUTED_VALUE"""),FALSE)</f>
        <v>0</v>
      </c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201">
        <f>IFERROR(__xludf.DUMMYFUNCTION("""COMPUTED_VALUE"""),100.0)</f>
        <v>100</v>
      </c>
      <c r="W152" s="201">
        <f>IFERROR(__xludf.DUMMYFUNCTION("""COMPUTED_VALUE"""),0.0)</f>
        <v>0</v>
      </c>
      <c r="X152" s="198"/>
      <c r="Y152" s="198"/>
      <c r="Z152" s="198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</row>
    <row r="153">
      <c r="A153" s="198"/>
      <c r="B153" s="203" t="str">
        <f>IF(OR(E153=Report!$B$1, F153=Report!$B$1, G153=Report!$B$1, H153=Report!$B$1), D153, "")</f>
        <v/>
      </c>
      <c r="C153" s="198" t="b">
        <f>IFERROR(__xludf.DUMMYFUNCTION("""COMPUTED_VALUE"""),FALSE)</f>
        <v>0</v>
      </c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201">
        <f>IFERROR(__xludf.DUMMYFUNCTION("""COMPUTED_VALUE"""),100.0)</f>
        <v>100</v>
      </c>
      <c r="W153" s="201">
        <f>IFERROR(__xludf.DUMMYFUNCTION("""COMPUTED_VALUE"""),0.0)</f>
        <v>0</v>
      </c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</row>
    <row r="154">
      <c r="A154" s="198"/>
      <c r="B154" s="203" t="str">
        <f>IF(OR(E154=Report!$B$1, F154=Report!$B$1, G154=Report!$B$1, H154=Report!$B$1), D154, "")</f>
        <v/>
      </c>
      <c r="C154" s="198" t="b">
        <f>IFERROR(__xludf.DUMMYFUNCTION("""COMPUTED_VALUE"""),FALSE)</f>
        <v>0</v>
      </c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201">
        <f>IFERROR(__xludf.DUMMYFUNCTION("""COMPUTED_VALUE"""),100.0)</f>
        <v>100</v>
      </c>
      <c r="W154" s="201">
        <f>IFERROR(__xludf.DUMMYFUNCTION("""COMPUTED_VALUE"""),0.0)</f>
        <v>0</v>
      </c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198"/>
      <c r="AI154" s="198"/>
      <c r="AJ154" s="198"/>
      <c r="AK154" s="198"/>
    </row>
    <row r="155">
      <c r="A155" s="198"/>
      <c r="B155" s="203" t="str">
        <f>IF(OR(E155=Report!$B$1, F155=Report!$B$1, G155=Report!$B$1, H155=Report!$B$1), D155, "")</f>
        <v/>
      </c>
      <c r="C155" s="198" t="b">
        <f>IFERROR(__xludf.DUMMYFUNCTION("""COMPUTED_VALUE"""),FALSE)</f>
        <v>0</v>
      </c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201">
        <f>IFERROR(__xludf.DUMMYFUNCTION("""COMPUTED_VALUE"""),100.0)</f>
        <v>100</v>
      </c>
      <c r="W155" s="201">
        <f>IFERROR(__xludf.DUMMYFUNCTION("""COMPUTED_VALUE"""),0.0)</f>
        <v>0</v>
      </c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</row>
    <row r="156">
      <c r="A156" s="198"/>
      <c r="B156" s="203" t="str">
        <f>IF(OR(E156=Report!$B$1, F156=Report!$B$1, G156=Report!$B$1, H156=Report!$B$1), D156, "")</f>
        <v/>
      </c>
      <c r="C156" s="198" t="b">
        <f>IFERROR(__xludf.DUMMYFUNCTION("""COMPUTED_VALUE"""),FALSE)</f>
        <v>0</v>
      </c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201">
        <f>IFERROR(__xludf.DUMMYFUNCTION("""COMPUTED_VALUE"""),100.0)</f>
        <v>100</v>
      </c>
      <c r="W156" s="201">
        <f>IFERROR(__xludf.DUMMYFUNCTION("""COMPUTED_VALUE"""),0.0)</f>
        <v>0</v>
      </c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198"/>
      <c r="AI156" s="198"/>
      <c r="AJ156" s="198"/>
      <c r="AK156" s="198"/>
    </row>
    <row r="157">
      <c r="A157" s="198"/>
      <c r="B157" s="203" t="str">
        <f>IF(OR(E157=Report!$B$1, F157=Report!$B$1, G157=Report!$B$1, H157=Report!$B$1), D157, "")</f>
        <v/>
      </c>
      <c r="C157" s="198" t="b">
        <f>IFERROR(__xludf.DUMMYFUNCTION("""COMPUTED_VALUE"""),FALSE)</f>
        <v>0</v>
      </c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201">
        <f>IFERROR(__xludf.DUMMYFUNCTION("""COMPUTED_VALUE"""),100.0)</f>
        <v>100</v>
      </c>
      <c r="W157" s="201">
        <f>IFERROR(__xludf.DUMMYFUNCTION("""COMPUTED_VALUE"""),0.0)</f>
        <v>0</v>
      </c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</row>
    <row r="158">
      <c r="A158" s="198"/>
      <c r="B158" s="203" t="str">
        <f>IF(OR(E158=Report!$B$1, F158=Report!$B$1, G158=Report!$B$1, H158=Report!$B$1), D158, "")</f>
        <v/>
      </c>
      <c r="C158" s="198" t="b">
        <f>IFERROR(__xludf.DUMMYFUNCTION("""COMPUTED_VALUE"""),FALSE)</f>
        <v>0</v>
      </c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201">
        <f>IFERROR(__xludf.DUMMYFUNCTION("""COMPUTED_VALUE"""),100.0)</f>
        <v>100</v>
      </c>
      <c r="W158" s="201">
        <f>IFERROR(__xludf.DUMMYFUNCTION("""COMPUTED_VALUE"""),0.0)</f>
        <v>0</v>
      </c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198"/>
      <c r="AI158" s="198"/>
      <c r="AJ158" s="198"/>
      <c r="AK158" s="198"/>
    </row>
    <row r="159">
      <c r="A159" s="198"/>
      <c r="B159" s="203" t="str">
        <f>IF(OR(E159=Report!$B$1, F159=Report!$B$1, G159=Report!$B$1, H159=Report!$B$1), D159, "")</f>
        <v/>
      </c>
      <c r="C159" s="198" t="b">
        <f>IFERROR(__xludf.DUMMYFUNCTION("""COMPUTED_VALUE"""),FALSE)</f>
        <v>0</v>
      </c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201">
        <f>IFERROR(__xludf.DUMMYFUNCTION("""COMPUTED_VALUE"""),100.0)</f>
        <v>100</v>
      </c>
      <c r="W159" s="201">
        <f>IFERROR(__xludf.DUMMYFUNCTION("""COMPUTED_VALUE"""),0.0)</f>
        <v>0</v>
      </c>
      <c r="X159" s="198"/>
      <c r="Y159" s="198"/>
      <c r="Z159" s="198"/>
      <c r="AA159" s="198"/>
      <c r="AB159" s="198"/>
      <c r="AC159" s="198"/>
      <c r="AD159" s="198"/>
      <c r="AE159" s="198"/>
      <c r="AF159" s="198"/>
      <c r="AG159" s="198"/>
      <c r="AH159" s="198"/>
      <c r="AI159" s="198"/>
      <c r="AJ159" s="198"/>
      <c r="AK159" s="198"/>
    </row>
    <row r="160">
      <c r="A160" s="198"/>
      <c r="B160" s="203" t="str">
        <f>IF(OR(E160=Report!$B$1, F160=Report!$B$1, G160=Report!$B$1, H160=Report!$B$1), D160, "")</f>
        <v/>
      </c>
      <c r="C160" s="198" t="b">
        <f>IFERROR(__xludf.DUMMYFUNCTION("""COMPUTED_VALUE"""),FALSE)</f>
        <v>0</v>
      </c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201">
        <f>IFERROR(__xludf.DUMMYFUNCTION("""COMPUTED_VALUE"""),100.0)</f>
        <v>100</v>
      </c>
      <c r="W160" s="201">
        <f>IFERROR(__xludf.DUMMYFUNCTION("""COMPUTED_VALUE"""),0.0)</f>
        <v>0</v>
      </c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</row>
    <row r="161">
      <c r="A161" s="198"/>
      <c r="B161" s="203" t="str">
        <f>IF(OR(E161=Report!$B$1, F161=Report!$B$1, G161=Report!$B$1, H161=Report!$B$1), D161, "")</f>
        <v/>
      </c>
      <c r="C161" s="198" t="b">
        <f>IFERROR(__xludf.DUMMYFUNCTION("""COMPUTED_VALUE"""),FALSE)</f>
        <v>0</v>
      </c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201">
        <f>IFERROR(__xludf.DUMMYFUNCTION("""COMPUTED_VALUE"""),100.0)</f>
        <v>100</v>
      </c>
      <c r="W161" s="201">
        <f>IFERROR(__xludf.DUMMYFUNCTION("""COMPUTED_VALUE"""),0.0)</f>
        <v>0</v>
      </c>
      <c r="X161" s="198"/>
      <c r="Y161" s="198"/>
      <c r="Z161" s="198"/>
      <c r="AA161" s="198"/>
      <c r="AB161" s="198"/>
      <c r="AC161" s="198"/>
      <c r="AD161" s="198"/>
      <c r="AE161" s="198"/>
      <c r="AF161" s="198"/>
      <c r="AG161" s="198"/>
      <c r="AH161" s="198"/>
      <c r="AI161" s="198"/>
      <c r="AJ161" s="198"/>
      <c r="AK161" s="198"/>
    </row>
    <row r="162">
      <c r="A162" s="198"/>
      <c r="B162" s="203" t="str">
        <f>IF(OR(E162=Report!$B$1, F162=Report!$B$1, G162=Report!$B$1, H162=Report!$B$1), D162, "")</f>
        <v/>
      </c>
      <c r="C162" s="198" t="b">
        <f>IFERROR(__xludf.DUMMYFUNCTION("""COMPUTED_VALUE"""),FALSE)</f>
        <v>0</v>
      </c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201">
        <f>IFERROR(__xludf.DUMMYFUNCTION("""COMPUTED_VALUE"""),100.0)</f>
        <v>100</v>
      </c>
      <c r="W162" s="201">
        <f>IFERROR(__xludf.DUMMYFUNCTION("""COMPUTED_VALUE"""),0.0)</f>
        <v>0</v>
      </c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</row>
    <row r="163">
      <c r="A163" s="198"/>
      <c r="B163" s="203" t="str">
        <f>IF(OR(E163=Report!$B$1, F163=Report!$B$1, G163=Report!$B$1, H163=Report!$B$1), D163, "")</f>
        <v/>
      </c>
      <c r="C163" s="198" t="b">
        <f>IFERROR(__xludf.DUMMYFUNCTION("""COMPUTED_VALUE"""),FALSE)</f>
        <v>0</v>
      </c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201">
        <f>IFERROR(__xludf.DUMMYFUNCTION("""COMPUTED_VALUE"""),100.0)</f>
        <v>100</v>
      </c>
      <c r="W163" s="201">
        <f>IFERROR(__xludf.DUMMYFUNCTION("""COMPUTED_VALUE"""),0.0)</f>
        <v>0</v>
      </c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198"/>
      <c r="AI163" s="198"/>
      <c r="AJ163" s="198"/>
      <c r="AK163" s="198"/>
    </row>
    <row r="164">
      <c r="A164" s="198"/>
      <c r="B164" s="203" t="str">
        <f>IF(OR(E164=Report!$B$1, F164=Report!$B$1, G164=Report!$B$1, H164=Report!$B$1), D164, "")</f>
        <v/>
      </c>
      <c r="C164" s="198" t="b">
        <f>IFERROR(__xludf.DUMMYFUNCTION("""COMPUTED_VALUE"""),FALSE)</f>
        <v>0</v>
      </c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201">
        <f>IFERROR(__xludf.DUMMYFUNCTION("""COMPUTED_VALUE"""),100.0)</f>
        <v>100</v>
      </c>
      <c r="W164" s="201">
        <f>IFERROR(__xludf.DUMMYFUNCTION("""COMPUTED_VALUE"""),0.0)</f>
        <v>0</v>
      </c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</row>
    <row r="165">
      <c r="A165" s="198"/>
      <c r="B165" s="203" t="str">
        <f>IF(OR(E165=Report!$B$1, F165=Report!$B$1, G165=Report!$B$1, H165=Report!$B$1), D165, "")</f>
        <v/>
      </c>
      <c r="C165" s="198" t="b">
        <f>IFERROR(__xludf.DUMMYFUNCTION("""COMPUTED_VALUE"""),FALSE)</f>
        <v>0</v>
      </c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201">
        <f>IFERROR(__xludf.DUMMYFUNCTION("""COMPUTED_VALUE"""),100.0)</f>
        <v>100</v>
      </c>
      <c r="W165" s="201">
        <f>IFERROR(__xludf.DUMMYFUNCTION("""COMPUTED_VALUE"""),0.0)</f>
        <v>0</v>
      </c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198"/>
      <c r="AI165" s="198"/>
      <c r="AJ165" s="198"/>
      <c r="AK165" s="198"/>
    </row>
    <row r="166">
      <c r="A166" s="198"/>
      <c r="B166" s="203" t="str">
        <f>IF(OR(E166=Report!$B$1, F166=Report!$B$1, G166=Report!$B$1, H166=Report!$B$1), D166, "")</f>
        <v/>
      </c>
      <c r="C166" s="198" t="b">
        <f>IFERROR(__xludf.DUMMYFUNCTION("""COMPUTED_VALUE"""),FALSE)</f>
        <v>0</v>
      </c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201">
        <f>IFERROR(__xludf.DUMMYFUNCTION("""COMPUTED_VALUE"""),100.0)</f>
        <v>100</v>
      </c>
      <c r="W166" s="201">
        <f>IFERROR(__xludf.DUMMYFUNCTION("""COMPUTED_VALUE"""),0.0)</f>
        <v>0</v>
      </c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198"/>
      <c r="AI166" s="198"/>
      <c r="AJ166" s="198"/>
      <c r="AK166" s="198"/>
    </row>
    <row r="167">
      <c r="A167" s="198"/>
      <c r="B167" s="203" t="str">
        <f>IF(OR(E167=Report!$B$1, F167=Report!$B$1, G167=Report!$B$1, H167=Report!$B$1), D167, "")</f>
        <v/>
      </c>
      <c r="C167" s="198" t="b">
        <f>IFERROR(__xludf.DUMMYFUNCTION("""COMPUTED_VALUE"""),FALSE)</f>
        <v>0</v>
      </c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201">
        <f>IFERROR(__xludf.DUMMYFUNCTION("""COMPUTED_VALUE"""),100.0)</f>
        <v>100</v>
      </c>
      <c r="W167" s="201">
        <f>IFERROR(__xludf.DUMMYFUNCTION("""COMPUTED_VALUE"""),0.0)</f>
        <v>0</v>
      </c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</row>
    <row r="168">
      <c r="A168" s="198"/>
      <c r="B168" s="203" t="str">
        <f>IF(OR(E168=Report!$B$1, F168=Report!$B$1, G168=Report!$B$1, H168=Report!$B$1), D168, "")</f>
        <v/>
      </c>
      <c r="C168" s="198" t="b">
        <f>IFERROR(__xludf.DUMMYFUNCTION("""COMPUTED_VALUE"""),FALSE)</f>
        <v>0</v>
      </c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201">
        <f>IFERROR(__xludf.DUMMYFUNCTION("""COMPUTED_VALUE"""),100.0)</f>
        <v>100</v>
      </c>
      <c r="W168" s="201">
        <f>IFERROR(__xludf.DUMMYFUNCTION("""COMPUTED_VALUE"""),0.0)</f>
        <v>0</v>
      </c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198"/>
      <c r="AI168" s="198"/>
      <c r="AJ168" s="198"/>
      <c r="AK168" s="198"/>
    </row>
    <row r="169">
      <c r="A169" s="198"/>
      <c r="B169" s="203" t="str">
        <f>IF(OR(E169=Report!$B$1, F169=Report!$B$1, G169=Report!$B$1, H169=Report!$B$1), D169, "")</f>
        <v/>
      </c>
      <c r="C169" s="198" t="b">
        <f>IFERROR(__xludf.DUMMYFUNCTION("""COMPUTED_VALUE"""),FALSE)</f>
        <v>0</v>
      </c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201">
        <f>IFERROR(__xludf.DUMMYFUNCTION("""COMPUTED_VALUE"""),100.0)</f>
        <v>100</v>
      </c>
      <c r="W169" s="201">
        <f>IFERROR(__xludf.DUMMYFUNCTION("""COMPUTED_VALUE"""),0.0)</f>
        <v>0</v>
      </c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198"/>
      <c r="AI169" s="198"/>
      <c r="AJ169" s="198"/>
      <c r="AK169" s="198"/>
    </row>
    <row r="170">
      <c r="A170" s="198"/>
      <c r="B170" s="203" t="str">
        <f>IF(OR(E170=Report!$B$1, F170=Report!$B$1, G170=Report!$B$1, H170=Report!$B$1), D170, "")</f>
        <v/>
      </c>
      <c r="C170" s="198" t="b">
        <f>IFERROR(__xludf.DUMMYFUNCTION("""COMPUTED_VALUE"""),FALSE)</f>
        <v>0</v>
      </c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201">
        <f>IFERROR(__xludf.DUMMYFUNCTION("""COMPUTED_VALUE"""),100.0)</f>
        <v>100</v>
      </c>
      <c r="W170" s="201">
        <f>IFERROR(__xludf.DUMMYFUNCTION("""COMPUTED_VALUE"""),0.0)</f>
        <v>0</v>
      </c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</row>
    <row r="171">
      <c r="A171" s="198"/>
      <c r="B171" s="203" t="str">
        <f>IF(OR(E171=Report!$B$1, F171=Report!$B$1, G171=Report!$B$1, H171=Report!$B$1), D171, "")</f>
        <v/>
      </c>
      <c r="C171" s="198" t="b">
        <f>IFERROR(__xludf.DUMMYFUNCTION("""COMPUTED_VALUE"""),FALSE)</f>
        <v>0</v>
      </c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201">
        <f>IFERROR(__xludf.DUMMYFUNCTION("""COMPUTED_VALUE"""),100.0)</f>
        <v>100</v>
      </c>
      <c r="W171" s="201">
        <f>IFERROR(__xludf.DUMMYFUNCTION("""COMPUTED_VALUE"""),0.0)</f>
        <v>0</v>
      </c>
      <c r="X171" s="198"/>
      <c r="Y171" s="198"/>
      <c r="Z171" s="198"/>
      <c r="AA171" s="198"/>
      <c r="AB171" s="198"/>
      <c r="AC171" s="198"/>
      <c r="AD171" s="198"/>
      <c r="AE171" s="198"/>
      <c r="AF171" s="198"/>
      <c r="AG171" s="198"/>
      <c r="AH171" s="198"/>
      <c r="AI171" s="198"/>
      <c r="AJ171" s="198"/>
      <c r="AK171" s="198"/>
    </row>
    <row r="172">
      <c r="A172" s="198"/>
      <c r="B172" s="203" t="str">
        <f>IF(OR(E172=Report!$B$1, F172=Report!$B$1, G172=Report!$B$1, H172=Report!$B$1), D172, "")</f>
        <v/>
      </c>
      <c r="C172" s="198" t="b">
        <f>IFERROR(__xludf.DUMMYFUNCTION("""COMPUTED_VALUE"""),FALSE)</f>
        <v>0</v>
      </c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201">
        <f>IFERROR(__xludf.DUMMYFUNCTION("""COMPUTED_VALUE"""),100.0)</f>
        <v>100</v>
      </c>
      <c r="W172" s="201">
        <f>IFERROR(__xludf.DUMMYFUNCTION("""COMPUTED_VALUE"""),0.0)</f>
        <v>0</v>
      </c>
      <c r="X172" s="198"/>
      <c r="Y172" s="198"/>
      <c r="Z172" s="198"/>
      <c r="AA172" s="198"/>
      <c r="AB172" s="198"/>
      <c r="AC172" s="198"/>
      <c r="AD172" s="198"/>
      <c r="AE172" s="198"/>
      <c r="AF172" s="198"/>
      <c r="AG172" s="198"/>
      <c r="AH172" s="198"/>
      <c r="AI172" s="198"/>
      <c r="AJ172" s="198"/>
      <c r="AK172" s="198"/>
    </row>
    <row r="173">
      <c r="A173" s="198"/>
      <c r="B173" s="203" t="str">
        <f>IF(OR(E173=Report!$B$1, F173=Report!$B$1, G173=Report!$B$1, H173=Report!$B$1), D173, "")</f>
        <v/>
      </c>
      <c r="C173" s="198" t="b">
        <f>IFERROR(__xludf.DUMMYFUNCTION("""COMPUTED_VALUE"""),FALSE)</f>
        <v>0</v>
      </c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201">
        <f>IFERROR(__xludf.DUMMYFUNCTION("""COMPUTED_VALUE"""),100.0)</f>
        <v>100</v>
      </c>
      <c r="W173" s="201">
        <f>IFERROR(__xludf.DUMMYFUNCTION("""COMPUTED_VALUE"""),0.0)</f>
        <v>0</v>
      </c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</row>
    <row r="174">
      <c r="A174" s="198"/>
      <c r="B174" s="203" t="str">
        <f>IF(OR(E174=Report!$B$1, F174=Report!$B$1, G174=Report!$B$1, H174=Report!$B$1), D174, "")</f>
        <v/>
      </c>
      <c r="C174" s="198" t="b">
        <f>IFERROR(__xludf.DUMMYFUNCTION("""COMPUTED_VALUE"""),FALSE)</f>
        <v>0</v>
      </c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201">
        <f>IFERROR(__xludf.DUMMYFUNCTION("""COMPUTED_VALUE"""),100.0)</f>
        <v>100</v>
      </c>
      <c r="W174" s="201">
        <f>IFERROR(__xludf.DUMMYFUNCTION("""COMPUTED_VALUE"""),0.0)</f>
        <v>0</v>
      </c>
      <c r="X174" s="198"/>
      <c r="Y174" s="198"/>
      <c r="Z174" s="198"/>
      <c r="AA174" s="198"/>
      <c r="AB174" s="198"/>
      <c r="AC174" s="198"/>
      <c r="AD174" s="198"/>
      <c r="AE174" s="198"/>
      <c r="AF174" s="198"/>
      <c r="AG174" s="198"/>
      <c r="AH174" s="198"/>
      <c r="AI174" s="198"/>
      <c r="AJ174" s="198"/>
      <c r="AK174" s="198"/>
    </row>
    <row r="175">
      <c r="A175" s="198"/>
      <c r="B175" s="203" t="str">
        <f>IF(OR(E175=Report!$B$1, F175=Report!$B$1, G175=Report!$B$1, H175=Report!$B$1), D175, "")</f>
        <v/>
      </c>
      <c r="C175" s="198" t="b">
        <f>IFERROR(__xludf.DUMMYFUNCTION("""COMPUTED_VALUE"""),FALSE)</f>
        <v>0</v>
      </c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201">
        <f>IFERROR(__xludf.DUMMYFUNCTION("""COMPUTED_VALUE"""),100.0)</f>
        <v>100</v>
      </c>
      <c r="W175" s="201">
        <f>IFERROR(__xludf.DUMMYFUNCTION("""COMPUTED_VALUE"""),0.0)</f>
        <v>0</v>
      </c>
      <c r="X175" s="198"/>
      <c r="Y175" s="198"/>
      <c r="Z175" s="198"/>
      <c r="AA175" s="198"/>
      <c r="AB175" s="198"/>
      <c r="AC175" s="198"/>
      <c r="AD175" s="198"/>
      <c r="AE175" s="198"/>
      <c r="AF175" s="198"/>
      <c r="AG175" s="198"/>
      <c r="AH175" s="198"/>
      <c r="AI175" s="198"/>
      <c r="AJ175" s="198"/>
      <c r="AK175" s="198"/>
    </row>
    <row r="176">
      <c r="A176" s="198"/>
      <c r="B176" s="203" t="str">
        <f>IF(OR(E176=Report!$B$1, F176=Report!$B$1, G176=Report!$B$1, H176=Report!$B$1), D176, "")</f>
        <v/>
      </c>
      <c r="C176" s="198" t="b">
        <f>IFERROR(__xludf.DUMMYFUNCTION("""COMPUTED_VALUE"""),FALSE)</f>
        <v>0</v>
      </c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201">
        <f>IFERROR(__xludf.DUMMYFUNCTION("""COMPUTED_VALUE"""),100.0)</f>
        <v>100</v>
      </c>
      <c r="W176" s="201">
        <f>IFERROR(__xludf.DUMMYFUNCTION("""COMPUTED_VALUE"""),0.0)</f>
        <v>0</v>
      </c>
      <c r="X176" s="198"/>
      <c r="Y176" s="198"/>
      <c r="Z176" s="198"/>
      <c r="AA176" s="198"/>
      <c r="AB176" s="198"/>
      <c r="AC176" s="198"/>
      <c r="AD176" s="198"/>
      <c r="AE176" s="198"/>
      <c r="AF176" s="198"/>
      <c r="AG176" s="198"/>
      <c r="AH176" s="198"/>
      <c r="AI176" s="198"/>
      <c r="AJ176" s="198"/>
      <c r="AK176" s="198"/>
    </row>
    <row r="177">
      <c r="A177" s="198"/>
      <c r="B177" s="203" t="str">
        <f>IF(OR(E177=Report!$B$1, F177=Report!$B$1, G177=Report!$B$1, H177=Report!$B$1), D177, "")</f>
        <v/>
      </c>
      <c r="C177" s="198" t="b">
        <f>IFERROR(__xludf.DUMMYFUNCTION("""COMPUTED_VALUE"""),FALSE)</f>
        <v>0</v>
      </c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201">
        <f>IFERROR(__xludf.DUMMYFUNCTION("""COMPUTED_VALUE"""),100.0)</f>
        <v>100</v>
      </c>
      <c r="W177" s="201">
        <f>IFERROR(__xludf.DUMMYFUNCTION("""COMPUTED_VALUE"""),0.0)</f>
        <v>0</v>
      </c>
      <c r="X177" s="198"/>
      <c r="Y177" s="198"/>
      <c r="Z177" s="198"/>
      <c r="AA177" s="198"/>
      <c r="AB177" s="198"/>
      <c r="AC177" s="198"/>
      <c r="AD177" s="198"/>
      <c r="AE177" s="198"/>
      <c r="AF177" s="198"/>
      <c r="AG177" s="198"/>
      <c r="AH177" s="198"/>
      <c r="AI177" s="198"/>
      <c r="AJ177" s="198"/>
      <c r="AK177" s="198"/>
    </row>
    <row r="178">
      <c r="A178" s="198"/>
      <c r="B178" s="203" t="str">
        <f>IF(OR(E178=Report!$B$1, F178=Report!$B$1, G178=Report!$B$1, H178=Report!$B$1), D178, "")</f>
        <v/>
      </c>
      <c r="C178" s="198" t="b">
        <f>IFERROR(__xludf.DUMMYFUNCTION("""COMPUTED_VALUE"""),FALSE)</f>
        <v>0</v>
      </c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201">
        <f>IFERROR(__xludf.DUMMYFUNCTION("""COMPUTED_VALUE"""),100.0)</f>
        <v>100</v>
      </c>
      <c r="W178" s="201">
        <f>IFERROR(__xludf.DUMMYFUNCTION("""COMPUTED_VALUE"""),0.0)</f>
        <v>0</v>
      </c>
      <c r="X178" s="198"/>
      <c r="Y178" s="198"/>
      <c r="Z178" s="198"/>
      <c r="AA178" s="198"/>
      <c r="AB178" s="198"/>
      <c r="AC178" s="198"/>
      <c r="AD178" s="198"/>
      <c r="AE178" s="198"/>
      <c r="AF178" s="198"/>
      <c r="AG178" s="198"/>
      <c r="AH178" s="198"/>
      <c r="AI178" s="198"/>
      <c r="AJ178" s="198"/>
      <c r="AK178" s="198"/>
    </row>
    <row r="179">
      <c r="A179" s="198"/>
      <c r="B179" s="203" t="str">
        <f>IF(OR(E179=Report!$B$1, F179=Report!$B$1, G179=Report!$B$1, H179=Report!$B$1), D179, "")</f>
        <v/>
      </c>
      <c r="C179" s="198" t="b">
        <f>IFERROR(__xludf.DUMMYFUNCTION("""COMPUTED_VALUE"""),FALSE)</f>
        <v>0</v>
      </c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201">
        <f>IFERROR(__xludf.DUMMYFUNCTION("""COMPUTED_VALUE"""),100.0)</f>
        <v>100</v>
      </c>
      <c r="W179" s="201">
        <f>IFERROR(__xludf.DUMMYFUNCTION("""COMPUTED_VALUE"""),0.0)</f>
        <v>0</v>
      </c>
      <c r="X179" s="198"/>
      <c r="Y179" s="198"/>
      <c r="Z179" s="198"/>
      <c r="AA179" s="198"/>
      <c r="AB179" s="198"/>
      <c r="AC179" s="198"/>
      <c r="AD179" s="198"/>
      <c r="AE179" s="198"/>
      <c r="AF179" s="198"/>
      <c r="AG179" s="198"/>
      <c r="AH179" s="198"/>
      <c r="AI179" s="198"/>
      <c r="AJ179" s="198"/>
      <c r="AK179" s="198"/>
    </row>
    <row r="180">
      <c r="A180" s="198"/>
      <c r="B180" s="198"/>
      <c r="C180" s="198" t="b">
        <f>IFERROR(__xludf.DUMMYFUNCTION("""COMPUTED_VALUE"""),FALSE)</f>
        <v>0</v>
      </c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201">
        <f>IFERROR(__xludf.DUMMYFUNCTION("""COMPUTED_VALUE"""),100.0)</f>
        <v>100</v>
      </c>
      <c r="W180" s="201">
        <f>IFERROR(__xludf.DUMMYFUNCTION("""COMPUTED_VALUE"""),0.0)</f>
        <v>0</v>
      </c>
      <c r="X180" s="198"/>
      <c r="Y180" s="198"/>
      <c r="Z180" s="198"/>
      <c r="AA180" s="198"/>
      <c r="AB180" s="198"/>
      <c r="AC180" s="198"/>
      <c r="AD180" s="198"/>
      <c r="AE180" s="198"/>
      <c r="AF180" s="198"/>
      <c r="AG180" s="198"/>
      <c r="AH180" s="198"/>
      <c r="AI180" s="198"/>
      <c r="AJ180" s="198"/>
      <c r="AK180" s="198"/>
    </row>
    <row r="181">
      <c r="A181" s="198"/>
      <c r="B181" s="198"/>
      <c r="C181" s="198" t="b">
        <f>IFERROR(__xludf.DUMMYFUNCTION("""COMPUTED_VALUE"""),FALSE)</f>
        <v>0</v>
      </c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201">
        <f>IFERROR(__xludf.DUMMYFUNCTION("""COMPUTED_VALUE"""),100.0)</f>
        <v>100</v>
      </c>
      <c r="W181" s="201">
        <f>IFERROR(__xludf.DUMMYFUNCTION("""COMPUTED_VALUE"""),0.0)</f>
        <v>0</v>
      </c>
      <c r="X181" s="198"/>
      <c r="Y181" s="198"/>
      <c r="Z181" s="198"/>
      <c r="AA181" s="198"/>
      <c r="AB181" s="198"/>
      <c r="AC181" s="198"/>
      <c r="AD181" s="198"/>
      <c r="AE181" s="198"/>
      <c r="AF181" s="198"/>
      <c r="AG181" s="198"/>
      <c r="AH181" s="198"/>
      <c r="AI181" s="198"/>
      <c r="AJ181" s="198"/>
      <c r="AK181" s="198"/>
    </row>
    <row r="182">
      <c r="A182" s="198"/>
      <c r="B182" s="198"/>
      <c r="C182" s="198" t="b">
        <f>IFERROR(__xludf.DUMMYFUNCTION("""COMPUTED_VALUE"""),FALSE)</f>
        <v>0</v>
      </c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198"/>
      <c r="Y182" s="198"/>
      <c r="Z182" s="198"/>
      <c r="AA182" s="198"/>
      <c r="AB182" s="198"/>
      <c r="AC182" s="198"/>
      <c r="AD182" s="198"/>
      <c r="AE182" s="198"/>
      <c r="AF182" s="198"/>
      <c r="AG182" s="198"/>
      <c r="AH182" s="198"/>
      <c r="AI182" s="198"/>
      <c r="AJ182" s="198"/>
      <c r="AK182" s="198"/>
    </row>
    <row r="183">
      <c r="A183" s="198"/>
      <c r="B183" s="198"/>
      <c r="C183" s="198" t="b">
        <f>IFERROR(__xludf.DUMMYFUNCTION("""COMPUTED_VALUE"""),FALSE)</f>
        <v>0</v>
      </c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198"/>
      <c r="Y183" s="198"/>
      <c r="Z183" s="198"/>
      <c r="AA183" s="198"/>
      <c r="AB183" s="198"/>
      <c r="AC183" s="198"/>
      <c r="AD183" s="198"/>
      <c r="AE183" s="198"/>
      <c r="AF183" s="198"/>
      <c r="AG183" s="198"/>
      <c r="AH183" s="198"/>
      <c r="AI183" s="198"/>
      <c r="AJ183" s="198"/>
      <c r="AK183" s="198"/>
    </row>
    <row r="184">
      <c r="A184" s="198"/>
      <c r="B184" s="198"/>
      <c r="C184" s="198" t="b">
        <f>IFERROR(__xludf.DUMMYFUNCTION("""COMPUTED_VALUE"""),FALSE)</f>
        <v>0</v>
      </c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</row>
    <row r="185">
      <c r="A185" s="198"/>
      <c r="B185" s="198"/>
      <c r="C185" s="198" t="b">
        <f>IFERROR(__xludf.DUMMYFUNCTION("""COMPUTED_VALUE"""),FALSE)</f>
        <v>0</v>
      </c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198"/>
      <c r="Y185" s="198"/>
      <c r="Z185" s="198"/>
      <c r="AA185" s="198"/>
      <c r="AB185" s="198"/>
      <c r="AC185" s="198"/>
      <c r="AD185" s="198"/>
      <c r="AE185" s="198"/>
      <c r="AF185" s="198"/>
      <c r="AG185" s="198"/>
      <c r="AH185" s="198"/>
      <c r="AI185" s="198"/>
      <c r="AJ185" s="198"/>
      <c r="AK185" s="198"/>
    </row>
    <row r="186">
      <c r="A186" s="198"/>
      <c r="B186" s="198"/>
      <c r="C186" s="198" t="b">
        <f>IFERROR(__xludf.DUMMYFUNCTION("""COMPUTED_VALUE"""),FALSE)</f>
        <v>0</v>
      </c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198"/>
      <c r="Y186" s="198"/>
      <c r="Z186" s="198"/>
      <c r="AA186" s="198"/>
      <c r="AB186" s="198"/>
      <c r="AC186" s="198"/>
      <c r="AD186" s="198"/>
      <c r="AE186" s="198"/>
      <c r="AF186" s="198"/>
      <c r="AG186" s="198"/>
      <c r="AH186" s="198"/>
      <c r="AI186" s="198"/>
      <c r="AJ186" s="198"/>
      <c r="AK186" s="198"/>
    </row>
    <row r="187">
      <c r="A187" s="198"/>
      <c r="B187" s="198"/>
      <c r="C187" s="198" t="b">
        <f>IFERROR(__xludf.DUMMYFUNCTION("""COMPUTED_VALUE"""),FALSE)</f>
        <v>0</v>
      </c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198"/>
      <c r="Y187" s="198"/>
      <c r="Z187" s="198"/>
      <c r="AA187" s="198"/>
      <c r="AB187" s="198"/>
      <c r="AC187" s="198"/>
      <c r="AD187" s="198"/>
      <c r="AE187" s="198"/>
      <c r="AF187" s="198"/>
      <c r="AG187" s="198"/>
      <c r="AH187" s="198"/>
      <c r="AI187" s="198"/>
      <c r="AJ187" s="198"/>
      <c r="AK187" s="198"/>
    </row>
    <row r="188">
      <c r="A188" s="198"/>
      <c r="B188" s="198"/>
      <c r="C188" s="198" t="b">
        <f>IFERROR(__xludf.DUMMYFUNCTION("""COMPUTED_VALUE"""),FALSE)</f>
        <v>0</v>
      </c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</row>
    <row r="189">
      <c r="A189" s="198"/>
      <c r="B189" s="198"/>
      <c r="C189" s="198" t="b">
        <f>IFERROR(__xludf.DUMMYFUNCTION("""COMPUTED_VALUE"""),FALSE)</f>
        <v>0</v>
      </c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198"/>
      <c r="Y189" s="198"/>
      <c r="Z189" s="198"/>
      <c r="AA189" s="198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</row>
    <row r="190">
      <c r="A190" s="198"/>
      <c r="B190" s="198"/>
      <c r="C190" s="198" t="b">
        <f>IFERROR(__xludf.DUMMYFUNCTION("""COMPUTED_VALUE"""),FALSE)</f>
        <v>0</v>
      </c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198"/>
      <c r="Y190" s="198"/>
      <c r="Z190" s="198"/>
      <c r="AA190" s="198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</row>
    <row r="191">
      <c r="A191" s="198"/>
      <c r="B191" s="198"/>
      <c r="C191" s="198" t="b">
        <f>IFERROR(__xludf.DUMMYFUNCTION("""COMPUTED_VALUE"""),FALSE)</f>
        <v>0</v>
      </c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</row>
    <row r="192">
      <c r="A192" s="198"/>
      <c r="B192" s="198"/>
      <c r="C192" s="198" t="b">
        <f>IFERROR(__xludf.DUMMYFUNCTION("""COMPUTED_VALUE"""),FALSE)</f>
        <v>0</v>
      </c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201">
        <f>IFERROR(__xludf.DUMMYFUNCTION("""COMPUTED_VALUE"""),0.0)</f>
        <v>0</v>
      </c>
      <c r="X192" s="198"/>
      <c r="Y192" s="198"/>
      <c r="Z192" s="198"/>
      <c r="AA192" s="198"/>
      <c r="AB192" s="198"/>
      <c r="AC192" s="198"/>
      <c r="AD192" s="198"/>
      <c r="AE192" s="198"/>
      <c r="AF192" s="198"/>
      <c r="AG192" s="198"/>
      <c r="AH192" s="198"/>
      <c r="AI192" s="198"/>
      <c r="AJ192" s="198"/>
      <c r="AK192" s="198"/>
    </row>
    <row r="193">
      <c r="A193" s="198"/>
      <c r="B193" s="198"/>
      <c r="C193" s="198" t="b">
        <f>IFERROR(__xludf.DUMMYFUNCTION("""COMPUTED_VALUE"""),FALSE)</f>
        <v>0</v>
      </c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201">
        <f>IFERROR(__xludf.DUMMYFUNCTION("""COMPUTED_VALUE"""),0.0)</f>
        <v>0</v>
      </c>
      <c r="W193" s="201">
        <f>IFERROR(__xludf.DUMMYFUNCTION("""COMPUTED_VALUE"""),0.0)</f>
        <v>0</v>
      </c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</row>
    <row r="194">
      <c r="A194" s="198"/>
      <c r="B194" s="198"/>
      <c r="C194" s="198"/>
      <c r="D194" s="198" t="str">
        <f>IFERROR(__xludf.DUMMYFUNCTION("""COMPUTED_VALUE"""),"End")</f>
        <v>End</v>
      </c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201">
        <f>IFERROR(__xludf.DUMMYFUNCTION("""COMPUTED_VALUE"""),0.0)</f>
        <v>0</v>
      </c>
      <c r="W194" s="201">
        <f>IFERROR(__xludf.DUMMYFUNCTION("""COMPUTED_VALUE"""),0.0)</f>
        <v>0</v>
      </c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198"/>
      <c r="AJ194" s="198"/>
      <c r="AK194" s="198"/>
    </row>
    <row r="195">
      <c r="A195" s="198"/>
      <c r="B195" s="198"/>
      <c r="C195" s="198"/>
      <c r="D195" s="198" t="str">
        <f>IFERROR(__xludf.DUMMYFUNCTION("""COMPUTED_VALUE"""),"Celkem kurýr")</f>
        <v>Celkem kurýr</v>
      </c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201">
        <f>IFERROR(__xludf.DUMMYFUNCTION("""COMPUTED_VALUE"""),0.0)</f>
        <v>0</v>
      </c>
      <c r="W195" s="201">
        <f>IFERROR(__xludf.DUMMYFUNCTION("""COMPUTED_VALUE"""),0.0)</f>
        <v>0</v>
      </c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</row>
    <row r="196">
      <c r="A196" s="198"/>
      <c r="B196" s="198"/>
      <c r="C196" s="198"/>
      <c r="D196" s="198" t="str">
        <f>IFERROR(__xludf.DUMMYFUNCTION("""COMPUTED_VALUE"""),"Celkem inst + kurýr")</f>
        <v>Celkem inst + kurýr</v>
      </c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201"/>
      <c r="X196" s="198"/>
      <c r="Y196" s="198"/>
      <c r="Z196" s="198"/>
      <c r="AA196" s="198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</row>
    <row r="19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201"/>
      <c r="X197" s="198"/>
      <c r="Y197" s="198"/>
      <c r="Z197" s="198"/>
      <c r="AA197" s="198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</row>
    <row r="198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201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</row>
    <row r="199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201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198"/>
      <c r="AJ199" s="198"/>
      <c r="AK199" s="198"/>
    </row>
    <row r="200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201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</row>
    <row r="201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201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198"/>
      <c r="AJ201" s="198"/>
      <c r="AK201" s="198"/>
    </row>
    <row r="202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201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</row>
    <row r="203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201"/>
      <c r="X203" s="198"/>
      <c r="Y203" s="198"/>
      <c r="Z203" s="198"/>
      <c r="AA203" s="198"/>
      <c r="AB203" s="198"/>
      <c r="AC203" s="198"/>
      <c r="AD203" s="198"/>
      <c r="AE203" s="198"/>
      <c r="AF203" s="198"/>
      <c r="AG203" s="198"/>
      <c r="AH203" s="198"/>
      <c r="AI203" s="198"/>
      <c r="AJ203" s="198"/>
      <c r="AK203" s="198"/>
    </row>
    <row r="204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201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</row>
    <row r="205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201"/>
      <c r="X205" s="198"/>
      <c r="Y205" s="198"/>
      <c r="Z205" s="198"/>
      <c r="AA205" s="198"/>
      <c r="AB205" s="198"/>
      <c r="AC205" s="198"/>
      <c r="AD205" s="198"/>
      <c r="AE205" s="198"/>
      <c r="AF205" s="198"/>
      <c r="AG205" s="198"/>
      <c r="AH205" s="198"/>
      <c r="AI205" s="198"/>
      <c r="AJ205" s="198"/>
      <c r="AK205" s="198"/>
    </row>
    <row r="206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201"/>
      <c r="X206" s="198"/>
      <c r="Y206" s="198"/>
      <c r="Z206" s="198"/>
      <c r="AA206" s="198"/>
      <c r="AB206" s="198"/>
      <c r="AC206" s="198"/>
      <c r="AD206" s="198"/>
      <c r="AE206" s="198"/>
      <c r="AF206" s="198"/>
      <c r="AG206" s="198"/>
      <c r="AH206" s="198"/>
      <c r="AI206" s="198"/>
      <c r="AJ206" s="198"/>
      <c r="AK206" s="198"/>
    </row>
    <row r="20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201"/>
      <c r="X207" s="198"/>
      <c r="Y207" s="198"/>
      <c r="Z207" s="198"/>
      <c r="AA207" s="198"/>
      <c r="AB207" s="198"/>
      <c r="AC207" s="198"/>
      <c r="AD207" s="198"/>
      <c r="AE207" s="198"/>
      <c r="AF207" s="198"/>
      <c r="AG207" s="198"/>
      <c r="AH207" s="198"/>
      <c r="AI207" s="198"/>
      <c r="AJ207" s="198"/>
      <c r="AK207" s="198"/>
    </row>
    <row r="208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201"/>
      <c r="X208" s="198"/>
      <c r="Y208" s="198"/>
      <c r="Z208" s="198"/>
      <c r="AA208" s="198"/>
      <c r="AB208" s="198"/>
      <c r="AC208" s="198"/>
      <c r="AD208" s="198"/>
      <c r="AE208" s="198"/>
      <c r="AF208" s="198"/>
      <c r="AG208" s="198"/>
      <c r="AH208" s="198"/>
      <c r="AI208" s="198"/>
      <c r="AJ208" s="198"/>
      <c r="AK208" s="198"/>
    </row>
    <row r="209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201"/>
      <c r="X209" s="198"/>
      <c r="Y209" s="198"/>
      <c r="Z209" s="198"/>
      <c r="AA209" s="198"/>
      <c r="AB209" s="198"/>
      <c r="AC209" s="198"/>
      <c r="AD209" s="198"/>
      <c r="AE209" s="198"/>
      <c r="AF209" s="198"/>
      <c r="AG209" s="198"/>
      <c r="AH209" s="198"/>
      <c r="AI209" s="198"/>
      <c r="AJ209" s="198"/>
      <c r="AK209" s="198"/>
    </row>
    <row r="210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201"/>
      <c r="X210" s="198"/>
      <c r="Y210" s="198"/>
      <c r="Z210" s="198"/>
      <c r="AA210" s="198"/>
      <c r="AB210" s="198"/>
      <c r="AC210" s="198"/>
      <c r="AD210" s="198"/>
      <c r="AE210" s="198"/>
      <c r="AF210" s="198"/>
      <c r="AG210" s="198"/>
      <c r="AH210" s="198"/>
      <c r="AI210" s="198"/>
      <c r="AJ210" s="198"/>
      <c r="AK210" s="198"/>
    </row>
    <row r="211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201"/>
      <c r="X211" s="198"/>
      <c r="Y211" s="198"/>
      <c r="Z211" s="198"/>
      <c r="AA211" s="198"/>
      <c r="AB211" s="198"/>
      <c r="AC211" s="198"/>
      <c r="AD211" s="198"/>
      <c r="AE211" s="198"/>
      <c r="AF211" s="198"/>
      <c r="AG211" s="198"/>
      <c r="AH211" s="198"/>
      <c r="AI211" s="198"/>
      <c r="AJ211" s="198"/>
      <c r="AK211" s="198"/>
    </row>
    <row r="212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201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</row>
    <row r="213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201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</row>
    <row r="214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201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</row>
    <row r="215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201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</row>
    <row r="216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201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</row>
    <row r="21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201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</row>
    <row r="218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201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</row>
    <row r="219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201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</row>
    <row r="220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201"/>
      <c r="X220" s="198"/>
      <c r="Y220" s="198"/>
      <c r="Z220" s="198"/>
      <c r="AA220" s="198"/>
      <c r="AB220" s="198"/>
      <c r="AC220" s="198"/>
      <c r="AD220" s="198"/>
      <c r="AE220" s="198"/>
      <c r="AF220" s="198"/>
      <c r="AG220" s="198"/>
      <c r="AH220" s="198"/>
      <c r="AI220" s="198"/>
      <c r="AJ220" s="198"/>
      <c r="AK220" s="198"/>
    </row>
    <row r="221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198"/>
      <c r="U221" s="198"/>
      <c r="V221" s="198"/>
      <c r="W221" s="201"/>
      <c r="X221" s="198"/>
      <c r="Y221" s="198"/>
      <c r="Z221" s="198"/>
      <c r="AA221" s="198"/>
      <c r="AB221" s="198"/>
      <c r="AC221" s="198"/>
      <c r="AD221" s="198"/>
      <c r="AE221" s="198"/>
      <c r="AF221" s="198"/>
      <c r="AG221" s="198"/>
      <c r="AH221" s="198"/>
      <c r="AI221" s="198"/>
      <c r="AJ221" s="198"/>
      <c r="AK221" s="198"/>
    </row>
    <row r="222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198"/>
      <c r="S222" s="198"/>
      <c r="T222" s="198"/>
      <c r="U222" s="198"/>
      <c r="V222" s="198"/>
      <c r="W222" s="201"/>
      <c r="X222" s="198"/>
      <c r="Y222" s="198"/>
      <c r="Z222" s="198"/>
      <c r="AA222" s="198"/>
      <c r="AB222" s="198"/>
      <c r="AC222" s="198"/>
      <c r="AD222" s="198"/>
      <c r="AE222" s="198"/>
      <c r="AF222" s="198"/>
      <c r="AG222" s="198"/>
      <c r="AH222" s="198"/>
      <c r="AI222" s="198"/>
      <c r="AJ222" s="198"/>
      <c r="AK222" s="198"/>
    </row>
    <row r="223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201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</row>
    <row r="224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201"/>
      <c r="X224" s="198"/>
      <c r="Y224" s="198"/>
      <c r="Z224" s="198"/>
      <c r="AA224" s="198"/>
      <c r="AB224" s="198"/>
      <c r="AC224" s="198"/>
      <c r="AD224" s="198"/>
      <c r="AE224" s="198"/>
      <c r="AF224" s="198"/>
      <c r="AG224" s="198"/>
      <c r="AH224" s="198"/>
      <c r="AI224" s="198"/>
      <c r="AJ224" s="198"/>
      <c r="AK224" s="198"/>
    </row>
    <row r="22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201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</row>
    <row r="226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201"/>
      <c r="X226" s="198"/>
      <c r="Y226" s="198"/>
      <c r="Z226" s="198"/>
      <c r="AA226" s="198"/>
      <c r="AB226" s="198"/>
      <c r="AC226" s="198"/>
      <c r="AD226" s="198"/>
      <c r="AE226" s="198"/>
      <c r="AF226" s="198"/>
      <c r="AG226" s="198"/>
      <c r="AH226" s="198"/>
      <c r="AI226" s="198"/>
      <c r="AJ226" s="198"/>
      <c r="AK226" s="198"/>
    </row>
    <row r="2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198"/>
      <c r="R227" s="198"/>
      <c r="S227" s="198"/>
      <c r="T227" s="198"/>
      <c r="U227" s="198"/>
      <c r="V227" s="198"/>
      <c r="W227" s="201"/>
      <c r="X227" s="198"/>
      <c r="Y227" s="198"/>
      <c r="Z227" s="198"/>
      <c r="AA227" s="198"/>
      <c r="AB227" s="198"/>
      <c r="AC227" s="198"/>
      <c r="AD227" s="198"/>
      <c r="AE227" s="198"/>
      <c r="AF227" s="198"/>
      <c r="AG227" s="198"/>
      <c r="AH227" s="198"/>
      <c r="AI227" s="198"/>
      <c r="AJ227" s="198"/>
      <c r="AK227" s="198"/>
    </row>
    <row r="228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198"/>
      <c r="R228" s="198"/>
      <c r="S228" s="198"/>
      <c r="T228" s="198"/>
      <c r="U228" s="198"/>
      <c r="V228" s="198"/>
      <c r="W228" s="201"/>
      <c r="X228" s="198"/>
      <c r="Y228" s="198"/>
      <c r="Z228" s="198"/>
      <c r="AA228" s="198"/>
      <c r="AB228" s="198"/>
      <c r="AC228" s="198"/>
      <c r="AD228" s="198"/>
      <c r="AE228" s="198"/>
      <c r="AF228" s="198"/>
      <c r="AG228" s="198"/>
      <c r="AH228" s="198"/>
      <c r="AI228" s="198"/>
      <c r="AJ228" s="198"/>
      <c r="AK228" s="198"/>
    </row>
    <row r="229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198"/>
      <c r="R229" s="198"/>
      <c r="S229" s="198"/>
      <c r="T229" s="198"/>
      <c r="U229" s="198"/>
      <c r="V229" s="198"/>
      <c r="W229" s="201"/>
      <c r="X229" s="198"/>
      <c r="Y229" s="198"/>
      <c r="Z229" s="198"/>
      <c r="AA229" s="198"/>
      <c r="AB229" s="198"/>
      <c r="AC229" s="198"/>
      <c r="AD229" s="198"/>
      <c r="AE229" s="198"/>
      <c r="AF229" s="198"/>
      <c r="AG229" s="198"/>
      <c r="AH229" s="198"/>
      <c r="AI229" s="198"/>
      <c r="AJ229" s="198"/>
      <c r="AK229" s="198"/>
    </row>
    <row r="230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198"/>
      <c r="S230" s="198"/>
      <c r="T230" s="198"/>
      <c r="U230" s="198"/>
      <c r="V230" s="198"/>
      <c r="W230" s="201"/>
      <c r="X230" s="198"/>
      <c r="Y230" s="198"/>
      <c r="Z230" s="198"/>
      <c r="AA230" s="198"/>
      <c r="AB230" s="198"/>
      <c r="AC230" s="198"/>
      <c r="AD230" s="198"/>
      <c r="AE230" s="198"/>
      <c r="AF230" s="198"/>
      <c r="AG230" s="198"/>
      <c r="AH230" s="198"/>
      <c r="AI230" s="198"/>
      <c r="AJ230" s="198"/>
      <c r="AK230" s="198"/>
    </row>
    <row r="231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201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</row>
    <row r="232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/>
      <c r="S232" s="198"/>
      <c r="T232" s="198"/>
      <c r="U232" s="198"/>
      <c r="V232" s="198"/>
      <c r="W232" s="201"/>
      <c r="X232" s="198"/>
      <c r="Y232" s="198"/>
      <c r="Z232" s="198"/>
      <c r="AA232" s="198"/>
      <c r="AB232" s="198"/>
      <c r="AC232" s="198"/>
      <c r="AD232" s="198"/>
      <c r="AE232" s="198"/>
      <c r="AF232" s="198"/>
      <c r="AG232" s="198"/>
      <c r="AH232" s="198"/>
      <c r="AI232" s="198"/>
      <c r="AJ232" s="198"/>
      <c r="AK232" s="198"/>
    </row>
    <row r="233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/>
      <c r="S233" s="198"/>
      <c r="T233" s="198"/>
      <c r="U233" s="198"/>
      <c r="V233" s="198"/>
      <c r="W233" s="201"/>
      <c r="X233" s="198"/>
      <c r="Y233" s="198"/>
      <c r="Z233" s="198"/>
      <c r="AA233" s="198"/>
      <c r="AB233" s="198"/>
      <c r="AC233" s="198"/>
      <c r="AD233" s="198"/>
      <c r="AE233" s="198"/>
      <c r="AF233" s="198"/>
      <c r="AG233" s="198"/>
      <c r="AH233" s="198"/>
      <c r="AI233" s="198"/>
      <c r="AJ233" s="198"/>
      <c r="AK233" s="198"/>
    </row>
    <row r="234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201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</row>
    <row r="235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198"/>
      <c r="S235" s="198"/>
      <c r="T235" s="198"/>
      <c r="U235" s="198"/>
      <c r="V235" s="198"/>
      <c r="W235" s="201"/>
      <c r="X235" s="198"/>
      <c r="Y235" s="198"/>
      <c r="Z235" s="198"/>
      <c r="AA235" s="198"/>
      <c r="AB235" s="198"/>
      <c r="AC235" s="198"/>
      <c r="AD235" s="198"/>
      <c r="AE235" s="198"/>
      <c r="AF235" s="198"/>
      <c r="AG235" s="198"/>
      <c r="AH235" s="198"/>
      <c r="AI235" s="198"/>
      <c r="AJ235" s="198"/>
      <c r="AK235" s="198"/>
    </row>
    <row r="236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/>
      <c r="S236" s="198"/>
      <c r="T236" s="198"/>
      <c r="U236" s="198"/>
      <c r="V236" s="198"/>
      <c r="W236" s="201"/>
      <c r="X236" s="198"/>
      <c r="Y236" s="198"/>
      <c r="Z236" s="198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</row>
    <row r="23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201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</row>
    <row r="238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/>
      <c r="S238" s="198"/>
      <c r="T238" s="198"/>
      <c r="U238" s="198"/>
      <c r="V238" s="198"/>
      <c r="W238" s="201"/>
      <c r="X238" s="198"/>
      <c r="Y238" s="198"/>
      <c r="Z238" s="198"/>
      <c r="AA238" s="198"/>
      <c r="AB238" s="198"/>
      <c r="AC238" s="198"/>
      <c r="AD238" s="198"/>
      <c r="AE238" s="198"/>
      <c r="AF238" s="198"/>
      <c r="AG238" s="198"/>
      <c r="AH238" s="198"/>
      <c r="AI238" s="198"/>
      <c r="AJ238" s="198"/>
      <c r="AK238" s="198"/>
    </row>
    <row r="239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/>
      <c r="S239" s="198"/>
      <c r="T239" s="198"/>
      <c r="U239" s="198"/>
      <c r="V239" s="198"/>
      <c r="W239" s="201"/>
      <c r="X239" s="198"/>
      <c r="Y239" s="198"/>
      <c r="Z239" s="198"/>
      <c r="AA239" s="198"/>
      <c r="AB239" s="198"/>
      <c r="AC239" s="198"/>
      <c r="AD239" s="198"/>
      <c r="AE239" s="198"/>
      <c r="AF239" s="198"/>
      <c r="AG239" s="198"/>
      <c r="AH239" s="198"/>
      <c r="AI239" s="198"/>
      <c r="AJ239" s="198"/>
      <c r="AK239" s="198"/>
    </row>
    <row r="240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/>
      <c r="S240" s="198"/>
      <c r="T240" s="198"/>
      <c r="U240" s="198"/>
      <c r="V240" s="198"/>
      <c r="W240" s="201"/>
      <c r="X240" s="198"/>
      <c r="Y240" s="198"/>
      <c r="Z240" s="198"/>
      <c r="AA240" s="198"/>
      <c r="AB240" s="198"/>
      <c r="AC240" s="198"/>
      <c r="AD240" s="198"/>
      <c r="AE240" s="198"/>
      <c r="AF240" s="198"/>
      <c r="AG240" s="198"/>
      <c r="AH240" s="198"/>
      <c r="AI240" s="198"/>
      <c r="AJ240" s="198"/>
      <c r="AK240" s="198"/>
    </row>
    <row r="241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/>
      <c r="S241" s="198"/>
      <c r="T241" s="198"/>
      <c r="U241" s="198"/>
      <c r="V241" s="198"/>
      <c r="W241" s="201"/>
      <c r="X241" s="198"/>
      <c r="Y241" s="198"/>
      <c r="Z241" s="198"/>
      <c r="AA241" s="198"/>
      <c r="AB241" s="198"/>
      <c r="AC241" s="198"/>
      <c r="AD241" s="198"/>
      <c r="AE241" s="198"/>
      <c r="AF241" s="198"/>
      <c r="AG241" s="198"/>
      <c r="AH241" s="198"/>
      <c r="AI241" s="198"/>
      <c r="AJ241" s="198"/>
      <c r="AK241" s="198"/>
    </row>
    <row r="242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201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</row>
    <row r="243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201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</row>
    <row r="244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/>
      <c r="S244" s="198"/>
      <c r="T244" s="198"/>
      <c r="U244" s="198"/>
      <c r="V244" s="198"/>
      <c r="W244" s="201"/>
      <c r="X244" s="198"/>
      <c r="Y244" s="198"/>
      <c r="Z244" s="198"/>
      <c r="AA244" s="198"/>
      <c r="AB244" s="198"/>
      <c r="AC244" s="198"/>
      <c r="AD244" s="198"/>
      <c r="AE244" s="198"/>
      <c r="AF244" s="198"/>
      <c r="AG244" s="198"/>
      <c r="AH244" s="198"/>
      <c r="AI244" s="198"/>
      <c r="AJ244" s="198"/>
      <c r="AK244" s="198"/>
    </row>
    <row r="245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201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</row>
    <row r="246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/>
      <c r="S246" s="198"/>
      <c r="T246" s="198"/>
      <c r="U246" s="198"/>
      <c r="V246" s="198"/>
      <c r="W246" s="201"/>
      <c r="X246" s="198"/>
      <c r="Y246" s="198"/>
      <c r="Z246" s="198"/>
      <c r="AA246" s="198"/>
      <c r="AB246" s="198"/>
      <c r="AC246" s="198"/>
      <c r="AD246" s="198"/>
      <c r="AE246" s="198"/>
      <c r="AF246" s="198"/>
      <c r="AG246" s="198"/>
      <c r="AH246" s="198"/>
      <c r="AI246" s="198"/>
      <c r="AJ246" s="198"/>
      <c r="AK246" s="198"/>
    </row>
    <row r="24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201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</row>
    <row r="248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201"/>
      <c r="X248" s="198"/>
      <c r="Y248" s="198"/>
      <c r="Z248" s="198"/>
      <c r="AA248" s="198"/>
      <c r="AB248" s="198"/>
      <c r="AC248" s="198"/>
      <c r="AD248" s="198"/>
      <c r="AE248" s="198"/>
      <c r="AF248" s="198"/>
      <c r="AG248" s="198"/>
      <c r="AH248" s="198"/>
      <c r="AI248" s="198"/>
      <c r="AJ248" s="198"/>
      <c r="AK248" s="198"/>
    </row>
    <row r="249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198"/>
      <c r="R249" s="198"/>
      <c r="S249" s="198"/>
      <c r="T249" s="198"/>
      <c r="U249" s="198"/>
      <c r="V249" s="198"/>
      <c r="W249" s="201"/>
      <c r="X249" s="198"/>
      <c r="Y249" s="198"/>
      <c r="Z249" s="198"/>
      <c r="AA249" s="198"/>
      <c r="AB249" s="198"/>
      <c r="AC249" s="198"/>
      <c r="AD249" s="198"/>
      <c r="AE249" s="198"/>
      <c r="AF249" s="198"/>
      <c r="AG249" s="198"/>
      <c r="AH249" s="198"/>
      <c r="AI249" s="198"/>
      <c r="AJ249" s="198"/>
      <c r="AK249" s="198"/>
    </row>
    <row r="250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198"/>
      <c r="R250" s="198"/>
      <c r="S250" s="198"/>
      <c r="T250" s="198"/>
      <c r="U250" s="198"/>
      <c r="V250" s="198"/>
      <c r="W250" s="201"/>
      <c r="X250" s="198"/>
      <c r="Y250" s="198"/>
      <c r="Z250" s="198"/>
      <c r="AA250" s="198"/>
      <c r="AB250" s="198"/>
      <c r="AC250" s="198"/>
      <c r="AD250" s="198"/>
      <c r="AE250" s="198"/>
      <c r="AF250" s="198"/>
      <c r="AG250" s="198"/>
      <c r="AH250" s="198"/>
      <c r="AI250" s="198"/>
      <c r="AJ250" s="198"/>
      <c r="AK250" s="198"/>
    </row>
    <row r="251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198"/>
      <c r="R251" s="198"/>
      <c r="S251" s="198"/>
      <c r="T251" s="198"/>
      <c r="U251" s="198"/>
      <c r="V251" s="198"/>
      <c r="W251" s="201"/>
      <c r="X251" s="198"/>
      <c r="Y251" s="198"/>
      <c r="Z251" s="198"/>
      <c r="AA251" s="198"/>
      <c r="AB251" s="198"/>
      <c r="AC251" s="198"/>
      <c r="AD251" s="198"/>
      <c r="AE251" s="198"/>
      <c r="AF251" s="198"/>
      <c r="AG251" s="198"/>
      <c r="AH251" s="198"/>
      <c r="AI251" s="198"/>
      <c r="AJ251" s="198"/>
      <c r="AK251" s="198"/>
    </row>
    <row r="252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198"/>
      <c r="S252" s="198"/>
      <c r="T252" s="198"/>
      <c r="U252" s="198"/>
      <c r="V252" s="198"/>
      <c r="W252" s="201"/>
      <c r="X252" s="198"/>
      <c r="Y252" s="198"/>
      <c r="Z252" s="198"/>
      <c r="AA252" s="198"/>
      <c r="AB252" s="198"/>
      <c r="AC252" s="198"/>
      <c r="AD252" s="198"/>
      <c r="AE252" s="198"/>
      <c r="AF252" s="198"/>
      <c r="AG252" s="198"/>
      <c r="AH252" s="198"/>
      <c r="AI252" s="198"/>
      <c r="AJ252" s="198"/>
      <c r="AK252" s="198"/>
    </row>
    <row r="253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/>
      <c r="S253" s="198"/>
      <c r="T253" s="198"/>
      <c r="U253" s="198"/>
      <c r="V253" s="198"/>
      <c r="W253" s="201"/>
      <c r="X253" s="198"/>
      <c r="Y253" s="198"/>
      <c r="Z253" s="198"/>
      <c r="AA253" s="198"/>
      <c r="AB253" s="198"/>
      <c r="AC253" s="198"/>
      <c r="AD253" s="198"/>
      <c r="AE253" s="198"/>
      <c r="AF253" s="198"/>
      <c r="AG253" s="198"/>
      <c r="AH253" s="198"/>
      <c r="AI253" s="198"/>
      <c r="AJ253" s="198"/>
      <c r="AK253" s="198"/>
    </row>
    <row r="254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/>
      <c r="S254" s="198"/>
      <c r="T254" s="198"/>
      <c r="U254" s="198"/>
      <c r="V254" s="198"/>
      <c r="W254" s="201"/>
      <c r="X254" s="198"/>
      <c r="Y254" s="198"/>
      <c r="Z254" s="198"/>
      <c r="AA254" s="198"/>
      <c r="AB254" s="198"/>
      <c r="AC254" s="198"/>
      <c r="AD254" s="198"/>
      <c r="AE254" s="198"/>
      <c r="AF254" s="198"/>
      <c r="AG254" s="198"/>
      <c r="AH254" s="198"/>
      <c r="AI254" s="198"/>
      <c r="AJ254" s="198"/>
      <c r="AK254" s="198"/>
    </row>
    <row r="25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201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</row>
    <row r="256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198"/>
      <c r="S256" s="198"/>
      <c r="T256" s="198"/>
      <c r="U256" s="198"/>
      <c r="V256" s="198"/>
      <c r="W256" s="201"/>
      <c r="X256" s="198"/>
      <c r="Y256" s="198"/>
      <c r="Z256" s="198"/>
      <c r="AA256" s="198"/>
      <c r="AB256" s="198"/>
      <c r="AC256" s="198"/>
      <c r="AD256" s="198"/>
      <c r="AE256" s="198"/>
      <c r="AF256" s="198"/>
      <c r="AG256" s="198"/>
      <c r="AH256" s="198"/>
      <c r="AI256" s="198"/>
      <c r="AJ256" s="198"/>
      <c r="AK256" s="198"/>
    </row>
    <row r="25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/>
      <c r="S257" s="198"/>
      <c r="T257" s="198"/>
      <c r="U257" s="198"/>
      <c r="V257" s="198"/>
      <c r="W257" s="201"/>
      <c r="X257" s="198"/>
      <c r="Y257" s="198"/>
      <c r="Z257" s="198"/>
      <c r="AA257" s="198"/>
      <c r="AB257" s="198"/>
      <c r="AC257" s="198"/>
      <c r="AD257" s="198"/>
      <c r="AE257" s="198"/>
      <c r="AF257" s="198"/>
      <c r="AG257" s="198"/>
      <c r="AH257" s="198"/>
      <c r="AI257" s="198"/>
      <c r="AJ257" s="198"/>
      <c r="AK257" s="198"/>
    </row>
    <row r="258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/>
      <c r="S258" s="198"/>
      <c r="T258" s="198"/>
      <c r="U258" s="198"/>
      <c r="V258" s="198"/>
      <c r="W258" s="201"/>
      <c r="X258" s="198"/>
      <c r="Y258" s="198"/>
      <c r="Z258" s="198"/>
      <c r="AA258" s="198"/>
      <c r="AB258" s="198"/>
      <c r="AC258" s="198"/>
      <c r="AD258" s="198"/>
      <c r="AE258" s="198"/>
      <c r="AF258" s="198"/>
      <c r="AG258" s="198"/>
      <c r="AH258" s="198"/>
      <c r="AI258" s="198"/>
      <c r="AJ258" s="198"/>
      <c r="AK258" s="198"/>
    </row>
    <row r="259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/>
      <c r="S259" s="198"/>
      <c r="T259" s="198"/>
      <c r="U259" s="198"/>
      <c r="V259" s="198"/>
      <c r="W259" s="201"/>
      <c r="X259" s="198"/>
      <c r="Y259" s="198"/>
      <c r="Z259" s="198"/>
      <c r="AA259" s="198"/>
      <c r="AB259" s="198"/>
      <c r="AC259" s="198"/>
      <c r="AD259" s="198"/>
      <c r="AE259" s="198"/>
      <c r="AF259" s="198"/>
      <c r="AG259" s="198"/>
      <c r="AH259" s="198"/>
      <c r="AI259" s="198"/>
      <c r="AJ259" s="198"/>
      <c r="AK259" s="198"/>
    </row>
    <row r="260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201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</row>
    <row r="261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198"/>
      <c r="S261" s="198"/>
      <c r="T261" s="198"/>
      <c r="U261" s="198"/>
      <c r="V261" s="198"/>
      <c r="W261" s="201"/>
      <c r="X261" s="198"/>
      <c r="Y261" s="198"/>
      <c r="Z261" s="198"/>
      <c r="AA261" s="198"/>
      <c r="AB261" s="198"/>
      <c r="AC261" s="198"/>
      <c r="AD261" s="198"/>
      <c r="AE261" s="198"/>
      <c r="AF261" s="198"/>
      <c r="AG261" s="198"/>
      <c r="AH261" s="198"/>
      <c r="AI261" s="198"/>
      <c r="AJ261" s="198"/>
      <c r="AK261" s="198"/>
    </row>
    <row r="262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201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</row>
    <row r="263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198"/>
      <c r="R263" s="198"/>
      <c r="S263" s="198"/>
      <c r="T263" s="198"/>
      <c r="U263" s="198"/>
      <c r="V263" s="198"/>
      <c r="W263" s="201"/>
      <c r="X263" s="198"/>
      <c r="Y263" s="198"/>
      <c r="Z263" s="198"/>
      <c r="AA263" s="198"/>
      <c r="AB263" s="198"/>
      <c r="AC263" s="198"/>
      <c r="AD263" s="198"/>
      <c r="AE263" s="198"/>
      <c r="AF263" s="198"/>
      <c r="AG263" s="198"/>
      <c r="AH263" s="198"/>
      <c r="AI263" s="198"/>
      <c r="AJ263" s="198"/>
      <c r="AK263" s="198"/>
    </row>
    <row r="264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201"/>
      <c r="X264" s="198"/>
      <c r="Y264" s="198"/>
      <c r="Z264" s="198"/>
      <c r="AA264" s="198"/>
      <c r="AB264" s="198"/>
      <c r="AC264" s="198"/>
      <c r="AD264" s="198"/>
      <c r="AE264" s="198"/>
      <c r="AF264" s="198"/>
      <c r="AG264" s="198"/>
      <c r="AH264" s="198"/>
      <c r="AI264" s="198"/>
      <c r="AJ264" s="198"/>
      <c r="AK264" s="198"/>
    </row>
    <row r="265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198"/>
      <c r="R265" s="198"/>
      <c r="S265" s="198"/>
      <c r="T265" s="198"/>
      <c r="U265" s="198"/>
      <c r="V265" s="198"/>
      <c r="W265" s="201"/>
      <c r="X265" s="198"/>
      <c r="Y265" s="198"/>
      <c r="Z265" s="198"/>
      <c r="AA265" s="198"/>
      <c r="AB265" s="198"/>
      <c r="AC265" s="198"/>
      <c r="AD265" s="198"/>
      <c r="AE265" s="198"/>
      <c r="AF265" s="198"/>
      <c r="AG265" s="198"/>
      <c r="AH265" s="198"/>
      <c r="AI265" s="198"/>
      <c r="AJ265" s="198"/>
      <c r="AK265" s="198"/>
    </row>
    <row r="266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198"/>
      <c r="R266" s="198"/>
      <c r="S266" s="198"/>
      <c r="T266" s="198"/>
      <c r="U266" s="198"/>
      <c r="V266" s="198"/>
      <c r="W266" s="201"/>
      <c r="X266" s="198"/>
      <c r="Y266" s="198"/>
      <c r="Z266" s="198"/>
      <c r="AA266" s="198"/>
      <c r="AB266" s="198"/>
      <c r="AC266" s="198"/>
      <c r="AD266" s="198"/>
      <c r="AE266" s="198"/>
      <c r="AF266" s="198"/>
      <c r="AG266" s="198"/>
      <c r="AH266" s="198"/>
      <c r="AI266" s="198"/>
      <c r="AJ266" s="198"/>
      <c r="AK266" s="198"/>
    </row>
    <row r="26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198"/>
      <c r="R267" s="198"/>
      <c r="S267" s="198"/>
      <c r="T267" s="198"/>
      <c r="U267" s="198"/>
      <c r="V267" s="198"/>
      <c r="W267" s="201"/>
      <c r="X267" s="198"/>
      <c r="Y267" s="198"/>
      <c r="Z267" s="198"/>
      <c r="AA267" s="198"/>
      <c r="AB267" s="198"/>
      <c r="AC267" s="198"/>
      <c r="AD267" s="198"/>
      <c r="AE267" s="198"/>
      <c r="AF267" s="198"/>
      <c r="AG267" s="198"/>
      <c r="AH267" s="198"/>
      <c r="AI267" s="198"/>
      <c r="AJ267" s="198"/>
      <c r="AK267" s="198"/>
    </row>
    <row r="268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198"/>
      <c r="S268" s="198"/>
      <c r="T268" s="198"/>
      <c r="U268" s="198"/>
      <c r="V268" s="198"/>
      <c r="W268" s="201"/>
      <c r="X268" s="198"/>
      <c r="Y268" s="198"/>
      <c r="Z268" s="198"/>
      <c r="AA268" s="198"/>
      <c r="AB268" s="198"/>
      <c r="AC268" s="198"/>
      <c r="AD268" s="198"/>
      <c r="AE268" s="198"/>
      <c r="AF268" s="198"/>
      <c r="AG268" s="198"/>
      <c r="AH268" s="198"/>
      <c r="AI268" s="198"/>
      <c r="AJ268" s="198"/>
      <c r="AK268" s="198"/>
    </row>
    <row r="269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/>
      <c r="S269" s="198"/>
      <c r="T269" s="198"/>
      <c r="U269" s="198"/>
      <c r="V269" s="198"/>
      <c r="W269" s="201"/>
      <c r="X269" s="198"/>
      <c r="Y269" s="198"/>
      <c r="Z269" s="198"/>
      <c r="AA269" s="198"/>
      <c r="AB269" s="198"/>
      <c r="AC269" s="198"/>
      <c r="AD269" s="198"/>
      <c r="AE269" s="198"/>
      <c r="AF269" s="198"/>
      <c r="AG269" s="198"/>
      <c r="AH269" s="198"/>
      <c r="AI269" s="198"/>
      <c r="AJ269" s="198"/>
      <c r="AK269" s="198"/>
    </row>
    <row r="270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/>
      <c r="S270" s="198"/>
      <c r="T270" s="198"/>
      <c r="U270" s="198"/>
      <c r="V270" s="198"/>
      <c r="W270" s="201"/>
      <c r="X270" s="198"/>
      <c r="Y270" s="198"/>
      <c r="Z270" s="198"/>
      <c r="AA270" s="198"/>
      <c r="AB270" s="198"/>
      <c r="AC270" s="198"/>
      <c r="AD270" s="198"/>
      <c r="AE270" s="198"/>
      <c r="AF270" s="198"/>
      <c r="AG270" s="198"/>
      <c r="AH270" s="198"/>
      <c r="AI270" s="198"/>
      <c r="AJ270" s="198"/>
      <c r="AK270" s="198"/>
    </row>
    <row r="271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198"/>
      <c r="U271" s="198"/>
      <c r="V271" s="198"/>
      <c r="W271" s="201"/>
      <c r="X271" s="198"/>
      <c r="Y271" s="198"/>
      <c r="Z271" s="198"/>
      <c r="AA271" s="198"/>
      <c r="AB271" s="198"/>
      <c r="AC271" s="198"/>
      <c r="AD271" s="198"/>
      <c r="AE271" s="198"/>
      <c r="AF271" s="198"/>
      <c r="AG271" s="198"/>
      <c r="AH271" s="198"/>
      <c r="AI271" s="198"/>
      <c r="AJ271" s="198"/>
      <c r="AK271" s="198"/>
    </row>
    <row r="272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198"/>
      <c r="U272" s="198"/>
      <c r="V272" s="198"/>
      <c r="W272" s="201"/>
      <c r="X272" s="198"/>
      <c r="Y272" s="198"/>
      <c r="Z272" s="198"/>
      <c r="AA272" s="198"/>
      <c r="AB272" s="198"/>
      <c r="AC272" s="198"/>
      <c r="AD272" s="198"/>
      <c r="AE272" s="198"/>
      <c r="AF272" s="198"/>
      <c r="AG272" s="198"/>
      <c r="AH272" s="198"/>
      <c r="AI272" s="198"/>
      <c r="AJ272" s="198"/>
      <c r="AK272" s="198"/>
    </row>
    <row r="273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201"/>
      <c r="X273" s="198"/>
      <c r="Y273" s="198"/>
      <c r="Z273" s="198"/>
      <c r="AA273" s="198"/>
      <c r="AB273" s="198"/>
      <c r="AC273" s="198"/>
      <c r="AD273" s="198"/>
      <c r="AE273" s="198"/>
      <c r="AF273" s="198"/>
      <c r="AG273" s="198"/>
      <c r="AH273" s="198"/>
      <c r="AI273" s="198"/>
      <c r="AJ273" s="198"/>
      <c r="AK273" s="198"/>
    </row>
    <row r="274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/>
      <c r="S274" s="198"/>
      <c r="T274" s="198"/>
      <c r="U274" s="198"/>
      <c r="V274" s="198"/>
      <c r="W274" s="201"/>
      <c r="X274" s="198"/>
      <c r="Y274" s="198"/>
      <c r="Z274" s="198"/>
      <c r="AA274" s="198"/>
      <c r="AB274" s="198"/>
      <c r="AC274" s="198"/>
      <c r="AD274" s="198"/>
      <c r="AE274" s="198"/>
      <c r="AF274" s="198"/>
      <c r="AG274" s="198"/>
      <c r="AH274" s="198"/>
      <c r="AI274" s="198"/>
      <c r="AJ274" s="198"/>
      <c r="AK274" s="198"/>
    </row>
    <row r="275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/>
      <c r="S275" s="198"/>
      <c r="T275" s="198"/>
      <c r="U275" s="198"/>
      <c r="V275" s="198"/>
      <c r="W275" s="201"/>
      <c r="X275" s="198"/>
      <c r="Y275" s="198"/>
      <c r="Z275" s="198"/>
      <c r="AA275" s="198"/>
      <c r="AB275" s="198"/>
      <c r="AC275" s="198"/>
      <c r="AD275" s="198"/>
      <c r="AE275" s="198"/>
      <c r="AF275" s="198"/>
      <c r="AG275" s="198"/>
      <c r="AH275" s="198"/>
      <c r="AI275" s="198"/>
      <c r="AJ275" s="198"/>
      <c r="AK275" s="198"/>
    </row>
    <row r="276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198"/>
      <c r="U276" s="198"/>
      <c r="V276" s="198"/>
      <c r="W276" s="201"/>
      <c r="X276" s="198"/>
      <c r="Y276" s="198"/>
      <c r="Z276" s="198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</row>
    <row r="27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201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</row>
    <row r="278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/>
      <c r="S278" s="198"/>
      <c r="T278" s="198"/>
      <c r="U278" s="198"/>
      <c r="V278" s="198"/>
      <c r="W278" s="201"/>
      <c r="X278" s="198"/>
      <c r="Y278" s="198"/>
      <c r="Z278" s="198"/>
      <c r="AA278" s="198"/>
      <c r="AB278" s="198"/>
      <c r="AC278" s="198"/>
      <c r="AD278" s="198"/>
      <c r="AE278" s="198"/>
      <c r="AF278" s="198"/>
      <c r="AG278" s="198"/>
      <c r="AH278" s="198"/>
      <c r="AI278" s="198"/>
      <c r="AJ278" s="198"/>
      <c r="AK278" s="198"/>
    </row>
    <row r="279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/>
      <c r="S279" s="198"/>
      <c r="T279" s="198"/>
      <c r="U279" s="198"/>
      <c r="V279" s="198"/>
      <c r="W279" s="201"/>
      <c r="X279" s="198"/>
      <c r="Y279" s="198"/>
      <c r="Z279" s="198"/>
      <c r="AA279" s="198"/>
      <c r="AB279" s="198"/>
      <c r="AC279" s="198"/>
      <c r="AD279" s="198"/>
      <c r="AE279" s="198"/>
      <c r="AF279" s="198"/>
      <c r="AG279" s="198"/>
      <c r="AH279" s="198"/>
      <c r="AI279" s="198"/>
      <c r="AJ279" s="198"/>
      <c r="AK279" s="198"/>
    </row>
    <row r="280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198"/>
      <c r="R280" s="198"/>
      <c r="S280" s="198"/>
      <c r="T280" s="198"/>
      <c r="U280" s="198"/>
      <c r="V280" s="198"/>
      <c r="W280" s="201"/>
      <c r="X280" s="198"/>
      <c r="Y280" s="198"/>
      <c r="Z280" s="198"/>
      <c r="AA280" s="198"/>
      <c r="AB280" s="198"/>
      <c r="AC280" s="198"/>
      <c r="AD280" s="198"/>
      <c r="AE280" s="198"/>
      <c r="AF280" s="198"/>
      <c r="AG280" s="198"/>
      <c r="AH280" s="198"/>
      <c r="AI280" s="198"/>
      <c r="AJ280" s="198"/>
      <c r="AK280" s="198"/>
    </row>
    <row r="281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201"/>
      <c r="X281" s="198"/>
      <c r="Y281" s="198"/>
      <c r="Z281" s="198"/>
      <c r="AA281" s="198"/>
      <c r="AB281" s="198"/>
      <c r="AC281" s="198"/>
      <c r="AD281" s="198"/>
      <c r="AE281" s="198"/>
      <c r="AF281" s="198"/>
      <c r="AG281" s="198"/>
      <c r="AH281" s="198"/>
      <c r="AI281" s="198"/>
      <c r="AJ281" s="198"/>
      <c r="AK281" s="198"/>
    </row>
    <row r="282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201"/>
      <c r="X282" s="198"/>
      <c r="Y282" s="198"/>
      <c r="Z282" s="198"/>
      <c r="AA282" s="198"/>
      <c r="AB282" s="198"/>
      <c r="AC282" s="198"/>
      <c r="AD282" s="198"/>
      <c r="AE282" s="198"/>
      <c r="AF282" s="198"/>
      <c r="AG282" s="198"/>
      <c r="AH282" s="198"/>
      <c r="AI282" s="198"/>
      <c r="AJ282" s="198"/>
      <c r="AK282" s="198"/>
    </row>
    <row r="283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198"/>
      <c r="R283" s="198"/>
      <c r="S283" s="198"/>
      <c r="T283" s="198"/>
      <c r="U283" s="198"/>
      <c r="V283" s="198"/>
      <c r="W283" s="201"/>
      <c r="X283" s="198"/>
      <c r="Y283" s="198"/>
      <c r="Z283" s="198"/>
      <c r="AA283" s="198"/>
      <c r="AB283" s="198"/>
      <c r="AC283" s="198"/>
      <c r="AD283" s="198"/>
      <c r="AE283" s="198"/>
      <c r="AF283" s="198"/>
      <c r="AG283" s="198"/>
      <c r="AH283" s="198"/>
      <c r="AI283" s="198"/>
      <c r="AJ283" s="198"/>
      <c r="AK283" s="198"/>
    </row>
    <row r="284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  <c r="Q284" s="198"/>
      <c r="R284" s="198"/>
      <c r="S284" s="198"/>
      <c r="T284" s="198"/>
      <c r="U284" s="198"/>
      <c r="V284" s="198"/>
      <c r="W284" s="201"/>
      <c r="X284" s="198"/>
      <c r="Y284" s="198"/>
      <c r="Z284" s="198"/>
      <c r="AA284" s="198"/>
      <c r="AB284" s="198"/>
      <c r="AC284" s="198"/>
      <c r="AD284" s="198"/>
      <c r="AE284" s="198"/>
      <c r="AF284" s="198"/>
      <c r="AG284" s="198"/>
      <c r="AH284" s="198"/>
      <c r="AI284" s="198"/>
      <c r="AJ284" s="198"/>
      <c r="AK284" s="198"/>
    </row>
    <row r="285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  <c r="Q285" s="198"/>
      <c r="R285" s="198"/>
      <c r="S285" s="198"/>
      <c r="T285" s="198"/>
      <c r="U285" s="198"/>
      <c r="V285" s="198"/>
      <c r="W285" s="201"/>
      <c r="X285" s="198"/>
      <c r="Y285" s="198"/>
      <c r="Z285" s="198"/>
      <c r="AA285" s="198"/>
      <c r="AB285" s="198"/>
      <c r="AC285" s="198"/>
      <c r="AD285" s="198"/>
      <c r="AE285" s="198"/>
      <c r="AF285" s="198"/>
      <c r="AG285" s="198"/>
      <c r="AH285" s="198"/>
      <c r="AI285" s="198"/>
      <c r="AJ285" s="198"/>
      <c r="AK285" s="198"/>
    </row>
    <row r="286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  <c r="Q286" s="198"/>
      <c r="R286" s="198"/>
      <c r="S286" s="198"/>
      <c r="T286" s="198"/>
      <c r="U286" s="198"/>
      <c r="V286" s="198"/>
      <c r="W286" s="201"/>
      <c r="X286" s="198"/>
      <c r="Y286" s="198"/>
      <c r="Z286" s="198"/>
      <c r="AA286" s="198"/>
      <c r="AB286" s="198"/>
      <c r="AC286" s="198"/>
      <c r="AD286" s="198"/>
      <c r="AE286" s="198"/>
      <c r="AF286" s="198"/>
      <c r="AG286" s="198"/>
      <c r="AH286" s="198"/>
      <c r="AI286" s="198"/>
      <c r="AJ286" s="198"/>
      <c r="AK286" s="198"/>
    </row>
    <row r="28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  <c r="Q287" s="198"/>
      <c r="R287" s="198"/>
      <c r="S287" s="198"/>
      <c r="T287" s="198"/>
      <c r="U287" s="198"/>
      <c r="V287" s="198"/>
      <c r="W287" s="201"/>
      <c r="X287" s="198"/>
      <c r="Y287" s="198"/>
      <c r="Z287" s="198"/>
      <c r="AA287" s="198"/>
      <c r="AB287" s="198"/>
      <c r="AC287" s="198"/>
      <c r="AD287" s="198"/>
      <c r="AE287" s="198"/>
      <c r="AF287" s="198"/>
      <c r="AG287" s="198"/>
      <c r="AH287" s="198"/>
      <c r="AI287" s="198"/>
      <c r="AJ287" s="198"/>
      <c r="AK287" s="198"/>
    </row>
    <row r="288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  <c r="Q288" s="198"/>
      <c r="R288" s="198"/>
      <c r="S288" s="198"/>
      <c r="T288" s="198"/>
      <c r="U288" s="198"/>
      <c r="V288" s="198"/>
      <c r="W288" s="201"/>
      <c r="X288" s="198"/>
      <c r="Y288" s="198"/>
      <c r="Z288" s="198"/>
      <c r="AA288" s="198"/>
      <c r="AB288" s="198"/>
      <c r="AC288" s="198"/>
      <c r="AD288" s="198"/>
      <c r="AE288" s="198"/>
      <c r="AF288" s="198"/>
      <c r="AG288" s="198"/>
      <c r="AH288" s="198"/>
      <c r="AI288" s="198"/>
      <c r="AJ288" s="198"/>
      <c r="AK288" s="198"/>
    </row>
    <row r="289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  <c r="Q289" s="198"/>
      <c r="R289" s="198"/>
      <c r="S289" s="198"/>
      <c r="T289" s="198"/>
      <c r="U289" s="198"/>
      <c r="V289" s="198"/>
      <c r="W289" s="201"/>
      <c r="X289" s="198"/>
      <c r="Y289" s="198"/>
      <c r="Z289" s="198"/>
      <c r="AA289" s="198"/>
      <c r="AB289" s="198"/>
      <c r="AC289" s="198"/>
      <c r="AD289" s="198"/>
      <c r="AE289" s="198"/>
      <c r="AF289" s="198"/>
      <c r="AG289" s="198"/>
      <c r="AH289" s="198"/>
      <c r="AI289" s="198"/>
      <c r="AJ289" s="198"/>
      <c r="AK289" s="198"/>
    </row>
    <row r="290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  <c r="Q290" s="198"/>
      <c r="R290" s="198"/>
      <c r="S290" s="198"/>
      <c r="T290" s="198"/>
      <c r="U290" s="198"/>
      <c r="V290" s="198"/>
      <c r="W290" s="201"/>
      <c r="X290" s="198"/>
      <c r="Y290" s="198"/>
      <c r="Z290" s="198"/>
      <c r="AA290" s="198"/>
      <c r="AB290" s="198"/>
      <c r="AC290" s="198"/>
      <c r="AD290" s="198"/>
      <c r="AE290" s="198"/>
      <c r="AF290" s="198"/>
      <c r="AG290" s="198"/>
      <c r="AH290" s="198"/>
      <c r="AI290" s="198"/>
      <c r="AJ290" s="198"/>
      <c r="AK290" s="198"/>
    </row>
    <row r="291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  <c r="Q291" s="198"/>
      <c r="R291" s="198"/>
      <c r="S291" s="198"/>
      <c r="T291" s="198"/>
      <c r="U291" s="198"/>
      <c r="V291" s="198"/>
      <c r="W291" s="201"/>
      <c r="X291" s="198"/>
      <c r="Y291" s="198"/>
      <c r="Z291" s="198"/>
      <c r="AA291" s="198"/>
      <c r="AB291" s="198"/>
      <c r="AC291" s="198"/>
      <c r="AD291" s="198"/>
      <c r="AE291" s="198"/>
      <c r="AF291" s="198"/>
      <c r="AG291" s="198"/>
      <c r="AH291" s="198"/>
      <c r="AI291" s="198"/>
      <c r="AJ291" s="198"/>
      <c r="AK291" s="198"/>
    </row>
    <row r="292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  <c r="Q292" s="198"/>
      <c r="R292" s="198"/>
      <c r="S292" s="198"/>
      <c r="T292" s="198"/>
      <c r="U292" s="198"/>
      <c r="V292" s="198"/>
      <c r="W292" s="201"/>
      <c r="X292" s="198"/>
      <c r="Y292" s="198"/>
      <c r="Z292" s="198"/>
      <c r="AA292" s="198"/>
      <c r="AB292" s="198"/>
      <c r="AC292" s="198"/>
      <c r="AD292" s="198"/>
      <c r="AE292" s="198"/>
      <c r="AF292" s="198"/>
      <c r="AG292" s="198"/>
      <c r="AH292" s="198"/>
      <c r="AI292" s="198"/>
      <c r="AJ292" s="198"/>
      <c r="AK292" s="198"/>
    </row>
    <row r="293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  <c r="Q293" s="198"/>
      <c r="R293" s="198"/>
      <c r="S293" s="198"/>
      <c r="T293" s="198"/>
      <c r="U293" s="198"/>
      <c r="V293" s="198"/>
      <c r="W293" s="201"/>
      <c r="X293" s="198"/>
      <c r="Y293" s="198"/>
      <c r="Z293" s="198"/>
      <c r="AA293" s="198"/>
      <c r="AB293" s="198"/>
      <c r="AC293" s="198"/>
      <c r="AD293" s="198"/>
      <c r="AE293" s="198"/>
      <c r="AF293" s="198"/>
      <c r="AG293" s="198"/>
      <c r="AH293" s="198"/>
      <c r="AI293" s="198"/>
      <c r="AJ293" s="198"/>
      <c r="AK293" s="198"/>
    </row>
    <row r="294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  <c r="Q294" s="198"/>
      <c r="R294" s="198"/>
      <c r="S294" s="198"/>
      <c r="T294" s="198"/>
      <c r="U294" s="198"/>
      <c r="V294" s="198"/>
      <c r="W294" s="201"/>
      <c r="X294" s="198"/>
      <c r="Y294" s="198"/>
      <c r="Z294" s="198"/>
      <c r="AA294" s="198"/>
      <c r="AB294" s="198"/>
      <c r="AC294" s="198"/>
      <c r="AD294" s="198"/>
      <c r="AE294" s="198"/>
      <c r="AF294" s="198"/>
      <c r="AG294" s="198"/>
      <c r="AH294" s="198"/>
      <c r="AI294" s="198"/>
      <c r="AJ294" s="198"/>
      <c r="AK294" s="198"/>
    </row>
    <row r="295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  <c r="Q295" s="198"/>
      <c r="R295" s="198"/>
      <c r="S295" s="198"/>
      <c r="T295" s="198"/>
      <c r="U295" s="198"/>
      <c r="V295" s="198"/>
      <c r="W295" s="201"/>
      <c r="X295" s="198"/>
      <c r="Y295" s="198"/>
      <c r="Z295" s="198"/>
      <c r="AA295" s="198"/>
      <c r="AB295" s="198"/>
      <c r="AC295" s="198"/>
      <c r="AD295" s="198"/>
      <c r="AE295" s="198"/>
      <c r="AF295" s="198"/>
      <c r="AG295" s="198"/>
      <c r="AH295" s="198"/>
      <c r="AI295" s="198"/>
      <c r="AJ295" s="198"/>
      <c r="AK295" s="198"/>
    </row>
    <row r="296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  <c r="Q296" s="198"/>
      <c r="R296" s="198"/>
      <c r="S296" s="198"/>
      <c r="T296" s="198"/>
      <c r="U296" s="198"/>
      <c r="V296" s="198"/>
      <c r="W296" s="201"/>
      <c r="X296" s="198"/>
      <c r="Y296" s="198"/>
      <c r="Z296" s="198"/>
      <c r="AA296" s="198"/>
      <c r="AB296" s="198"/>
      <c r="AC296" s="198"/>
      <c r="AD296" s="198"/>
      <c r="AE296" s="198"/>
      <c r="AF296" s="198"/>
      <c r="AG296" s="198"/>
      <c r="AH296" s="198"/>
      <c r="AI296" s="198"/>
      <c r="AJ296" s="198"/>
      <c r="AK296" s="198"/>
    </row>
    <row r="29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  <c r="Q297" s="198"/>
      <c r="R297" s="198"/>
      <c r="S297" s="198"/>
      <c r="T297" s="198"/>
      <c r="U297" s="198"/>
      <c r="V297" s="198"/>
      <c r="W297" s="201"/>
      <c r="X297" s="198"/>
      <c r="Y297" s="198"/>
      <c r="Z297" s="198"/>
      <c r="AA297" s="198"/>
      <c r="AB297" s="198"/>
      <c r="AC297" s="198"/>
      <c r="AD297" s="198"/>
      <c r="AE297" s="198"/>
      <c r="AF297" s="198"/>
      <c r="AG297" s="198"/>
      <c r="AH297" s="198"/>
      <c r="AI297" s="198"/>
      <c r="AJ297" s="198"/>
      <c r="AK297" s="198"/>
    </row>
    <row r="298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  <c r="Q298" s="198"/>
      <c r="R298" s="198"/>
      <c r="S298" s="198"/>
      <c r="T298" s="198"/>
      <c r="U298" s="198"/>
      <c r="V298" s="198"/>
      <c r="W298" s="201"/>
      <c r="X298" s="198"/>
      <c r="Y298" s="198"/>
      <c r="Z298" s="198"/>
      <c r="AA298" s="198"/>
      <c r="AB298" s="198"/>
      <c r="AC298" s="198"/>
      <c r="AD298" s="198"/>
      <c r="AE298" s="198"/>
      <c r="AF298" s="198"/>
      <c r="AG298" s="198"/>
      <c r="AH298" s="198"/>
      <c r="AI298" s="198"/>
      <c r="AJ298" s="198"/>
      <c r="AK298" s="198"/>
    </row>
    <row r="299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  <c r="Q299" s="198"/>
      <c r="R299" s="198"/>
      <c r="S299" s="198"/>
      <c r="T299" s="198"/>
      <c r="U299" s="198"/>
      <c r="V299" s="198"/>
      <c r="W299" s="201"/>
      <c r="X299" s="198"/>
      <c r="Y299" s="198"/>
      <c r="Z299" s="198"/>
      <c r="AA299" s="198"/>
      <c r="AB299" s="198"/>
      <c r="AC299" s="198"/>
      <c r="AD299" s="198"/>
      <c r="AE299" s="198"/>
      <c r="AF299" s="198"/>
      <c r="AG299" s="198"/>
      <c r="AH299" s="198"/>
      <c r="AI299" s="198"/>
      <c r="AJ299" s="198"/>
      <c r="AK299" s="198"/>
    </row>
    <row r="300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  <c r="Q300" s="198"/>
      <c r="R300" s="198"/>
      <c r="S300" s="198"/>
      <c r="T300" s="198"/>
      <c r="U300" s="198"/>
      <c r="V300" s="198"/>
      <c r="W300" s="201"/>
      <c r="X300" s="198"/>
      <c r="Y300" s="198"/>
      <c r="Z300" s="198"/>
      <c r="AA300" s="198"/>
      <c r="AB300" s="198"/>
      <c r="AC300" s="198"/>
      <c r="AD300" s="198"/>
      <c r="AE300" s="198"/>
      <c r="AF300" s="198"/>
      <c r="AG300" s="198"/>
      <c r="AH300" s="198"/>
      <c r="AI300" s="198"/>
      <c r="AJ300" s="198"/>
      <c r="AK300" s="198"/>
    </row>
    <row r="301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201"/>
      <c r="X301" s="198"/>
      <c r="Y301" s="198"/>
      <c r="Z301" s="198"/>
      <c r="AA301" s="198"/>
      <c r="AB301" s="198"/>
      <c r="AC301" s="198"/>
      <c r="AD301" s="198"/>
      <c r="AE301" s="198"/>
      <c r="AF301" s="198"/>
      <c r="AG301" s="198"/>
      <c r="AH301" s="198"/>
      <c r="AI301" s="198"/>
      <c r="AJ301" s="198"/>
      <c r="AK301" s="198"/>
    </row>
    <row r="302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198"/>
      <c r="R302" s="198"/>
      <c r="S302" s="198"/>
      <c r="T302" s="198"/>
      <c r="U302" s="198"/>
      <c r="V302" s="198"/>
      <c r="W302" s="201"/>
      <c r="X302" s="198"/>
      <c r="Y302" s="198"/>
      <c r="Z302" s="198"/>
      <c r="AA302" s="198"/>
      <c r="AB302" s="198"/>
      <c r="AC302" s="198"/>
      <c r="AD302" s="198"/>
      <c r="AE302" s="198"/>
      <c r="AF302" s="198"/>
      <c r="AG302" s="198"/>
      <c r="AH302" s="198"/>
      <c r="AI302" s="198"/>
      <c r="AJ302" s="198"/>
      <c r="AK302" s="198"/>
    </row>
    <row r="303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198"/>
      <c r="S303" s="198"/>
      <c r="T303" s="198"/>
      <c r="U303" s="198"/>
      <c r="V303" s="198"/>
      <c r="W303" s="201"/>
      <c r="X303" s="198"/>
      <c r="Y303" s="198"/>
      <c r="Z303" s="198"/>
      <c r="AA303" s="198"/>
      <c r="AB303" s="198"/>
      <c r="AC303" s="198"/>
      <c r="AD303" s="198"/>
      <c r="AE303" s="198"/>
      <c r="AF303" s="198"/>
      <c r="AG303" s="198"/>
      <c r="AH303" s="198"/>
      <c r="AI303" s="198"/>
      <c r="AJ303" s="198"/>
      <c r="AK303" s="198"/>
    </row>
    <row r="304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201"/>
      <c r="X304" s="198"/>
      <c r="Y304" s="198"/>
      <c r="Z304" s="198"/>
      <c r="AA304" s="198"/>
      <c r="AB304" s="198"/>
      <c r="AC304" s="198"/>
      <c r="AD304" s="198"/>
      <c r="AE304" s="198"/>
      <c r="AF304" s="198"/>
      <c r="AG304" s="198"/>
      <c r="AH304" s="198"/>
      <c r="AI304" s="198"/>
      <c r="AJ304" s="198"/>
      <c r="AK304" s="198"/>
    </row>
    <row r="305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201"/>
      <c r="X305" s="198"/>
      <c r="Y305" s="198"/>
      <c r="Z305" s="198"/>
      <c r="AA305" s="198"/>
      <c r="AB305" s="198"/>
      <c r="AC305" s="198"/>
      <c r="AD305" s="198"/>
      <c r="AE305" s="198"/>
      <c r="AF305" s="198"/>
      <c r="AG305" s="198"/>
      <c r="AH305" s="198"/>
      <c r="AI305" s="198"/>
      <c r="AJ305" s="198"/>
      <c r="AK305" s="198"/>
    </row>
    <row r="306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201"/>
      <c r="X306" s="198"/>
      <c r="Y306" s="198"/>
      <c r="Z306" s="198"/>
      <c r="AA306" s="198"/>
      <c r="AB306" s="198"/>
      <c r="AC306" s="198"/>
      <c r="AD306" s="198"/>
      <c r="AE306" s="198"/>
      <c r="AF306" s="198"/>
      <c r="AG306" s="198"/>
      <c r="AH306" s="198"/>
      <c r="AI306" s="198"/>
      <c r="AJ306" s="198"/>
      <c r="AK306" s="198"/>
    </row>
    <row r="30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201"/>
      <c r="X307" s="198"/>
      <c r="Y307" s="198"/>
      <c r="Z307" s="198"/>
      <c r="AA307" s="198"/>
      <c r="AB307" s="198"/>
      <c r="AC307" s="198"/>
      <c r="AD307" s="198"/>
      <c r="AE307" s="198"/>
      <c r="AF307" s="198"/>
      <c r="AG307" s="198"/>
      <c r="AH307" s="198"/>
      <c r="AI307" s="198"/>
      <c r="AJ307" s="198"/>
      <c r="AK307" s="198"/>
    </row>
    <row r="308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198"/>
      <c r="S308" s="198"/>
      <c r="T308" s="198"/>
      <c r="U308" s="198"/>
      <c r="V308" s="198"/>
      <c r="W308" s="201"/>
      <c r="X308" s="198"/>
      <c r="Y308" s="198"/>
      <c r="Z308" s="198"/>
      <c r="AA308" s="198"/>
      <c r="AB308" s="198"/>
      <c r="AC308" s="198"/>
      <c r="AD308" s="198"/>
      <c r="AE308" s="198"/>
      <c r="AF308" s="198"/>
      <c r="AG308" s="198"/>
      <c r="AH308" s="198"/>
      <c r="AI308" s="198"/>
      <c r="AJ308" s="198"/>
      <c r="AK308" s="198"/>
    </row>
    <row r="309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201"/>
      <c r="X309" s="198"/>
      <c r="Y309" s="198"/>
      <c r="Z309" s="198"/>
      <c r="AA309" s="198"/>
      <c r="AB309" s="198"/>
      <c r="AC309" s="198"/>
      <c r="AD309" s="198"/>
      <c r="AE309" s="198"/>
      <c r="AF309" s="198"/>
      <c r="AG309" s="198"/>
      <c r="AH309" s="198"/>
      <c r="AI309" s="198"/>
      <c r="AJ309" s="198"/>
      <c r="AK309" s="198"/>
    </row>
    <row r="310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201"/>
      <c r="X310" s="198"/>
      <c r="Y310" s="198"/>
      <c r="Z310" s="198"/>
      <c r="AA310" s="198"/>
      <c r="AB310" s="198"/>
      <c r="AC310" s="198"/>
      <c r="AD310" s="198"/>
      <c r="AE310" s="198"/>
      <c r="AF310" s="198"/>
      <c r="AG310" s="198"/>
      <c r="AH310" s="198"/>
      <c r="AI310" s="198"/>
      <c r="AJ310" s="198"/>
      <c r="AK310" s="198"/>
    </row>
    <row r="311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201"/>
      <c r="X311" s="198"/>
      <c r="Y311" s="198"/>
      <c r="Z311" s="198"/>
      <c r="AA311" s="198"/>
      <c r="AB311" s="198"/>
      <c r="AC311" s="198"/>
      <c r="AD311" s="198"/>
      <c r="AE311" s="198"/>
      <c r="AF311" s="198"/>
      <c r="AG311" s="198"/>
      <c r="AH311" s="198"/>
      <c r="AI311" s="198"/>
      <c r="AJ311" s="198"/>
      <c r="AK311" s="198"/>
    </row>
    <row r="312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201"/>
      <c r="X312" s="198"/>
      <c r="Y312" s="198"/>
      <c r="Z312" s="198"/>
      <c r="AA312" s="198"/>
      <c r="AB312" s="198"/>
      <c r="AC312" s="198"/>
      <c r="AD312" s="198"/>
      <c r="AE312" s="198"/>
      <c r="AF312" s="198"/>
      <c r="AG312" s="198"/>
      <c r="AH312" s="198"/>
      <c r="AI312" s="198"/>
      <c r="AJ312" s="198"/>
      <c r="AK312" s="198"/>
    </row>
    <row r="313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201"/>
      <c r="X313" s="198"/>
      <c r="Y313" s="198"/>
      <c r="Z313" s="198"/>
      <c r="AA313" s="198"/>
      <c r="AB313" s="198"/>
      <c r="AC313" s="198"/>
      <c r="AD313" s="198"/>
      <c r="AE313" s="198"/>
      <c r="AF313" s="198"/>
      <c r="AG313" s="198"/>
      <c r="AH313" s="198"/>
      <c r="AI313" s="198"/>
      <c r="AJ313" s="198"/>
      <c r="AK313" s="198"/>
    </row>
    <row r="314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201"/>
      <c r="X314" s="198"/>
      <c r="Y314" s="198"/>
      <c r="Z314" s="198"/>
      <c r="AA314" s="198"/>
      <c r="AB314" s="198"/>
      <c r="AC314" s="198"/>
      <c r="AD314" s="198"/>
      <c r="AE314" s="198"/>
      <c r="AF314" s="198"/>
      <c r="AG314" s="198"/>
      <c r="AH314" s="198"/>
      <c r="AI314" s="198"/>
      <c r="AJ314" s="198"/>
      <c r="AK314" s="198"/>
    </row>
    <row r="315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198"/>
      <c r="S315" s="198"/>
      <c r="T315" s="198"/>
      <c r="U315" s="198"/>
      <c r="V315" s="198"/>
      <c r="W315" s="201"/>
      <c r="X315" s="198"/>
      <c r="Y315" s="198"/>
      <c r="Z315" s="198"/>
      <c r="AA315" s="198"/>
      <c r="AB315" s="198"/>
      <c r="AC315" s="198"/>
      <c r="AD315" s="198"/>
      <c r="AE315" s="198"/>
      <c r="AF315" s="198"/>
      <c r="AG315" s="198"/>
      <c r="AH315" s="198"/>
      <c r="AI315" s="198"/>
      <c r="AJ315" s="198"/>
      <c r="AK315" s="198"/>
    </row>
    <row r="316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201"/>
      <c r="X316" s="198"/>
      <c r="Y316" s="198"/>
      <c r="Z316" s="198"/>
      <c r="AA316" s="198"/>
      <c r="AB316" s="198"/>
      <c r="AC316" s="198"/>
      <c r="AD316" s="198"/>
      <c r="AE316" s="198"/>
      <c r="AF316" s="198"/>
      <c r="AG316" s="198"/>
      <c r="AH316" s="198"/>
      <c r="AI316" s="198"/>
      <c r="AJ316" s="198"/>
      <c r="AK316" s="198"/>
    </row>
    <row r="31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201"/>
      <c r="X317" s="198"/>
      <c r="Y317" s="198"/>
      <c r="Z317" s="198"/>
      <c r="AA317" s="198"/>
      <c r="AB317" s="198"/>
      <c r="AC317" s="198"/>
      <c r="AD317" s="198"/>
      <c r="AE317" s="198"/>
      <c r="AF317" s="198"/>
      <c r="AG317" s="198"/>
      <c r="AH317" s="198"/>
      <c r="AI317" s="198"/>
      <c r="AJ317" s="198"/>
      <c r="AK317" s="198"/>
    </row>
    <row r="318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201"/>
      <c r="X318" s="198"/>
      <c r="Y318" s="198"/>
      <c r="Z318" s="198"/>
      <c r="AA318" s="198"/>
      <c r="AB318" s="198"/>
      <c r="AC318" s="198"/>
      <c r="AD318" s="198"/>
      <c r="AE318" s="198"/>
      <c r="AF318" s="198"/>
      <c r="AG318" s="198"/>
      <c r="AH318" s="198"/>
      <c r="AI318" s="198"/>
      <c r="AJ318" s="198"/>
      <c r="AK318" s="198"/>
    </row>
    <row r="319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198"/>
      <c r="R319" s="198"/>
      <c r="S319" s="198"/>
      <c r="T319" s="198"/>
      <c r="U319" s="198"/>
      <c r="V319" s="198"/>
      <c r="W319" s="201"/>
      <c r="X319" s="198"/>
      <c r="Y319" s="198"/>
      <c r="Z319" s="198"/>
      <c r="AA319" s="198"/>
      <c r="AB319" s="198"/>
      <c r="AC319" s="198"/>
      <c r="AD319" s="198"/>
      <c r="AE319" s="198"/>
      <c r="AF319" s="198"/>
      <c r="AG319" s="198"/>
      <c r="AH319" s="198"/>
      <c r="AI319" s="198"/>
      <c r="AJ319" s="198"/>
      <c r="AK319" s="198"/>
    </row>
    <row r="320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201"/>
      <c r="X320" s="198"/>
      <c r="Y320" s="198"/>
      <c r="Z320" s="198"/>
      <c r="AA320" s="198"/>
      <c r="AB320" s="198"/>
      <c r="AC320" s="198"/>
      <c r="AD320" s="198"/>
      <c r="AE320" s="198"/>
      <c r="AF320" s="198"/>
      <c r="AG320" s="198"/>
      <c r="AH320" s="198"/>
      <c r="AI320" s="198"/>
      <c r="AJ320" s="198"/>
      <c r="AK320" s="198"/>
    </row>
    <row r="321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201"/>
      <c r="X321" s="198"/>
      <c r="Y321" s="198"/>
      <c r="Z321" s="198"/>
      <c r="AA321" s="198"/>
      <c r="AB321" s="198"/>
      <c r="AC321" s="198"/>
      <c r="AD321" s="198"/>
      <c r="AE321" s="198"/>
      <c r="AF321" s="198"/>
      <c r="AG321" s="198"/>
      <c r="AH321" s="198"/>
      <c r="AI321" s="198"/>
      <c r="AJ321" s="198"/>
      <c r="AK321" s="198"/>
    </row>
    <row r="322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198"/>
      <c r="R322" s="198"/>
      <c r="S322" s="198"/>
      <c r="T322" s="198"/>
      <c r="U322" s="198"/>
      <c r="V322" s="198"/>
      <c r="W322" s="201"/>
      <c r="X322" s="198"/>
      <c r="Y322" s="198"/>
      <c r="Z322" s="198"/>
      <c r="AA322" s="198"/>
      <c r="AB322" s="198"/>
      <c r="AC322" s="198"/>
      <c r="AD322" s="198"/>
      <c r="AE322" s="198"/>
      <c r="AF322" s="198"/>
      <c r="AG322" s="198"/>
      <c r="AH322" s="198"/>
      <c r="AI322" s="198"/>
      <c r="AJ322" s="198"/>
      <c r="AK322" s="198"/>
    </row>
    <row r="323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198"/>
      <c r="R323" s="198"/>
      <c r="S323" s="198"/>
      <c r="T323" s="198"/>
      <c r="U323" s="198"/>
      <c r="V323" s="198"/>
      <c r="W323" s="201"/>
      <c r="X323" s="198"/>
      <c r="Y323" s="198"/>
      <c r="Z323" s="198"/>
      <c r="AA323" s="198"/>
      <c r="AB323" s="198"/>
      <c r="AC323" s="198"/>
      <c r="AD323" s="198"/>
      <c r="AE323" s="198"/>
      <c r="AF323" s="198"/>
      <c r="AG323" s="198"/>
      <c r="AH323" s="198"/>
      <c r="AI323" s="198"/>
      <c r="AJ323" s="198"/>
      <c r="AK323" s="198"/>
    </row>
    <row r="324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198"/>
      <c r="S324" s="198"/>
      <c r="T324" s="198"/>
      <c r="U324" s="198"/>
      <c r="V324" s="198"/>
      <c r="W324" s="201"/>
      <c r="X324" s="198"/>
      <c r="Y324" s="198"/>
      <c r="Z324" s="198"/>
      <c r="AA324" s="198"/>
      <c r="AB324" s="198"/>
      <c r="AC324" s="198"/>
      <c r="AD324" s="198"/>
      <c r="AE324" s="198"/>
      <c r="AF324" s="198"/>
      <c r="AG324" s="198"/>
      <c r="AH324" s="198"/>
      <c r="AI324" s="198"/>
      <c r="AJ324" s="198"/>
      <c r="AK324" s="198"/>
    </row>
    <row r="325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201"/>
      <c r="X325" s="198"/>
      <c r="Y325" s="198"/>
      <c r="Z325" s="198"/>
      <c r="AA325" s="198"/>
      <c r="AB325" s="198"/>
      <c r="AC325" s="198"/>
      <c r="AD325" s="198"/>
      <c r="AE325" s="198"/>
      <c r="AF325" s="198"/>
      <c r="AG325" s="198"/>
      <c r="AH325" s="198"/>
      <c r="AI325" s="198"/>
      <c r="AJ325" s="198"/>
      <c r="AK325" s="198"/>
    </row>
    <row r="326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201"/>
      <c r="X326" s="198"/>
      <c r="Y326" s="198"/>
      <c r="Z326" s="198"/>
      <c r="AA326" s="198"/>
      <c r="AB326" s="198"/>
      <c r="AC326" s="198"/>
      <c r="AD326" s="198"/>
      <c r="AE326" s="198"/>
      <c r="AF326" s="198"/>
      <c r="AG326" s="198"/>
      <c r="AH326" s="198"/>
      <c r="AI326" s="198"/>
      <c r="AJ326" s="198"/>
      <c r="AK326" s="198"/>
    </row>
    <row r="3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201"/>
      <c r="X327" s="198"/>
      <c r="Y327" s="198"/>
      <c r="Z327" s="198"/>
      <c r="AA327" s="198"/>
      <c r="AB327" s="198"/>
      <c r="AC327" s="198"/>
      <c r="AD327" s="198"/>
      <c r="AE327" s="198"/>
      <c r="AF327" s="198"/>
      <c r="AG327" s="198"/>
      <c r="AH327" s="198"/>
      <c r="AI327" s="198"/>
      <c r="AJ327" s="198"/>
      <c r="AK327" s="198"/>
    </row>
    <row r="328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198"/>
      <c r="S328" s="198"/>
      <c r="T328" s="198"/>
      <c r="U328" s="198"/>
      <c r="V328" s="198"/>
      <c r="W328" s="201"/>
      <c r="X328" s="198"/>
      <c r="Y328" s="198"/>
      <c r="Z328" s="198"/>
      <c r="AA328" s="198"/>
      <c r="AB328" s="198"/>
      <c r="AC328" s="198"/>
      <c r="AD328" s="198"/>
      <c r="AE328" s="198"/>
      <c r="AF328" s="198"/>
      <c r="AG328" s="198"/>
      <c r="AH328" s="198"/>
      <c r="AI328" s="198"/>
      <c r="AJ328" s="198"/>
      <c r="AK328" s="198"/>
    </row>
    <row r="329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201"/>
      <c r="X329" s="198"/>
      <c r="Y329" s="198"/>
      <c r="Z329" s="198"/>
      <c r="AA329" s="198"/>
      <c r="AB329" s="198"/>
      <c r="AC329" s="198"/>
      <c r="AD329" s="198"/>
      <c r="AE329" s="198"/>
      <c r="AF329" s="198"/>
      <c r="AG329" s="198"/>
      <c r="AH329" s="198"/>
      <c r="AI329" s="198"/>
      <c r="AJ329" s="198"/>
      <c r="AK329" s="198"/>
    </row>
    <row r="330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201"/>
      <c r="X330" s="198"/>
      <c r="Y330" s="198"/>
      <c r="Z330" s="198"/>
      <c r="AA330" s="198"/>
      <c r="AB330" s="198"/>
      <c r="AC330" s="198"/>
      <c r="AD330" s="198"/>
      <c r="AE330" s="198"/>
      <c r="AF330" s="198"/>
      <c r="AG330" s="198"/>
      <c r="AH330" s="198"/>
      <c r="AI330" s="198"/>
      <c r="AJ330" s="198"/>
      <c r="AK330" s="198"/>
    </row>
    <row r="331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201"/>
      <c r="X331" s="198"/>
      <c r="Y331" s="198"/>
      <c r="Z331" s="198"/>
      <c r="AA331" s="198"/>
      <c r="AB331" s="198"/>
      <c r="AC331" s="198"/>
      <c r="AD331" s="198"/>
      <c r="AE331" s="198"/>
      <c r="AF331" s="198"/>
      <c r="AG331" s="198"/>
      <c r="AH331" s="198"/>
      <c r="AI331" s="198"/>
      <c r="AJ331" s="198"/>
      <c r="AK331" s="198"/>
    </row>
    <row r="332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201"/>
      <c r="X332" s="198"/>
      <c r="Y332" s="198"/>
      <c r="Z332" s="198"/>
      <c r="AA332" s="198"/>
      <c r="AB332" s="198"/>
      <c r="AC332" s="198"/>
      <c r="AD332" s="198"/>
      <c r="AE332" s="198"/>
      <c r="AF332" s="198"/>
      <c r="AG332" s="198"/>
      <c r="AH332" s="198"/>
      <c r="AI332" s="198"/>
      <c r="AJ332" s="198"/>
      <c r="AK332" s="198"/>
    </row>
    <row r="333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198"/>
      <c r="S333" s="198"/>
      <c r="T333" s="198"/>
      <c r="U333" s="198"/>
      <c r="V333" s="198"/>
      <c r="W333" s="201"/>
      <c r="X333" s="198"/>
      <c r="Y333" s="198"/>
      <c r="Z333" s="198"/>
      <c r="AA333" s="198"/>
      <c r="AB333" s="198"/>
      <c r="AC333" s="198"/>
      <c r="AD333" s="198"/>
      <c r="AE333" s="198"/>
      <c r="AF333" s="198"/>
      <c r="AG333" s="198"/>
      <c r="AH333" s="198"/>
      <c r="AI333" s="198"/>
      <c r="AJ333" s="198"/>
      <c r="AK333" s="198"/>
    </row>
    <row r="334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201"/>
      <c r="X334" s="198"/>
      <c r="Y334" s="198"/>
      <c r="Z334" s="198"/>
      <c r="AA334" s="198"/>
      <c r="AB334" s="198"/>
      <c r="AC334" s="198"/>
      <c r="AD334" s="198"/>
      <c r="AE334" s="198"/>
      <c r="AF334" s="198"/>
      <c r="AG334" s="198"/>
      <c r="AH334" s="198"/>
      <c r="AI334" s="198"/>
      <c r="AJ334" s="198"/>
      <c r="AK334" s="198"/>
    </row>
    <row r="335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198"/>
      <c r="R335" s="198"/>
      <c r="S335" s="198"/>
      <c r="T335" s="198"/>
      <c r="U335" s="198"/>
      <c r="V335" s="198"/>
      <c r="W335" s="201"/>
      <c r="X335" s="198"/>
      <c r="Y335" s="198"/>
      <c r="Z335" s="198"/>
      <c r="AA335" s="198"/>
      <c r="AB335" s="198"/>
      <c r="AC335" s="198"/>
      <c r="AD335" s="198"/>
      <c r="AE335" s="198"/>
      <c r="AF335" s="198"/>
      <c r="AG335" s="198"/>
      <c r="AH335" s="198"/>
      <c r="AI335" s="198"/>
      <c r="AJ335" s="198"/>
      <c r="AK335" s="198"/>
    </row>
    <row r="336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201"/>
      <c r="X336" s="198"/>
      <c r="Y336" s="198"/>
      <c r="Z336" s="198"/>
      <c r="AA336" s="198"/>
      <c r="AB336" s="198"/>
      <c r="AC336" s="198"/>
      <c r="AD336" s="198"/>
      <c r="AE336" s="198"/>
      <c r="AF336" s="198"/>
      <c r="AG336" s="198"/>
      <c r="AH336" s="198"/>
      <c r="AI336" s="198"/>
      <c r="AJ336" s="198"/>
      <c r="AK336" s="198"/>
    </row>
    <row r="33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198"/>
      <c r="R337" s="198"/>
      <c r="S337" s="198"/>
      <c r="T337" s="198"/>
      <c r="U337" s="198"/>
      <c r="V337" s="198"/>
      <c r="W337" s="201"/>
      <c r="X337" s="198"/>
      <c r="Y337" s="198"/>
      <c r="Z337" s="198"/>
      <c r="AA337" s="198"/>
      <c r="AB337" s="198"/>
      <c r="AC337" s="198"/>
      <c r="AD337" s="198"/>
      <c r="AE337" s="198"/>
      <c r="AF337" s="198"/>
      <c r="AG337" s="198"/>
      <c r="AH337" s="198"/>
      <c r="AI337" s="198"/>
      <c r="AJ337" s="198"/>
      <c r="AK337" s="198"/>
    </row>
    <row r="338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198"/>
      <c r="R338" s="198"/>
      <c r="S338" s="198"/>
      <c r="T338" s="198"/>
      <c r="U338" s="198"/>
      <c r="V338" s="198"/>
      <c r="W338" s="201"/>
      <c r="X338" s="198"/>
      <c r="Y338" s="198"/>
      <c r="Z338" s="198"/>
      <c r="AA338" s="198"/>
      <c r="AB338" s="198"/>
      <c r="AC338" s="198"/>
      <c r="AD338" s="198"/>
      <c r="AE338" s="198"/>
      <c r="AF338" s="198"/>
      <c r="AG338" s="198"/>
      <c r="AH338" s="198"/>
      <c r="AI338" s="198"/>
      <c r="AJ338" s="198"/>
      <c r="AK338" s="198"/>
    </row>
    <row r="339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198"/>
      <c r="R339" s="198"/>
      <c r="S339" s="198"/>
      <c r="T339" s="198"/>
      <c r="U339" s="198"/>
      <c r="V339" s="198"/>
      <c r="W339" s="201"/>
      <c r="X339" s="198"/>
      <c r="Y339" s="198"/>
      <c r="Z339" s="198"/>
      <c r="AA339" s="198"/>
      <c r="AB339" s="198"/>
      <c r="AC339" s="198"/>
      <c r="AD339" s="198"/>
      <c r="AE339" s="198"/>
      <c r="AF339" s="198"/>
      <c r="AG339" s="198"/>
      <c r="AH339" s="198"/>
      <c r="AI339" s="198"/>
      <c r="AJ339" s="198"/>
      <c r="AK339" s="198"/>
    </row>
    <row r="340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198"/>
      <c r="S340" s="198"/>
      <c r="T340" s="198"/>
      <c r="U340" s="198"/>
      <c r="V340" s="198"/>
      <c r="W340" s="201"/>
      <c r="X340" s="198"/>
      <c r="Y340" s="198"/>
      <c r="Z340" s="198"/>
      <c r="AA340" s="198"/>
      <c r="AB340" s="198"/>
      <c r="AC340" s="198"/>
      <c r="AD340" s="198"/>
      <c r="AE340" s="198"/>
      <c r="AF340" s="198"/>
      <c r="AG340" s="198"/>
      <c r="AH340" s="198"/>
      <c r="AI340" s="198"/>
      <c r="AJ340" s="198"/>
      <c r="AK340" s="198"/>
    </row>
    <row r="341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201"/>
      <c r="X341" s="198"/>
      <c r="Y341" s="198"/>
      <c r="Z341" s="198"/>
      <c r="AA341" s="198"/>
      <c r="AB341" s="198"/>
      <c r="AC341" s="198"/>
      <c r="AD341" s="198"/>
      <c r="AE341" s="198"/>
      <c r="AF341" s="198"/>
      <c r="AG341" s="198"/>
      <c r="AH341" s="198"/>
      <c r="AI341" s="198"/>
      <c r="AJ341" s="198"/>
      <c r="AK341" s="198"/>
    </row>
    <row r="342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201"/>
      <c r="X342" s="198"/>
      <c r="Y342" s="198"/>
      <c r="Z342" s="198"/>
      <c r="AA342" s="198"/>
      <c r="AB342" s="198"/>
      <c r="AC342" s="198"/>
      <c r="AD342" s="198"/>
      <c r="AE342" s="198"/>
      <c r="AF342" s="198"/>
      <c r="AG342" s="198"/>
      <c r="AH342" s="198"/>
      <c r="AI342" s="198"/>
      <c r="AJ342" s="198"/>
      <c r="AK342" s="198"/>
    </row>
    <row r="343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201"/>
      <c r="X343" s="198"/>
      <c r="Y343" s="198"/>
      <c r="Z343" s="198"/>
      <c r="AA343" s="198"/>
      <c r="AB343" s="198"/>
      <c r="AC343" s="198"/>
      <c r="AD343" s="198"/>
      <c r="AE343" s="198"/>
      <c r="AF343" s="198"/>
      <c r="AG343" s="198"/>
      <c r="AH343" s="198"/>
      <c r="AI343" s="198"/>
      <c r="AJ343" s="198"/>
      <c r="AK343" s="198"/>
    </row>
    <row r="344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198"/>
      <c r="S344" s="198"/>
      <c r="T344" s="198"/>
      <c r="U344" s="198"/>
      <c r="V344" s="198"/>
      <c r="W344" s="201"/>
      <c r="X344" s="198"/>
      <c r="Y344" s="198"/>
      <c r="Z344" s="198"/>
      <c r="AA344" s="198"/>
      <c r="AB344" s="198"/>
      <c r="AC344" s="198"/>
      <c r="AD344" s="198"/>
      <c r="AE344" s="198"/>
      <c r="AF344" s="198"/>
      <c r="AG344" s="198"/>
      <c r="AH344" s="198"/>
      <c r="AI344" s="198"/>
      <c r="AJ344" s="198"/>
      <c r="AK344" s="198"/>
    </row>
    <row r="345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201"/>
      <c r="X345" s="198"/>
      <c r="Y345" s="198"/>
      <c r="Z345" s="198"/>
      <c r="AA345" s="198"/>
      <c r="AB345" s="198"/>
      <c r="AC345" s="198"/>
      <c r="AD345" s="198"/>
      <c r="AE345" s="198"/>
      <c r="AF345" s="198"/>
      <c r="AG345" s="198"/>
      <c r="AH345" s="198"/>
      <c r="AI345" s="198"/>
      <c r="AJ345" s="198"/>
      <c r="AK345" s="198"/>
    </row>
    <row r="346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201"/>
      <c r="X346" s="198"/>
      <c r="Y346" s="198"/>
      <c r="Z346" s="198"/>
      <c r="AA346" s="198"/>
      <c r="AB346" s="198"/>
      <c r="AC346" s="198"/>
      <c r="AD346" s="198"/>
      <c r="AE346" s="198"/>
      <c r="AF346" s="198"/>
      <c r="AG346" s="198"/>
      <c r="AH346" s="198"/>
      <c r="AI346" s="198"/>
      <c r="AJ346" s="198"/>
      <c r="AK346" s="198"/>
    </row>
    <row r="34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201"/>
      <c r="X347" s="198"/>
      <c r="Y347" s="198"/>
      <c r="Z347" s="198"/>
      <c r="AA347" s="198"/>
      <c r="AB347" s="198"/>
      <c r="AC347" s="198"/>
      <c r="AD347" s="198"/>
      <c r="AE347" s="198"/>
      <c r="AF347" s="198"/>
      <c r="AG347" s="198"/>
      <c r="AH347" s="198"/>
      <c r="AI347" s="198"/>
      <c r="AJ347" s="198"/>
      <c r="AK347" s="198"/>
    </row>
    <row r="348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198"/>
      <c r="S348" s="198"/>
      <c r="T348" s="198"/>
      <c r="U348" s="198"/>
      <c r="V348" s="198"/>
      <c r="W348" s="201"/>
      <c r="X348" s="198"/>
      <c r="Y348" s="198"/>
      <c r="Z348" s="198"/>
      <c r="AA348" s="198"/>
      <c r="AB348" s="198"/>
      <c r="AC348" s="198"/>
      <c r="AD348" s="198"/>
      <c r="AE348" s="198"/>
      <c r="AF348" s="198"/>
      <c r="AG348" s="198"/>
      <c r="AH348" s="198"/>
      <c r="AI348" s="198"/>
      <c r="AJ348" s="198"/>
      <c r="AK348" s="198"/>
    </row>
    <row r="349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201"/>
      <c r="X349" s="198"/>
      <c r="Y349" s="198"/>
      <c r="Z349" s="198"/>
      <c r="AA349" s="198"/>
      <c r="AB349" s="198"/>
      <c r="AC349" s="198"/>
      <c r="AD349" s="198"/>
      <c r="AE349" s="198"/>
      <c r="AF349" s="198"/>
      <c r="AG349" s="198"/>
      <c r="AH349" s="198"/>
      <c r="AI349" s="198"/>
      <c r="AJ349" s="198"/>
      <c r="AK349" s="198"/>
    </row>
    <row r="350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201"/>
      <c r="X350" s="198"/>
      <c r="Y350" s="198"/>
      <c r="Z350" s="198"/>
      <c r="AA350" s="198"/>
      <c r="AB350" s="198"/>
      <c r="AC350" s="198"/>
      <c r="AD350" s="198"/>
      <c r="AE350" s="198"/>
      <c r="AF350" s="198"/>
      <c r="AG350" s="198"/>
      <c r="AH350" s="198"/>
      <c r="AI350" s="198"/>
      <c r="AJ350" s="198"/>
      <c r="AK350" s="198"/>
    </row>
    <row r="351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198"/>
      <c r="R351" s="198"/>
      <c r="S351" s="198"/>
      <c r="T351" s="198"/>
      <c r="U351" s="198"/>
      <c r="V351" s="198"/>
      <c r="W351" s="201"/>
      <c r="X351" s="198"/>
      <c r="Y351" s="198"/>
      <c r="Z351" s="198"/>
      <c r="AA351" s="198"/>
      <c r="AB351" s="198"/>
      <c r="AC351" s="198"/>
      <c r="AD351" s="198"/>
      <c r="AE351" s="198"/>
      <c r="AF351" s="198"/>
      <c r="AG351" s="198"/>
      <c r="AH351" s="198"/>
      <c r="AI351" s="198"/>
      <c r="AJ351" s="198"/>
      <c r="AK351" s="198"/>
    </row>
    <row r="352">
      <c r="A352" s="198"/>
      <c r="B352" s="198"/>
      <c r="C352" s="198"/>
      <c r="D352" s="198"/>
      <c r="E352" s="198"/>
      <c r="F352" s="198"/>
      <c r="G352" s="198"/>
      <c r="H352" s="198"/>
      <c r="I352" s="198"/>
      <c r="J352" s="198"/>
      <c r="K352" s="198"/>
      <c r="L352" s="198"/>
      <c r="M352" s="198"/>
      <c r="N352" s="198"/>
      <c r="O352" s="198"/>
      <c r="P352" s="198"/>
      <c r="Q352" s="198"/>
      <c r="R352" s="198"/>
      <c r="S352" s="198"/>
      <c r="T352" s="198"/>
      <c r="U352" s="198"/>
      <c r="V352" s="198"/>
      <c r="W352" s="201"/>
      <c r="X352" s="198"/>
      <c r="Y352" s="198"/>
      <c r="Z352" s="198"/>
      <c r="AA352" s="198"/>
      <c r="AB352" s="198"/>
      <c r="AC352" s="198"/>
      <c r="AD352" s="198"/>
      <c r="AE352" s="198"/>
      <c r="AF352" s="198"/>
      <c r="AG352" s="198"/>
      <c r="AH352" s="198"/>
      <c r="AI352" s="198"/>
      <c r="AJ352" s="198"/>
      <c r="AK352" s="198"/>
    </row>
    <row r="353">
      <c r="A353" s="198"/>
      <c r="B353" s="198"/>
      <c r="C353" s="198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8"/>
      <c r="R353" s="198"/>
      <c r="S353" s="198"/>
      <c r="T353" s="198"/>
      <c r="U353" s="198"/>
      <c r="V353" s="198"/>
      <c r="W353" s="201"/>
      <c r="X353" s="198"/>
      <c r="Y353" s="198"/>
      <c r="Z353" s="198"/>
      <c r="AA353" s="198"/>
      <c r="AB353" s="198"/>
      <c r="AC353" s="198"/>
      <c r="AD353" s="198"/>
      <c r="AE353" s="198"/>
      <c r="AF353" s="198"/>
      <c r="AG353" s="198"/>
      <c r="AH353" s="198"/>
      <c r="AI353" s="198"/>
      <c r="AJ353" s="198"/>
      <c r="AK353" s="198"/>
    </row>
    <row r="354">
      <c r="A354" s="198"/>
      <c r="B354" s="198"/>
      <c r="C354" s="198"/>
      <c r="D354" s="198"/>
      <c r="E354" s="198"/>
      <c r="F354" s="198"/>
      <c r="G354" s="198"/>
      <c r="H354" s="198"/>
      <c r="I354" s="198"/>
      <c r="J354" s="198"/>
      <c r="K354" s="198"/>
      <c r="L354" s="198"/>
      <c r="M354" s="198"/>
      <c r="N354" s="198"/>
      <c r="O354" s="198"/>
      <c r="P354" s="198"/>
      <c r="Q354" s="198"/>
      <c r="R354" s="198"/>
      <c r="S354" s="198"/>
      <c r="T354" s="198"/>
      <c r="U354" s="198"/>
      <c r="V354" s="198"/>
      <c r="W354" s="201"/>
      <c r="X354" s="198"/>
      <c r="Y354" s="198"/>
      <c r="Z354" s="198"/>
      <c r="AA354" s="198"/>
      <c r="AB354" s="198"/>
      <c r="AC354" s="198"/>
      <c r="AD354" s="198"/>
      <c r="AE354" s="198"/>
      <c r="AF354" s="198"/>
      <c r="AG354" s="198"/>
      <c r="AH354" s="198"/>
      <c r="AI354" s="198"/>
      <c r="AJ354" s="198"/>
      <c r="AK354" s="198"/>
    </row>
    <row r="355">
      <c r="A355" s="198"/>
      <c r="B355" s="198"/>
      <c r="C355" s="198"/>
      <c r="D355" s="198"/>
      <c r="E355" s="198"/>
      <c r="F355" s="198"/>
      <c r="G355" s="198"/>
      <c r="H355" s="198"/>
      <c r="I355" s="198"/>
      <c r="J355" s="198"/>
      <c r="K355" s="198"/>
      <c r="L355" s="198"/>
      <c r="M355" s="198"/>
      <c r="N355" s="198"/>
      <c r="O355" s="198"/>
      <c r="P355" s="198"/>
      <c r="Q355" s="198"/>
      <c r="R355" s="198"/>
      <c r="S355" s="198"/>
      <c r="T355" s="198"/>
      <c r="U355" s="198"/>
      <c r="V355" s="198"/>
      <c r="W355" s="201"/>
      <c r="X355" s="198"/>
      <c r="Y355" s="198"/>
      <c r="Z355" s="198"/>
      <c r="AA355" s="198"/>
      <c r="AB355" s="198"/>
      <c r="AC355" s="198"/>
      <c r="AD355" s="198"/>
      <c r="AE355" s="198"/>
      <c r="AF355" s="198"/>
      <c r="AG355" s="198"/>
      <c r="AH355" s="198"/>
      <c r="AI355" s="198"/>
      <c r="AJ355" s="198"/>
      <c r="AK355" s="198"/>
    </row>
    <row r="356">
      <c r="A356" s="198"/>
      <c r="B356" s="198"/>
      <c r="C356" s="198"/>
      <c r="D356" s="198"/>
      <c r="E356" s="198"/>
      <c r="F356" s="198"/>
      <c r="G356" s="198"/>
      <c r="H356" s="198"/>
      <c r="I356" s="198"/>
      <c r="J356" s="198"/>
      <c r="K356" s="198"/>
      <c r="L356" s="198"/>
      <c r="M356" s="198"/>
      <c r="N356" s="198"/>
      <c r="O356" s="198"/>
      <c r="P356" s="198"/>
      <c r="Q356" s="198"/>
      <c r="R356" s="198"/>
      <c r="S356" s="198"/>
      <c r="T356" s="198"/>
      <c r="U356" s="198"/>
      <c r="V356" s="198"/>
      <c r="W356" s="201"/>
      <c r="X356" s="198"/>
      <c r="Y356" s="198"/>
      <c r="Z356" s="198"/>
      <c r="AA356" s="198"/>
      <c r="AB356" s="198"/>
      <c r="AC356" s="198"/>
      <c r="AD356" s="198"/>
      <c r="AE356" s="198"/>
      <c r="AF356" s="198"/>
      <c r="AG356" s="198"/>
      <c r="AH356" s="198"/>
      <c r="AI356" s="198"/>
      <c r="AJ356" s="198"/>
      <c r="AK356" s="198"/>
    </row>
    <row r="357">
      <c r="A357" s="198"/>
      <c r="B357" s="198"/>
      <c r="C357" s="198"/>
      <c r="D357" s="198"/>
      <c r="E357" s="198"/>
      <c r="F357" s="198"/>
      <c r="G357" s="198"/>
      <c r="H357" s="198"/>
      <c r="I357" s="198"/>
      <c r="J357" s="198"/>
      <c r="K357" s="198"/>
      <c r="L357" s="198"/>
      <c r="M357" s="198"/>
      <c r="N357" s="198"/>
      <c r="O357" s="198"/>
      <c r="P357" s="198"/>
      <c r="Q357" s="198"/>
      <c r="R357" s="198"/>
      <c r="S357" s="198"/>
      <c r="T357" s="198"/>
      <c r="U357" s="198"/>
      <c r="V357" s="198"/>
      <c r="W357" s="201"/>
      <c r="X357" s="198"/>
      <c r="Y357" s="198"/>
      <c r="Z357" s="198"/>
      <c r="AA357" s="198"/>
      <c r="AB357" s="198"/>
      <c r="AC357" s="198"/>
      <c r="AD357" s="198"/>
      <c r="AE357" s="198"/>
      <c r="AF357" s="198"/>
      <c r="AG357" s="198"/>
      <c r="AH357" s="198"/>
      <c r="AI357" s="198"/>
      <c r="AJ357" s="198"/>
      <c r="AK357" s="198"/>
    </row>
    <row r="358">
      <c r="A358" s="198"/>
      <c r="B358" s="198"/>
      <c r="C358" s="198"/>
      <c r="D358" s="198"/>
      <c r="E358" s="198"/>
      <c r="F358" s="198"/>
      <c r="G358" s="198"/>
      <c r="H358" s="198"/>
      <c r="I358" s="198"/>
      <c r="J358" s="198"/>
      <c r="K358" s="198"/>
      <c r="L358" s="198"/>
      <c r="M358" s="198"/>
      <c r="N358" s="198"/>
      <c r="O358" s="198"/>
      <c r="P358" s="198"/>
      <c r="Q358" s="198"/>
      <c r="R358" s="198"/>
      <c r="S358" s="198"/>
      <c r="T358" s="198"/>
      <c r="U358" s="198"/>
      <c r="V358" s="198"/>
      <c r="W358" s="201"/>
      <c r="X358" s="198"/>
      <c r="Y358" s="198"/>
      <c r="Z358" s="198"/>
      <c r="AA358" s="198"/>
      <c r="AB358" s="198"/>
      <c r="AC358" s="198"/>
      <c r="AD358" s="198"/>
      <c r="AE358" s="198"/>
      <c r="AF358" s="198"/>
      <c r="AG358" s="198"/>
      <c r="AH358" s="198"/>
      <c r="AI358" s="198"/>
      <c r="AJ358" s="198"/>
      <c r="AK358" s="198"/>
    </row>
    <row r="359">
      <c r="A359" s="198"/>
      <c r="B359" s="198"/>
      <c r="C359" s="198"/>
      <c r="D359" s="198"/>
      <c r="E359" s="198"/>
      <c r="F359" s="198"/>
      <c r="G359" s="198"/>
      <c r="H359" s="198"/>
      <c r="I359" s="198"/>
      <c r="J359" s="198"/>
      <c r="K359" s="198"/>
      <c r="L359" s="198"/>
      <c r="M359" s="198"/>
      <c r="N359" s="198"/>
      <c r="O359" s="198"/>
      <c r="P359" s="198"/>
      <c r="Q359" s="198"/>
      <c r="R359" s="198"/>
      <c r="S359" s="198"/>
      <c r="T359" s="198"/>
      <c r="U359" s="198"/>
      <c r="V359" s="198"/>
      <c r="W359" s="201"/>
      <c r="X359" s="198"/>
      <c r="Y359" s="198"/>
      <c r="Z359" s="198"/>
      <c r="AA359" s="198"/>
      <c r="AB359" s="198"/>
      <c r="AC359" s="198"/>
      <c r="AD359" s="198"/>
      <c r="AE359" s="198"/>
      <c r="AF359" s="198"/>
      <c r="AG359" s="198"/>
      <c r="AH359" s="198"/>
      <c r="AI359" s="198"/>
      <c r="AJ359" s="198"/>
      <c r="AK359" s="198"/>
    </row>
    <row r="360">
      <c r="A360" s="198"/>
      <c r="B360" s="198"/>
      <c r="C360" s="198"/>
      <c r="D360" s="198"/>
      <c r="E360" s="198"/>
      <c r="F360" s="198"/>
      <c r="G360" s="198"/>
      <c r="H360" s="198"/>
      <c r="I360" s="198"/>
      <c r="J360" s="198"/>
      <c r="K360" s="198"/>
      <c r="L360" s="198"/>
      <c r="M360" s="198"/>
      <c r="N360" s="198"/>
      <c r="O360" s="198"/>
      <c r="P360" s="198"/>
      <c r="Q360" s="198"/>
      <c r="R360" s="198"/>
      <c r="S360" s="198"/>
      <c r="T360" s="198"/>
      <c r="U360" s="198"/>
      <c r="V360" s="198"/>
      <c r="W360" s="201"/>
      <c r="X360" s="198"/>
      <c r="Y360" s="198"/>
      <c r="Z360" s="198"/>
      <c r="AA360" s="198"/>
      <c r="AB360" s="198"/>
      <c r="AC360" s="198"/>
      <c r="AD360" s="198"/>
      <c r="AE360" s="198"/>
      <c r="AF360" s="198"/>
      <c r="AG360" s="198"/>
      <c r="AH360" s="198"/>
      <c r="AI360" s="198"/>
      <c r="AJ360" s="198"/>
      <c r="AK360" s="198"/>
    </row>
    <row r="361">
      <c r="A361" s="198"/>
      <c r="B361" s="198"/>
      <c r="C361" s="198"/>
      <c r="D361" s="198"/>
      <c r="E361" s="198"/>
      <c r="F361" s="198"/>
      <c r="G361" s="198"/>
      <c r="H361" s="198"/>
      <c r="I361" s="198"/>
      <c r="J361" s="198"/>
      <c r="K361" s="198"/>
      <c r="L361" s="198"/>
      <c r="M361" s="198"/>
      <c r="N361" s="198"/>
      <c r="O361" s="198"/>
      <c r="P361" s="198"/>
      <c r="Q361" s="198"/>
      <c r="R361" s="198"/>
      <c r="S361" s="198"/>
      <c r="T361" s="198"/>
      <c r="U361" s="198"/>
      <c r="V361" s="198"/>
      <c r="W361" s="201"/>
      <c r="X361" s="198"/>
      <c r="Y361" s="198"/>
      <c r="Z361" s="198"/>
      <c r="AA361" s="198"/>
      <c r="AB361" s="198"/>
      <c r="AC361" s="198"/>
      <c r="AD361" s="198"/>
      <c r="AE361" s="198"/>
      <c r="AF361" s="198"/>
      <c r="AG361" s="198"/>
      <c r="AH361" s="198"/>
      <c r="AI361" s="198"/>
      <c r="AJ361" s="198"/>
      <c r="AK361" s="198"/>
    </row>
    <row r="362">
      <c r="A362" s="198"/>
      <c r="B362" s="198"/>
      <c r="C362" s="198"/>
      <c r="D362" s="198"/>
      <c r="E362" s="198"/>
      <c r="F362" s="198"/>
      <c r="G362" s="198"/>
      <c r="H362" s="198"/>
      <c r="I362" s="198"/>
      <c r="J362" s="198"/>
      <c r="K362" s="198"/>
      <c r="L362" s="198"/>
      <c r="M362" s="198"/>
      <c r="N362" s="198"/>
      <c r="O362" s="198"/>
      <c r="P362" s="198"/>
      <c r="Q362" s="198"/>
      <c r="R362" s="198"/>
      <c r="S362" s="198"/>
      <c r="T362" s="198"/>
      <c r="U362" s="198"/>
      <c r="V362" s="198"/>
      <c r="W362" s="201"/>
      <c r="X362" s="198"/>
      <c r="Y362" s="198"/>
      <c r="Z362" s="198"/>
      <c r="AA362" s="198"/>
      <c r="AB362" s="198"/>
      <c r="AC362" s="198"/>
      <c r="AD362" s="198"/>
      <c r="AE362" s="198"/>
      <c r="AF362" s="198"/>
      <c r="AG362" s="198"/>
      <c r="AH362" s="198"/>
      <c r="AI362" s="198"/>
      <c r="AJ362" s="198"/>
      <c r="AK362" s="198"/>
    </row>
    <row r="363">
      <c r="A363" s="198"/>
      <c r="B363" s="198"/>
      <c r="C363" s="198"/>
      <c r="D363" s="198"/>
      <c r="E363" s="198"/>
      <c r="F363" s="198"/>
      <c r="G363" s="198"/>
      <c r="H363" s="198"/>
      <c r="I363" s="198"/>
      <c r="J363" s="198"/>
      <c r="K363" s="198"/>
      <c r="L363" s="198"/>
      <c r="M363" s="198"/>
      <c r="N363" s="198"/>
      <c r="O363" s="198"/>
      <c r="P363" s="198"/>
      <c r="Q363" s="198"/>
      <c r="R363" s="198"/>
      <c r="S363" s="198"/>
      <c r="T363" s="198"/>
      <c r="U363" s="198"/>
      <c r="V363" s="198"/>
      <c r="W363" s="201"/>
      <c r="X363" s="198"/>
      <c r="Y363" s="198"/>
      <c r="Z363" s="198"/>
      <c r="AA363" s="198"/>
      <c r="AB363" s="198"/>
      <c r="AC363" s="198"/>
      <c r="AD363" s="198"/>
      <c r="AE363" s="198"/>
      <c r="AF363" s="198"/>
      <c r="AG363" s="198"/>
      <c r="AH363" s="198"/>
      <c r="AI363" s="198"/>
      <c r="AJ363" s="198"/>
      <c r="AK363" s="198"/>
    </row>
    <row r="364">
      <c r="A364" s="198"/>
      <c r="B364" s="198"/>
      <c r="C364" s="198"/>
      <c r="D364" s="198"/>
      <c r="E364" s="198"/>
      <c r="F364" s="198"/>
      <c r="G364" s="198"/>
      <c r="H364" s="198"/>
      <c r="I364" s="198"/>
      <c r="J364" s="198"/>
      <c r="K364" s="198"/>
      <c r="L364" s="198"/>
      <c r="M364" s="198"/>
      <c r="N364" s="198"/>
      <c r="O364" s="198"/>
      <c r="P364" s="198"/>
      <c r="Q364" s="198"/>
      <c r="R364" s="198"/>
      <c r="S364" s="198"/>
      <c r="T364" s="198"/>
      <c r="U364" s="198"/>
      <c r="V364" s="198"/>
      <c r="W364" s="201"/>
      <c r="X364" s="198"/>
      <c r="Y364" s="198"/>
      <c r="Z364" s="198"/>
      <c r="AA364" s="198"/>
      <c r="AB364" s="198"/>
      <c r="AC364" s="198"/>
      <c r="AD364" s="198"/>
      <c r="AE364" s="198"/>
      <c r="AF364" s="198"/>
      <c r="AG364" s="198"/>
      <c r="AH364" s="198"/>
      <c r="AI364" s="198"/>
      <c r="AJ364" s="198"/>
      <c r="AK364" s="198"/>
    </row>
    <row r="365">
      <c r="A365" s="198"/>
      <c r="B365" s="198"/>
      <c r="C365" s="198"/>
      <c r="D365" s="198"/>
      <c r="E365" s="198"/>
      <c r="F365" s="198"/>
      <c r="G365" s="198"/>
      <c r="H365" s="198"/>
      <c r="I365" s="198"/>
      <c r="J365" s="198"/>
      <c r="K365" s="198"/>
      <c r="L365" s="198"/>
      <c r="M365" s="198"/>
      <c r="N365" s="198"/>
      <c r="O365" s="198"/>
      <c r="P365" s="198"/>
      <c r="Q365" s="198"/>
      <c r="R365" s="198"/>
      <c r="S365" s="198"/>
      <c r="T365" s="198"/>
      <c r="U365" s="198"/>
      <c r="V365" s="198"/>
      <c r="W365" s="201"/>
      <c r="X365" s="198"/>
      <c r="Y365" s="198"/>
      <c r="Z365" s="198"/>
      <c r="AA365" s="198"/>
      <c r="AB365" s="198"/>
      <c r="AC365" s="198"/>
      <c r="AD365" s="198"/>
      <c r="AE365" s="198"/>
      <c r="AF365" s="198"/>
      <c r="AG365" s="198"/>
      <c r="AH365" s="198"/>
      <c r="AI365" s="198"/>
      <c r="AJ365" s="198"/>
      <c r="AK365" s="198"/>
    </row>
    <row r="366">
      <c r="A366" s="198"/>
      <c r="B366" s="198"/>
      <c r="C366" s="198"/>
      <c r="D366" s="198"/>
      <c r="E366" s="198"/>
      <c r="F366" s="198"/>
      <c r="G366" s="198"/>
      <c r="H366" s="198"/>
      <c r="I366" s="198"/>
      <c r="J366" s="198"/>
      <c r="K366" s="198"/>
      <c r="L366" s="198"/>
      <c r="M366" s="198"/>
      <c r="N366" s="198"/>
      <c r="O366" s="198"/>
      <c r="P366" s="198"/>
      <c r="Q366" s="198"/>
      <c r="R366" s="198"/>
      <c r="S366" s="198"/>
      <c r="T366" s="198"/>
      <c r="U366" s="198"/>
      <c r="V366" s="198"/>
      <c r="W366" s="201"/>
      <c r="X366" s="198"/>
      <c r="Y366" s="198"/>
      <c r="Z366" s="198"/>
      <c r="AA366" s="198"/>
      <c r="AB366" s="198"/>
      <c r="AC366" s="198"/>
      <c r="AD366" s="198"/>
      <c r="AE366" s="198"/>
      <c r="AF366" s="198"/>
      <c r="AG366" s="198"/>
      <c r="AH366" s="198"/>
      <c r="AI366" s="198"/>
      <c r="AJ366" s="198"/>
      <c r="AK366" s="198"/>
    </row>
    <row r="367">
      <c r="A367" s="198"/>
      <c r="B367" s="198"/>
      <c r="C367" s="198"/>
      <c r="D367" s="198"/>
      <c r="E367" s="198"/>
      <c r="F367" s="198"/>
      <c r="G367" s="198"/>
      <c r="H367" s="198"/>
      <c r="I367" s="198"/>
      <c r="J367" s="198"/>
      <c r="K367" s="198"/>
      <c r="L367" s="198"/>
      <c r="M367" s="198"/>
      <c r="N367" s="198"/>
      <c r="O367" s="198"/>
      <c r="P367" s="198"/>
      <c r="Q367" s="198"/>
      <c r="R367" s="198"/>
      <c r="S367" s="198"/>
      <c r="T367" s="198"/>
      <c r="U367" s="198"/>
      <c r="V367" s="198"/>
      <c r="W367" s="201"/>
      <c r="X367" s="198"/>
      <c r="Y367" s="198"/>
      <c r="Z367" s="198"/>
      <c r="AA367" s="198"/>
      <c r="AB367" s="198"/>
      <c r="AC367" s="198"/>
      <c r="AD367" s="198"/>
      <c r="AE367" s="198"/>
      <c r="AF367" s="198"/>
      <c r="AG367" s="198"/>
      <c r="AH367" s="198"/>
      <c r="AI367" s="198"/>
      <c r="AJ367" s="198"/>
      <c r="AK367" s="198"/>
    </row>
    <row r="368">
      <c r="A368" s="198"/>
      <c r="B368" s="198"/>
      <c r="C368" s="198"/>
      <c r="D368" s="198"/>
      <c r="E368" s="198"/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201"/>
      <c r="X368" s="198"/>
      <c r="Y368" s="198"/>
      <c r="Z368" s="198"/>
      <c r="AA368" s="198"/>
      <c r="AB368" s="198"/>
      <c r="AC368" s="198"/>
      <c r="AD368" s="198"/>
      <c r="AE368" s="198"/>
      <c r="AF368" s="198"/>
      <c r="AG368" s="198"/>
      <c r="AH368" s="198"/>
      <c r="AI368" s="198"/>
      <c r="AJ368" s="198"/>
      <c r="AK368" s="198"/>
    </row>
    <row r="369">
      <c r="A369" s="198"/>
      <c r="B369" s="198"/>
      <c r="C369" s="198"/>
      <c r="D369" s="198"/>
      <c r="E369" s="198"/>
      <c r="F369" s="198"/>
      <c r="G369" s="198"/>
      <c r="H369" s="198"/>
      <c r="I369" s="198"/>
      <c r="J369" s="198"/>
      <c r="K369" s="198"/>
      <c r="L369" s="198"/>
      <c r="M369" s="198"/>
      <c r="N369" s="198"/>
      <c r="O369" s="198"/>
      <c r="P369" s="198"/>
      <c r="Q369" s="198"/>
      <c r="R369" s="198"/>
      <c r="S369" s="198"/>
      <c r="T369" s="198"/>
      <c r="U369" s="198"/>
      <c r="V369" s="198"/>
      <c r="W369" s="201"/>
      <c r="X369" s="198"/>
      <c r="Y369" s="198"/>
      <c r="Z369" s="198"/>
      <c r="AA369" s="198"/>
      <c r="AB369" s="198"/>
      <c r="AC369" s="198"/>
      <c r="AD369" s="198"/>
      <c r="AE369" s="198"/>
      <c r="AF369" s="198"/>
      <c r="AG369" s="198"/>
      <c r="AH369" s="198"/>
      <c r="AI369" s="198"/>
      <c r="AJ369" s="198"/>
      <c r="AK369" s="198"/>
    </row>
    <row r="370">
      <c r="A370" s="198"/>
      <c r="B370" s="198"/>
      <c r="C370" s="198"/>
      <c r="D370" s="198"/>
      <c r="E370" s="198"/>
      <c r="F370" s="198"/>
      <c r="G370" s="198"/>
      <c r="H370" s="198"/>
      <c r="I370" s="198"/>
      <c r="J370" s="198"/>
      <c r="K370" s="198"/>
      <c r="L370" s="198"/>
      <c r="M370" s="198"/>
      <c r="N370" s="198"/>
      <c r="O370" s="198"/>
      <c r="P370" s="198"/>
      <c r="Q370" s="198"/>
      <c r="R370" s="198"/>
      <c r="S370" s="198"/>
      <c r="T370" s="198"/>
      <c r="U370" s="198"/>
      <c r="V370" s="198"/>
      <c r="W370" s="201"/>
      <c r="X370" s="198"/>
      <c r="Y370" s="198"/>
      <c r="Z370" s="198"/>
      <c r="AA370" s="198"/>
      <c r="AB370" s="198"/>
      <c r="AC370" s="198"/>
      <c r="AD370" s="198"/>
      <c r="AE370" s="198"/>
      <c r="AF370" s="198"/>
      <c r="AG370" s="198"/>
      <c r="AH370" s="198"/>
      <c r="AI370" s="198"/>
      <c r="AJ370" s="198"/>
      <c r="AK370" s="198"/>
    </row>
    <row r="371">
      <c r="A371" s="198"/>
      <c r="B371" s="198"/>
      <c r="C371" s="198"/>
      <c r="D371" s="198"/>
      <c r="E371" s="198"/>
      <c r="F371" s="198"/>
      <c r="G371" s="198"/>
      <c r="H371" s="198"/>
      <c r="I371" s="198"/>
      <c r="J371" s="198"/>
      <c r="K371" s="198"/>
      <c r="L371" s="198"/>
      <c r="M371" s="198"/>
      <c r="N371" s="198"/>
      <c r="O371" s="198"/>
      <c r="P371" s="198"/>
      <c r="Q371" s="198"/>
      <c r="R371" s="198"/>
      <c r="S371" s="198"/>
      <c r="T371" s="198"/>
      <c r="U371" s="198"/>
      <c r="V371" s="198"/>
      <c r="W371" s="201"/>
      <c r="X371" s="198"/>
      <c r="Y371" s="198"/>
      <c r="Z371" s="198"/>
      <c r="AA371" s="198"/>
      <c r="AB371" s="198"/>
      <c r="AC371" s="198"/>
      <c r="AD371" s="198"/>
      <c r="AE371" s="198"/>
      <c r="AF371" s="198"/>
      <c r="AG371" s="198"/>
      <c r="AH371" s="198"/>
      <c r="AI371" s="198"/>
      <c r="AJ371" s="198"/>
      <c r="AK371" s="198"/>
    </row>
    <row r="372">
      <c r="A372" s="198"/>
      <c r="B372" s="198"/>
      <c r="C372" s="198"/>
      <c r="D372" s="198"/>
      <c r="E372" s="198"/>
      <c r="F372" s="198"/>
      <c r="G372" s="198"/>
      <c r="H372" s="198"/>
      <c r="I372" s="198"/>
      <c r="J372" s="198"/>
      <c r="K372" s="198"/>
      <c r="L372" s="198"/>
      <c r="M372" s="198"/>
      <c r="N372" s="198"/>
      <c r="O372" s="198"/>
      <c r="P372" s="198"/>
      <c r="Q372" s="198"/>
      <c r="R372" s="198"/>
      <c r="S372" s="198"/>
      <c r="T372" s="198"/>
      <c r="U372" s="198"/>
      <c r="V372" s="198"/>
      <c r="W372" s="201"/>
      <c r="X372" s="198"/>
      <c r="Y372" s="198"/>
      <c r="Z372" s="198"/>
      <c r="AA372" s="198"/>
      <c r="AB372" s="198"/>
      <c r="AC372" s="198"/>
      <c r="AD372" s="198"/>
      <c r="AE372" s="198"/>
      <c r="AF372" s="198"/>
      <c r="AG372" s="198"/>
      <c r="AH372" s="198"/>
      <c r="AI372" s="198"/>
      <c r="AJ372" s="198"/>
      <c r="AK372" s="198"/>
    </row>
    <row r="373">
      <c r="A373" s="198"/>
      <c r="B373" s="198"/>
      <c r="C373" s="198"/>
      <c r="D373" s="198"/>
      <c r="E373" s="198"/>
      <c r="F373" s="198"/>
      <c r="G373" s="198"/>
      <c r="H373" s="198"/>
      <c r="I373" s="198"/>
      <c r="J373" s="198"/>
      <c r="K373" s="198"/>
      <c r="L373" s="198"/>
      <c r="M373" s="198"/>
      <c r="N373" s="198"/>
      <c r="O373" s="198"/>
      <c r="P373" s="198"/>
      <c r="Q373" s="198"/>
      <c r="R373" s="198"/>
      <c r="S373" s="198"/>
      <c r="T373" s="198"/>
      <c r="U373" s="198"/>
      <c r="V373" s="198"/>
      <c r="W373" s="201"/>
      <c r="X373" s="198"/>
      <c r="Y373" s="198"/>
      <c r="Z373" s="198"/>
      <c r="AA373" s="198"/>
      <c r="AB373" s="198"/>
      <c r="AC373" s="198"/>
      <c r="AD373" s="198"/>
      <c r="AE373" s="198"/>
      <c r="AF373" s="198"/>
      <c r="AG373" s="198"/>
      <c r="AH373" s="198"/>
      <c r="AI373" s="198"/>
      <c r="AJ373" s="198"/>
      <c r="AK373" s="198"/>
    </row>
    <row r="374">
      <c r="A374" s="198"/>
      <c r="B374" s="198"/>
      <c r="C374" s="198"/>
      <c r="D374" s="198"/>
      <c r="E374" s="198"/>
      <c r="F374" s="198"/>
      <c r="G374" s="198"/>
      <c r="H374" s="198"/>
      <c r="I374" s="198"/>
      <c r="J374" s="198"/>
      <c r="K374" s="198"/>
      <c r="L374" s="198"/>
      <c r="M374" s="198"/>
      <c r="N374" s="198"/>
      <c r="O374" s="198"/>
      <c r="P374" s="198"/>
      <c r="Q374" s="198"/>
      <c r="R374" s="198"/>
      <c r="S374" s="198"/>
      <c r="T374" s="198"/>
      <c r="U374" s="198"/>
      <c r="V374" s="198"/>
      <c r="W374" s="201"/>
      <c r="X374" s="198"/>
      <c r="Y374" s="198"/>
      <c r="Z374" s="198"/>
      <c r="AA374" s="198"/>
      <c r="AB374" s="198"/>
      <c r="AC374" s="198"/>
      <c r="AD374" s="198"/>
      <c r="AE374" s="198"/>
      <c r="AF374" s="198"/>
      <c r="AG374" s="198"/>
      <c r="AH374" s="198"/>
      <c r="AI374" s="198"/>
      <c r="AJ374" s="198"/>
      <c r="AK374" s="198"/>
    </row>
    <row r="375">
      <c r="A375" s="198"/>
      <c r="B375" s="198"/>
      <c r="C375" s="198"/>
      <c r="D375" s="198"/>
      <c r="E375" s="198"/>
      <c r="F375" s="198"/>
      <c r="G375" s="198"/>
      <c r="H375" s="198"/>
      <c r="I375" s="198"/>
      <c r="J375" s="198"/>
      <c r="K375" s="198"/>
      <c r="L375" s="198"/>
      <c r="M375" s="198"/>
      <c r="N375" s="198"/>
      <c r="O375" s="198"/>
      <c r="P375" s="198"/>
      <c r="Q375" s="198"/>
      <c r="R375" s="198"/>
      <c r="S375" s="198"/>
      <c r="T375" s="198"/>
      <c r="U375" s="198"/>
      <c r="V375" s="198"/>
      <c r="W375" s="201"/>
      <c r="X375" s="198"/>
      <c r="Y375" s="198"/>
      <c r="Z375" s="198"/>
      <c r="AA375" s="198"/>
      <c r="AB375" s="198"/>
      <c r="AC375" s="198"/>
      <c r="AD375" s="198"/>
      <c r="AE375" s="198"/>
      <c r="AF375" s="198"/>
      <c r="AG375" s="198"/>
      <c r="AH375" s="198"/>
      <c r="AI375" s="198"/>
      <c r="AJ375" s="198"/>
      <c r="AK375" s="198"/>
    </row>
    <row r="376">
      <c r="A376" s="198"/>
      <c r="B376" s="198"/>
      <c r="C376" s="198"/>
      <c r="D376" s="198"/>
      <c r="E376" s="198"/>
      <c r="F376" s="198"/>
      <c r="G376" s="198"/>
      <c r="H376" s="198"/>
      <c r="I376" s="198"/>
      <c r="J376" s="198"/>
      <c r="K376" s="198"/>
      <c r="L376" s="198"/>
      <c r="M376" s="198"/>
      <c r="N376" s="198"/>
      <c r="O376" s="198"/>
      <c r="P376" s="198"/>
      <c r="Q376" s="198"/>
      <c r="R376" s="198"/>
      <c r="S376" s="198"/>
      <c r="T376" s="198"/>
      <c r="U376" s="198"/>
      <c r="V376" s="198"/>
      <c r="W376" s="201"/>
      <c r="X376" s="198"/>
      <c r="Y376" s="198"/>
      <c r="Z376" s="198"/>
      <c r="AA376" s="198"/>
      <c r="AB376" s="198"/>
      <c r="AC376" s="198"/>
      <c r="AD376" s="198"/>
      <c r="AE376" s="198"/>
      <c r="AF376" s="198"/>
      <c r="AG376" s="198"/>
      <c r="AH376" s="198"/>
      <c r="AI376" s="198"/>
      <c r="AJ376" s="198"/>
      <c r="AK376" s="198"/>
    </row>
    <row r="377">
      <c r="A377" s="198"/>
      <c r="B377" s="198"/>
      <c r="C377" s="198"/>
      <c r="D377" s="198"/>
      <c r="E377" s="198"/>
      <c r="F377" s="198"/>
      <c r="G377" s="198"/>
      <c r="H377" s="198"/>
      <c r="I377" s="198"/>
      <c r="J377" s="198"/>
      <c r="K377" s="198"/>
      <c r="L377" s="198"/>
      <c r="M377" s="198"/>
      <c r="N377" s="198"/>
      <c r="O377" s="198"/>
      <c r="P377" s="198"/>
      <c r="Q377" s="198"/>
      <c r="R377" s="198"/>
      <c r="S377" s="198"/>
      <c r="T377" s="198"/>
      <c r="U377" s="198"/>
      <c r="V377" s="198"/>
      <c r="W377" s="201"/>
      <c r="X377" s="198"/>
      <c r="Y377" s="198"/>
      <c r="Z377" s="198"/>
      <c r="AA377" s="198"/>
      <c r="AB377" s="198"/>
      <c r="AC377" s="198"/>
      <c r="AD377" s="198"/>
      <c r="AE377" s="198"/>
      <c r="AF377" s="198"/>
      <c r="AG377" s="198"/>
      <c r="AH377" s="198"/>
      <c r="AI377" s="198"/>
      <c r="AJ377" s="198"/>
      <c r="AK377" s="198"/>
    </row>
    <row r="378">
      <c r="A378" s="198"/>
      <c r="B378" s="198"/>
      <c r="C378" s="198"/>
      <c r="D378" s="198"/>
      <c r="E378" s="198"/>
      <c r="F378" s="198"/>
      <c r="G378" s="198"/>
      <c r="H378" s="198"/>
      <c r="I378" s="198"/>
      <c r="J378" s="198"/>
      <c r="K378" s="198"/>
      <c r="L378" s="198"/>
      <c r="M378" s="198"/>
      <c r="N378" s="198"/>
      <c r="O378" s="198"/>
      <c r="P378" s="198"/>
      <c r="Q378" s="198"/>
      <c r="R378" s="198"/>
      <c r="S378" s="198"/>
      <c r="T378" s="198"/>
      <c r="U378" s="198"/>
      <c r="V378" s="198"/>
      <c r="W378" s="201"/>
      <c r="X378" s="198"/>
      <c r="Y378" s="198"/>
      <c r="Z378" s="198"/>
      <c r="AA378" s="198"/>
      <c r="AB378" s="198"/>
      <c r="AC378" s="198"/>
      <c r="AD378" s="198"/>
      <c r="AE378" s="198"/>
      <c r="AF378" s="198"/>
      <c r="AG378" s="198"/>
      <c r="AH378" s="198"/>
      <c r="AI378" s="198"/>
      <c r="AJ378" s="198"/>
      <c r="AK378" s="198"/>
    </row>
    <row r="379">
      <c r="A379" s="198"/>
      <c r="B379" s="198"/>
      <c r="C379" s="198"/>
      <c r="D379" s="198"/>
      <c r="E379" s="198"/>
      <c r="F379" s="198"/>
      <c r="G379" s="198"/>
      <c r="H379" s="198"/>
      <c r="I379" s="198"/>
      <c r="J379" s="198"/>
      <c r="K379" s="198"/>
      <c r="L379" s="198"/>
      <c r="M379" s="198"/>
      <c r="N379" s="198"/>
      <c r="O379" s="198"/>
      <c r="P379" s="198"/>
      <c r="Q379" s="198"/>
      <c r="R379" s="198"/>
      <c r="S379" s="198"/>
      <c r="T379" s="198"/>
      <c r="U379" s="198"/>
      <c r="V379" s="198"/>
      <c r="W379" s="201"/>
      <c r="X379" s="198"/>
      <c r="Y379" s="198"/>
      <c r="Z379" s="198"/>
      <c r="AA379" s="198"/>
      <c r="AB379" s="198"/>
      <c r="AC379" s="198"/>
      <c r="AD379" s="198"/>
      <c r="AE379" s="198"/>
      <c r="AF379" s="198"/>
      <c r="AG379" s="198"/>
      <c r="AH379" s="198"/>
      <c r="AI379" s="198"/>
      <c r="AJ379" s="198"/>
      <c r="AK379" s="198"/>
    </row>
    <row r="380">
      <c r="A380" s="198"/>
      <c r="B380" s="198"/>
      <c r="C380" s="198"/>
      <c r="D380" s="198"/>
      <c r="E380" s="198"/>
      <c r="F380" s="198"/>
      <c r="G380" s="198"/>
      <c r="H380" s="198"/>
      <c r="I380" s="198"/>
      <c r="J380" s="198"/>
      <c r="K380" s="198"/>
      <c r="L380" s="198"/>
      <c r="M380" s="198"/>
      <c r="N380" s="198"/>
      <c r="O380" s="198"/>
      <c r="P380" s="198"/>
      <c r="Q380" s="198"/>
      <c r="R380" s="198"/>
      <c r="S380" s="198"/>
      <c r="T380" s="198"/>
      <c r="U380" s="198"/>
      <c r="V380" s="198"/>
      <c r="W380" s="201"/>
      <c r="X380" s="198"/>
      <c r="Y380" s="198"/>
      <c r="Z380" s="198"/>
      <c r="AA380" s="198"/>
      <c r="AB380" s="198"/>
      <c r="AC380" s="198"/>
      <c r="AD380" s="198"/>
      <c r="AE380" s="198"/>
      <c r="AF380" s="198"/>
      <c r="AG380" s="198"/>
      <c r="AH380" s="198"/>
      <c r="AI380" s="198"/>
      <c r="AJ380" s="198"/>
      <c r="AK380" s="198"/>
    </row>
    <row r="381">
      <c r="A381" s="198"/>
      <c r="B381" s="198"/>
      <c r="C381" s="198"/>
      <c r="D381" s="198"/>
      <c r="E381" s="198"/>
      <c r="F381" s="198"/>
      <c r="G381" s="198"/>
      <c r="H381" s="198"/>
      <c r="I381" s="198"/>
      <c r="J381" s="198"/>
      <c r="K381" s="198"/>
      <c r="L381" s="198"/>
      <c r="M381" s="198"/>
      <c r="N381" s="198"/>
      <c r="O381" s="198"/>
      <c r="P381" s="198"/>
      <c r="Q381" s="198"/>
      <c r="R381" s="198"/>
      <c r="S381" s="198"/>
      <c r="T381" s="198"/>
      <c r="U381" s="198"/>
      <c r="V381" s="198"/>
      <c r="W381" s="201"/>
      <c r="X381" s="198"/>
      <c r="Y381" s="198"/>
      <c r="Z381" s="198"/>
      <c r="AA381" s="198"/>
      <c r="AB381" s="198"/>
      <c r="AC381" s="198"/>
      <c r="AD381" s="198"/>
      <c r="AE381" s="198"/>
      <c r="AF381" s="198"/>
      <c r="AG381" s="198"/>
      <c r="AH381" s="198"/>
      <c r="AI381" s="198"/>
      <c r="AJ381" s="198"/>
      <c r="AK381" s="198"/>
    </row>
    <row r="382">
      <c r="A382" s="198"/>
      <c r="B382" s="198"/>
      <c r="C382" s="198"/>
      <c r="D382" s="198"/>
      <c r="E382" s="198"/>
      <c r="F382" s="198"/>
      <c r="G382" s="198"/>
      <c r="H382" s="198"/>
      <c r="I382" s="198"/>
      <c r="J382" s="198"/>
      <c r="K382" s="198"/>
      <c r="L382" s="198"/>
      <c r="M382" s="198"/>
      <c r="N382" s="198"/>
      <c r="O382" s="198"/>
      <c r="P382" s="198"/>
      <c r="Q382" s="198"/>
      <c r="R382" s="198"/>
      <c r="S382" s="198"/>
      <c r="T382" s="198"/>
      <c r="U382" s="198"/>
      <c r="V382" s="198"/>
      <c r="W382" s="201"/>
      <c r="X382" s="198"/>
      <c r="Y382" s="198"/>
      <c r="Z382" s="198"/>
      <c r="AA382" s="198"/>
      <c r="AB382" s="198"/>
      <c r="AC382" s="198"/>
      <c r="AD382" s="198"/>
      <c r="AE382" s="198"/>
      <c r="AF382" s="198"/>
      <c r="AG382" s="198"/>
      <c r="AH382" s="198"/>
      <c r="AI382" s="198"/>
      <c r="AJ382" s="198"/>
      <c r="AK382" s="198"/>
    </row>
    <row r="383">
      <c r="A383" s="198"/>
      <c r="B383" s="198"/>
      <c r="C383" s="198"/>
      <c r="D383" s="198"/>
      <c r="E383" s="198"/>
      <c r="F383" s="198"/>
      <c r="G383" s="198"/>
      <c r="H383" s="198"/>
      <c r="I383" s="198"/>
      <c r="J383" s="198"/>
      <c r="K383" s="198"/>
      <c r="L383" s="198"/>
      <c r="M383" s="198"/>
      <c r="N383" s="198"/>
      <c r="O383" s="198"/>
      <c r="P383" s="198"/>
      <c r="Q383" s="198"/>
      <c r="R383" s="198"/>
      <c r="S383" s="198"/>
      <c r="T383" s="198"/>
      <c r="U383" s="198"/>
      <c r="V383" s="198"/>
      <c r="W383" s="201"/>
      <c r="X383" s="198"/>
      <c r="Y383" s="198"/>
      <c r="Z383" s="198"/>
      <c r="AA383" s="198"/>
      <c r="AB383" s="198"/>
      <c r="AC383" s="198"/>
      <c r="AD383" s="198"/>
      <c r="AE383" s="198"/>
      <c r="AF383" s="198"/>
      <c r="AG383" s="198"/>
      <c r="AH383" s="198"/>
      <c r="AI383" s="198"/>
      <c r="AJ383" s="198"/>
      <c r="AK383" s="198"/>
    </row>
    <row r="384">
      <c r="A384" s="198"/>
      <c r="B384" s="198"/>
      <c r="C384" s="198"/>
      <c r="D384" s="198"/>
      <c r="E384" s="198"/>
      <c r="F384" s="198"/>
      <c r="G384" s="198"/>
      <c r="H384" s="198"/>
      <c r="I384" s="198"/>
      <c r="J384" s="198"/>
      <c r="K384" s="198"/>
      <c r="L384" s="198"/>
      <c r="M384" s="198"/>
      <c r="N384" s="198"/>
      <c r="O384" s="198"/>
      <c r="P384" s="198"/>
      <c r="Q384" s="198"/>
      <c r="R384" s="198"/>
      <c r="S384" s="198"/>
      <c r="T384" s="198"/>
      <c r="U384" s="198"/>
      <c r="V384" s="198"/>
      <c r="W384" s="201"/>
      <c r="X384" s="198"/>
      <c r="Y384" s="198"/>
      <c r="Z384" s="198"/>
      <c r="AA384" s="198"/>
      <c r="AB384" s="198"/>
      <c r="AC384" s="198"/>
      <c r="AD384" s="198"/>
      <c r="AE384" s="198"/>
      <c r="AF384" s="198"/>
      <c r="AG384" s="198"/>
      <c r="AH384" s="198"/>
      <c r="AI384" s="198"/>
      <c r="AJ384" s="198"/>
      <c r="AK384" s="198"/>
    </row>
    <row r="385">
      <c r="A385" s="198"/>
      <c r="B385" s="198"/>
      <c r="C385" s="198"/>
      <c r="D385" s="198"/>
      <c r="E385" s="198"/>
      <c r="F385" s="198"/>
      <c r="G385" s="198"/>
      <c r="H385" s="198"/>
      <c r="I385" s="198"/>
      <c r="J385" s="198"/>
      <c r="K385" s="198"/>
      <c r="L385" s="198"/>
      <c r="M385" s="198"/>
      <c r="N385" s="198"/>
      <c r="O385" s="198"/>
      <c r="P385" s="198"/>
      <c r="Q385" s="198"/>
      <c r="R385" s="198"/>
      <c r="S385" s="198"/>
      <c r="T385" s="198"/>
      <c r="U385" s="198"/>
      <c r="V385" s="198"/>
      <c r="W385" s="201"/>
      <c r="X385" s="198"/>
      <c r="Y385" s="198"/>
      <c r="Z385" s="198"/>
      <c r="AA385" s="198"/>
      <c r="AB385" s="198"/>
      <c r="AC385" s="198"/>
      <c r="AD385" s="198"/>
      <c r="AE385" s="198"/>
      <c r="AF385" s="198"/>
      <c r="AG385" s="198"/>
      <c r="AH385" s="198"/>
      <c r="AI385" s="198"/>
      <c r="AJ385" s="198"/>
      <c r="AK385" s="198"/>
    </row>
    <row r="386">
      <c r="A386" s="198"/>
      <c r="B386" s="198"/>
      <c r="C386" s="198"/>
      <c r="D386" s="198"/>
      <c r="E386" s="198"/>
      <c r="F386" s="198"/>
      <c r="G386" s="198"/>
      <c r="H386" s="198"/>
      <c r="I386" s="198"/>
      <c r="J386" s="198"/>
      <c r="K386" s="198"/>
      <c r="L386" s="198"/>
      <c r="M386" s="198"/>
      <c r="N386" s="198"/>
      <c r="O386" s="198"/>
      <c r="P386" s="198"/>
      <c r="Q386" s="198"/>
      <c r="R386" s="198"/>
      <c r="S386" s="198"/>
      <c r="T386" s="198"/>
      <c r="U386" s="198"/>
      <c r="V386" s="198"/>
      <c r="W386" s="201"/>
      <c r="X386" s="198"/>
      <c r="Y386" s="198"/>
      <c r="Z386" s="198"/>
      <c r="AA386" s="198"/>
      <c r="AB386" s="198"/>
      <c r="AC386" s="198"/>
      <c r="AD386" s="198"/>
      <c r="AE386" s="198"/>
      <c r="AF386" s="198"/>
      <c r="AG386" s="198"/>
      <c r="AH386" s="198"/>
      <c r="AI386" s="198"/>
      <c r="AJ386" s="198"/>
      <c r="AK386" s="198"/>
    </row>
    <row r="387">
      <c r="A387" s="198"/>
      <c r="B387" s="198"/>
      <c r="C387" s="198"/>
      <c r="D387" s="198"/>
      <c r="E387" s="198"/>
      <c r="F387" s="198"/>
      <c r="G387" s="198"/>
      <c r="H387" s="198"/>
      <c r="I387" s="198"/>
      <c r="J387" s="198"/>
      <c r="K387" s="198"/>
      <c r="L387" s="198"/>
      <c r="M387" s="198"/>
      <c r="N387" s="198"/>
      <c r="O387" s="198"/>
      <c r="P387" s="198"/>
      <c r="Q387" s="198"/>
      <c r="R387" s="198"/>
      <c r="S387" s="198"/>
      <c r="T387" s="198"/>
      <c r="U387" s="198"/>
      <c r="V387" s="198"/>
      <c r="W387" s="201"/>
      <c r="X387" s="198"/>
      <c r="Y387" s="198"/>
      <c r="Z387" s="198"/>
      <c r="AA387" s="198"/>
      <c r="AB387" s="198"/>
      <c r="AC387" s="198"/>
      <c r="AD387" s="198"/>
      <c r="AE387" s="198"/>
      <c r="AF387" s="198"/>
      <c r="AG387" s="198"/>
      <c r="AH387" s="198"/>
      <c r="AI387" s="198"/>
      <c r="AJ387" s="198"/>
      <c r="AK387" s="198"/>
    </row>
    <row r="388">
      <c r="A388" s="198"/>
      <c r="B388" s="198"/>
      <c r="C388" s="198"/>
      <c r="D388" s="198"/>
      <c r="E388" s="198"/>
      <c r="F388" s="198"/>
      <c r="G388" s="198"/>
      <c r="H388" s="198"/>
      <c r="I388" s="198"/>
      <c r="J388" s="198"/>
      <c r="K388" s="198"/>
      <c r="L388" s="198"/>
      <c r="M388" s="198"/>
      <c r="N388" s="198"/>
      <c r="O388" s="198"/>
      <c r="P388" s="198"/>
      <c r="Q388" s="198"/>
      <c r="R388" s="198"/>
      <c r="S388" s="198"/>
      <c r="T388" s="198"/>
      <c r="U388" s="198"/>
      <c r="V388" s="198"/>
      <c r="W388" s="201"/>
      <c r="X388" s="198"/>
      <c r="Y388" s="198"/>
      <c r="Z388" s="198"/>
      <c r="AA388" s="198"/>
      <c r="AB388" s="198"/>
      <c r="AC388" s="198"/>
      <c r="AD388" s="198"/>
      <c r="AE388" s="198"/>
      <c r="AF388" s="198"/>
      <c r="AG388" s="198"/>
      <c r="AH388" s="198"/>
      <c r="AI388" s="198"/>
      <c r="AJ388" s="198"/>
      <c r="AK388" s="198"/>
    </row>
    <row r="389">
      <c r="A389" s="198"/>
      <c r="B389" s="198"/>
      <c r="C389" s="198"/>
      <c r="D389" s="198"/>
      <c r="E389" s="198"/>
      <c r="F389" s="198"/>
      <c r="G389" s="198"/>
      <c r="H389" s="198"/>
      <c r="I389" s="198"/>
      <c r="J389" s="198"/>
      <c r="K389" s="198"/>
      <c r="L389" s="198"/>
      <c r="M389" s="198"/>
      <c r="N389" s="198"/>
      <c r="O389" s="198"/>
      <c r="P389" s="198"/>
      <c r="Q389" s="198"/>
      <c r="R389" s="198"/>
      <c r="S389" s="198"/>
      <c r="T389" s="198"/>
      <c r="U389" s="198"/>
      <c r="V389" s="198"/>
      <c r="W389" s="201"/>
      <c r="X389" s="198"/>
      <c r="Y389" s="198"/>
      <c r="Z389" s="198"/>
      <c r="AA389" s="198"/>
      <c r="AB389" s="198"/>
      <c r="AC389" s="198"/>
      <c r="AD389" s="198"/>
      <c r="AE389" s="198"/>
      <c r="AF389" s="198"/>
      <c r="AG389" s="198"/>
      <c r="AH389" s="198"/>
      <c r="AI389" s="198"/>
      <c r="AJ389" s="198"/>
      <c r="AK389" s="198"/>
    </row>
    <row r="390">
      <c r="A390" s="198"/>
      <c r="B390" s="198"/>
      <c r="C390" s="198"/>
      <c r="D390" s="198"/>
      <c r="E390" s="198"/>
      <c r="F390" s="198"/>
      <c r="G390" s="198"/>
      <c r="H390" s="198"/>
      <c r="I390" s="198"/>
      <c r="J390" s="198"/>
      <c r="K390" s="198"/>
      <c r="L390" s="198"/>
      <c r="M390" s="198"/>
      <c r="N390" s="198"/>
      <c r="O390" s="198"/>
      <c r="P390" s="198"/>
      <c r="Q390" s="198"/>
      <c r="R390" s="198"/>
      <c r="S390" s="198"/>
      <c r="T390" s="198"/>
      <c r="U390" s="198"/>
      <c r="V390" s="198"/>
      <c r="W390" s="201"/>
      <c r="X390" s="198"/>
      <c r="Y390" s="198"/>
      <c r="Z390" s="198"/>
      <c r="AA390" s="198"/>
      <c r="AB390" s="198"/>
      <c r="AC390" s="198"/>
      <c r="AD390" s="198"/>
      <c r="AE390" s="198"/>
      <c r="AF390" s="198"/>
      <c r="AG390" s="198"/>
      <c r="AH390" s="198"/>
      <c r="AI390" s="198"/>
      <c r="AJ390" s="198"/>
      <c r="AK390" s="198"/>
    </row>
    <row r="391">
      <c r="A391" s="198"/>
      <c r="B391" s="198"/>
      <c r="C391" s="198"/>
      <c r="D391" s="198"/>
      <c r="E391" s="198"/>
      <c r="F391" s="198"/>
      <c r="G391" s="198"/>
      <c r="H391" s="198"/>
      <c r="I391" s="198"/>
      <c r="J391" s="198"/>
      <c r="K391" s="198"/>
      <c r="L391" s="198"/>
      <c r="M391" s="198"/>
      <c r="N391" s="198"/>
      <c r="O391" s="198"/>
      <c r="P391" s="198"/>
      <c r="Q391" s="198"/>
      <c r="R391" s="198"/>
      <c r="S391" s="198"/>
      <c r="T391" s="198"/>
      <c r="U391" s="198"/>
      <c r="V391" s="198"/>
      <c r="W391" s="201"/>
      <c r="X391" s="198"/>
      <c r="Y391" s="198"/>
      <c r="Z391" s="198"/>
      <c r="AA391" s="198"/>
      <c r="AB391" s="198"/>
      <c r="AC391" s="198"/>
      <c r="AD391" s="198"/>
      <c r="AE391" s="198"/>
      <c r="AF391" s="198"/>
      <c r="AG391" s="198"/>
      <c r="AH391" s="198"/>
      <c r="AI391" s="198"/>
      <c r="AJ391" s="198"/>
      <c r="AK391" s="198"/>
    </row>
    <row r="392">
      <c r="A392" s="198"/>
      <c r="B392" s="198"/>
      <c r="C392" s="198"/>
      <c r="D392" s="198"/>
      <c r="E392" s="198"/>
      <c r="F392" s="198"/>
      <c r="G392" s="198"/>
      <c r="H392" s="198"/>
      <c r="I392" s="198"/>
      <c r="J392" s="198"/>
      <c r="K392" s="198"/>
      <c r="L392" s="198"/>
      <c r="M392" s="198"/>
      <c r="N392" s="198"/>
      <c r="O392" s="198"/>
      <c r="P392" s="198"/>
      <c r="Q392" s="198"/>
      <c r="R392" s="198"/>
      <c r="S392" s="198"/>
      <c r="T392" s="198"/>
      <c r="U392" s="198"/>
      <c r="V392" s="198"/>
      <c r="W392" s="201"/>
      <c r="X392" s="198"/>
      <c r="Y392" s="198"/>
      <c r="Z392" s="198"/>
      <c r="AA392" s="198"/>
      <c r="AB392" s="198"/>
      <c r="AC392" s="198"/>
      <c r="AD392" s="198"/>
      <c r="AE392" s="198"/>
      <c r="AF392" s="198"/>
      <c r="AG392" s="198"/>
      <c r="AH392" s="198"/>
      <c r="AI392" s="198"/>
      <c r="AJ392" s="198"/>
      <c r="AK392" s="198"/>
    </row>
    <row r="393">
      <c r="A393" s="198"/>
      <c r="B393" s="198"/>
      <c r="C393" s="198"/>
      <c r="D393" s="198"/>
      <c r="E393" s="198"/>
      <c r="F393" s="198"/>
      <c r="G393" s="198"/>
      <c r="H393" s="198"/>
      <c r="I393" s="198"/>
      <c r="J393" s="198"/>
      <c r="K393" s="198"/>
      <c r="L393" s="198"/>
      <c r="M393" s="198"/>
      <c r="N393" s="198"/>
      <c r="O393" s="198"/>
      <c r="P393" s="198"/>
      <c r="Q393" s="198"/>
      <c r="R393" s="198"/>
      <c r="S393" s="198"/>
      <c r="T393" s="198"/>
      <c r="U393" s="198"/>
      <c r="V393" s="198"/>
      <c r="W393" s="201"/>
      <c r="X393" s="198"/>
      <c r="Y393" s="198"/>
      <c r="Z393" s="198"/>
      <c r="AA393" s="198"/>
      <c r="AB393" s="198"/>
      <c r="AC393" s="198"/>
      <c r="AD393" s="198"/>
      <c r="AE393" s="198"/>
      <c r="AF393" s="198"/>
      <c r="AG393" s="198"/>
      <c r="AH393" s="198"/>
      <c r="AI393" s="198"/>
      <c r="AJ393" s="198"/>
      <c r="AK393" s="198"/>
    </row>
    <row r="394">
      <c r="A394" s="198"/>
      <c r="B394" s="198"/>
      <c r="C394" s="198"/>
      <c r="D394" s="198"/>
      <c r="E394" s="198"/>
      <c r="F394" s="198"/>
      <c r="G394" s="198"/>
      <c r="H394" s="198"/>
      <c r="I394" s="198"/>
      <c r="J394" s="198"/>
      <c r="K394" s="198"/>
      <c r="L394" s="198"/>
      <c r="M394" s="198"/>
      <c r="N394" s="198"/>
      <c r="O394" s="198"/>
      <c r="P394" s="198"/>
      <c r="Q394" s="198"/>
      <c r="R394" s="198"/>
      <c r="S394" s="198"/>
      <c r="T394" s="198"/>
      <c r="U394" s="198"/>
      <c r="V394" s="198"/>
      <c r="W394" s="201"/>
      <c r="X394" s="198"/>
      <c r="Y394" s="198"/>
      <c r="Z394" s="198"/>
      <c r="AA394" s="198"/>
      <c r="AB394" s="198"/>
      <c r="AC394" s="198"/>
      <c r="AD394" s="198"/>
      <c r="AE394" s="198"/>
      <c r="AF394" s="198"/>
      <c r="AG394" s="198"/>
      <c r="AH394" s="198"/>
      <c r="AI394" s="198"/>
      <c r="AJ394" s="198"/>
      <c r="AK394" s="198"/>
    </row>
    <row r="395">
      <c r="A395" s="198"/>
      <c r="B395" s="198"/>
      <c r="C395" s="198"/>
      <c r="D395" s="198"/>
      <c r="E395" s="198"/>
      <c r="F395" s="198"/>
      <c r="G395" s="198"/>
      <c r="H395" s="198"/>
      <c r="I395" s="198"/>
      <c r="J395" s="198"/>
      <c r="K395" s="198"/>
      <c r="L395" s="198"/>
      <c r="M395" s="198"/>
      <c r="N395" s="198"/>
      <c r="O395" s="198"/>
      <c r="P395" s="198"/>
      <c r="Q395" s="198"/>
      <c r="R395" s="198"/>
      <c r="S395" s="198"/>
      <c r="T395" s="198"/>
      <c r="U395" s="198"/>
      <c r="V395" s="198"/>
      <c r="W395" s="201"/>
      <c r="X395" s="198"/>
      <c r="Y395" s="198"/>
      <c r="Z395" s="198"/>
      <c r="AA395" s="198"/>
      <c r="AB395" s="198"/>
      <c r="AC395" s="198"/>
      <c r="AD395" s="198"/>
      <c r="AE395" s="198"/>
      <c r="AF395" s="198"/>
      <c r="AG395" s="198"/>
      <c r="AH395" s="198"/>
      <c r="AI395" s="198"/>
      <c r="AJ395" s="198"/>
      <c r="AK395" s="198"/>
    </row>
    <row r="396">
      <c r="A396" s="198"/>
      <c r="B396" s="198"/>
      <c r="C396" s="198"/>
      <c r="D396" s="198"/>
      <c r="E396" s="198"/>
      <c r="F396" s="198"/>
      <c r="G396" s="198"/>
      <c r="H396" s="198"/>
      <c r="I396" s="198"/>
      <c r="J396" s="198"/>
      <c r="K396" s="198"/>
      <c r="L396" s="198"/>
      <c r="M396" s="198"/>
      <c r="N396" s="198"/>
      <c r="O396" s="198"/>
      <c r="P396" s="198"/>
      <c r="Q396" s="198"/>
      <c r="R396" s="198"/>
      <c r="S396" s="198"/>
      <c r="T396" s="198"/>
      <c r="U396" s="198"/>
      <c r="V396" s="198"/>
      <c r="W396" s="201"/>
      <c r="X396" s="198"/>
      <c r="Y396" s="198"/>
      <c r="Z396" s="198"/>
      <c r="AA396" s="198"/>
      <c r="AB396" s="198"/>
      <c r="AC396" s="198"/>
      <c r="AD396" s="198"/>
      <c r="AE396" s="198"/>
      <c r="AF396" s="198"/>
      <c r="AG396" s="198"/>
      <c r="AH396" s="198"/>
      <c r="AI396" s="198"/>
      <c r="AJ396" s="198"/>
      <c r="AK396" s="198"/>
    </row>
    <row r="397">
      <c r="A397" s="198"/>
      <c r="B397" s="198"/>
      <c r="C397" s="198"/>
      <c r="D397" s="198"/>
      <c r="E397" s="198"/>
      <c r="F397" s="198"/>
      <c r="G397" s="198"/>
      <c r="H397" s="198"/>
      <c r="I397" s="198"/>
      <c r="J397" s="198"/>
      <c r="K397" s="198"/>
      <c r="L397" s="198"/>
      <c r="M397" s="198"/>
      <c r="N397" s="198"/>
      <c r="O397" s="198"/>
      <c r="P397" s="198"/>
      <c r="Q397" s="198"/>
      <c r="R397" s="198"/>
      <c r="S397" s="198"/>
      <c r="T397" s="198"/>
      <c r="U397" s="198"/>
      <c r="V397" s="198"/>
      <c r="W397" s="201"/>
      <c r="X397" s="198"/>
      <c r="Y397" s="198"/>
      <c r="Z397" s="198"/>
      <c r="AA397" s="198"/>
      <c r="AB397" s="198"/>
      <c r="AC397" s="198"/>
      <c r="AD397" s="198"/>
      <c r="AE397" s="198"/>
      <c r="AF397" s="198"/>
      <c r="AG397" s="198"/>
      <c r="AH397" s="198"/>
      <c r="AI397" s="198"/>
      <c r="AJ397" s="198"/>
      <c r="AK397" s="198"/>
    </row>
    <row r="398">
      <c r="A398" s="198"/>
      <c r="B398" s="198"/>
      <c r="C398" s="198"/>
      <c r="D398" s="198"/>
      <c r="E398" s="198"/>
      <c r="F398" s="198"/>
      <c r="G398" s="198"/>
      <c r="H398" s="198"/>
      <c r="I398" s="198"/>
      <c r="J398" s="198"/>
      <c r="K398" s="198"/>
      <c r="L398" s="198"/>
      <c r="M398" s="198"/>
      <c r="N398" s="198"/>
      <c r="O398" s="198"/>
      <c r="P398" s="198"/>
      <c r="Q398" s="198"/>
      <c r="R398" s="198"/>
      <c r="S398" s="198"/>
      <c r="T398" s="198"/>
      <c r="U398" s="198"/>
      <c r="V398" s="198"/>
      <c r="W398" s="201"/>
      <c r="X398" s="198"/>
      <c r="Y398" s="198"/>
      <c r="Z398" s="198"/>
      <c r="AA398" s="198"/>
      <c r="AB398" s="198"/>
      <c r="AC398" s="198"/>
      <c r="AD398" s="198"/>
      <c r="AE398" s="198"/>
      <c r="AF398" s="198"/>
      <c r="AG398" s="198"/>
      <c r="AH398" s="198"/>
      <c r="AI398" s="198"/>
      <c r="AJ398" s="198"/>
      <c r="AK398" s="198"/>
    </row>
    <row r="399">
      <c r="A399" s="198"/>
      <c r="B399" s="198"/>
      <c r="C399" s="198"/>
      <c r="D399" s="198"/>
      <c r="E399" s="198"/>
      <c r="F399" s="198"/>
      <c r="G399" s="198"/>
      <c r="H399" s="198"/>
      <c r="I399" s="198"/>
      <c r="J399" s="198"/>
      <c r="K399" s="198"/>
      <c r="L399" s="198"/>
      <c r="M399" s="198"/>
      <c r="N399" s="198"/>
      <c r="O399" s="198"/>
      <c r="P399" s="198"/>
      <c r="Q399" s="198"/>
      <c r="R399" s="198"/>
      <c r="S399" s="198"/>
      <c r="T399" s="198"/>
      <c r="U399" s="198"/>
      <c r="V399" s="198"/>
      <c r="W399" s="201"/>
      <c r="X399" s="198"/>
      <c r="Y399" s="198"/>
      <c r="Z399" s="198"/>
      <c r="AA399" s="198"/>
      <c r="AB399" s="198"/>
      <c r="AC399" s="198"/>
      <c r="AD399" s="198"/>
      <c r="AE399" s="198"/>
      <c r="AF399" s="198"/>
      <c r="AG399" s="198"/>
      <c r="AH399" s="198"/>
      <c r="AI399" s="198"/>
      <c r="AJ399" s="198"/>
      <c r="AK399" s="198"/>
    </row>
    <row r="400">
      <c r="A400" s="198"/>
      <c r="B400" s="198"/>
      <c r="C400" s="198"/>
      <c r="D400" s="198"/>
      <c r="E400" s="198"/>
      <c r="F400" s="198"/>
      <c r="G400" s="198"/>
      <c r="H400" s="198"/>
      <c r="I400" s="198"/>
      <c r="J400" s="198"/>
      <c r="K400" s="198"/>
      <c r="L400" s="198"/>
      <c r="M400" s="198"/>
      <c r="N400" s="198"/>
      <c r="O400" s="198"/>
      <c r="P400" s="198"/>
      <c r="Q400" s="198"/>
      <c r="R400" s="198"/>
      <c r="S400" s="198"/>
      <c r="T400" s="198"/>
      <c r="U400" s="198"/>
      <c r="V400" s="198"/>
      <c r="W400" s="201"/>
      <c r="X400" s="198"/>
      <c r="Y400" s="198"/>
      <c r="Z400" s="198"/>
      <c r="AA400" s="198"/>
      <c r="AB400" s="198"/>
      <c r="AC400" s="198"/>
      <c r="AD400" s="198"/>
      <c r="AE400" s="198"/>
      <c r="AF400" s="198"/>
      <c r="AG400" s="198"/>
      <c r="AH400" s="198"/>
      <c r="AI400" s="198"/>
      <c r="AJ400" s="198"/>
      <c r="AK400" s="198"/>
    </row>
    <row r="401">
      <c r="A401" s="198"/>
      <c r="B401" s="198"/>
      <c r="C401" s="198"/>
      <c r="D401" s="198"/>
      <c r="E401" s="198"/>
      <c r="F401" s="198"/>
      <c r="G401" s="198"/>
      <c r="H401" s="198"/>
      <c r="I401" s="198"/>
      <c r="J401" s="198"/>
      <c r="K401" s="198"/>
      <c r="L401" s="198"/>
      <c r="M401" s="198"/>
      <c r="N401" s="198"/>
      <c r="O401" s="198"/>
      <c r="P401" s="198"/>
      <c r="Q401" s="198"/>
      <c r="R401" s="198"/>
      <c r="S401" s="198"/>
      <c r="T401" s="198"/>
      <c r="U401" s="198"/>
      <c r="V401" s="198"/>
      <c r="W401" s="201"/>
      <c r="X401" s="198"/>
      <c r="Y401" s="198"/>
      <c r="Z401" s="198"/>
      <c r="AA401" s="198"/>
      <c r="AB401" s="198"/>
      <c r="AC401" s="198"/>
      <c r="AD401" s="198"/>
      <c r="AE401" s="198"/>
      <c r="AF401" s="198"/>
      <c r="AG401" s="198"/>
      <c r="AH401" s="198"/>
      <c r="AI401" s="198"/>
      <c r="AJ401" s="198"/>
      <c r="AK401" s="198"/>
    </row>
    <row r="402">
      <c r="A402" s="198"/>
      <c r="B402" s="198"/>
      <c r="C402" s="198"/>
      <c r="D402" s="198"/>
      <c r="E402" s="198"/>
      <c r="F402" s="198"/>
      <c r="G402" s="198"/>
      <c r="H402" s="198"/>
      <c r="I402" s="198"/>
      <c r="J402" s="198"/>
      <c r="K402" s="198"/>
      <c r="L402" s="198"/>
      <c r="M402" s="198"/>
      <c r="N402" s="198"/>
      <c r="O402" s="198"/>
      <c r="P402" s="198"/>
      <c r="Q402" s="198"/>
      <c r="R402" s="198"/>
      <c r="S402" s="198"/>
      <c r="T402" s="198"/>
      <c r="U402" s="198"/>
      <c r="V402" s="198"/>
      <c r="W402" s="201"/>
      <c r="X402" s="198"/>
      <c r="Y402" s="198"/>
      <c r="Z402" s="198"/>
      <c r="AA402" s="198"/>
      <c r="AB402" s="198"/>
      <c r="AC402" s="198"/>
      <c r="AD402" s="198"/>
      <c r="AE402" s="198"/>
      <c r="AF402" s="198"/>
      <c r="AG402" s="198"/>
      <c r="AH402" s="198"/>
      <c r="AI402" s="198"/>
      <c r="AJ402" s="198"/>
      <c r="AK402" s="198"/>
    </row>
    <row r="403">
      <c r="A403" s="198"/>
      <c r="B403" s="198"/>
      <c r="C403" s="198"/>
      <c r="D403" s="198"/>
      <c r="E403" s="198"/>
      <c r="F403" s="198"/>
      <c r="G403" s="198"/>
      <c r="H403" s="198"/>
      <c r="I403" s="198"/>
      <c r="J403" s="198"/>
      <c r="K403" s="198"/>
      <c r="L403" s="198"/>
      <c r="M403" s="198"/>
      <c r="N403" s="198"/>
      <c r="O403" s="198"/>
      <c r="P403" s="198"/>
      <c r="Q403" s="198"/>
      <c r="R403" s="198"/>
      <c r="S403" s="198"/>
      <c r="T403" s="198"/>
      <c r="U403" s="198"/>
      <c r="V403" s="198"/>
      <c r="W403" s="201"/>
      <c r="X403" s="198"/>
      <c r="Y403" s="198"/>
      <c r="Z403" s="198"/>
      <c r="AA403" s="198"/>
      <c r="AB403" s="198"/>
      <c r="AC403" s="198"/>
      <c r="AD403" s="198"/>
      <c r="AE403" s="198"/>
      <c r="AF403" s="198"/>
      <c r="AG403" s="198"/>
      <c r="AH403" s="198"/>
      <c r="AI403" s="198"/>
      <c r="AJ403" s="198"/>
      <c r="AK403" s="198"/>
    </row>
    <row r="404">
      <c r="A404" s="198"/>
      <c r="B404" s="198"/>
      <c r="C404" s="198"/>
      <c r="D404" s="198"/>
      <c r="E404" s="198"/>
      <c r="F404" s="198"/>
      <c r="G404" s="198"/>
      <c r="H404" s="198"/>
      <c r="I404" s="198"/>
      <c r="J404" s="198"/>
      <c r="K404" s="198"/>
      <c r="L404" s="198"/>
      <c r="M404" s="198"/>
      <c r="N404" s="198"/>
      <c r="O404" s="198"/>
      <c r="P404" s="198"/>
      <c r="Q404" s="198"/>
      <c r="R404" s="198"/>
      <c r="S404" s="198"/>
      <c r="T404" s="198"/>
      <c r="U404" s="198"/>
      <c r="V404" s="198"/>
      <c r="W404" s="201"/>
      <c r="X404" s="198"/>
      <c r="Y404" s="198"/>
      <c r="Z404" s="198"/>
      <c r="AA404" s="198"/>
      <c r="AB404" s="198"/>
      <c r="AC404" s="198"/>
      <c r="AD404" s="198"/>
      <c r="AE404" s="198"/>
      <c r="AF404" s="198"/>
      <c r="AG404" s="198"/>
      <c r="AH404" s="198"/>
      <c r="AI404" s="198"/>
      <c r="AJ404" s="198"/>
      <c r="AK404" s="198"/>
    </row>
    <row r="405">
      <c r="A405" s="198"/>
      <c r="B405" s="198"/>
      <c r="C405" s="198"/>
      <c r="D405" s="198"/>
      <c r="E405" s="198"/>
      <c r="F405" s="198"/>
      <c r="G405" s="198"/>
      <c r="H405" s="198"/>
      <c r="I405" s="198"/>
      <c r="J405" s="198"/>
      <c r="K405" s="198"/>
      <c r="L405" s="198"/>
      <c r="M405" s="198"/>
      <c r="N405" s="198"/>
      <c r="O405" s="198"/>
      <c r="P405" s="198"/>
      <c r="Q405" s="198"/>
      <c r="R405" s="198"/>
      <c r="S405" s="198"/>
      <c r="T405" s="198"/>
      <c r="U405" s="198"/>
      <c r="V405" s="198"/>
      <c r="W405" s="201"/>
      <c r="X405" s="198"/>
      <c r="Y405" s="198"/>
      <c r="Z405" s="198"/>
      <c r="AA405" s="198"/>
      <c r="AB405" s="198"/>
      <c r="AC405" s="198"/>
      <c r="AD405" s="198"/>
      <c r="AE405" s="198"/>
      <c r="AF405" s="198"/>
      <c r="AG405" s="198"/>
      <c r="AH405" s="198"/>
      <c r="AI405" s="198"/>
      <c r="AJ405" s="198"/>
      <c r="AK405" s="198"/>
    </row>
    <row r="406">
      <c r="A406" s="198"/>
      <c r="B406" s="198"/>
      <c r="C406" s="198"/>
      <c r="D406" s="198"/>
      <c r="E406" s="198"/>
      <c r="F406" s="198"/>
      <c r="G406" s="198"/>
      <c r="H406" s="198"/>
      <c r="I406" s="198"/>
      <c r="J406" s="198"/>
      <c r="K406" s="198"/>
      <c r="L406" s="198"/>
      <c r="M406" s="198"/>
      <c r="N406" s="198"/>
      <c r="O406" s="198"/>
      <c r="P406" s="198"/>
      <c r="Q406" s="198"/>
      <c r="R406" s="198"/>
      <c r="S406" s="198"/>
      <c r="T406" s="198"/>
      <c r="U406" s="198"/>
      <c r="V406" s="198"/>
      <c r="W406" s="201"/>
      <c r="X406" s="198"/>
      <c r="Y406" s="198"/>
      <c r="Z406" s="198"/>
      <c r="AA406" s="198"/>
      <c r="AB406" s="198"/>
      <c r="AC406" s="198"/>
      <c r="AD406" s="198"/>
      <c r="AE406" s="198"/>
      <c r="AF406" s="198"/>
      <c r="AG406" s="198"/>
      <c r="AH406" s="198"/>
      <c r="AI406" s="198"/>
      <c r="AJ406" s="198"/>
      <c r="AK406" s="198"/>
    </row>
    <row r="407">
      <c r="A407" s="198"/>
      <c r="B407" s="198"/>
      <c r="C407" s="198"/>
      <c r="D407" s="198"/>
      <c r="E407" s="198"/>
      <c r="F407" s="198"/>
      <c r="G407" s="198"/>
      <c r="H407" s="198"/>
      <c r="I407" s="198"/>
      <c r="J407" s="198"/>
      <c r="K407" s="198"/>
      <c r="L407" s="198"/>
      <c r="M407" s="198"/>
      <c r="N407" s="198"/>
      <c r="O407" s="198"/>
      <c r="P407" s="198"/>
      <c r="Q407" s="198"/>
      <c r="R407" s="198"/>
      <c r="S407" s="198"/>
      <c r="T407" s="198"/>
      <c r="U407" s="198"/>
      <c r="V407" s="198"/>
      <c r="W407" s="201"/>
      <c r="X407" s="198"/>
      <c r="Y407" s="198"/>
      <c r="Z407" s="198"/>
      <c r="AA407" s="198"/>
      <c r="AB407" s="198"/>
      <c r="AC407" s="198"/>
      <c r="AD407" s="198"/>
      <c r="AE407" s="198"/>
      <c r="AF407" s="198"/>
      <c r="AG407" s="198"/>
      <c r="AH407" s="198"/>
      <c r="AI407" s="198"/>
      <c r="AJ407" s="198"/>
      <c r="AK407" s="198"/>
    </row>
    <row r="408">
      <c r="A408" s="198"/>
      <c r="B408" s="198"/>
      <c r="C408" s="198"/>
      <c r="D408" s="198"/>
      <c r="E408" s="198"/>
      <c r="F408" s="198"/>
      <c r="G408" s="198"/>
      <c r="H408" s="198"/>
      <c r="I408" s="198"/>
      <c r="J408" s="198"/>
      <c r="K408" s="198"/>
      <c r="L408" s="198"/>
      <c r="M408" s="198"/>
      <c r="N408" s="198"/>
      <c r="O408" s="198"/>
      <c r="P408" s="198"/>
      <c r="Q408" s="198"/>
      <c r="R408" s="198"/>
      <c r="S408" s="198"/>
      <c r="T408" s="198"/>
      <c r="U408" s="198"/>
      <c r="V408" s="198"/>
      <c r="W408" s="201"/>
      <c r="X408" s="198"/>
      <c r="Y408" s="198"/>
      <c r="Z408" s="198"/>
      <c r="AA408" s="198"/>
      <c r="AB408" s="198"/>
      <c r="AC408" s="198"/>
      <c r="AD408" s="198"/>
      <c r="AE408" s="198"/>
      <c r="AF408" s="198"/>
      <c r="AG408" s="198"/>
      <c r="AH408" s="198"/>
      <c r="AI408" s="198"/>
      <c r="AJ408" s="198"/>
      <c r="AK408" s="198"/>
    </row>
    <row r="409">
      <c r="A409" s="198"/>
      <c r="B409" s="198"/>
      <c r="C409" s="198"/>
      <c r="D409" s="198"/>
      <c r="E409" s="198"/>
      <c r="F409" s="198"/>
      <c r="G409" s="198"/>
      <c r="H409" s="198"/>
      <c r="I409" s="198"/>
      <c r="J409" s="198"/>
      <c r="K409" s="198"/>
      <c r="L409" s="198"/>
      <c r="M409" s="198"/>
      <c r="N409" s="198"/>
      <c r="O409" s="198"/>
      <c r="P409" s="198"/>
      <c r="Q409" s="198"/>
      <c r="R409" s="198"/>
      <c r="S409" s="198"/>
      <c r="T409" s="198"/>
      <c r="U409" s="198"/>
      <c r="V409" s="198"/>
      <c r="W409" s="201"/>
      <c r="X409" s="198"/>
      <c r="Y409" s="198"/>
      <c r="Z409" s="198"/>
      <c r="AA409" s="198"/>
      <c r="AB409" s="198"/>
      <c r="AC409" s="198"/>
      <c r="AD409" s="198"/>
      <c r="AE409" s="198"/>
      <c r="AF409" s="198"/>
      <c r="AG409" s="198"/>
      <c r="AH409" s="198"/>
      <c r="AI409" s="198"/>
      <c r="AJ409" s="198"/>
      <c r="AK409" s="198"/>
    </row>
    <row r="410">
      <c r="A410" s="198"/>
      <c r="B410" s="198"/>
      <c r="C410" s="198"/>
      <c r="D410" s="198"/>
      <c r="E410" s="198"/>
      <c r="F410" s="198"/>
      <c r="G410" s="198"/>
      <c r="H410" s="198"/>
      <c r="I410" s="198"/>
      <c r="J410" s="198"/>
      <c r="K410" s="198"/>
      <c r="L410" s="198"/>
      <c r="M410" s="198"/>
      <c r="N410" s="198"/>
      <c r="O410" s="198"/>
      <c r="P410" s="198"/>
      <c r="Q410" s="198"/>
      <c r="R410" s="198"/>
      <c r="S410" s="198"/>
      <c r="T410" s="198"/>
      <c r="U410" s="198"/>
      <c r="V410" s="198"/>
      <c r="W410" s="201"/>
      <c r="X410" s="198"/>
      <c r="Y410" s="198"/>
      <c r="Z410" s="198"/>
      <c r="AA410" s="198"/>
      <c r="AB410" s="198"/>
      <c r="AC410" s="198"/>
      <c r="AD410" s="198"/>
      <c r="AE410" s="198"/>
      <c r="AF410" s="198"/>
      <c r="AG410" s="198"/>
      <c r="AH410" s="198"/>
      <c r="AI410" s="198"/>
      <c r="AJ410" s="198"/>
      <c r="AK410" s="198"/>
    </row>
    <row r="411">
      <c r="A411" s="198"/>
      <c r="B411" s="198"/>
      <c r="C411" s="198"/>
      <c r="D411" s="198"/>
      <c r="E411" s="198"/>
      <c r="F411" s="198"/>
      <c r="G411" s="198"/>
      <c r="H411" s="198"/>
      <c r="I411" s="198"/>
      <c r="J411" s="198"/>
      <c r="K411" s="198"/>
      <c r="L411" s="198"/>
      <c r="M411" s="198"/>
      <c r="N411" s="198"/>
      <c r="O411" s="198"/>
      <c r="P411" s="198"/>
      <c r="Q411" s="198"/>
      <c r="R411" s="198"/>
      <c r="S411" s="198"/>
      <c r="T411" s="198"/>
      <c r="U411" s="198"/>
      <c r="V411" s="198"/>
      <c r="W411" s="201"/>
      <c r="X411" s="198"/>
      <c r="Y411" s="198"/>
      <c r="Z411" s="198"/>
      <c r="AA411" s="198"/>
      <c r="AB411" s="198"/>
      <c r="AC411" s="198"/>
      <c r="AD411" s="198"/>
      <c r="AE411" s="198"/>
      <c r="AF411" s="198"/>
      <c r="AG411" s="198"/>
      <c r="AH411" s="198"/>
      <c r="AI411" s="198"/>
      <c r="AJ411" s="198"/>
      <c r="AK411" s="198"/>
    </row>
    <row r="412">
      <c r="A412" s="198"/>
      <c r="B412" s="198"/>
      <c r="C412" s="198"/>
      <c r="D412" s="198"/>
      <c r="E412" s="198"/>
      <c r="F412" s="198"/>
      <c r="G412" s="198"/>
      <c r="H412" s="198"/>
      <c r="I412" s="198"/>
      <c r="J412" s="198"/>
      <c r="K412" s="198"/>
      <c r="L412" s="198"/>
      <c r="M412" s="198"/>
      <c r="N412" s="198"/>
      <c r="O412" s="198"/>
      <c r="P412" s="198"/>
      <c r="Q412" s="198"/>
      <c r="R412" s="198"/>
      <c r="S412" s="198"/>
      <c r="T412" s="198"/>
      <c r="U412" s="198"/>
      <c r="V412" s="198"/>
      <c r="W412" s="201"/>
      <c r="X412" s="198"/>
      <c r="Y412" s="198"/>
      <c r="Z412" s="198"/>
      <c r="AA412" s="198"/>
      <c r="AB412" s="198"/>
      <c r="AC412" s="198"/>
      <c r="AD412" s="198"/>
      <c r="AE412" s="198"/>
      <c r="AF412" s="198"/>
      <c r="AG412" s="198"/>
      <c r="AH412" s="198"/>
      <c r="AI412" s="198"/>
      <c r="AJ412" s="198"/>
      <c r="AK412" s="198"/>
    </row>
    <row r="413">
      <c r="A413" s="198"/>
      <c r="B413" s="198"/>
      <c r="C413" s="198"/>
      <c r="D413" s="198"/>
      <c r="E413" s="198"/>
      <c r="F413" s="198"/>
      <c r="G413" s="198"/>
      <c r="H413" s="198"/>
      <c r="I413" s="198"/>
      <c r="J413" s="198"/>
      <c r="K413" s="198"/>
      <c r="L413" s="198"/>
      <c r="M413" s="198"/>
      <c r="N413" s="198"/>
      <c r="O413" s="198"/>
      <c r="P413" s="198"/>
      <c r="Q413" s="198"/>
      <c r="R413" s="198"/>
      <c r="S413" s="198"/>
      <c r="T413" s="198"/>
      <c r="U413" s="198"/>
      <c r="V413" s="198"/>
      <c r="W413" s="201"/>
      <c r="X413" s="198"/>
      <c r="Y413" s="198"/>
      <c r="Z413" s="198"/>
      <c r="AA413" s="198"/>
      <c r="AB413" s="198"/>
      <c r="AC413" s="198"/>
      <c r="AD413" s="198"/>
      <c r="AE413" s="198"/>
      <c r="AF413" s="198"/>
      <c r="AG413" s="198"/>
      <c r="AH413" s="198"/>
      <c r="AI413" s="198"/>
      <c r="AJ413" s="198"/>
      <c r="AK413" s="198"/>
    </row>
    <row r="414">
      <c r="A414" s="198"/>
      <c r="B414" s="198"/>
      <c r="C414" s="198"/>
      <c r="D414" s="198"/>
      <c r="E414" s="198"/>
      <c r="F414" s="198"/>
      <c r="G414" s="198"/>
      <c r="H414" s="198"/>
      <c r="I414" s="198"/>
      <c r="J414" s="198"/>
      <c r="K414" s="198"/>
      <c r="L414" s="198"/>
      <c r="M414" s="198"/>
      <c r="N414" s="198"/>
      <c r="O414" s="198"/>
      <c r="P414" s="198"/>
      <c r="Q414" s="198"/>
      <c r="R414" s="198"/>
      <c r="S414" s="198"/>
      <c r="T414" s="198"/>
      <c r="U414" s="198"/>
      <c r="V414" s="198"/>
      <c r="W414" s="201"/>
      <c r="X414" s="198"/>
      <c r="Y414" s="198"/>
      <c r="Z414" s="198"/>
      <c r="AA414" s="198"/>
      <c r="AB414" s="198"/>
      <c r="AC414" s="198"/>
      <c r="AD414" s="198"/>
      <c r="AE414" s="198"/>
      <c r="AF414" s="198"/>
      <c r="AG414" s="198"/>
      <c r="AH414" s="198"/>
      <c r="AI414" s="198"/>
      <c r="AJ414" s="198"/>
      <c r="AK414" s="198"/>
    </row>
    <row r="415">
      <c r="A415" s="198"/>
      <c r="B415" s="198"/>
      <c r="C415" s="198"/>
      <c r="D415" s="198"/>
      <c r="E415" s="198"/>
      <c r="F415" s="198"/>
      <c r="G415" s="198"/>
      <c r="H415" s="198"/>
      <c r="I415" s="198"/>
      <c r="J415" s="198"/>
      <c r="K415" s="198"/>
      <c r="L415" s="198"/>
      <c r="M415" s="198"/>
      <c r="N415" s="198"/>
      <c r="O415" s="198"/>
      <c r="P415" s="198"/>
      <c r="Q415" s="198"/>
      <c r="R415" s="198"/>
      <c r="S415" s="198"/>
      <c r="T415" s="198"/>
      <c r="U415" s="198"/>
      <c r="V415" s="198"/>
      <c r="W415" s="201"/>
      <c r="X415" s="198"/>
      <c r="Y415" s="198"/>
      <c r="Z415" s="198"/>
      <c r="AA415" s="198"/>
      <c r="AB415" s="198"/>
      <c r="AC415" s="198"/>
      <c r="AD415" s="198"/>
      <c r="AE415" s="198"/>
      <c r="AF415" s="198"/>
      <c r="AG415" s="198"/>
      <c r="AH415" s="198"/>
      <c r="AI415" s="198"/>
      <c r="AJ415" s="198"/>
      <c r="AK415" s="198"/>
    </row>
    <row r="416">
      <c r="A416" s="198"/>
      <c r="B416" s="198"/>
      <c r="C416" s="198"/>
      <c r="D416" s="198"/>
      <c r="E416" s="198"/>
      <c r="F416" s="198"/>
      <c r="G416" s="198"/>
      <c r="H416" s="198"/>
      <c r="I416" s="198"/>
      <c r="J416" s="198"/>
      <c r="K416" s="198"/>
      <c r="L416" s="198"/>
      <c r="M416" s="198"/>
      <c r="N416" s="198"/>
      <c r="O416" s="198"/>
      <c r="P416" s="198"/>
      <c r="Q416" s="198"/>
      <c r="R416" s="198"/>
      <c r="S416" s="198"/>
      <c r="T416" s="198"/>
      <c r="U416" s="198"/>
      <c r="V416" s="198"/>
      <c r="W416" s="201"/>
      <c r="X416" s="198"/>
      <c r="Y416" s="198"/>
      <c r="Z416" s="198"/>
      <c r="AA416" s="198"/>
      <c r="AB416" s="198"/>
      <c r="AC416" s="198"/>
      <c r="AD416" s="198"/>
      <c r="AE416" s="198"/>
      <c r="AF416" s="198"/>
      <c r="AG416" s="198"/>
      <c r="AH416" s="198"/>
      <c r="AI416" s="198"/>
      <c r="AJ416" s="198"/>
      <c r="AK416" s="198"/>
    </row>
    <row r="417">
      <c r="A417" s="198"/>
      <c r="B417" s="198"/>
      <c r="C417" s="198"/>
      <c r="D417" s="198"/>
      <c r="E417" s="198"/>
      <c r="F417" s="198"/>
      <c r="G417" s="198"/>
      <c r="H417" s="198"/>
      <c r="I417" s="198"/>
      <c r="J417" s="198"/>
      <c r="K417" s="198"/>
      <c r="L417" s="198"/>
      <c r="M417" s="198"/>
      <c r="N417" s="198"/>
      <c r="O417" s="198"/>
      <c r="P417" s="198"/>
      <c r="Q417" s="198"/>
      <c r="R417" s="198"/>
      <c r="S417" s="198"/>
      <c r="T417" s="198"/>
      <c r="U417" s="198"/>
      <c r="V417" s="198"/>
      <c r="W417" s="201"/>
      <c r="X417" s="198"/>
      <c r="Y417" s="198"/>
      <c r="Z417" s="198"/>
      <c r="AA417" s="198"/>
      <c r="AB417" s="198"/>
      <c r="AC417" s="198"/>
      <c r="AD417" s="198"/>
      <c r="AE417" s="198"/>
      <c r="AF417" s="198"/>
      <c r="AG417" s="198"/>
      <c r="AH417" s="198"/>
      <c r="AI417" s="198"/>
      <c r="AJ417" s="198"/>
      <c r="AK417" s="198"/>
    </row>
    <row r="418">
      <c r="A418" s="198"/>
      <c r="B418" s="198"/>
      <c r="C418" s="198"/>
      <c r="D418" s="198"/>
      <c r="E418" s="198"/>
      <c r="F418" s="198"/>
      <c r="G418" s="198"/>
      <c r="H418" s="198"/>
      <c r="I418" s="198"/>
      <c r="J418" s="198"/>
      <c r="K418" s="198"/>
      <c r="L418" s="198"/>
      <c r="M418" s="198"/>
      <c r="N418" s="198"/>
      <c r="O418" s="198"/>
      <c r="P418" s="198"/>
      <c r="Q418" s="198"/>
      <c r="R418" s="198"/>
      <c r="S418" s="198"/>
      <c r="T418" s="198"/>
      <c r="U418" s="198"/>
      <c r="V418" s="198"/>
      <c r="W418" s="201"/>
      <c r="X418" s="198"/>
      <c r="Y418" s="198"/>
      <c r="Z418" s="198"/>
      <c r="AA418" s="198"/>
      <c r="AB418" s="198"/>
      <c r="AC418" s="198"/>
      <c r="AD418" s="198"/>
      <c r="AE418" s="198"/>
      <c r="AF418" s="198"/>
      <c r="AG418" s="198"/>
      <c r="AH418" s="198"/>
      <c r="AI418" s="198"/>
      <c r="AJ418" s="198"/>
      <c r="AK418" s="198"/>
    </row>
    <row r="419">
      <c r="A419" s="198"/>
      <c r="B419" s="198"/>
      <c r="C419" s="198"/>
      <c r="D419" s="198"/>
      <c r="E419" s="198"/>
      <c r="F419" s="198"/>
      <c r="G419" s="198"/>
      <c r="H419" s="198"/>
      <c r="I419" s="198"/>
      <c r="J419" s="198"/>
      <c r="K419" s="198"/>
      <c r="L419" s="198"/>
      <c r="M419" s="198"/>
      <c r="N419" s="198"/>
      <c r="O419" s="198"/>
      <c r="P419" s="198"/>
      <c r="Q419" s="198"/>
      <c r="R419" s="198"/>
      <c r="S419" s="198"/>
      <c r="T419" s="198"/>
      <c r="U419" s="198"/>
      <c r="V419" s="198"/>
      <c r="W419" s="201"/>
      <c r="X419" s="198"/>
      <c r="Y419" s="198"/>
      <c r="Z419" s="198"/>
      <c r="AA419" s="198"/>
      <c r="AB419" s="198"/>
      <c r="AC419" s="198"/>
      <c r="AD419" s="198"/>
      <c r="AE419" s="198"/>
      <c r="AF419" s="198"/>
      <c r="AG419" s="198"/>
      <c r="AH419" s="198"/>
      <c r="AI419" s="198"/>
      <c r="AJ419" s="198"/>
      <c r="AK419" s="198"/>
    </row>
    <row r="420">
      <c r="A420" s="198"/>
      <c r="B420" s="198"/>
      <c r="C420" s="198"/>
      <c r="D420" s="198"/>
      <c r="E420" s="198"/>
      <c r="F420" s="198"/>
      <c r="G420" s="198"/>
      <c r="H420" s="198"/>
      <c r="I420" s="198"/>
      <c r="J420" s="198"/>
      <c r="K420" s="198"/>
      <c r="L420" s="198"/>
      <c r="M420" s="198"/>
      <c r="N420" s="198"/>
      <c r="O420" s="198"/>
      <c r="P420" s="198"/>
      <c r="Q420" s="198"/>
      <c r="R420" s="198"/>
      <c r="S420" s="198"/>
      <c r="T420" s="198"/>
      <c r="U420" s="198"/>
      <c r="V420" s="198"/>
      <c r="W420" s="201"/>
      <c r="X420" s="198"/>
      <c r="Y420" s="198"/>
      <c r="Z420" s="198"/>
      <c r="AA420" s="198"/>
      <c r="AB420" s="198"/>
      <c r="AC420" s="198"/>
      <c r="AD420" s="198"/>
      <c r="AE420" s="198"/>
      <c r="AF420" s="198"/>
      <c r="AG420" s="198"/>
      <c r="AH420" s="198"/>
      <c r="AI420" s="198"/>
      <c r="AJ420" s="198"/>
      <c r="AK420" s="198"/>
    </row>
    <row r="421">
      <c r="A421" s="198"/>
      <c r="B421" s="198"/>
      <c r="C421" s="198"/>
      <c r="D421" s="198"/>
      <c r="E421" s="198"/>
      <c r="F421" s="198"/>
      <c r="G421" s="198"/>
      <c r="H421" s="198"/>
      <c r="I421" s="198"/>
      <c r="J421" s="198"/>
      <c r="K421" s="198"/>
      <c r="L421" s="198"/>
      <c r="M421" s="198"/>
      <c r="N421" s="198"/>
      <c r="O421" s="198"/>
      <c r="P421" s="198"/>
      <c r="Q421" s="198"/>
      <c r="R421" s="198"/>
      <c r="S421" s="198"/>
      <c r="T421" s="198"/>
      <c r="U421" s="198"/>
      <c r="V421" s="198"/>
      <c r="W421" s="201"/>
      <c r="X421" s="198"/>
      <c r="Y421" s="198"/>
      <c r="Z421" s="198"/>
      <c r="AA421" s="198"/>
      <c r="AB421" s="198"/>
      <c r="AC421" s="198"/>
      <c r="AD421" s="198"/>
      <c r="AE421" s="198"/>
      <c r="AF421" s="198"/>
      <c r="AG421" s="198"/>
      <c r="AH421" s="198"/>
      <c r="AI421" s="198"/>
      <c r="AJ421" s="198"/>
      <c r="AK421" s="198"/>
    </row>
    <row r="422">
      <c r="A422" s="198"/>
      <c r="B422" s="198"/>
      <c r="C422" s="198"/>
      <c r="D422" s="198"/>
      <c r="E422" s="198"/>
      <c r="F422" s="198"/>
      <c r="G422" s="198"/>
      <c r="H422" s="198"/>
      <c r="I422" s="198"/>
      <c r="J422" s="198"/>
      <c r="K422" s="198"/>
      <c r="L422" s="198"/>
      <c r="M422" s="198"/>
      <c r="N422" s="198"/>
      <c r="O422" s="198"/>
      <c r="P422" s="198"/>
      <c r="Q422" s="198"/>
      <c r="R422" s="198"/>
      <c r="S422" s="198"/>
      <c r="T422" s="198"/>
      <c r="U422" s="198"/>
      <c r="V422" s="198"/>
      <c r="W422" s="201"/>
      <c r="X422" s="198"/>
      <c r="Y422" s="198"/>
      <c r="Z422" s="198"/>
      <c r="AA422" s="198"/>
      <c r="AB422" s="198"/>
      <c r="AC422" s="198"/>
      <c r="AD422" s="198"/>
      <c r="AE422" s="198"/>
      <c r="AF422" s="198"/>
      <c r="AG422" s="198"/>
      <c r="AH422" s="198"/>
      <c r="AI422" s="198"/>
      <c r="AJ422" s="198"/>
      <c r="AK422" s="198"/>
    </row>
    <row r="423">
      <c r="A423" s="198"/>
      <c r="B423" s="198"/>
      <c r="C423" s="198"/>
      <c r="D423" s="198"/>
      <c r="E423" s="198"/>
      <c r="F423" s="198"/>
      <c r="G423" s="198"/>
      <c r="H423" s="198"/>
      <c r="I423" s="198"/>
      <c r="J423" s="198"/>
      <c r="K423" s="198"/>
      <c r="L423" s="198"/>
      <c r="M423" s="198"/>
      <c r="N423" s="198"/>
      <c r="O423" s="198"/>
      <c r="P423" s="198"/>
      <c r="Q423" s="198"/>
      <c r="R423" s="198"/>
      <c r="S423" s="198"/>
      <c r="T423" s="198"/>
      <c r="U423" s="198"/>
      <c r="V423" s="198"/>
      <c r="W423" s="201"/>
      <c r="X423" s="198"/>
      <c r="Y423" s="198"/>
      <c r="Z423" s="198"/>
      <c r="AA423" s="198"/>
      <c r="AB423" s="198"/>
      <c r="AC423" s="198"/>
      <c r="AD423" s="198"/>
      <c r="AE423" s="198"/>
      <c r="AF423" s="198"/>
      <c r="AG423" s="198"/>
      <c r="AH423" s="198"/>
      <c r="AI423" s="198"/>
      <c r="AJ423" s="198"/>
      <c r="AK423" s="198"/>
    </row>
    <row r="424">
      <c r="A424" s="198"/>
      <c r="B424" s="198"/>
      <c r="C424" s="198"/>
      <c r="D424" s="198"/>
      <c r="E424" s="198"/>
      <c r="F424" s="198"/>
      <c r="G424" s="198"/>
      <c r="H424" s="198"/>
      <c r="I424" s="198"/>
      <c r="J424" s="198"/>
      <c r="K424" s="198"/>
      <c r="L424" s="198"/>
      <c r="M424" s="198"/>
      <c r="N424" s="198"/>
      <c r="O424" s="198"/>
      <c r="P424" s="198"/>
      <c r="Q424" s="198"/>
      <c r="R424" s="198"/>
      <c r="S424" s="198"/>
      <c r="T424" s="198"/>
      <c r="U424" s="198"/>
      <c r="V424" s="198"/>
      <c r="W424" s="201"/>
      <c r="X424" s="198"/>
      <c r="Y424" s="198"/>
      <c r="Z424" s="198"/>
      <c r="AA424" s="198"/>
      <c r="AB424" s="198"/>
      <c r="AC424" s="198"/>
      <c r="AD424" s="198"/>
      <c r="AE424" s="198"/>
      <c r="AF424" s="198"/>
      <c r="AG424" s="198"/>
      <c r="AH424" s="198"/>
      <c r="AI424" s="198"/>
      <c r="AJ424" s="198"/>
      <c r="AK424" s="198"/>
    </row>
    <row r="425">
      <c r="A425" s="198"/>
      <c r="B425" s="198"/>
      <c r="C425" s="198"/>
      <c r="D425" s="198"/>
      <c r="E425" s="198"/>
      <c r="F425" s="198"/>
      <c r="G425" s="198"/>
      <c r="H425" s="198"/>
      <c r="I425" s="198"/>
      <c r="J425" s="198"/>
      <c r="K425" s="198"/>
      <c r="L425" s="198"/>
      <c r="M425" s="198"/>
      <c r="N425" s="198"/>
      <c r="O425" s="198"/>
      <c r="P425" s="198"/>
      <c r="Q425" s="198"/>
      <c r="R425" s="198"/>
      <c r="S425" s="198"/>
      <c r="T425" s="198"/>
      <c r="U425" s="198"/>
      <c r="V425" s="198"/>
      <c r="W425" s="201"/>
      <c r="X425" s="198"/>
      <c r="Y425" s="198"/>
      <c r="Z425" s="198"/>
      <c r="AA425" s="198"/>
      <c r="AB425" s="198"/>
      <c r="AC425" s="198"/>
      <c r="AD425" s="198"/>
      <c r="AE425" s="198"/>
      <c r="AF425" s="198"/>
      <c r="AG425" s="198"/>
      <c r="AH425" s="198"/>
      <c r="AI425" s="198"/>
      <c r="AJ425" s="198"/>
      <c r="AK425" s="198"/>
    </row>
    <row r="426">
      <c r="A426" s="198"/>
      <c r="B426" s="198"/>
      <c r="C426" s="198"/>
      <c r="D426" s="198"/>
      <c r="E426" s="198"/>
      <c r="F426" s="198"/>
      <c r="G426" s="198"/>
      <c r="H426" s="198"/>
      <c r="I426" s="198"/>
      <c r="J426" s="198"/>
      <c r="K426" s="198"/>
      <c r="L426" s="198"/>
      <c r="M426" s="198"/>
      <c r="N426" s="198"/>
      <c r="O426" s="198"/>
      <c r="P426" s="198"/>
      <c r="Q426" s="198"/>
      <c r="R426" s="198"/>
      <c r="S426" s="198"/>
      <c r="T426" s="198"/>
      <c r="U426" s="198"/>
      <c r="V426" s="198"/>
      <c r="W426" s="201"/>
      <c r="X426" s="198"/>
      <c r="Y426" s="198"/>
      <c r="Z426" s="198"/>
      <c r="AA426" s="198"/>
      <c r="AB426" s="198"/>
      <c r="AC426" s="198"/>
      <c r="AD426" s="198"/>
      <c r="AE426" s="198"/>
      <c r="AF426" s="198"/>
      <c r="AG426" s="198"/>
      <c r="AH426" s="198"/>
      <c r="AI426" s="198"/>
      <c r="AJ426" s="198"/>
      <c r="AK426" s="198"/>
    </row>
    <row r="427">
      <c r="A427" s="198"/>
      <c r="B427" s="198"/>
      <c r="C427" s="198"/>
      <c r="D427" s="198"/>
      <c r="E427" s="198"/>
      <c r="F427" s="198"/>
      <c r="G427" s="198"/>
      <c r="H427" s="198"/>
      <c r="I427" s="198"/>
      <c r="J427" s="198"/>
      <c r="K427" s="198"/>
      <c r="L427" s="198"/>
      <c r="M427" s="198"/>
      <c r="N427" s="198"/>
      <c r="O427" s="198"/>
      <c r="P427" s="198"/>
      <c r="Q427" s="198"/>
      <c r="R427" s="198"/>
      <c r="S427" s="198"/>
      <c r="T427" s="198"/>
      <c r="U427" s="198"/>
      <c r="V427" s="198"/>
      <c r="W427" s="201"/>
      <c r="X427" s="198"/>
      <c r="Y427" s="198"/>
      <c r="Z427" s="198"/>
      <c r="AA427" s="198"/>
      <c r="AB427" s="198"/>
      <c r="AC427" s="198"/>
      <c r="AD427" s="198"/>
      <c r="AE427" s="198"/>
      <c r="AF427" s="198"/>
      <c r="AG427" s="198"/>
      <c r="AH427" s="198"/>
      <c r="AI427" s="198"/>
      <c r="AJ427" s="198"/>
      <c r="AK427" s="198"/>
    </row>
    <row r="428">
      <c r="A428" s="198"/>
      <c r="B428" s="198"/>
      <c r="C428" s="198"/>
      <c r="D428" s="198"/>
      <c r="E428" s="198"/>
      <c r="F428" s="198"/>
      <c r="G428" s="198"/>
      <c r="H428" s="198"/>
      <c r="I428" s="198"/>
      <c r="J428" s="198"/>
      <c r="K428" s="198"/>
      <c r="L428" s="198"/>
      <c r="M428" s="198"/>
      <c r="N428" s="198"/>
      <c r="O428" s="198"/>
      <c r="P428" s="198"/>
      <c r="Q428" s="198"/>
      <c r="R428" s="198"/>
      <c r="S428" s="198"/>
      <c r="T428" s="198"/>
      <c r="U428" s="198"/>
      <c r="V428" s="198"/>
      <c r="W428" s="201"/>
      <c r="X428" s="198"/>
      <c r="Y428" s="198"/>
      <c r="Z428" s="198"/>
      <c r="AA428" s="198"/>
      <c r="AB428" s="198"/>
      <c r="AC428" s="198"/>
      <c r="AD428" s="198"/>
      <c r="AE428" s="198"/>
      <c r="AF428" s="198"/>
      <c r="AG428" s="198"/>
      <c r="AH428" s="198"/>
      <c r="AI428" s="198"/>
      <c r="AJ428" s="198"/>
      <c r="AK428" s="198"/>
    </row>
    <row r="429">
      <c r="A429" s="198"/>
      <c r="B429" s="198"/>
      <c r="C429" s="198"/>
      <c r="D429" s="198"/>
      <c r="E429" s="198"/>
      <c r="F429" s="198"/>
      <c r="G429" s="198"/>
      <c r="H429" s="198"/>
      <c r="I429" s="198"/>
      <c r="J429" s="198"/>
      <c r="K429" s="198"/>
      <c r="L429" s="198"/>
      <c r="M429" s="198"/>
      <c r="N429" s="198"/>
      <c r="O429" s="198"/>
      <c r="P429" s="198"/>
      <c r="Q429" s="198"/>
      <c r="R429" s="198"/>
      <c r="S429" s="198"/>
      <c r="T429" s="198"/>
      <c r="U429" s="198"/>
      <c r="V429" s="198"/>
      <c r="W429" s="201"/>
      <c r="X429" s="198"/>
      <c r="Y429" s="198"/>
      <c r="Z429" s="198"/>
      <c r="AA429" s="198"/>
      <c r="AB429" s="198"/>
      <c r="AC429" s="198"/>
      <c r="AD429" s="198"/>
      <c r="AE429" s="198"/>
      <c r="AF429" s="198"/>
      <c r="AG429" s="198"/>
      <c r="AH429" s="198"/>
      <c r="AI429" s="198"/>
      <c r="AJ429" s="198"/>
      <c r="AK429" s="198"/>
    </row>
    <row r="430">
      <c r="A430" s="198"/>
      <c r="B430" s="198"/>
      <c r="C430" s="198"/>
      <c r="D430" s="198"/>
      <c r="E430" s="198"/>
      <c r="F430" s="198"/>
      <c r="G430" s="198"/>
      <c r="H430" s="198"/>
      <c r="I430" s="198"/>
      <c r="J430" s="198"/>
      <c r="K430" s="198"/>
      <c r="L430" s="198"/>
      <c r="M430" s="198"/>
      <c r="N430" s="198"/>
      <c r="O430" s="198"/>
      <c r="P430" s="198"/>
      <c r="Q430" s="198"/>
      <c r="R430" s="198"/>
      <c r="S430" s="198"/>
      <c r="T430" s="198"/>
      <c r="U430" s="198"/>
      <c r="V430" s="198"/>
      <c r="W430" s="201"/>
      <c r="X430" s="198"/>
      <c r="Y430" s="198"/>
      <c r="Z430" s="198"/>
      <c r="AA430" s="198"/>
      <c r="AB430" s="198"/>
      <c r="AC430" s="198"/>
      <c r="AD430" s="198"/>
      <c r="AE430" s="198"/>
      <c r="AF430" s="198"/>
      <c r="AG430" s="198"/>
      <c r="AH430" s="198"/>
      <c r="AI430" s="198"/>
      <c r="AJ430" s="198"/>
      <c r="AK430" s="198"/>
    </row>
    <row r="431">
      <c r="A431" s="198"/>
      <c r="B431" s="198"/>
      <c r="C431" s="198"/>
      <c r="D431" s="198"/>
      <c r="E431" s="198"/>
      <c r="F431" s="198"/>
      <c r="G431" s="198"/>
      <c r="H431" s="198"/>
      <c r="I431" s="198"/>
      <c r="J431" s="198"/>
      <c r="K431" s="198"/>
      <c r="L431" s="198"/>
      <c r="M431" s="198"/>
      <c r="N431" s="198"/>
      <c r="O431" s="198"/>
      <c r="P431" s="198"/>
      <c r="Q431" s="198"/>
      <c r="R431" s="198"/>
      <c r="S431" s="198"/>
      <c r="T431" s="198"/>
      <c r="U431" s="198"/>
      <c r="V431" s="198"/>
      <c r="W431" s="201"/>
      <c r="X431" s="198"/>
      <c r="Y431" s="198"/>
      <c r="Z431" s="198"/>
      <c r="AA431" s="198"/>
      <c r="AB431" s="198"/>
      <c r="AC431" s="198"/>
      <c r="AD431" s="198"/>
      <c r="AE431" s="198"/>
      <c r="AF431" s="198"/>
      <c r="AG431" s="198"/>
      <c r="AH431" s="198"/>
      <c r="AI431" s="198"/>
      <c r="AJ431" s="198"/>
      <c r="AK431" s="198"/>
    </row>
    <row r="432">
      <c r="A432" s="198"/>
      <c r="B432" s="198"/>
      <c r="C432" s="198"/>
      <c r="D432" s="198"/>
      <c r="E432" s="198"/>
      <c r="F432" s="198"/>
      <c r="G432" s="198"/>
      <c r="H432" s="198"/>
      <c r="I432" s="198"/>
      <c r="J432" s="198"/>
      <c r="K432" s="198"/>
      <c r="L432" s="198"/>
      <c r="M432" s="198"/>
      <c r="N432" s="198"/>
      <c r="O432" s="198"/>
      <c r="P432" s="198"/>
      <c r="Q432" s="198"/>
      <c r="R432" s="198"/>
      <c r="S432" s="198"/>
      <c r="T432" s="198"/>
      <c r="U432" s="198"/>
      <c r="V432" s="198"/>
      <c r="W432" s="201"/>
      <c r="X432" s="198"/>
      <c r="Y432" s="198"/>
      <c r="Z432" s="198"/>
      <c r="AA432" s="198"/>
      <c r="AB432" s="198"/>
      <c r="AC432" s="198"/>
      <c r="AD432" s="198"/>
      <c r="AE432" s="198"/>
      <c r="AF432" s="198"/>
      <c r="AG432" s="198"/>
      <c r="AH432" s="198"/>
      <c r="AI432" s="198"/>
      <c r="AJ432" s="198"/>
      <c r="AK432" s="198"/>
    </row>
    <row r="433">
      <c r="A433" s="198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L433" s="198"/>
      <c r="M433" s="198"/>
      <c r="N433" s="198"/>
      <c r="O433" s="198"/>
      <c r="P433" s="198"/>
      <c r="Q433" s="198"/>
      <c r="R433" s="198"/>
      <c r="S433" s="198"/>
      <c r="T433" s="198"/>
      <c r="U433" s="198"/>
      <c r="V433" s="198"/>
      <c r="W433" s="201"/>
      <c r="X433" s="198"/>
      <c r="Y433" s="198"/>
      <c r="Z433" s="198"/>
      <c r="AA433" s="198"/>
      <c r="AB433" s="198"/>
      <c r="AC433" s="198"/>
      <c r="AD433" s="198"/>
      <c r="AE433" s="198"/>
      <c r="AF433" s="198"/>
      <c r="AG433" s="198"/>
      <c r="AH433" s="198"/>
      <c r="AI433" s="198"/>
      <c r="AJ433" s="198"/>
      <c r="AK433" s="198"/>
    </row>
    <row r="434">
      <c r="A434" s="198"/>
      <c r="B434" s="198"/>
      <c r="C434" s="198"/>
      <c r="D434" s="198"/>
      <c r="E434" s="198"/>
      <c r="F434" s="198"/>
      <c r="G434" s="198"/>
      <c r="H434" s="198"/>
      <c r="I434" s="198"/>
      <c r="J434" s="198"/>
      <c r="K434" s="198"/>
      <c r="L434" s="198"/>
      <c r="M434" s="198"/>
      <c r="N434" s="198"/>
      <c r="O434" s="198"/>
      <c r="P434" s="198"/>
      <c r="Q434" s="198"/>
      <c r="R434" s="198"/>
      <c r="S434" s="198"/>
      <c r="T434" s="198"/>
      <c r="U434" s="198"/>
      <c r="V434" s="198"/>
      <c r="W434" s="201"/>
      <c r="X434" s="198"/>
      <c r="Y434" s="198"/>
      <c r="Z434" s="198"/>
      <c r="AA434" s="198"/>
      <c r="AB434" s="198"/>
      <c r="AC434" s="198"/>
      <c r="AD434" s="198"/>
      <c r="AE434" s="198"/>
      <c r="AF434" s="198"/>
      <c r="AG434" s="198"/>
      <c r="AH434" s="198"/>
      <c r="AI434" s="198"/>
      <c r="AJ434" s="198"/>
      <c r="AK434" s="198"/>
    </row>
    <row r="435">
      <c r="A435" s="198"/>
      <c r="B435" s="198"/>
      <c r="C435" s="198"/>
      <c r="D435" s="198"/>
      <c r="E435" s="198"/>
      <c r="F435" s="198"/>
      <c r="G435" s="198"/>
      <c r="H435" s="198"/>
      <c r="I435" s="198"/>
      <c r="J435" s="198"/>
      <c r="K435" s="198"/>
      <c r="L435" s="198"/>
      <c r="M435" s="198"/>
      <c r="N435" s="198"/>
      <c r="O435" s="198"/>
      <c r="P435" s="198"/>
      <c r="Q435" s="198"/>
      <c r="R435" s="198"/>
      <c r="S435" s="198"/>
      <c r="T435" s="198"/>
      <c r="U435" s="198"/>
      <c r="V435" s="198"/>
      <c r="W435" s="201"/>
      <c r="X435" s="198"/>
      <c r="Y435" s="198"/>
      <c r="Z435" s="198"/>
      <c r="AA435" s="198"/>
      <c r="AB435" s="198"/>
      <c r="AC435" s="198"/>
      <c r="AD435" s="198"/>
      <c r="AE435" s="198"/>
      <c r="AF435" s="198"/>
      <c r="AG435" s="198"/>
      <c r="AH435" s="198"/>
      <c r="AI435" s="198"/>
      <c r="AJ435" s="198"/>
      <c r="AK435" s="198"/>
    </row>
    <row r="436">
      <c r="A436" s="198"/>
      <c r="B436" s="198"/>
      <c r="C436" s="198"/>
      <c r="D436" s="198"/>
      <c r="E436" s="198"/>
      <c r="F436" s="198"/>
      <c r="G436" s="198"/>
      <c r="H436" s="198"/>
      <c r="I436" s="198"/>
      <c r="J436" s="198"/>
      <c r="K436" s="198"/>
      <c r="L436" s="198"/>
      <c r="M436" s="198"/>
      <c r="N436" s="198"/>
      <c r="O436" s="198"/>
      <c r="P436" s="198"/>
      <c r="Q436" s="198"/>
      <c r="R436" s="198"/>
      <c r="S436" s="198"/>
      <c r="T436" s="198"/>
      <c r="U436" s="198"/>
      <c r="V436" s="198"/>
      <c r="W436" s="201"/>
      <c r="X436" s="198"/>
      <c r="Y436" s="198"/>
      <c r="Z436" s="198"/>
      <c r="AA436" s="198"/>
      <c r="AB436" s="198"/>
      <c r="AC436" s="198"/>
      <c r="AD436" s="198"/>
      <c r="AE436" s="198"/>
      <c r="AF436" s="198"/>
      <c r="AG436" s="198"/>
      <c r="AH436" s="198"/>
      <c r="AI436" s="198"/>
      <c r="AJ436" s="198"/>
      <c r="AK436" s="198"/>
    </row>
    <row r="437">
      <c r="A437" s="198"/>
      <c r="B437" s="198"/>
      <c r="C437" s="198"/>
      <c r="D437" s="198"/>
      <c r="E437" s="198"/>
      <c r="F437" s="198"/>
      <c r="G437" s="198"/>
      <c r="H437" s="198"/>
      <c r="I437" s="198"/>
      <c r="J437" s="198"/>
      <c r="K437" s="198"/>
      <c r="L437" s="198"/>
      <c r="M437" s="198"/>
      <c r="N437" s="198"/>
      <c r="O437" s="198"/>
      <c r="P437" s="198"/>
      <c r="Q437" s="198"/>
      <c r="R437" s="198"/>
      <c r="S437" s="198"/>
      <c r="T437" s="198"/>
      <c r="U437" s="198"/>
      <c r="V437" s="198"/>
      <c r="W437" s="201"/>
      <c r="X437" s="198"/>
      <c r="Y437" s="198"/>
      <c r="Z437" s="198"/>
      <c r="AA437" s="198"/>
      <c r="AB437" s="198"/>
      <c r="AC437" s="198"/>
      <c r="AD437" s="198"/>
      <c r="AE437" s="198"/>
      <c r="AF437" s="198"/>
      <c r="AG437" s="198"/>
      <c r="AH437" s="198"/>
      <c r="AI437" s="198"/>
      <c r="AJ437" s="198"/>
      <c r="AK437" s="198"/>
    </row>
    <row r="438">
      <c r="A438" s="198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L438" s="198"/>
      <c r="M438" s="198"/>
      <c r="N438" s="198"/>
      <c r="O438" s="198"/>
      <c r="P438" s="198"/>
      <c r="Q438" s="198"/>
      <c r="R438" s="198"/>
      <c r="S438" s="198"/>
      <c r="T438" s="198"/>
      <c r="U438" s="198"/>
      <c r="V438" s="198"/>
      <c r="W438" s="201"/>
      <c r="X438" s="198"/>
      <c r="Y438" s="198"/>
      <c r="Z438" s="198"/>
      <c r="AA438" s="198"/>
      <c r="AB438" s="198"/>
      <c r="AC438" s="198"/>
      <c r="AD438" s="198"/>
      <c r="AE438" s="198"/>
      <c r="AF438" s="198"/>
      <c r="AG438" s="198"/>
      <c r="AH438" s="198"/>
      <c r="AI438" s="198"/>
      <c r="AJ438" s="198"/>
      <c r="AK438" s="198"/>
    </row>
    <row r="439">
      <c r="A439" s="198"/>
      <c r="B439" s="198"/>
      <c r="C439" s="198"/>
      <c r="D439" s="198"/>
      <c r="E439" s="198"/>
      <c r="F439" s="198"/>
      <c r="G439" s="198"/>
      <c r="H439" s="198"/>
      <c r="I439" s="198"/>
      <c r="J439" s="198"/>
      <c r="K439" s="198"/>
      <c r="L439" s="198"/>
      <c r="M439" s="198"/>
      <c r="N439" s="198"/>
      <c r="O439" s="198"/>
      <c r="P439" s="198"/>
      <c r="Q439" s="198"/>
      <c r="R439" s="198"/>
      <c r="S439" s="198"/>
      <c r="T439" s="198"/>
      <c r="U439" s="198"/>
      <c r="V439" s="198"/>
      <c r="W439" s="201"/>
      <c r="X439" s="198"/>
      <c r="Y439" s="198"/>
      <c r="Z439" s="198"/>
      <c r="AA439" s="198"/>
      <c r="AB439" s="198"/>
      <c r="AC439" s="198"/>
      <c r="AD439" s="198"/>
      <c r="AE439" s="198"/>
      <c r="AF439" s="198"/>
      <c r="AG439" s="198"/>
      <c r="AH439" s="198"/>
      <c r="AI439" s="198"/>
      <c r="AJ439" s="198"/>
      <c r="AK439" s="198"/>
    </row>
    <row r="440">
      <c r="A440" s="198"/>
      <c r="B440" s="198"/>
      <c r="C440" s="198"/>
      <c r="D440" s="198"/>
      <c r="E440" s="198"/>
      <c r="F440" s="198"/>
      <c r="G440" s="198"/>
      <c r="H440" s="198"/>
      <c r="I440" s="198"/>
      <c r="J440" s="198"/>
      <c r="K440" s="198"/>
      <c r="L440" s="198"/>
      <c r="M440" s="198"/>
      <c r="N440" s="198"/>
      <c r="O440" s="198"/>
      <c r="P440" s="198"/>
      <c r="Q440" s="198"/>
      <c r="R440" s="198"/>
      <c r="S440" s="198"/>
      <c r="T440" s="198"/>
      <c r="U440" s="198"/>
      <c r="V440" s="198"/>
      <c r="W440" s="201"/>
      <c r="X440" s="198"/>
      <c r="Y440" s="198"/>
      <c r="Z440" s="198"/>
      <c r="AA440" s="198"/>
      <c r="AB440" s="198"/>
      <c r="AC440" s="198"/>
      <c r="AD440" s="198"/>
      <c r="AE440" s="198"/>
      <c r="AF440" s="198"/>
      <c r="AG440" s="198"/>
      <c r="AH440" s="198"/>
      <c r="AI440" s="198"/>
      <c r="AJ440" s="198"/>
      <c r="AK440" s="198"/>
    </row>
    <row r="441">
      <c r="A441" s="198"/>
      <c r="B441" s="198"/>
      <c r="C441" s="198"/>
      <c r="D441" s="198"/>
      <c r="E441" s="198"/>
      <c r="F441" s="198"/>
      <c r="G441" s="198"/>
      <c r="H441" s="198"/>
      <c r="I441" s="198"/>
      <c r="J441" s="198"/>
      <c r="K441" s="198"/>
      <c r="L441" s="198"/>
      <c r="M441" s="198"/>
      <c r="N441" s="198"/>
      <c r="O441" s="198"/>
      <c r="P441" s="198"/>
      <c r="Q441" s="198"/>
      <c r="R441" s="198"/>
      <c r="S441" s="198"/>
      <c r="T441" s="198"/>
      <c r="U441" s="198"/>
      <c r="V441" s="198"/>
      <c r="W441" s="201"/>
      <c r="X441" s="198"/>
      <c r="Y441" s="198"/>
      <c r="Z441" s="198"/>
      <c r="AA441" s="198"/>
      <c r="AB441" s="198"/>
      <c r="AC441" s="198"/>
      <c r="AD441" s="198"/>
      <c r="AE441" s="198"/>
      <c r="AF441" s="198"/>
      <c r="AG441" s="198"/>
      <c r="AH441" s="198"/>
      <c r="AI441" s="198"/>
      <c r="AJ441" s="198"/>
      <c r="AK441" s="198"/>
    </row>
    <row r="442">
      <c r="A442" s="198"/>
      <c r="B442" s="198"/>
      <c r="C442" s="198"/>
      <c r="D442" s="198"/>
      <c r="E442" s="198"/>
      <c r="F442" s="198"/>
      <c r="G442" s="198"/>
      <c r="H442" s="198"/>
      <c r="I442" s="198"/>
      <c r="J442" s="198"/>
      <c r="K442" s="198"/>
      <c r="L442" s="198"/>
      <c r="M442" s="198"/>
      <c r="N442" s="198"/>
      <c r="O442" s="198"/>
      <c r="P442" s="198"/>
      <c r="Q442" s="198"/>
      <c r="R442" s="198"/>
      <c r="S442" s="198"/>
      <c r="T442" s="198"/>
      <c r="U442" s="198"/>
      <c r="V442" s="198"/>
      <c r="W442" s="201"/>
      <c r="X442" s="198"/>
      <c r="Y442" s="198"/>
      <c r="Z442" s="198"/>
      <c r="AA442" s="198"/>
      <c r="AB442" s="198"/>
      <c r="AC442" s="198"/>
      <c r="AD442" s="198"/>
      <c r="AE442" s="198"/>
      <c r="AF442" s="198"/>
      <c r="AG442" s="198"/>
      <c r="AH442" s="198"/>
      <c r="AI442" s="198"/>
      <c r="AJ442" s="198"/>
      <c r="AK442" s="198"/>
    </row>
    <row r="443">
      <c r="A443" s="198"/>
      <c r="B443" s="198"/>
      <c r="C443" s="198"/>
      <c r="D443" s="198"/>
      <c r="E443" s="198"/>
      <c r="F443" s="198"/>
      <c r="G443" s="198"/>
      <c r="H443" s="198"/>
      <c r="I443" s="198"/>
      <c r="J443" s="198"/>
      <c r="K443" s="198"/>
      <c r="L443" s="198"/>
      <c r="M443" s="198"/>
      <c r="N443" s="198"/>
      <c r="O443" s="198"/>
      <c r="P443" s="198"/>
      <c r="Q443" s="198"/>
      <c r="R443" s="198"/>
      <c r="S443" s="198"/>
      <c r="T443" s="198"/>
      <c r="U443" s="198"/>
      <c r="V443" s="198"/>
      <c r="W443" s="201"/>
      <c r="X443" s="198"/>
      <c r="Y443" s="198"/>
      <c r="Z443" s="198"/>
      <c r="AA443" s="198"/>
      <c r="AB443" s="198"/>
      <c r="AC443" s="198"/>
      <c r="AD443" s="198"/>
      <c r="AE443" s="198"/>
      <c r="AF443" s="198"/>
      <c r="AG443" s="198"/>
      <c r="AH443" s="198"/>
      <c r="AI443" s="198"/>
      <c r="AJ443" s="198"/>
      <c r="AK443" s="198"/>
    </row>
    <row r="444">
      <c r="A444" s="198"/>
      <c r="B444" s="198"/>
      <c r="C444" s="198"/>
      <c r="D444" s="198"/>
      <c r="E444" s="198"/>
      <c r="F444" s="198"/>
      <c r="G444" s="198"/>
      <c r="H444" s="198"/>
      <c r="I444" s="198"/>
      <c r="J444" s="198"/>
      <c r="K444" s="198"/>
      <c r="L444" s="198"/>
      <c r="M444" s="198"/>
      <c r="N444" s="198"/>
      <c r="O444" s="198"/>
      <c r="P444" s="198"/>
      <c r="Q444" s="198"/>
      <c r="R444" s="198"/>
      <c r="S444" s="198"/>
      <c r="T444" s="198"/>
      <c r="U444" s="198"/>
      <c r="V444" s="198"/>
      <c r="W444" s="201"/>
      <c r="X444" s="198"/>
      <c r="Y444" s="198"/>
      <c r="Z444" s="198"/>
      <c r="AA444" s="198"/>
      <c r="AB444" s="198"/>
      <c r="AC444" s="198"/>
      <c r="AD444" s="198"/>
      <c r="AE444" s="198"/>
      <c r="AF444" s="198"/>
      <c r="AG444" s="198"/>
      <c r="AH444" s="198"/>
      <c r="AI444" s="198"/>
      <c r="AJ444" s="198"/>
      <c r="AK444" s="198"/>
    </row>
    <row r="445">
      <c r="A445" s="198"/>
      <c r="B445" s="198"/>
      <c r="C445" s="198"/>
      <c r="D445" s="198"/>
      <c r="E445" s="198"/>
      <c r="F445" s="198"/>
      <c r="G445" s="198"/>
      <c r="H445" s="198"/>
      <c r="I445" s="198"/>
      <c r="J445" s="198"/>
      <c r="K445" s="198"/>
      <c r="L445" s="198"/>
      <c r="M445" s="198"/>
      <c r="N445" s="198"/>
      <c r="O445" s="198"/>
      <c r="P445" s="198"/>
      <c r="Q445" s="198"/>
      <c r="R445" s="198"/>
      <c r="S445" s="198"/>
      <c r="T445" s="198"/>
      <c r="U445" s="198"/>
      <c r="V445" s="198"/>
      <c r="W445" s="201"/>
      <c r="X445" s="198"/>
      <c r="Y445" s="198"/>
      <c r="Z445" s="198"/>
      <c r="AA445" s="198"/>
      <c r="AB445" s="198"/>
      <c r="AC445" s="198"/>
      <c r="AD445" s="198"/>
      <c r="AE445" s="198"/>
      <c r="AF445" s="198"/>
      <c r="AG445" s="198"/>
      <c r="AH445" s="198"/>
      <c r="AI445" s="198"/>
      <c r="AJ445" s="198"/>
      <c r="AK445" s="198"/>
    </row>
    <row r="446">
      <c r="A446" s="198"/>
      <c r="B446" s="198"/>
      <c r="C446" s="198"/>
      <c r="D446" s="198"/>
      <c r="E446" s="198"/>
      <c r="F446" s="198"/>
      <c r="G446" s="198"/>
      <c r="H446" s="198"/>
      <c r="I446" s="198"/>
      <c r="J446" s="198"/>
      <c r="K446" s="198"/>
      <c r="L446" s="198"/>
      <c r="M446" s="198"/>
      <c r="N446" s="198"/>
      <c r="O446" s="198"/>
      <c r="P446" s="198"/>
      <c r="Q446" s="198"/>
      <c r="R446" s="198"/>
      <c r="S446" s="198"/>
      <c r="T446" s="198"/>
      <c r="U446" s="198"/>
      <c r="V446" s="198"/>
      <c r="W446" s="201"/>
      <c r="X446" s="198"/>
      <c r="Y446" s="198"/>
      <c r="Z446" s="198"/>
      <c r="AA446" s="198"/>
      <c r="AB446" s="198"/>
      <c r="AC446" s="198"/>
      <c r="AD446" s="198"/>
      <c r="AE446" s="198"/>
      <c r="AF446" s="198"/>
      <c r="AG446" s="198"/>
      <c r="AH446" s="198"/>
      <c r="AI446" s="198"/>
      <c r="AJ446" s="198"/>
      <c r="AK446" s="198"/>
    </row>
    <row r="447">
      <c r="A447" s="198"/>
      <c r="B447" s="198"/>
      <c r="C447" s="198"/>
      <c r="D447" s="198"/>
      <c r="E447" s="198"/>
      <c r="F447" s="198"/>
      <c r="G447" s="198"/>
      <c r="H447" s="198"/>
      <c r="I447" s="198"/>
      <c r="J447" s="198"/>
      <c r="K447" s="198"/>
      <c r="L447" s="198"/>
      <c r="M447" s="198"/>
      <c r="N447" s="198"/>
      <c r="O447" s="198"/>
      <c r="P447" s="198"/>
      <c r="Q447" s="198"/>
      <c r="R447" s="198"/>
      <c r="S447" s="198"/>
      <c r="T447" s="198"/>
      <c r="U447" s="198"/>
      <c r="V447" s="198"/>
      <c r="W447" s="201"/>
      <c r="X447" s="198"/>
      <c r="Y447" s="198"/>
      <c r="Z447" s="198"/>
      <c r="AA447" s="198"/>
      <c r="AB447" s="198"/>
      <c r="AC447" s="198"/>
      <c r="AD447" s="198"/>
      <c r="AE447" s="198"/>
      <c r="AF447" s="198"/>
      <c r="AG447" s="198"/>
      <c r="AH447" s="198"/>
      <c r="AI447" s="198"/>
      <c r="AJ447" s="198"/>
      <c r="AK447" s="198"/>
    </row>
    <row r="448">
      <c r="A448" s="198"/>
      <c r="B448" s="198"/>
      <c r="C448" s="198"/>
      <c r="D448" s="198"/>
      <c r="E448" s="198"/>
      <c r="F448" s="198"/>
      <c r="G448" s="198"/>
      <c r="H448" s="198"/>
      <c r="I448" s="198"/>
      <c r="J448" s="198"/>
      <c r="K448" s="198"/>
      <c r="L448" s="198"/>
      <c r="M448" s="198"/>
      <c r="N448" s="198"/>
      <c r="O448" s="198"/>
      <c r="P448" s="198"/>
      <c r="Q448" s="198"/>
      <c r="R448" s="198"/>
      <c r="S448" s="198"/>
      <c r="T448" s="198"/>
      <c r="U448" s="198"/>
      <c r="V448" s="198"/>
      <c r="W448" s="201"/>
      <c r="X448" s="198"/>
      <c r="Y448" s="198"/>
      <c r="Z448" s="198"/>
      <c r="AA448" s="198"/>
      <c r="AB448" s="198"/>
      <c r="AC448" s="198"/>
      <c r="AD448" s="198"/>
      <c r="AE448" s="198"/>
      <c r="AF448" s="198"/>
      <c r="AG448" s="198"/>
      <c r="AH448" s="198"/>
      <c r="AI448" s="198"/>
      <c r="AJ448" s="198"/>
      <c r="AK448" s="198"/>
    </row>
    <row r="449">
      <c r="A449" s="198"/>
      <c r="B449" s="198"/>
      <c r="C449" s="198"/>
      <c r="D449" s="198"/>
      <c r="E449" s="198"/>
      <c r="F449" s="198"/>
      <c r="G449" s="198"/>
      <c r="H449" s="198"/>
      <c r="I449" s="198"/>
      <c r="J449" s="198"/>
      <c r="K449" s="198"/>
      <c r="L449" s="198"/>
      <c r="M449" s="198"/>
      <c r="N449" s="198"/>
      <c r="O449" s="198"/>
      <c r="P449" s="198"/>
      <c r="Q449" s="198"/>
      <c r="R449" s="198"/>
      <c r="S449" s="198"/>
      <c r="T449" s="198"/>
      <c r="U449" s="198"/>
      <c r="V449" s="198"/>
      <c r="W449" s="201"/>
      <c r="X449" s="198"/>
      <c r="Y449" s="198"/>
      <c r="Z449" s="198"/>
      <c r="AA449" s="198"/>
      <c r="AB449" s="198"/>
      <c r="AC449" s="198"/>
      <c r="AD449" s="198"/>
      <c r="AE449" s="198"/>
      <c r="AF449" s="198"/>
      <c r="AG449" s="198"/>
      <c r="AH449" s="198"/>
      <c r="AI449" s="198"/>
      <c r="AJ449" s="198"/>
      <c r="AK449" s="198"/>
    </row>
    <row r="450">
      <c r="A450" s="198"/>
      <c r="B450" s="198"/>
      <c r="C450" s="198"/>
      <c r="D450" s="198"/>
      <c r="E450" s="198"/>
      <c r="F450" s="198"/>
      <c r="G450" s="198"/>
      <c r="H450" s="198"/>
      <c r="I450" s="198"/>
      <c r="J450" s="198"/>
      <c r="K450" s="198"/>
      <c r="L450" s="198"/>
      <c r="M450" s="198"/>
      <c r="N450" s="198"/>
      <c r="O450" s="198"/>
      <c r="P450" s="198"/>
      <c r="Q450" s="198"/>
      <c r="R450" s="198"/>
      <c r="S450" s="198"/>
      <c r="T450" s="198"/>
      <c r="U450" s="198"/>
      <c r="V450" s="198"/>
      <c r="W450" s="201"/>
      <c r="X450" s="198"/>
      <c r="Y450" s="198"/>
      <c r="Z450" s="198"/>
      <c r="AA450" s="198"/>
      <c r="AB450" s="198"/>
      <c r="AC450" s="198"/>
      <c r="AD450" s="198"/>
      <c r="AE450" s="198"/>
      <c r="AF450" s="198"/>
      <c r="AG450" s="198"/>
      <c r="AH450" s="198"/>
      <c r="AI450" s="198"/>
      <c r="AJ450" s="198"/>
      <c r="AK450" s="198"/>
    </row>
    <row r="451">
      <c r="A451" s="198"/>
      <c r="B451" s="198"/>
      <c r="C451" s="198"/>
      <c r="D451" s="198"/>
      <c r="E451" s="198"/>
      <c r="F451" s="198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201"/>
      <c r="X451" s="198"/>
      <c r="Y451" s="198"/>
      <c r="Z451" s="198"/>
      <c r="AA451" s="198"/>
      <c r="AB451" s="198"/>
      <c r="AC451" s="198"/>
      <c r="AD451" s="198"/>
      <c r="AE451" s="198"/>
      <c r="AF451" s="198"/>
      <c r="AG451" s="198"/>
      <c r="AH451" s="198"/>
      <c r="AI451" s="198"/>
      <c r="AJ451" s="198"/>
      <c r="AK451" s="198"/>
    </row>
    <row r="452">
      <c r="A452" s="198"/>
      <c r="B452" s="198"/>
      <c r="C452" s="198"/>
      <c r="D452" s="198"/>
      <c r="E452" s="198"/>
      <c r="F452" s="198"/>
      <c r="G452" s="198"/>
      <c r="H452" s="198"/>
      <c r="I452" s="198"/>
      <c r="J452" s="198"/>
      <c r="K452" s="198"/>
      <c r="L452" s="198"/>
      <c r="M452" s="198"/>
      <c r="N452" s="198"/>
      <c r="O452" s="198"/>
      <c r="P452" s="198"/>
      <c r="Q452" s="198"/>
      <c r="R452" s="198"/>
      <c r="S452" s="198"/>
      <c r="T452" s="198"/>
      <c r="U452" s="198"/>
      <c r="V452" s="198"/>
      <c r="W452" s="201"/>
      <c r="X452" s="198"/>
      <c r="Y452" s="198"/>
      <c r="Z452" s="198"/>
      <c r="AA452" s="198"/>
      <c r="AB452" s="198"/>
      <c r="AC452" s="198"/>
      <c r="AD452" s="198"/>
      <c r="AE452" s="198"/>
      <c r="AF452" s="198"/>
      <c r="AG452" s="198"/>
      <c r="AH452" s="198"/>
      <c r="AI452" s="198"/>
      <c r="AJ452" s="198"/>
      <c r="AK452" s="198"/>
    </row>
    <row r="453">
      <c r="A453" s="198"/>
      <c r="B453" s="198"/>
      <c r="C453" s="198"/>
      <c r="D453" s="198"/>
      <c r="E453" s="198"/>
      <c r="F453" s="198"/>
      <c r="G453" s="198"/>
      <c r="H453" s="198"/>
      <c r="I453" s="198"/>
      <c r="J453" s="198"/>
      <c r="K453" s="198"/>
      <c r="L453" s="198"/>
      <c r="M453" s="198"/>
      <c r="N453" s="198"/>
      <c r="O453" s="198"/>
      <c r="P453" s="198"/>
      <c r="Q453" s="198"/>
      <c r="R453" s="198"/>
      <c r="S453" s="198"/>
      <c r="T453" s="198"/>
      <c r="U453" s="198"/>
      <c r="V453" s="198"/>
      <c r="W453" s="201"/>
      <c r="X453" s="198"/>
      <c r="Y453" s="198"/>
      <c r="Z453" s="198"/>
      <c r="AA453" s="198"/>
      <c r="AB453" s="198"/>
      <c r="AC453" s="198"/>
      <c r="AD453" s="198"/>
      <c r="AE453" s="198"/>
      <c r="AF453" s="198"/>
      <c r="AG453" s="198"/>
      <c r="AH453" s="198"/>
      <c r="AI453" s="198"/>
      <c r="AJ453" s="198"/>
      <c r="AK453" s="198"/>
    </row>
    <row r="454">
      <c r="A454" s="198"/>
      <c r="B454" s="198"/>
      <c r="C454" s="198"/>
      <c r="D454" s="198"/>
      <c r="E454" s="198"/>
      <c r="F454" s="198"/>
      <c r="G454" s="198"/>
      <c r="H454" s="198"/>
      <c r="I454" s="198"/>
      <c r="J454" s="198"/>
      <c r="K454" s="198"/>
      <c r="L454" s="198"/>
      <c r="M454" s="198"/>
      <c r="N454" s="198"/>
      <c r="O454" s="198"/>
      <c r="P454" s="198"/>
      <c r="Q454" s="198"/>
      <c r="R454" s="198"/>
      <c r="S454" s="198"/>
      <c r="T454" s="198"/>
      <c r="U454" s="198"/>
      <c r="V454" s="198"/>
      <c r="W454" s="201"/>
      <c r="X454" s="198"/>
      <c r="Y454" s="198"/>
      <c r="Z454" s="198"/>
      <c r="AA454" s="198"/>
      <c r="AB454" s="198"/>
      <c r="AC454" s="198"/>
      <c r="AD454" s="198"/>
      <c r="AE454" s="198"/>
      <c r="AF454" s="198"/>
      <c r="AG454" s="198"/>
      <c r="AH454" s="198"/>
      <c r="AI454" s="198"/>
      <c r="AJ454" s="198"/>
      <c r="AK454" s="198"/>
    </row>
    <row r="455">
      <c r="A455" s="198"/>
      <c r="B455" s="198"/>
      <c r="C455" s="198"/>
      <c r="D455" s="198"/>
      <c r="E455" s="198"/>
      <c r="F455" s="198"/>
      <c r="G455" s="198"/>
      <c r="H455" s="198"/>
      <c r="I455" s="198"/>
      <c r="J455" s="198"/>
      <c r="K455" s="198"/>
      <c r="L455" s="198"/>
      <c r="M455" s="198"/>
      <c r="N455" s="198"/>
      <c r="O455" s="198"/>
      <c r="P455" s="198"/>
      <c r="Q455" s="198"/>
      <c r="R455" s="198"/>
      <c r="S455" s="198"/>
      <c r="T455" s="198"/>
      <c r="U455" s="198"/>
      <c r="V455" s="198"/>
      <c r="W455" s="201"/>
      <c r="X455" s="198"/>
      <c r="Y455" s="198"/>
      <c r="Z455" s="198"/>
      <c r="AA455" s="198"/>
      <c r="AB455" s="198"/>
      <c r="AC455" s="198"/>
      <c r="AD455" s="198"/>
      <c r="AE455" s="198"/>
      <c r="AF455" s="198"/>
      <c r="AG455" s="198"/>
      <c r="AH455" s="198"/>
      <c r="AI455" s="198"/>
      <c r="AJ455" s="198"/>
      <c r="AK455" s="198"/>
    </row>
    <row r="456">
      <c r="A456" s="198"/>
      <c r="B456" s="198"/>
      <c r="C456" s="198"/>
      <c r="D456" s="198"/>
      <c r="E456" s="198"/>
      <c r="F456" s="198"/>
      <c r="G456" s="198"/>
      <c r="H456" s="198"/>
      <c r="I456" s="198"/>
      <c r="J456" s="198"/>
      <c r="K456" s="198"/>
      <c r="L456" s="198"/>
      <c r="M456" s="198"/>
      <c r="N456" s="198"/>
      <c r="O456" s="198"/>
      <c r="P456" s="198"/>
      <c r="Q456" s="198"/>
      <c r="R456" s="198"/>
      <c r="S456" s="198"/>
      <c r="T456" s="198"/>
      <c r="U456" s="198"/>
      <c r="V456" s="198"/>
      <c r="W456" s="201"/>
      <c r="X456" s="198"/>
      <c r="Y456" s="198"/>
      <c r="Z456" s="198"/>
      <c r="AA456" s="198"/>
      <c r="AB456" s="198"/>
      <c r="AC456" s="198"/>
      <c r="AD456" s="198"/>
      <c r="AE456" s="198"/>
      <c r="AF456" s="198"/>
      <c r="AG456" s="198"/>
      <c r="AH456" s="198"/>
      <c r="AI456" s="198"/>
      <c r="AJ456" s="198"/>
      <c r="AK456" s="198"/>
    </row>
    <row r="457">
      <c r="A457" s="198"/>
      <c r="B457" s="198"/>
      <c r="C457" s="198"/>
      <c r="D457" s="198"/>
      <c r="E457" s="198"/>
      <c r="F457" s="198"/>
      <c r="G457" s="198"/>
      <c r="H457" s="198"/>
      <c r="I457" s="198"/>
      <c r="J457" s="198"/>
      <c r="K457" s="198"/>
      <c r="L457" s="198"/>
      <c r="M457" s="198"/>
      <c r="N457" s="198"/>
      <c r="O457" s="198"/>
      <c r="P457" s="198"/>
      <c r="Q457" s="198"/>
      <c r="R457" s="198"/>
      <c r="S457" s="198"/>
      <c r="T457" s="198"/>
      <c r="U457" s="198"/>
      <c r="V457" s="198"/>
      <c r="W457" s="201"/>
      <c r="X457" s="198"/>
      <c r="Y457" s="198"/>
      <c r="Z457" s="198"/>
      <c r="AA457" s="198"/>
      <c r="AB457" s="198"/>
      <c r="AC457" s="198"/>
      <c r="AD457" s="198"/>
      <c r="AE457" s="198"/>
      <c r="AF457" s="198"/>
      <c r="AG457" s="198"/>
      <c r="AH457" s="198"/>
      <c r="AI457" s="198"/>
      <c r="AJ457" s="198"/>
      <c r="AK457" s="198"/>
    </row>
    <row r="458">
      <c r="A458" s="198"/>
      <c r="B458" s="198"/>
      <c r="C458" s="198"/>
      <c r="D458" s="198"/>
      <c r="E458" s="198"/>
      <c r="F458" s="198"/>
      <c r="G458" s="198"/>
      <c r="H458" s="198"/>
      <c r="I458" s="198"/>
      <c r="J458" s="198"/>
      <c r="K458" s="198"/>
      <c r="L458" s="198"/>
      <c r="M458" s="198"/>
      <c r="N458" s="198"/>
      <c r="O458" s="198"/>
      <c r="P458" s="198"/>
      <c r="Q458" s="198"/>
      <c r="R458" s="198"/>
      <c r="S458" s="198"/>
      <c r="T458" s="198"/>
      <c r="U458" s="198"/>
      <c r="V458" s="198"/>
      <c r="W458" s="201"/>
      <c r="X458" s="198"/>
      <c r="Y458" s="198"/>
      <c r="Z458" s="198"/>
      <c r="AA458" s="198"/>
      <c r="AB458" s="198"/>
      <c r="AC458" s="198"/>
      <c r="AD458" s="198"/>
      <c r="AE458" s="198"/>
      <c r="AF458" s="198"/>
      <c r="AG458" s="198"/>
      <c r="AH458" s="198"/>
      <c r="AI458" s="198"/>
      <c r="AJ458" s="198"/>
      <c r="AK458" s="198"/>
    </row>
    <row r="459">
      <c r="A459" s="198"/>
      <c r="B459" s="198"/>
      <c r="C459" s="198"/>
      <c r="D459" s="198"/>
      <c r="E459" s="198"/>
      <c r="F459" s="198"/>
      <c r="G459" s="198"/>
      <c r="H459" s="198"/>
      <c r="I459" s="198"/>
      <c r="J459" s="198"/>
      <c r="K459" s="198"/>
      <c r="L459" s="198"/>
      <c r="M459" s="198"/>
      <c r="N459" s="198"/>
      <c r="O459" s="198"/>
      <c r="P459" s="198"/>
      <c r="Q459" s="198"/>
      <c r="R459" s="198"/>
      <c r="S459" s="198"/>
      <c r="T459" s="198"/>
      <c r="U459" s="198"/>
      <c r="V459" s="198"/>
      <c r="W459" s="201"/>
      <c r="X459" s="198"/>
      <c r="Y459" s="198"/>
      <c r="Z459" s="198"/>
      <c r="AA459" s="198"/>
      <c r="AB459" s="198"/>
      <c r="AC459" s="198"/>
      <c r="AD459" s="198"/>
      <c r="AE459" s="198"/>
      <c r="AF459" s="198"/>
      <c r="AG459" s="198"/>
      <c r="AH459" s="198"/>
      <c r="AI459" s="198"/>
      <c r="AJ459" s="198"/>
      <c r="AK459" s="198"/>
    </row>
    <row r="460">
      <c r="A460" s="198"/>
      <c r="B460" s="198"/>
      <c r="C460" s="198"/>
      <c r="D460" s="198"/>
      <c r="E460" s="198"/>
      <c r="F460" s="198"/>
      <c r="G460" s="198"/>
      <c r="H460" s="198"/>
      <c r="I460" s="198"/>
      <c r="J460" s="198"/>
      <c r="K460" s="198"/>
      <c r="L460" s="198"/>
      <c r="M460" s="198"/>
      <c r="N460" s="198"/>
      <c r="O460" s="198"/>
      <c r="P460" s="198"/>
      <c r="Q460" s="198"/>
      <c r="R460" s="198"/>
      <c r="S460" s="198"/>
      <c r="T460" s="198"/>
      <c r="U460" s="198"/>
      <c r="V460" s="198"/>
      <c r="W460" s="201"/>
      <c r="X460" s="198"/>
      <c r="Y460" s="198"/>
      <c r="Z460" s="198"/>
      <c r="AA460" s="198"/>
      <c r="AB460" s="198"/>
      <c r="AC460" s="198"/>
      <c r="AD460" s="198"/>
      <c r="AE460" s="198"/>
      <c r="AF460" s="198"/>
      <c r="AG460" s="198"/>
      <c r="AH460" s="198"/>
      <c r="AI460" s="198"/>
      <c r="AJ460" s="198"/>
      <c r="AK460" s="198"/>
    </row>
    <row r="461">
      <c r="A461" s="198"/>
      <c r="B461" s="198"/>
      <c r="C461" s="198"/>
      <c r="D461" s="198"/>
      <c r="E461" s="198"/>
      <c r="F461" s="198"/>
      <c r="G461" s="198"/>
      <c r="H461" s="198"/>
      <c r="I461" s="198"/>
      <c r="J461" s="198"/>
      <c r="K461" s="198"/>
      <c r="L461" s="198"/>
      <c r="M461" s="198"/>
      <c r="N461" s="198"/>
      <c r="O461" s="198"/>
      <c r="P461" s="198"/>
      <c r="Q461" s="198"/>
      <c r="R461" s="198"/>
      <c r="S461" s="198"/>
      <c r="T461" s="198"/>
      <c r="U461" s="198"/>
      <c r="V461" s="198"/>
      <c r="W461" s="201"/>
      <c r="X461" s="198"/>
      <c r="Y461" s="198"/>
      <c r="Z461" s="198"/>
      <c r="AA461" s="198"/>
      <c r="AB461" s="198"/>
      <c r="AC461" s="198"/>
      <c r="AD461" s="198"/>
      <c r="AE461" s="198"/>
      <c r="AF461" s="198"/>
      <c r="AG461" s="198"/>
      <c r="AH461" s="198"/>
      <c r="AI461" s="198"/>
      <c r="AJ461" s="198"/>
      <c r="AK461" s="198"/>
    </row>
    <row r="462">
      <c r="A462" s="198"/>
      <c r="B462" s="198"/>
      <c r="C462" s="198"/>
      <c r="D462" s="198"/>
      <c r="E462" s="198"/>
      <c r="F462" s="198"/>
      <c r="G462" s="198"/>
      <c r="H462" s="198"/>
      <c r="I462" s="198"/>
      <c r="J462" s="198"/>
      <c r="K462" s="198"/>
      <c r="L462" s="198"/>
      <c r="M462" s="198"/>
      <c r="N462" s="198"/>
      <c r="O462" s="198"/>
      <c r="P462" s="198"/>
      <c r="Q462" s="198"/>
      <c r="R462" s="198"/>
      <c r="S462" s="198"/>
      <c r="T462" s="198"/>
      <c r="U462" s="198"/>
      <c r="V462" s="198"/>
      <c r="W462" s="201"/>
      <c r="X462" s="198"/>
      <c r="Y462" s="198"/>
      <c r="Z462" s="198"/>
      <c r="AA462" s="198"/>
      <c r="AB462" s="198"/>
      <c r="AC462" s="198"/>
      <c r="AD462" s="198"/>
      <c r="AE462" s="198"/>
      <c r="AF462" s="198"/>
      <c r="AG462" s="198"/>
      <c r="AH462" s="198"/>
      <c r="AI462" s="198"/>
      <c r="AJ462" s="198"/>
      <c r="AK462" s="198"/>
    </row>
    <row r="463">
      <c r="A463" s="198"/>
      <c r="B463" s="198"/>
      <c r="C463" s="198"/>
      <c r="D463" s="198"/>
      <c r="E463" s="198"/>
      <c r="F463" s="198"/>
      <c r="G463" s="198"/>
      <c r="H463" s="198"/>
      <c r="I463" s="198"/>
      <c r="J463" s="198"/>
      <c r="K463" s="198"/>
      <c r="L463" s="198"/>
      <c r="M463" s="198"/>
      <c r="N463" s="198"/>
      <c r="O463" s="198"/>
      <c r="P463" s="198"/>
      <c r="Q463" s="198"/>
      <c r="R463" s="198"/>
      <c r="S463" s="198"/>
      <c r="T463" s="198"/>
      <c r="U463" s="198"/>
      <c r="V463" s="198"/>
      <c r="W463" s="201"/>
      <c r="X463" s="198"/>
      <c r="Y463" s="198"/>
      <c r="Z463" s="198"/>
      <c r="AA463" s="198"/>
      <c r="AB463" s="198"/>
      <c r="AC463" s="198"/>
      <c r="AD463" s="198"/>
      <c r="AE463" s="198"/>
      <c r="AF463" s="198"/>
      <c r="AG463" s="198"/>
      <c r="AH463" s="198"/>
      <c r="AI463" s="198"/>
      <c r="AJ463" s="198"/>
      <c r="AK463" s="198"/>
    </row>
    <row r="464">
      <c r="A464" s="198"/>
      <c r="B464" s="198"/>
      <c r="C464" s="198"/>
      <c r="D464" s="198"/>
      <c r="E464" s="198"/>
      <c r="F464" s="198"/>
      <c r="G464" s="198"/>
      <c r="H464" s="198"/>
      <c r="I464" s="198"/>
      <c r="J464" s="198"/>
      <c r="K464" s="198"/>
      <c r="L464" s="198"/>
      <c r="M464" s="198"/>
      <c r="N464" s="198"/>
      <c r="O464" s="198"/>
      <c r="P464" s="198"/>
      <c r="Q464" s="198"/>
      <c r="R464" s="198"/>
      <c r="S464" s="198"/>
      <c r="T464" s="198"/>
      <c r="U464" s="198"/>
      <c r="V464" s="198"/>
      <c r="W464" s="201"/>
      <c r="X464" s="198"/>
      <c r="Y464" s="198"/>
      <c r="Z464" s="198"/>
      <c r="AA464" s="198"/>
      <c r="AB464" s="198"/>
      <c r="AC464" s="198"/>
      <c r="AD464" s="198"/>
      <c r="AE464" s="198"/>
      <c r="AF464" s="198"/>
      <c r="AG464" s="198"/>
      <c r="AH464" s="198"/>
      <c r="AI464" s="198"/>
      <c r="AJ464" s="198"/>
      <c r="AK464" s="198"/>
    </row>
    <row r="465">
      <c r="A465" s="198"/>
      <c r="B465" s="198"/>
      <c r="C465" s="198"/>
      <c r="D465" s="198"/>
      <c r="E465" s="198"/>
      <c r="F465" s="198"/>
      <c r="G465" s="198"/>
      <c r="H465" s="198"/>
      <c r="I465" s="198"/>
      <c r="J465" s="198"/>
      <c r="K465" s="198"/>
      <c r="L465" s="198"/>
      <c r="M465" s="198"/>
      <c r="N465" s="198"/>
      <c r="O465" s="198"/>
      <c r="P465" s="198"/>
      <c r="Q465" s="198"/>
      <c r="R465" s="198"/>
      <c r="S465" s="198"/>
      <c r="T465" s="198"/>
      <c r="U465" s="198"/>
      <c r="V465" s="198"/>
      <c r="W465" s="201"/>
      <c r="X465" s="198"/>
      <c r="Y465" s="198"/>
      <c r="Z465" s="198"/>
      <c r="AA465" s="198"/>
      <c r="AB465" s="198"/>
      <c r="AC465" s="198"/>
      <c r="AD465" s="198"/>
      <c r="AE465" s="198"/>
      <c r="AF465" s="198"/>
      <c r="AG465" s="198"/>
      <c r="AH465" s="198"/>
      <c r="AI465" s="198"/>
      <c r="AJ465" s="198"/>
      <c r="AK465" s="198"/>
    </row>
    <row r="466">
      <c r="A466" s="198"/>
      <c r="B466" s="198"/>
      <c r="C466" s="198"/>
      <c r="D466" s="198"/>
      <c r="E466" s="198"/>
      <c r="F466" s="198"/>
      <c r="G466" s="198"/>
      <c r="H466" s="198"/>
      <c r="I466" s="198"/>
      <c r="J466" s="198"/>
      <c r="K466" s="198"/>
      <c r="L466" s="198"/>
      <c r="M466" s="198"/>
      <c r="N466" s="198"/>
      <c r="O466" s="198"/>
      <c r="P466" s="198"/>
      <c r="Q466" s="198"/>
      <c r="R466" s="198"/>
      <c r="S466" s="198"/>
      <c r="T466" s="198"/>
      <c r="U466" s="198"/>
      <c r="V466" s="198"/>
      <c r="W466" s="201"/>
      <c r="X466" s="198"/>
      <c r="Y466" s="198"/>
      <c r="Z466" s="198"/>
      <c r="AA466" s="198"/>
      <c r="AB466" s="198"/>
      <c r="AC466" s="198"/>
      <c r="AD466" s="198"/>
      <c r="AE466" s="198"/>
      <c r="AF466" s="198"/>
      <c r="AG466" s="198"/>
      <c r="AH466" s="198"/>
      <c r="AI466" s="198"/>
      <c r="AJ466" s="198"/>
      <c r="AK466" s="198"/>
    </row>
    <row r="467">
      <c r="A467" s="198"/>
      <c r="B467" s="198"/>
      <c r="C467" s="198"/>
      <c r="D467" s="198"/>
      <c r="E467" s="198"/>
      <c r="F467" s="198"/>
      <c r="G467" s="198"/>
      <c r="H467" s="198"/>
      <c r="I467" s="198"/>
      <c r="J467" s="198"/>
      <c r="K467" s="198"/>
      <c r="L467" s="198"/>
      <c r="M467" s="198"/>
      <c r="N467" s="198"/>
      <c r="O467" s="198"/>
      <c r="P467" s="198"/>
      <c r="Q467" s="198"/>
      <c r="R467" s="198"/>
      <c r="S467" s="198"/>
      <c r="T467" s="198"/>
      <c r="U467" s="198"/>
      <c r="V467" s="198"/>
      <c r="W467" s="201"/>
      <c r="X467" s="198"/>
      <c r="Y467" s="198"/>
      <c r="Z467" s="198"/>
      <c r="AA467" s="198"/>
      <c r="AB467" s="198"/>
      <c r="AC467" s="198"/>
      <c r="AD467" s="198"/>
      <c r="AE467" s="198"/>
      <c r="AF467" s="198"/>
      <c r="AG467" s="198"/>
      <c r="AH467" s="198"/>
      <c r="AI467" s="198"/>
      <c r="AJ467" s="198"/>
      <c r="AK467" s="198"/>
    </row>
    <row r="468">
      <c r="A468" s="198"/>
      <c r="B468" s="198"/>
      <c r="C468" s="198"/>
      <c r="D468" s="198"/>
      <c r="E468" s="198"/>
      <c r="F468" s="198"/>
      <c r="G468" s="198"/>
      <c r="H468" s="198"/>
      <c r="I468" s="198"/>
      <c r="J468" s="198"/>
      <c r="K468" s="198"/>
      <c r="L468" s="198"/>
      <c r="M468" s="198"/>
      <c r="N468" s="198"/>
      <c r="O468" s="198"/>
      <c r="P468" s="198"/>
      <c r="Q468" s="198"/>
      <c r="R468" s="198"/>
      <c r="S468" s="198"/>
      <c r="T468" s="198"/>
      <c r="U468" s="198"/>
      <c r="V468" s="198"/>
      <c r="W468" s="201"/>
      <c r="X468" s="198"/>
      <c r="Y468" s="198"/>
      <c r="Z468" s="198"/>
      <c r="AA468" s="198"/>
      <c r="AB468" s="198"/>
      <c r="AC468" s="198"/>
      <c r="AD468" s="198"/>
      <c r="AE468" s="198"/>
      <c r="AF468" s="198"/>
      <c r="AG468" s="198"/>
      <c r="AH468" s="198"/>
      <c r="AI468" s="198"/>
      <c r="AJ468" s="198"/>
      <c r="AK468" s="198"/>
    </row>
    <row r="469">
      <c r="A469" s="198"/>
      <c r="B469" s="198"/>
      <c r="C469" s="198"/>
      <c r="D469" s="198"/>
      <c r="E469" s="198"/>
      <c r="F469" s="198"/>
      <c r="G469" s="198"/>
      <c r="H469" s="198"/>
      <c r="I469" s="198"/>
      <c r="J469" s="198"/>
      <c r="K469" s="198"/>
      <c r="L469" s="198"/>
      <c r="M469" s="198"/>
      <c r="N469" s="198"/>
      <c r="O469" s="198"/>
      <c r="P469" s="198"/>
      <c r="Q469" s="198"/>
      <c r="R469" s="198"/>
      <c r="S469" s="198"/>
      <c r="T469" s="198"/>
      <c r="U469" s="198"/>
      <c r="V469" s="198"/>
      <c r="W469" s="201"/>
      <c r="X469" s="198"/>
      <c r="Y469" s="198"/>
      <c r="Z469" s="198"/>
      <c r="AA469" s="198"/>
      <c r="AB469" s="198"/>
      <c r="AC469" s="198"/>
      <c r="AD469" s="198"/>
      <c r="AE469" s="198"/>
      <c r="AF469" s="198"/>
      <c r="AG469" s="198"/>
      <c r="AH469" s="198"/>
      <c r="AI469" s="198"/>
      <c r="AJ469" s="198"/>
      <c r="AK469" s="198"/>
    </row>
    <row r="470">
      <c r="A470" s="198"/>
      <c r="B470" s="198"/>
      <c r="C470" s="198"/>
      <c r="D470" s="198"/>
      <c r="E470" s="198"/>
      <c r="F470" s="198"/>
      <c r="G470" s="198"/>
      <c r="H470" s="198"/>
      <c r="I470" s="198"/>
      <c r="J470" s="198"/>
      <c r="K470" s="198"/>
      <c r="L470" s="198"/>
      <c r="M470" s="198"/>
      <c r="N470" s="198"/>
      <c r="O470" s="198"/>
      <c r="P470" s="198"/>
      <c r="Q470" s="198"/>
      <c r="R470" s="198"/>
      <c r="S470" s="198"/>
      <c r="T470" s="198"/>
      <c r="U470" s="198"/>
      <c r="V470" s="198"/>
      <c r="W470" s="201"/>
      <c r="X470" s="198"/>
      <c r="Y470" s="198"/>
      <c r="Z470" s="198"/>
      <c r="AA470" s="198"/>
      <c r="AB470" s="198"/>
      <c r="AC470" s="198"/>
      <c r="AD470" s="198"/>
      <c r="AE470" s="198"/>
      <c r="AF470" s="198"/>
      <c r="AG470" s="198"/>
      <c r="AH470" s="198"/>
      <c r="AI470" s="198"/>
      <c r="AJ470" s="198"/>
      <c r="AK470" s="198"/>
    </row>
    <row r="471">
      <c r="A471" s="198"/>
      <c r="B471" s="198"/>
      <c r="C471" s="198"/>
      <c r="D471" s="198"/>
      <c r="E471" s="198"/>
      <c r="F471" s="198"/>
      <c r="G471" s="198"/>
      <c r="H471" s="198"/>
      <c r="I471" s="198"/>
      <c r="J471" s="198"/>
      <c r="K471" s="198"/>
      <c r="L471" s="198"/>
      <c r="M471" s="198"/>
      <c r="N471" s="198"/>
      <c r="O471" s="198"/>
      <c r="P471" s="198"/>
      <c r="Q471" s="198"/>
      <c r="R471" s="198"/>
      <c r="S471" s="198"/>
      <c r="T471" s="198"/>
      <c r="U471" s="198"/>
      <c r="V471" s="198"/>
      <c r="W471" s="201"/>
      <c r="X471" s="198"/>
      <c r="Y471" s="198"/>
      <c r="Z471" s="198"/>
      <c r="AA471" s="198"/>
      <c r="AB471" s="198"/>
      <c r="AC471" s="198"/>
      <c r="AD471" s="198"/>
      <c r="AE471" s="198"/>
      <c r="AF471" s="198"/>
      <c r="AG471" s="198"/>
      <c r="AH471" s="198"/>
      <c r="AI471" s="198"/>
      <c r="AJ471" s="198"/>
      <c r="AK471" s="198"/>
    </row>
    <row r="472">
      <c r="A472" s="198"/>
      <c r="B472" s="198"/>
      <c r="C472" s="198"/>
      <c r="D472" s="198"/>
      <c r="E472" s="198"/>
      <c r="F472" s="198"/>
      <c r="G472" s="198"/>
      <c r="H472" s="198"/>
      <c r="I472" s="198"/>
      <c r="J472" s="198"/>
      <c r="K472" s="198"/>
      <c r="L472" s="198"/>
      <c r="M472" s="198"/>
      <c r="N472" s="198"/>
      <c r="O472" s="198"/>
      <c r="P472" s="198"/>
      <c r="Q472" s="198"/>
      <c r="R472" s="198"/>
      <c r="S472" s="198"/>
      <c r="T472" s="198"/>
      <c r="U472" s="198"/>
      <c r="V472" s="198"/>
      <c r="W472" s="201"/>
      <c r="X472" s="198"/>
      <c r="Y472" s="198"/>
      <c r="Z472" s="198"/>
      <c r="AA472" s="198"/>
      <c r="AB472" s="198"/>
      <c r="AC472" s="198"/>
      <c r="AD472" s="198"/>
      <c r="AE472" s="198"/>
      <c r="AF472" s="198"/>
      <c r="AG472" s="198"/>
      <c r="AH472" s="198"/>
      <c r="AI472" s="198"/>
      <c r="AJ472" s="198"/>
      <c r="AK472" s="198"/>
    </row>
    <row r="473">
      <c r="A473" s="198"/>
      <c r="B473" s="198"/>
      <c r="C473" s="198"/>
      <c r="D473" s="198"/>
      <c r="E473" s="198"/>
      <c r="F473" s="198"/>
      <c r="G473" s="198"/>
      <c r="H473" s="198"/>
      <c r="I473" s="198"/>
      <c r="J473" s="198"/>
      <c r="K473" s="198"/>
      <c r="L473" s="198"/>
      <c r="M473" s="198"/>
      <c r="N473" s="198"/>
      <c r="O473" s="198"/>
      <c r="P473" s="198"/>
      <c r="Q473" s="198"/>
      <c r="R473" s="198"/>
      <c r="S473" s="198"/>
      <c r="T473" s="198"/>
      <c r="U473" s="198"/>
      <c r="V473" s="198"/>
      <c r="W473" s="201"/>
      <c r="X473" s="198"/>
      <c r="Y473" s="198"/>
      <c r="Z473" s="198"/>
      <c r="AA473" s="198"/>
      <c r="AB473" s="198"/>
      <c r="AC473" s="198"/>
      <c r="AD473" s="198"/>
      <c r="AE473" s="198"/>
      <c r="AF473" s="198"/>
      <c r="AG473" s="198"/>
      <c r="AH473" s="198"/>
      <c r="AI473" s="198"/>
      <c r="AJ473" s="198"/>
      <c r="AK473" s="198"/>
    </row>
    <row r="474">
      <c r="A474" s="198"/>
      <c r="B474" s="198"/>
      <c r="C474" s="198"/>
      <c r="D474" s="198"/>
      <c r="E474" s="198"/>
      <c r="F474" s="198"/>
      <c r="G474" s="198"/>
      <c r="H474" s="198"/>
      <c r="I474" s="198"/>
      <c r="J474" s="198"/>
      <c r="K474" s="198"/>
      <c r="L474" s="198"/>
      <c r="M474" s="198"/>
      <c r="N474" s="198"/>
      <c r="O474" s="198"/>
      <c r="P474" s="198"/>
      <c r="Q474" s="198"/>
      <c r="R474" s="198"/>
      <c r="S474" s="198"/>
      <c r="T474" s="198"/>
      <c r="U474" s="198"/>
      <c r="V474" s="198"/>
      <c r="W474" s="201"/>
      <c r="X474" s="198"/>
      <c r="Y474" s="198"/>
      <c r="Z474" s="198"/>
      <c r="AA474" s="198"/>
      <c r="AB474" s="198"/>
      <c r="AC474" s="198"/>
      <c r="AD474" s="198"/>
      <c r="AE474" s="198"/>
      <c r="AF474" s="198"/>
      <c r="AG474" s="198"/>
      <c r="AH474" s="198"/>
      <c r="AI474" s="198"/>
      <c r="AJ474" s="198"/>
      <c r="AK474" s="198"/>
    </row>
    <row r="475">
      <c r="A475" s="198"/>
      <c r="B475" s="198"/>
      <c r="C475" s="198"/>
      <c r="D475" s="198"/>
      <c r="E475" s="198"/>
      <c r="F475" s="198"/>
      <c r="G475" s="198"/>
      <c r="H475" s="198"/>
      <c r="I475" s="198"/>
      <c r="J475" s="198"/>
      <c r="K475" s="198"/>
      <c r="L475" s="198"/>
      <c r="M475" s="198"/>
      <c r="N475" s="198"/>
      <c r="O475" s="198"/>
      <c r="P475" s="198"/>
      <c r="Q475" s="198"/>
      <c r="R475" s="198"/>
      <c r="S475" s="198"/>
      <c r="T475" s="198"/>
      <c r="U475" s="198"/>
      <c r="V475" s="198"/>
      <c r="W475" s="201"/>
      <c r="X475" s="198"/>
      <c r="Y475" s="198"/>
      <c r="Z475" s="198"/>
      <c r="AA475" s="198"/>
      <c r="AB475" s="198"/>
      <c r="AC475" s="198"/>
      <c r="AD475" s="198"/>
      <c r="AE475" s="198"/>
      <c r="AF475" s="198"/>
      <c r="AG475" s="198"/>
      <c r="AH475" s="198"/>
      <c r="AI475" s="198"/>
      <c r="AJ475" s="198"/>
      <c r="AK475" s="198"/>
    </row>
    <row r="476">
      <c r="A476" s="198"/>
      <c r="B476" s="198"/>
      <c r="C476" s="198"/>
      <c r="D476" s="198"/>
      <c r="E476" s="198"/>
      <c r="F476" s="198"/>
      <c r="G476" s="198"/>
      <c r="H476" s="198"/>
      <c r="I476" s="198"/>
      <c r="J476" s="198"/>
      <c r="K476" s="198"/>
      <c r="L476" s="198"/>
      <c r="M476" s="198"/>
      <c r="N476" s="198"/>
      <c r="O476" s="198"/>
      <c r="P476" s="198"/>
      <c r="Q476" s="198"/>
      <c r="R476" s="198"/>
      <c r="S476" s="198"/>
      <c r="T476" s="198"/>
      <c r="U476" s="198"/>
      <c r="V476" s="198"/>
      <c r="W476" s="201"/>
      <c r="X476" s="198"/>
      <c r="Y476" s="198"/>
      <c r="Z476" s="198"/>
      <c r="AA476" s="198"/>
      <c r="AB476" s="198"/>
      <c r="AC476" s="198"/>
      <c r="AD476" s="198"/>
      <c r="AE476" s="198"/>
      <c r="AF476" s="198"/>
      <c r="AG476" s="198"/>
      <c r="AH476" s="198"/>
      <c r="AI476" s="198"/>
      <c r="AJ476" s="198"/>
      <c r="AK476" s="198"/>
    </row>
    <row r="477">
      <c r="A477" s="198"/>
      <c r="B477" s="198"/>
      <c r="C477" s="198"/>
      <c r="D477" s="198"/>
      <c r="E477" s="198"/>
      <c r="F477" s="198"/>
      <c r="G477" s="198"/>
      <c r="H477" s="198"/>
      <c r="I477" s="198"/>
      <c r="J477" s="198"/>
      <c r="K477" s="198"/>
      <c r="L477" s="198"/>
      <c r="M477" s="198"/>
      <c r="N477" s="198"/>
      <c r="O477" s="198"/>
      <c r="P477" s="198"/>
      <c r="Q477" s="198"/>
      <c r="R477" s="198"/>
      <c r="S477" s="198"/>
      <c r="T477" s="198"/>
      <c r="U477" s="198"/>
      <c r="V477" s="198"/>
      <c r="W477" s="201"/>
      <c r="X477" s="198"/>
      <c r="Y477" s="198"/>
      <c r="Z477" s="198"/>
      <c r="AA477" s="198"/>
      <c r="AB477" s="198"/>
      <c r="AC477" s="198"/>
      <c r="AD477" s="198"/>
      <c r="AE477" s="198"/>
      <c r="AF477" s="198"/>
      <c r="AG477" s="198"/>
      <c r="AH477" s="198"/>
      <c r="AI477" s="198"/>
      <c r="AJ477" s="198"/>
      <c r="AK477" s="198"/>
    </row>
    <row r="478">
      <c r="A478" s="198"/>
      <c r="B478" s="198"/>
      <c r="C478" s="198"/>
      <c r="D478" s="198"/>
      <c r="E478" s="198"/>
      <c r="F478" s="198"/>
      <c r="G478" s="198"/>
      <c r="H478" s="198"/>
      <c r="I478" s="198"/>
      <c r="J478" s="198"/>
      <c r="K478" s="198"/>
      <c r="L478" s="198"/>
      <c r="M478" s="198"/>
      <c r="N478" s="198"/>
      <c r="O478" s="198"/>
      <c r="P478" s="198"/>
      <c r="Q478" s="198"/>
      <c r="R478" s="198"/>
      <c r="S478" s="198"/>
      <c r="T478" s="198"/>
      <c r="U478" s="198"/>
      <c r="V478" s="198"/>
      <c r="W478" s="201"/>
      <c r="X478" s="198"/>
      <c r="Y478" s="198"/>
      <c r="Z478" s="198"/>
      <c r="AA478" s="198"/>
      <c r="AB478" s="198"/>
      <c r="AC478" s="198"/>
      <c r="AD478" s="198"/>
      <c r="AE478" s="198"/>
      <c r="AF478" s="198"/>
      <c r="AG478" s="198"/>
      <c r="AH478" s="198"/>
      <c r="AI478" s="198"/>
      <c r="AJ478" s="198"/>
      <c r="AK478" s="198"/>
    </row>
    <row r="479">
      <c r="A479" s="198"/>
      <c r="B479" s="198"/>
      <c r="C479" s="198"/>
      <c r="D479" s="198"/>
      <c r="E479" s="198"/>
      <c r="F479" s="198"/>
      <c r="G479" s="198"/>
      <c r="H479" s="198"/>
      <c r="I479" s="198"/>
      <c r="J479" s="198"/>
      <c r="K479" s="198"/>
      <c r="L479" s="198"/>
      <c r="M479" s="198"/>
      <c r="N479" s="198"/>
      <c r="O479" s="198"/>
      <c r="P479" s="198"/>
      <c r="Q479" s="198"/>
      <c r="R479" s="198"/>
      <c r="S479" s="198"/>
      <c r="T479" s="198"/>
      <c r="U479" s="198"/>
      <c r="V479" s="198"/>
      <c r="W479" s="201"/>
      <c r="X479" s="198"/>
      <c r="Y479" s="198"/>
      <c r="Z479" s="198"/>
      <c r="AA479" s="198"/>
      <c r="AB479" s="198"/>
      <c r="AC479" s="198"/>
      <c r="AD479" s="198"/>
      <c r="AE479" s="198"/>
      <c r="AF479" s="198"/>
      <c r="AG479" s="198"/>
      <c r="AH479" s="198"/>
      <c r="AI479" s="198"/>
      <c r="AJ479" s="198"/>
      <c r="AK479" s="198"/>
    </row>
    <row r="480">
      <c r="A480" s="198"/>
      <c r="B480" s="198"/>
      <c r="C480" s="198"/>
      <c r="D480" s="198"/>
      <c r="E480" s="198"/>
      <c r="F480" s="198"/>
      <c r="G480" s="198"/>
      <c r="H480" s="198"/>
      <c r="I480" s="198"/>
      <c r="J480" s="198"/>
      <c r="K480" s="198"/>
      <c r="L480" s="198"/>
      <c r="M480" s="198"/>
      <c r="N480" s="198"/>
      <c r="O480" s="198"/>
      <c r="P480" s="198"/>
      <c r="Q480" s="198"/>
      <c r="R480" s="198"/>
      <c r="S480" s="198"/>
      <c r="T480" s="198"/>
      <c r="U480" s="198"/>
      <c r="V480" s="198"/>
      <c r="W480" s="201"/>
      <c r="X480" s="198"/>
      <c r="Y480" s="198"/>
      <c r="Z480" s="198"/>
      <c r="AA480" s="198"/>
      <c r="AB480" s="198"/>
      <c r="AC480" s="198"/>
      <c r="AD480" s="198"/>
      <c r="AE480" s="198"/>
      <c r="AF480" s="198"/>
      <c r="AG480" s="198"/>
      <c r="AH480" s="198"/>
      <c r="AI480" s="198"/>
      <c r="AJ480" s="198"/>
      <c r="AK480" s="198"/>
    </row>
    <row r="481">
      <c r="A481" s="198"/>
      <c r="B481" s="198"/>
      <c r="C481" s="198"/>
      <c r="D481" s="198"/>
      <c r="E481" s="198"/>
      <c r="F481" s="198"/>
      <c r="G481" s="198"/>
      <c r="H481" s="198"/>
      <c r="I481" s="198"/>
      <c r="J481" s="198"/>
      <c r="K481" s="198"/>
      <c r="L481" s="198"/>
      <c r="M481" s="198"/>
      <c r="N481" s="198"/>
      <c r="O481" s="198"/>
      <c r="P481" s="198"/>
      <c r="Q481" s="198"/>
      <c r="R481" s="198"/>
      <c r="S481" s="198"/>
      <c r="T481" s="198"/>
      <c r="U481" s="198"/>
      <c r="V481" s="198"/>
      <c r="W481" s="201"/>
      <c r="X481" s="198"/>
      <c r="Y481" s="198"/>
      <c r="Z481" s="198"/>
      <c r="AA481" s="198"/>
      <c r="AB481" s="198"/>
      <c r="AC481" s="198"/>
      <c r="AD481" s="198"/>
      <c r="AE481" s="198"/>
      <c r="AF481" s="198"/>
      <c r="AG481" s="198"/>
      <c r="AH481" s="198"/>
      <c r="AI481" s="198"/>
      <c r="AJ481" s="198"/>
      <c r="AK481" s="198"/>
    </row>
    <row r="482">
      <c r="A482" s="198"/>
      <c r="B482" s="198"/>
      <c r="C482" s="198"/>
      <c r="D482" s="198"/>
      <c r="E482" s="198"/>
      <c r="F482" s="198"/>
      <c r="G482" s="198"/>
      <c r="H482" s="198"/>
      <c r="I482" s="198"/>
      <c r="J482" s="198"/>
      <c r="K482" s="198"/>
      <c r="L482" s="198"/>
      <c r="M482" s="198"/>
      <c r="N482" s="198"/>
      <c r="O482" s="198"/>
      <c r="P482" s="198"/>
      <c r="Q482" s="198"/>
      <c r="R482" s="198"/>
      <c r="S482" s="198"/>
      <c r="T482" s="198"/>
      <c r="U482" s="198"/>
      <c r="V482" s="198"/>
      <c r="W482" s="201"/>
      <c r="X482" s="198"/>
      <c r="Y482" s="198"/>
      <c r="Z482" s="198"/>
      <c r="AA482" s="198"/>
      <c r="AB482" s="198"/>
      <c r="AC482" s="198"/>
      <c r="AD482" s="198"/>
      <c r="AE482" s="198"/>
      <c r="AF482" s="198"/>
      <c r="AG482" s="198"/>
      <c r="AH482" s="198"/>
      <c r="AI482" s="198"/>
      <c r="AJ482" s="198"/>
      <c r="AK482" s="198"/>
    </row>
    <row r="483">
      <c r="A483" s="198"/>
      <c r="B483" s="198"/>
      <c r="C483" s="198"/>
      <c r="D483" s="198"/>
      <c r="E483" s="198"/>
      <c r="F483" s="198"/>
      <c r="G483" s="198"/>
      <c r="H483" s="198"/>
      <c r="I483" s="198"/>
      <c r="J483" s="198"/>
      <c r="K483" s="198"/>
      <c r="L483" s="198"/>
      <c r="M483" s="198"/>
      <c r="N483" s="198"/>
      <c r="O483" s="198"/>
      <c r="P483" s="198"/>
      <c r="Q483" s="198"/>
      <c r="R483" s="198"/>
      <c r="S483" s="198"/>
      <c r="T483" s="198"/>
      <c r="U483" s="198"/>
      <c r="V483" s="198"/>
      <c r="W483" s="201"/>
      <c r="X483" s="198"/>
      <c r="Y483" s="198"/>
      <c r="Z483" s="198"/>
      <c r="AA483" s="198"/>
      <c r="AB483" s="198"/>
      <c r="AC483" s="198"/>
      <c r="AD483" s="198"/>
      <c r="AE483" s="198"/>
      <c r="AF483" s="198"/>
      <c r="AG483" s="198"/>
      <c r="AH483" s="198"/>
      <c r="AI483" s="198"/>
      <c r="AJ483" s="198"/>
      <c r="AK483" s="198"/>
    </row>
    <row r="484">
      <c r="A484" s="198"/>
      <c r="B484" s="198"/>
      <c r="C484" s="198"/>
      <c r="D484" s="198"/>
      <c r="E484" s="198"/>
      <c r="F484" s="198"/>
      <c r="G484" s="198"/>
      <c r="H484" s="198"/>
      <c r="I484" s="198"/>
      <c r="J484" s="198"/>
      <c r="K484" s="198"/>
      <c r="L484" s="198"/>
      <c r="M484" s="198"/>
      <c r="N484" s="198"/>
      <c r="O484" s="198"/>
      <c r="P484" s="198"/>
      <c r="Q484" s="198"/>
      <c r="R484" s="198"/>
      <c r="S484" s="198"/>
      <c r="T484" s="198"/>
      <c r="U484" s="198"/>
      <c r="V484" s="198"/>
      <c r="W484" s="201"/>
      <c r="X484" s="198"/>
      <c r="Y484" s="198"/>
      <c r="Z484" s="198"/>
      <c r="AA484" s="198"/>
      <c r="AB484" s="198"/>
      <c r="AC484" s="198"/>
      <c r="AD484" s="198"/>
      <c r="AE484" s="198"/>
      <c r="AF484" s="198"/>
      <c r="AG484" s="198"/>
      <c r="AH484" s="198"/>
      <c r="AI484" s="198"/>
      <c r="AJ484" s="198"/>
      <c r="AK484" s="198"/>
    </row>
    <row r="485">
      <c r="A485" s="198"/>
      <c r="B485" s="198"/>
      <c r="C485" s="198"/>
      <c r="D485" s="198"/>
      <c r="E485" s="198"/>
      <c r="F485" s="198"/>
      <c r="G485" s="198"/>
      <c r="H485" s="198"/>
      <c r="I485" s="198"/>
      <c r="J485" s="198"/>
      <c r="K485" s="198"/>
      <c r="L485" s="198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201"/>
      <c r="X485" s="198"/>
      <c r="Y485" s="198"/>
      <c r="Z485" s="198"/>
      <c r="AA485" s="198"/>
      <c r="AB485" s="198"/>
      <c r="AC485" s="198"/>
      <c r="AD485" s="198"/>
      <c r="AE485" s="198"/>
      <c r="AF485" s="198"/>
      <c r="AG485" s="198"/>
      <c r="AH485" s="198"/>
      <c r="AI485" s="198"/>
      <c r="AJ485" s="198"/>
      <c r="AK485" s="198"/>
    </row>
    <row r="486">
      <c r="A486" s="198"/>
      <c r="B486" s="198"/>
      <c r="C486" s="198"/>
      <c r="D486" s="198"/>
      <c r="E486" s="198"/>
      <c r="F486" s="198"/>
      <c r="G486" s="198"/>
      <c r="H486" s="198"/>
      <c r="I486" s="198"/>
      <c r="J486" s="198"/>
      <c r="K486" s="198"/>
      <c r="L486" s="198"/>
      <c r="M486" s="198"/>
      <c r="N486" s="198"/>
      <c r="O486" s="198"/>
      <c r="P486" s="198"/>
      <c r="Q486" s="198"/>
      <c r="R486" s="198"/>
      <c r="S486" s="198"/>
      <c r="T486" s="198"/>
      <c r="U486" s="198"/>
      <c r="V486" s="198"/>
      <c r="W486" s="201"/>
      <c r="X486" s="198"/>
      <c r="Y486" s="198"/>
      <c r="Z486" s="198"/>
      <c r="AA486" s="198"/>
      <c r="AB486" s="198"/>
      <c r="AC486" s="198"/>
      <c r="AD486" s="198"/>
      <c r="AE486" s="198"/>
      <c r="AF486" s="198"/>
      <c r="AG486" s="198"/>
      <c r="AH486" s="198"/>
      <c r="AI486" s="198"/>
      <c r="AJ486" s="198"/>
      <c r="AK486" s="198"/>
    </row>
    <row r="487">
      <c r="A487" s="198"/>
      <c r="B487" s="198"/>
      <c r="C487" s="198"/>
      <c r="D487" s="198"/>
      <c r="E487" s="198"/>
      <c r="F487" s="198"/>
      <c r="G487" s="198"/>
      <c r="H487" s="198"/>
      <c r="I487" s="198"/>
      <c r="J487" s="198"/>
      <c r="K487" s="198"/>
      <c r="L487" s="198"/>
      <c r="M487" s="198"/>
      <c r="N487" s="198"/>
      <c r="O487" s="198"/>
      <c r="P487" s="198"/>
      <c r="Q487" s="198"/>
      <c r="R487" s="198"/>
      <c r="S487" s="198"/>
      <c r="T487" s="198"/>
      <c r="U487" s="198"/>
      <c r="V487" s="198"/>
      <c r="W487" s="201"/>
      <c r="X487" s="198"/>
      <c r="Y487" s="198"/>
      <c r="Z487" s="198"/>
      <c r="AA487" s="198"/>
      <c r="AB487" s="198"/>
      <c r="AC487" s="198"/>
      <c r="AD487" s="198"/>
      <c r="AE487" s="198"/>
      <c r="AF487" s="198"/>
      <c r="AG487" s="198"/>
      <c r="AH487" s="198"/>
      <c r="AI487" s="198"/>
      <c r="AJ487" s="198"/>
      <c r="AK487" s="198"/>
    </row>
    <row r="488">
      <c r="A488" s="198"/>
      <c r="B488" s="198"/>
      <c r="C488" s="198"/>
      <c r="D488" s="198"/>
      <c r="E488" s="198"/>
      <c r="F488" s="198"/>
      <c r="G488" s="198"/>
      <c r="H488" s="198"/>
      <c r="I488" s="198"/>
      <c r="J488" s="198"/>
      <c r="K488" s="198"/>
      <c r="L488" s="198"/>
      <c r="M488" s="198"/>
      <c r="N488" s="198"/>
      <c r="O488" s="198"/>
      <c r="P488" s="198"/>
      <c r="Q488" s="198"/>
      <c r="R488" s="198"/>
      <c r="S488" s="198"/>
      <c r="T488" s="198"/>
      <c r="U488" s="198"/>
      <c r="V488" s="198"/>
      <c r="W488" s="201"/>
      <c r="X488" s="198"/>
      <c r="Y488" s="198"/>
      <c r="Z488" s="198"/>
      <c r="AA488" s="198"/>
      <c r="AB488" s="198"/>
      <c r="AC488" s="198"/>
      <c r="AD488" s="198"/>
      <c r="AE488" s="198"/>
      <c r="AF488" s="198"/>
      <c r="AG488" s="198"/>
      <c r="AH488" s="198"/>
      <c r="AI488" s="198"/>
      <c r="AJ488" s="198"/>
      <c r="AK488" s="198"/>
    </row>
    <row r="489">
      <c r="A489" s="198"/>
      <c r="B489" s="198"/>
      <c r="C489" s="198"/>
      <c r="D489" s="198"/>
      <c r="E489" s="198"/>
      <c r="F489" s="198"/>
      <c r="G489" s="198"/>
      <c r="H489" s="198"/>
      <c r="I489" s="198"/>
      <c r="J489" s="198"/>
      <c r="K489" s="198"/>
      <c r="L489" s="198"/>
      <c r="M489" s="198"/>
      <c r="N489" s="198"/>
      <c r="O489" s="198"/>
      <c r="P489" s="198"/>
      <c r="Q489" s="198"/>
      <c r="R489" s="198"/>
      <c r="S489" s="198"/>
      <c r="T489" s="198"/>
      <c r="U489" s="198"/>
      <c r="V489" s="198"/>
      <c r="W489" s="201"/>
      <c r="X489" s="198"/>
      <c r="Y489" s="198"/>
      <c r="Z489" s="198"/>
      <c r="AA489" s="198"/>
      <c r="AB489" s="198"/>
      <c r="AC489" s="198"/>
      <c r="AD489" s="198"/>
      <c r="AE489" s="198"/>
      <c r="AF489" s="198"/>
      <c r="AG489" s="198"/>
      <c r="AH489" s="198"/>
      <c r="AI489" s="198"/>
      <c r="AJ489" s="198"/>
      <c r="AK489" s="198"/>
    </row>
    <row r="490">
      <c r="A490" s="198"/>
      <c r="B490" s="198"/>
      <c r="C490" s="198"/>
      <c r="D490" s="198"/>
      <c r="E490" s="198"/>
      <c r="F490" s="198"/>
      <c r="G490" s="198"/>
      <c r="H490" s="198"/>
      <c r="I490" s="198"/>
      <c r="J490" s="198"/>
      <c r="K490" s="198"/>
      <c r="L490" s="198"/>
      <c r="M490" s="198"/>
      <c r="N490" s="198"/>
      <c r="O490" s="198"/>
      <c r="P490" s="198"/>
      <c r="Q490" s="198"/>
      <c r="R490" s="198"/>
      <c r="S490" s="198"/>
      <c r="T490" s="198"/>
      <c r="U490" s="198"/>
      <c r="V490" s="198"/>
      <c r="W490" s="201"/>
      <c r="X490" s="198"/>
      <c r="Y490" s="198"/>
      <c r="Z490" s="198"/>
      <c r="AA490" s="198"/>
      <c r="AB490" s="198"/>
      <c r="AC490" s="198"/>
      <c r="AD490" s="198"/>
      <c r="AE490" s="198"/>
      <c r="AF490" s="198"/>
      <c r="AG490" s="198"/>
      <c r="AH490" s="198"/>
      <c r="AI490" s="198"/>
      <c r="AJ490" s="198"/>
      <c r="AK490" s="198"/>
    </row>
    <row r="491">
      <c r="A491" s="198"/>
      <c r="B491" s="198"/>
      <c r="C491" s="198"/>
      <c r="D491" s="198"/>
      <c r="E491" s="198"/>
      <c r="F491" s="198"/>
      <c r="G491" s="198"/>
      <c r="H491" s="198"/>
      <c r="I491" s="198"/>
      <c r="J491" s="198"/>
      <c r="K491" s="198"/>
      <c r="L491" s="198"/>
      <c r="M491" s="198"/>
      <c r="N491" s="198"/>
      <c r="O491" s="198"/>
      <c r="P491" s="198"/>
      <c r="Q491" s="198"/>
      <c r="R491" s="198"/>
      <c r="S491" s="198"/>
      <c r="T491" s="198"/>
      <c r="U491" s="198"/>
      <c r="V491" s="198"/>
      <c r="W491" s="201"/>
      <c r="X491" s="198"/>
      <c r="Y491" s="198"/>
      <c r="Z491" s="198"/>
      <c r="AA491" s="198"/>
      <c r="AB491" s="198"/>
      <c r="AC491" s="198"/>
      <c r="AD491" s="198"/>
      <c r="AE491" s="198"/>
      <c r="AF491" s="198"/>
      <c r="AG491" s="198"/>
      <c r="AH491" s="198"/>
      <c r="AI491" s="198"/>
      <c r="AJ491" s="198"/>
      <c r="AK491" s="198"/>
    </row>
    <row r="492">
      <c r="A492" s="198"/>
      <c r="B492" s="198"/>
      <c r="C492" s="198"/>
      <c r="D492" s="198"/>
      <c r="E492" s="198"/>
      <c r="F492" s="198"/>
      <c r="G492" s="198"/>
      <c r="H492" s="198"/>
      <c r="I492" s="198"/>
      <c r="J492" s="198"/>
      <c r="K492" s="198"/>
      <c r="L492" s="198"/>
      <c r="M492" s="198"/>
      <c r="N492" s="198"/>
      <c r="O492" s="198"/>
      <c r="P492" s="198"/>
      <c r="Q492" s="198"/>
      <c r="R492" s="198"/>
      <c r="S492" s="198"/>
      <c r="T492" s="198"/>
      <c r="U492" s="198"/>
      <c r="V492" s="198"/>
      <c r="W492" s="201"/>
      <c r="X492" s="198"/>
      <c r="Y492" s="198"/>
      <c r="Z492" s="198"/>
      <c r="AA492" s="198"/>
      <c r="AB492" s="198"/>
      <c r="AC492" s="198"/>
      <c r="AD492" s="198"/>
      <c r="AE492" s="198"/>
      <c r="AF492" s="198"/>
      <c r="AG492" s="198"/>
      <c r="AH492" s="198"/>
      <c r="AI492" s="198"/>
      <c r="AJ492" s="198"/>
      <c r="AK492" s="198"/>
    </row>
    <row r="493">
      <c r="A493" s="198"/>
      <c r="B493" s="198"/>
      <c r="C493" s="198"/>
      <c r="D493" s="198"/>
      <c r="E493" s="198"/>
      <c r="F493" s="198"/>
      <c r="G493" s="198"/>
      <c r="H493" s="198"/>
      <c r="I493" s="198"/>
      <c r="J493" s="198"/>
      <c r="K493" s="198"/>
      <c r="L493" s="198"/>
      <c r="M493" s="198"/>
      <c r="N493" s="198"/>
      <c r="O493" s="198"/>
      <c r="P493" s="198"/>
      <c r="Q493" s="198"/>
      <c r="R493" s="198"/>
      <c r="S493" s="198"/>
      <c r="T493" s="198"/>
      <c r="U493" s="198"/>
      <c r="V493" s="198"/>
      <c r="W493" s="201"/>
      <c r="X493" s="198"/>
      <c r="Y493" s="198"/>
      <c r="Z493" s="198"/>
      <c r="AA493" s="198"/>
      <c r="AB493" s="198"/>
      <c r="AC493" s="198"/>
      <c r="AD493" s="198"/>
      <c r="AE493" s="198"/>
      <c r="AF493" s="198"/>
      <c r="AG493" s="198"/>
      <c r="AH493" s="198"/>
      <c r="AI493" s="198"/>
      <c r="AJ493" s="198"/>
      <c r="AK493" s="198"/>
    </row>
    <row r="494">
      <c r="A494" s="198"/>
      <c r="B494" s="198"/>
      <c r="C494" s="198"/>
      <c r="D494" s="198"/>
      <c r="E494" s="198"/>
      <c r="F494" s="198"/>
      <c r="G494" s="198"/>
      <c r="H494" s="198"/>
      <c r="I494" s="198"/>
      <c r="J494" s="198"/>
      <c r="K494" s="198"/>
      <c r="L494" s="198"/>
      <c r="M494" s="198"/>
      <c r="N494" s="198"/>
      <c r="O494" s="198"/>
      <c r="P494" s="198"/>
      <c r="Q494" s="198"/>
      <c r="R494" s="198"/>
      <c r="S494" s="198"/>
      <c r="T494" s="198"/>
      <c r="U494" s="198"/>
      <c r="V494" s="198"/>
      <c r="W494" s="201"/>
      <c r="X494" s="198"/>
      <c r="Y494" s="198"/>
      <c r="Z494" s="198"/>
      <c r="AA494" s="198"/>
      <c r="AB494" s="198"/>
      <c r="AC494" s="198"/>
      <c r="AD494" s="198"/>
      <c r="AE494" s="198"/>
      <c r="AF494" s="198"/>
      <c r="AG494" s="198"/>
      <c r="AH494" s="198"/>
      <c r="AI494" s="198"/>
      <c r="AJ494" s="198"/>
      <c r="AK494" s="198"/>
    </row>
    <row r="495">
      <c r="A495" s="198"/>
      <c r="B495" s="198"/>
      <c r="C495" s="198"/>
      <c r="D495" s="198"/>
      <c r="E495" s="198"/>
      <c r="F495" s="198"/>
      <c r="G495" s="198"/>
      <c r="H495" s="198"/>
      <c r="I495" s="198"/>
      <c r="J495" s="198"/>
      <c r="K495" s="198"/>
      <c r="L495" s="198"/>
      <c r="M495" s="198"/>
      <c r="N495" s="198"/>
      <c r="O495" s="198"/>
      <c r="P495" s="198"/>
      <c r="Q495" s="198"/>
      <c r="R495" s="198"/>
      <c r="S495" s="198"/>
      <c r="T495" s="198"/>
      <c r="U495" s="198"/>
      <c r="V495" s="198"/>
      <c r="W495" s="201"/>
      <c r="X495" s="198"/>
      <c r="Y495" s="198"/>
      <c r="Z495" s="198"/>
      <c r="AA495" s="198"/>
      <c r="AB495" s="198"/>
      <c r="AC495" s="198"/>
      <c r="AD495" s="198"/>
      <c r="AE495" s="198"/>
      <c r="AF495" s="198"/>
      <c r="AG495" s="198"/>
      <c r="AH495" s="198"/>
      <c r="AI495" s="198"/>
      <c r="AJ495" s="198"/>
      <c r="AK495" s="198"/>
    </row>
    <row r="496">
      <c r="A496" s="198"/>
      <c r="B496" s="198"/>
      <c r="C496" s="198"/>
      <c r="D496" s="198"/>
      <c r="E496" s="198"/>
      <c r="F496" s="198"/>
      <c r="G496" s="198"/>
      <c r="H496" s="198"/>
      <c r="I496" s="198"/>
      <c r="J496" s="198"/>
      <c r="K496" s="198"/>
      <c r="L496" s="198"/>
      <c r="M496" s="198"/>
      <c r="N496" s="198"/>
      <c r="O496" s="198"/>
      <c r="P496" s="198"/>
      <c r="Q496" s="198"/>
      <c r="R496" s="198"/>
      <c r="S496" s="198"/>
      <c r="T496" s="198"/>
      <c r="U496" s="198"/>
      <c r="V496" s="198"/>
      <c r="W496" s="201"/>
      <c r="X496" s="198"/>
      <c r="Y496" s="198"/>
      <c r="Z496" s="198"/>
      <c r="AA496" s="198"/>
      <c r="AB496" s="198"/>
      <c r="AC496" s="198"/>
      <c r="AD496" s="198"/>
      <c r="AE496" s="198"/>
      <c r="AF496" s="198"/>
      <c r="AG496" s="198"/>
      <c r="AH496" s="198"/>
      <c r="AI496" s="198"/>
      <c r="AJ496" s="198"/>
      <c r="AK496" s="198"/>
    </row>
    <row r="497">
      <c r="A497" s="198"/>
      <c r="B497" s="198"/>
      <c r="C497" s="198"/>
      <c r="D497" s="198"/>
      <c r="E497" s="198"/>
      <c r="F497" s="198"/>
      <c r="G497" s="198"/>
      <c r="H497" s="198"/>
      <c r="I497" s="198"/>
      <c r="J497" s="198"/>
      <c r="K497" s="198"/>
      <c r="L497" s="198"/>
      <c r="M497" s="198"/>
      <c r="N497" s="198"/>
      <c r="O497" s="198"/>
      <c r="P497" s="198"/>
      <c r="Q497" s="198"/>
      <c r="R497" s="198"/>
      <c r="S497" s="198"/>
      <c r="T497" s="198"/>
      <c r="U497" s="198"/>
      <c r="V497" s="198"/>
      <c r="W497" s="201"/>
      <c r="X497" s="198"/>
      <c r="Y497" s="198"/>
      <c r="Z497" s="198"/>
      <c r="AA497" s="198"/>
      <c r="AB497" s="198"/>
      <c r="AC497" s="198"/>
      <c r="AD497" s="198"/>
      <c r="AE497" s="198"/>
      <c r="AF497" s="198"/>
      <c r="AG497" s="198"/>
      <c r="AH497" s="198"/>
      <c r="AI497" s="198"/>
      <c r="AJ497" s="198"/>
      <c r="AK497" s="198"/>
    </row>
    <row r="498">
      <c r="A498" s="198"/>
      <c r="B498" s="198"/>
      <c r="C498" s="198"/>
      <c r="D498" s="198"/>
      <c r="E498" s="198"/>
      <c r="F498" s="198"/>
      <c r="G498" s="198"/>
      <c r="H498" s="198"/>
      <c r="I498" s="198"/>
      <c r="J498" s="198"/>
      <c r="K498" s="198"/>
      <c r="L498" s="198"/>
      <c r="M498" s="198"/>
      <c r="N498" s="198"/>
      <c r="O498" s="198"/>
      <c r="P498" s="198"/>
      <c r="Q498" s="198"/>
      <c r="R498" s="198"/>
      <c r="S498" s="198"/>
      <c r="T498" s="198"/>
      <c r="U498" s="198"/>
      <c r="V498" s="198"/>
      <c r="W498" s="201"/>
      <c r="X498" s="198"/>
      <c r="Y498" s="198"/>
      <c r="Z498" s="198"/>
      <c r="AA498" s="198"/>
      <c r="AB498" s="198"/>
      <c r="AC498" s="198"/>
      <c r="AD498" s="198"/>
      <c r="AE498" s="198"/>
      <c r="AF498" s="198"/>
      <c r="AG498" s="198"/>
      <c r="AH498" s="198"/>
      <c r="AI498" s="198"/>
      <c r="AJ498" s="198"/>
      <c r="AK498" s="198"/>
    </row>
    <row r="499">
      <c r="A499" s="198"/>
      <c r="B499" s="198"/>
      <c r="C499" s="198"/>
      <c r="D499" s="198"/>
      <c r="E499" s="198"/>
      <c r="F499" s="198"/>
      <c r="G499" s="198"/>
      <c r="H499" s="198"/>
      <c r="I499" s="198"/>
      <c r="J499" s="198"/>
      <c r="K499" s="198"/>
      <c r="L499" s="198"/>
      <c r="M499" s="198"/>
      <c r="N499" s="198"/>
      <c r="O499" s="198"/>
      <c r="P499" s="198"/>
      <c r="Q499" s="198"/>
      <c r="R499" s="198"/>
      <c r="S499" s="198"/>
      <c r="T499" s="198"/>
      <c r="U499" s="198"/>
      <c r="V499" s="198"/>
      <c r="W499" s="201"/>
      <c r="X499" s="198"/>
      <c r="Y499" s="198"/>
      <c r="Z499" s="198"/>
      <c r="AA499" s="198"/>
      <c r="AB499" s="198"/>
      <c r="AC499" s="198"/>
      <c r="AD499" s="198"/>
      <c r="AE499" s="198"/>
      <c r="AF499" s="198"/>
      <c r="AG499" s="198"/>
      <c r="AH499" s="198"/>
      <c r="AI499" s="198"/>
      <c r="AJ499" s="198"/>
      <c r="AK499" s="198"/>
    </row>
    <row r="500">
      <c r="A500" s="198"/>
      <c r="B500" s="198"/>
      <c r="C500" s="198"/>
      <c r="D500" s="198"/>
      <c r="E500" s="198"/>
      <c r="F500" s="198"/>
      <c r="G500" s="198"/>
      <c r="H500" s="198"/>
      <c r="I500" s="198"/>
      <c r="J500" s="198"/>
      <c r="K500" s="198"/>
      <c r="L500" s="198"/>
      <c r="M500" s="198"/>
      <c r="N500" s="198"/>
      <c r="O500" s="198"/>
      <c r="P500" s="198"/>
      <c r="Q500" s="198"/>
      <c r="R500" s="198"/>
      <c r="S500" s="198"/>
      <c r="T500" s="198"/>
      <c r="U500" s="198"/>
      <c r="V500" s="198"/>
      <c r="W500" s="201"/>
      <c r="X500" s="198"/>
      <c r="Y500" s="198"/>
      <c r="Z500" s="198"/>
      <c r="AA500" s="198"/>
      <c r="AB500" s="198"/>
      <c r="AC500" s="198"/>
      <c r="AD500" s="198"/>
      <c r="AE500" s="198"/>
      <c r="AF500" s="198"/>
      <c r="AG500" s="198"/>
      <c r="AH500" s="198"/>
      <c r="AI500" s="198"/>
      <c r="AJ500" s="198"/>
      <c r="AK500" s="198"/>
    </row>
    <row r="501">
      <c r="A501" s="198"/>
      <c r="B501" s="198"/>
      <c r="C501" s="198"/>
      <c r="D501" s="198"/>
      <c r="E501" s="198"/>
      <c r="F501" s="198"/>
      <c r="G501" s="198"/>
      <c r="H501" s="198"/>
      <c r="I501" s="198"/>
      <c r="J501" s="198"/>
      <c r="K501" s="198"/>
      <c r="L501" s="198"/>
      <c r="M501" s="198"/>
      <c r="N501" s="198"/>
      <c r="O501" s="198"/>
      <c r="P501" s="198"/>
      <c r="Q501" s="198"/>
      <c r="R501" s="198"/>
      <c r="S501" s="198"/>
      <c r="T501" s="198"/>
      <c r="U501" s="198"/>
      <c r="V501" s="198"/>
      <c r="W501" s="201"/>
      <c r="X501" s="198"/>
      <c r="Y501" s="198"/>
      <c r="Z501" s="198"/>
      <c r="AA501" s="198"/>
      <c r="AB501" s="198"/>
      <c r="AC501" s="198"/>
      <c r="AD501" s="198"/>
      <c r="AE501" s="198"/>
      <c r="AF501" s="198"/>
      <c r="AG501" s="198"/>
      <c r="AH501" s="198"/>
      <c r="AI501" s="198"/>
      <c r="AJ501" s="198"/>
      <c r="AK501" s="198"/>
    </row>
    <row r="502">
      <c r="A502" s="198"/>
      <c r="B502" s="198"/>
      <c r="C502" s="198"/>
      <c r="D502" s="198"/>
      <c r="E502" s="198"/>
      <c r="F502" s="198"/>
      <c r="G502" s="198"/>
      <c r="H502" s="198"/>
      <c r="I502" s="198"/>
      <c r="J502" s="198"/>
      <c r="K502" s="198"/>
      <c r="L502" s="198"/>
      <c r="M502" s="198"/>
      <c r="N502" s="198"/>
      <c r="O502" s="198"/>
      <c r="P502" s="198"/>
      <c r="Q502" s="198"/>
      <c r="R502" s="198"/>
      <c r="S502" s="198"/>
      <c r="T502" s="198"/>
      <c r="U502" s="198"/>
      <c r="V502" s="198"/>
      <c r="W502" s="201"/>
      <c r="X502" s="198"/>
      <c r="Y502" s="198"/>
      <c r="Z502" s="198"/>
      <c r="AA502" s="198"/>
      <c r="AB502" s="198"/>
      <c r="AC502" s="198"/>
      <c r="AD502" s="198"/>
      <c r="AE502" s="198"/>
      <c r="AF502" s="198"/>
      <c r="AG502" s="198"/>
      <c r="AH502" s="198"/>
      <c r="AI502" s="198"/>
      <c r="AJ502" s="198"/>
      <c r="AK502" s="198"/>
    </row>
    <row r="503">
      <c r="A503" s="198"/>
      <c r="B503" s="198"/>
      <c r="C503" s="198"/>
      <c r="D503" s="198"/>
      <c r="E503" s="198"/>
      <c r="F503" s="198"/>
      <c r="G503" s="198"/>
      <c r="H503" s="198"/>
      <c r="I503" s="198"/>
      <c r="J503" s="198"/>
      <c r="K503" s="198"/>
      <c r="L503" s="198"/>
      <c r="M503" s="198"/>
      <c r="N503" s="198"/>
      <c r="O503" s="198"/>
      <c r="P503" s="198"/>
      <c r="Q503" s="198"/>
      <c r="R503" s="198"/>
      <c r="S503" s="198"/>
      <c r="T503" s="198"/>
      <c r="U503" s="198"/>
      <c r="V503" s="198"/>
      <c r="W503" s="201"/>
      <c r="X503" s="198"/>
      <c r="Y503" s="198"/>
      <c r="Z503" s="198"/>
      <c r="AA503" s="198"/>
      <c r="AB503" s="198"/>
      <c r="AC503" s="198"/>
      <c r="AD503" s="198"/>
      <c r="AE503" s="198"/>
      <c r="AF503" s="198"/>
      <c r="AG503" s="198"/>
      <c r="AH503" s="198"/>
      <c r="AI503" s="198"/>
      <c r="AJ503" s="198"/>
      <c r="AK503" s="198"/>
    </row>
    <row r="504">
      <c r="A504" s="198"/>
      <c r="B504" s="198"/>
      <c r="C504" s="198"/>
      <c r="D504" s="198"/>
      <c r="E504" s="198"/>
      <c r="F504" s="198"/>
      <c r="G504" s="198"/>
      <c r="H504" s="198"/>
      <c r="I504" s="198"/>
      <c r="J504" s="198"/>
      <c r="K504" s="198"/>
      <c r="L504" s="198"/>
      <c r="M504" s="198"/>
      <c r="N504" s="198"/>
      <c r="O504" s="198"/>
      <c r="P504" s="198"/>
      <c r="Q504" s="198"/>
      <c r="R504" s="198"/>
      <c r="S504" s="198"/>
      <c r="T504" s="198"/>
      <c r="U504" s="198"/>
      <c r="V504" s="198"/>
      <c r="W504" s="201"/>
      <c r="X504" s="198"/>
      <c r="Y504" s="198"/>
      <c r="Z504" s="198"/>
      <c r="AA504" s="198"/>
      <c r="AB504" s="198"/>
      <c r="AC504" s="198"/>
      <c r="AD504" s="198"/>
      <c r="AE504" s="198"/>
      <c r="AF504" s="198"/>
      <c r="AG504" s="198"/>
      <c r="AH504" s="198"/>
      <c r="AI504" s="198"/>
      <c r="AJ504" s="198"/>
      <c r="AK504" s="198"/>
    </row>
    <row r="505">
      <c r="A505" s="198"/>
      <c r="B505" s="198"/>
      <c r="C505" s="198"/>
      <c r="D505" s="198"/>
      <c r="E505" s="198"/>
      <c r="F505" s="198"/>
      <c r="G505" s="198"/>
      <c r="H505" s="198"/>
      <c r="I505" s="198"/>
      <c r="J505" s="198"/>
      <c r="K505" s="198"/>
      <c r="L505" s="198"/>
      <c r="M505" s="198"/>
      <c r="N505" s="198"/>
      <c r="O505" s="198"/>
      <c r="P505" s="198"/>
      <c r="Q505" s="198"/>
      <c r="R505" s="198"/>
      <c r="S505" s="198"/>
      <c r="T505" s="198"/>
      <c r="U505" s="198"/>
      <c r="V505" s="198"/>
      <c r="W505" s="201"/>
      <c r="X505" s="198"/>
      <c r="Y505" s="198"/>
      <c r="Z505" s="198"/>
      <c r="AA505" s="198"/>
      <c r="AB505" s="198"/>
      <c r="AC505" s="198"/>
      <c r="AD505" s="198"/>
      <c r="AE505" s="198"/>
      <c r="AF505" s="198"/>
      <c r="AG505" s="198"/>
      <c r="AH505" s="198"/>
      <c r="AI505" s="198"/>
      <c r="AJ505" s="198"/>
      <c r="AK505" s="198"/>
    </row>
    <row r="506">
      <c r="A506" s="198"/>
      <c r="B506" s="198"/>
      <c r="C506" s="198"/>
      <c r="D506" s="198"/>
      <c r="E506" s="198"/>
      <c r="F506" s="198"/>
      <c r="G506" s="198"/>
      <c r="H506" s="198"/>
      <c r="I506" s="198"/>
      <c r="J506" s="198"/>
      <c r="K506" s="198"/>
      <c r="L506" s="198"/>
      <c r="M506" s="198"/>
      <c r="N506" s="198"/>
      <c r="O506" s="198"/>
      <c r="P506" s="198"/>
      <c r="Q506" s="198"/>
      <c r="R506" s="198"/>
      <c r="S506" s="198"/>
      <c r="T506" s="198"/>
      <c r="U506" s="198"/>
      <c r="V506" s="198"/>
      <c r="W506" s="201"/>
      <c r="X506" s="198"/>
      <c r="Y506" s="198"/>
      <c r="Z506" s="198"/>
      <c r="AA506" s="198"/>
      <c r="AB506" s="198"/>
      <c r="AC506" s="198"/>
      <c r="AD506" s="198"/>
      <c r="AE506" s="198"/>
      <c r="AF506" s="198"/>
      <c r="AG506" s="198"/>
      <c r="AH506" s="198"/>
      <c r="AI506" s="198"/>
      <c r="AJ506" s="198"/>
      <c r="AK506" s="198"/>
    </row>
    <row r="507">
      <c r="A507" s="198"/>
      <c r="B507" s="198"/>
      <c r="C507" s="198"/>
      <c r="D507" s="198"/>
      <c r="E507" s="198"/>
      <c r="F507" s="198"/>
      <c r="G507" s="198"/>
      <c r="H507" s="198"/>
      <c r="I507" s="198"/>
      <c r="J507" s="198"/>
      <c r="K507" s="198"/>
      <c r="L507" s="198"/>
      <c r="M507" s="198"/>
      <c r="N507" s="198"/>
      <c r="O507" s="198"/>
      <c r="P507" s="198"/>
      <c r="Q507" s="198"/>
      <c r="R507" s="198"/>
      <c r="S507" s="198"/>
      <c r="T507" s="198"/>
      <c r="U507" s="198"/>
      <c r="V507" s="198"/>
      <c r="W507" s="201"/>
      <c r="X507" s="198"/>
      <c r="Y507" s="198"/>
      <c r="Z507" s="198"/>
      <c r="AA507" s="198"/>
      <c r="AB507" s="198"/>
      <c r="AC507" s="198"/>
      <c r="AD507" s="198"/>
      <c r="AE507" s="198"/>
      <c r="AF507" s="198"/>
      <c r="AG507" s="198"/>
      <c r="AH507" s="198"/>
      <c r="AI507" s="198"/>
      <c r="AJ507" s="198"/>
      <c r="AK507" s="198"/>
    </row>
    <row r="508">
      <c r="A508" s="198"/>
      <c r="B508" s="198"/>
      <c r="C508" s="198"/>
      <c r="D508" s="198"/>
      <c r="E508" s="198"/>
      <c r="F508" s="198"/>
      <c r="G508" s="198"/>
      <c r="H508" s="198"/>
      <c r="I508" s="198"/>
      <c r="J508" s="198"/>
      <c r="K508" s="198"/>
      <c r="L508" s="198"/>
      <c r="M508" s="198"/>
      <c r="N508" s="198"/>
      <c r="O508" s="198"/>
      <c r="P508" s="198"/>
      <c r="Q508" s="198"/>
      <c r="R508" s="198"/>
      <c r="S508" s="198"/>
      <c r="T508" s="198"/>
      <c r="U508" s="198"/>
      <c r="V508" s="198"/>
      <c r="W508" s="201"/>
      <c r="X508" s="198"/>
      <c r="Y508" s="198"/>
      <c r="Z508" s="198"/>
      <c r="AA508" s="198"/>
      <c r="AB508" s="198"/>
      <c r="AC508" s="198"/>
      <c r="AD508" s="198"/>
      <c r="AE508" s="198"/>
      <c r="AF508" s="198"/>
      <c r="AG508" s="198"/>
      <c r="AH508" s="198"/>
      <c r="AI508" s="198"/>
      <c r="AJ508" s="198"/>
      <c r="AK508" s="198"/>
    </row>
    <row r="509">
      <c r="A509" s="198"/>
      <c r="B509" s="198"/>
      <c r="C509" s="198"/>
      <c r="D509" s="198"/>
      <c r="E509" s="198"/>
      <c r="F509" s="198"/>
      <c r="G509" s="198"/>
      <c r="H509" s="198"/>
      <c r="I509" s="198"/>
      <c r="J509" s="198"/>
      <c r="K509" s="198"/>
      <c r="L509" s="198"/>
      <c r="M509" s="198"/>
      <c r="N509" s="198"/>
      <c r="O509" s="198"/>
      <c r="P509" s="198"/>
      <c r="Q509" s="198"/>
      <c r="R509" s="198"/>
      <c r="S509" s="198"/>
      <c r="T509" s="198"/>
      <c r="U509" s="198"/>
      <c r="V509" s="198"/>
      <c r="W509" s="201"/>
      <c r="X509" s="198"/>
      <c r="Y509" s="198"/>
      <c r="Z509" s="198"/>
      <c r="AA509" s="198"/>
      <c r="AB509" s="198"/>
      <c r="AC509" s="198"/>
      <c r="AD509" s="198"/>
      <c r="AE509" s="198"/>
      <c r="AF509" s="198"/>
      <c r="AG509" s="198"/>
      <c r="AH509" s="198"/>
      <c r="AI509" s="198"/>
      <c r="AJ509" s="198"/>
      <c r="AK509" s="198"/>
    </row>
    <row r="510">
      <c r="A510" s="198"/>
      <c r="B510" s="198"/>
      <c r="C510" s="198"/>
      <c r="D510" s="198"/>
      <c r="E510" s="198"/>
      <c r="F510" s="198"/>
      <c r="G510" s="198"/>
      <c r="H510" s="198"/>
      <c r="I510" s="198"/>
      <c r="J510" s="198"/>
      <c r="K510" s="198"/>
      <c r="L510" s="198"/>
      <c r="M510" s="198"/>
      <c r="N510" s="198"/>
      <c r="O510" s="198"/>
      <c r="P510" s="198"/>
      <c r="Q510" s="198"/>
      <c r="R510" s="198"/>
      <c r="S510" s="198"/>
      <c r="T510" s="198"/>
      <c r="U510" s="198"/>
      <c r="V510" s="198"/>
      <c r="W510" s="201"/>
      <c r="X510" s="198"/>
      <c r="Y510" s="198"/>
      <c r="Z510" s="198"/>
      <c r="AA510" s="198"/>
      <c r="AB510" s="198"/>
      <c r="AC510" s="198"/>
      <c r="AD510" s="198"/>
      <c r="AE510" s="198"/>
      <c r="AF510" s="198"/>
      <c r="AG510" s="198"/>
      <c r="AH510" s="198"/>
      <c r="AI510" s="198"/>
      <c r="AJ510" s="198"/>
      <c r="AK510" s="198"/>
    </row>
    <row r="511">
      <c r="A511" s="198"/>
      <c r="B511" s="198"/>
      <c r="C511" s="198"/>
      <c r="D511" s="198"/>
      <c r="E511" s="198"/>
      <c r="F511" s="198"/>
      <c r="G511" s="198"/>
      <c r="H511" s="198"/>
      <c r="I511" s="198"/>
      <c r="J511" s="198"/>
      <c r="K511" s="198"/>
      <c r="L511" s="198"/>
      <c r="M511" s="198"/>
      <c r="N511" s="198"/>
      <c r="O511" s="198"/>
      <c r="P511" s="198"/>
      <c r="Q511" s="198"/>
      <c r="R511" s="198"/>
      <c r="S511" s="198"/>
      <c r="T511" s="198"/>
      <c r="U511" s="198"/>
      <c r="V511" s="198"/>
      <c r="W511" s="201"/>
      <c r="X511" s="198"/>
      <c r="Y511" s="198"/>
      <c r="Z511" s="198"/>
      <c r="AA511" s="198"/>
      <c r="AB511" s="198"/>
      <c r="AC511" s="198"/>
      <c r="AD511" s="198"/>
      <c r="AE511" s="198"/>
      <c r="AF511" s="198"/>
      <c r="AG511" s="198"/>
      <c r="AH511" s="198"/>
      <c r="AI511" s="198"/>
      <c r="AJ511" s="198"/>
      <c r="AK511" s="198"/>
    </row>
    <row r="512">
      <c r="A512" s="198"/>
      <c r="B512" s="198"/>
      <c r="C512" s="198"/>
      <c r="D512" s="198"/>
      <c r="E512" s="198"/>
      <c r="F512" s="198"/>
      <c r="G512" s="198"/>
      <c r="H512" s="198"/>
      <c r="I512" s="198"/>
      <c r="J512" s="198"/>
      <c r="K512" s="198"/>
      <c r="L512" s="198"/>
      <c r="M512" s="198"/>
      <c r="N512" s="198"/>
      <c r="O512" s="198"/>
      <c r="P512" s="198"/>
      <c r="Q512" s="198"/>
      <c r="R512" s="198"/>
      <c r="S512" s="198"/>
      <c r="T512" s="198"/>
      <c r="U512" s="198"/>
      <c r="V512" s="198"/>
      <c r="W512" s="201"/>
      <c r="X512" s="198"/>
      <c r="Y512" s="198"/>
      <c r="Z512" s="198"/>
      <c r="AA512" s="198"/>
      <c r="AB512" s="198"/>
      <c r="AC512" s="198"/>
      <c r="AD512" s="198"/>
      <c r="AE512" s="198"/>
      <c r="AF512" s="198"/>
      <c r="AG512" s="198"/>
      <c r="AH512" s="198"/>
      <c r="AI512" s="198"/>
      <c r="AJ512" s="198"/>
      <c r="AK512" s="198"/>
    </row>
    <row r="513">
      <c r="A513" s="198"/>
      <c r="B513" s="198"/>
      <c r="C513" s="198"/>
      <c r="D513" s="198"/>
      <c r="E513" s="198"/>
      <c r="F513" s="198"/>
      <c r="G513" s="198"/>
      <c r="H513" s="198"/>
      <c r="I513" s="198"/>
      <c r="J513" s="198"/>
      <c r="K513" s="198"/>
      <c r="L513" s="198"/>
      <c r="M513" s="198"/>
      <c r="N513" s="198"/>
      <c r="O513" s="198"/>
      <c r="P513" s="198"/>
      <c r="Q513" s="198"/>
      <c r="R513" s="198"/>
      <c r="S513" s="198"/>
      <c r="T513" s="198"/>
      <c r="U513" s="198"/>
      <c r="V513" s="198"/>
      <c r="W513" s="201"/>
      <c r="X513" s="198"/>
      <c r="Y513" s="198"/>
      <c r="Z513" s="198"/>
      <c r="AA513" s="198"/>
      <c r="AB513" s="198"/>
      <c r="AC513" s="198"/>
      <c r="AD513" s="198"/>
      <c r="AE513" s="198"/>
      <c r="AF513" s="198"/>
      <c r="AG513" s="198"/>
      <c r="AH513" s="198"/>
      <c r="AI513" s="198"/>
      <c r="AJ513" s="198"/>
      <c r="AK513" s="198"/>
    </row>
    <row r="514">
      <c r="A514" s="198"/>
      <c r="B514" s="198"/>
      <c r="C514" s="198"/>
      <c r="D514" s="198"/>
      <c r="E514" s="198"/>
      <c r="F514" s="198"/>
      <c r="G514" s="198"/>
      <c r="H514" s="198"/>
      <c r="I514" s="198"/>
      <c r="J514" s="198"/>
      <c r="K514" s="198"/>
      <c r="L514" s="198"/>
      <c r="M514" s="198"/>
      <c r="N514" s="198"/>
      <c r="O514" s="198"/>
      <c r="P514" s="198"/>
      <c r="Q514" s="198"/>
      <c r="R514" s="198"/>
      <c r="S514" s="198"/>
      <c r="T514" s="198"/>
      <c r="U514" s="198"/>
      <c r="V514" s="198"/>
      <c r="W514" s="201"/>
      <c r="X514" s="198"/>
      <c r="Y514" s="198"/>
      <c r="Z514" s="198"/>
      <c r="AA514" s="198"/>
      <c r="AB514" s="198"/>
      <c r="AC514" s="198"/>
      <c r="AD514" s="198"/>
      <c r="AE514" s="198"/>
      <c r="AF514" s="198"/>
      <c r="AG514" s="198"/>
      <c r="AH514" s="198"/>
      <c r="AI514" s="198"/>
      <c r="AJ514" s="198"/>
      <c r="AK514" s="198"/>
    </row>
    <row r="515">
      <c r="A515" s="198"/>
      <c r="B515" s="198"/>
      <c r="C515" s="198"/>
      <c r="D515" s="198"/>
      <c r="E515" s="198"/>
      <c r="F515" s="198"/>
      <c r="G515" s="198"/>
      <c r="H515" s="198"/>
      <c r="I515" s="198"/>
      <c r="J515" s="198"/>
      <c r="K515" s="198"/>
      <c r="L515" s="198"/>
      <c r="M515" s="198"/>
      <c r="N515" s="198"/>
      <c r="O515" s="198"/>
      <c r="P515" s="198"/>
      <c r="Q515" s="198"/>
      <c r="R515" s="198"/>
      <c r="S515" s="198"/>
      <c r="T515" s="198"/>
      <c r="U515" s="198"/>
      <c r="V515" s="198"/>
      <c r="W515" s="201"/>
      <c r="X515" s="198"/>
      <c r="Y515" s="198"/>
      <c r="Z515" s="198"/>
      <c r="AA515" s="198"/>
      <c r="AB515" s="198"/>
      <c r="AC515" s="198"/>
      <c r="AD515" s="198"/>
      <c r="AE515" s="198"/>
      <c r="AF515" s="198"/>
      <c r="AG515" s="198"/>
      <c r="AH515" s="198"/>
      <c r="AI515" s="198"/>
      <c r="AJ515" s="198"/>
      <c r="AK515" s="198"/>
    </row>
    <row r="516">
      <c r="A516" s="198"/>
      <c r="B516" s="198"/>
      <c r="C516" s="198"/>
      <c r="D516" s="198"/>
      <c r="E516" s="198"/>
      <c r="F516" s="198"/>
      <c r="G516" s="198"/>
      <c r="H516" s="198"/>
      <c r="I516" s="198"/>
      <c r="J516" s="198"/>
      <c r="K516" s="198"/>
      <c r="L516" s="198"/>
      <c r="M516" s="198"/>
      <c r="N516" s="198"/>
      <c r="O516" s="198"/>
      <c r="P516" s="198"/>
      <c r="Q516" s="198"/>
      <c r="R516" s="198"/>
      <c r="S516" s="198"/>
      <c r="T516" s="198"/>
      <c r="U516" s="198"/>
      <c r="V516" s="198"/>
      <c r="W516" s="201"/>
      <c r="X516" s="198"/>
      <c r="Y516" s="198"/>
      <c r="Z516" s="198"/>
      <c r="AA516" s="198"/>
      <c r="AB516" s="198"/>
      <c r="AC516" s="198"/>
      <c r="AD516" s="198"/>
      <c r="AE516" s="198"/>
      <c r="AF516" s="198"/>
      <c r="AG516" s="198"/>
      <c r="AH516" s="198"/>
      <c r="AI516" s="198"/>
      <c r="AJ516" s="198"/>
      <c r="AK516" s="198"/>
    </row>
    <row r="517">
      <c r="A517" s="198"/>
      <c r="B517" s="198"/>
      <c r="C517" s="198"/>
      <c r="D517" s="198"/>
      <c r="E517" s="198"/>
      <c r="F517" s="198"/>
      <c r="G517" s="198"/>
      <c r="H517" s="198"/>
      <c r="I517" s="198"/>
      <c r="J517" s="198"/>
      <c r="K517" s="198"/>
      <c r="L517" s="198"/>
      <c r="M517" s="198"/>
      <c r="N517" s="198"/>
      <c r="O517" s="198"/>
      <c r="P517" s="198"/>
      <c r="Q517" s="198"/>
      <c r="R517" s="198"/>
      <c r="S517" s="198"/>
      <c r="T517" s="198"/>
      <c r="U517" s="198"/>
      <c r="V517" s="198"/>
      <c r="W517" s="201"/>
      <c r="X517" s="198"/>
      <c r="Y517" s="198"/>
      <c r="Z517" s="198"/>
      <c r="AA517" s="198"/>
      <c r="AB517" s="198"/>
      <c r="AC517" s="198"/>
      <c r="AD517" s="198"/>
      <c r="AE517" s="198"/>
      <c r="AF517" s="198"/>
      <c r="AG517" s="198"/>
      <c r="AH517" s="198"/>
      <c r="AI517" s="198"/>
      <c r="AJ517" s="198"/>
      <c r="AK517" s="198"/>
    </row>
    <row r="518">
      <c r="A518" s="198"/>
      <c r="B518" s="198"/>
      <c r="C518" s="198"/>
      <c r="D518" s="198"/>
      <c r="E518" s="198"/>
      <c r="F518" s="198"/>
      <c r="G518" s="198"/>
      <c r="H518" s="198"/>
      <c r="I518" s="198"/>
      <c r="J518" s="198"/>
      <c r="K518" s="198"/>
      <c r="L518" s="198"/>
      <c r="M518" s="198"/>
      <c r="N518" s="198"/>
      <c r="O518" s="198"/>
      <c r="P518" s="198"/>
      <c r="Q518" s="198"/>
      <c r="R518" s="198"/>
      <c r="S518" s="198"/>
      <c r="T518" s="198"/>
      <c r="U518" s="198"/>
      <c r="V518" s="198"/>
      <c r="W518" s="201"/>
      <c r="X518" s="198"/>
      <c r="Y518" s="198"/>
      <c r="Z518" s="198"/>
      <c r="AA518" s="198"/>
      <c r="AB518" s="198"/>
      <c r="AC518" s="198"/>
      <c r="AD518" s="198"/>
      <c r="AE518" s="198"/>
      <c r="AF518" s="198"/>
      <c r="AG518" s="198"/>
      <c r="AH518" s="198"/>
      <c r="AI518" s="198"/>
      <c r="AJ518" s="198"/>
      <c r="AK518" s="198"/>
    </row>
    <row r="519">
      <c r="A519" s="198"/>
      <c r="B519" s="198"/>
      <c r="C519" s="198"/>
      <c r="D519" s="198"/>
      <c r="E519" s="198"/>
      <c r="F519" s="198"/>
      <c r="G519" s="198"/>
      <c r="H519" s="198"/>
      <c r="I519" s="198"/>
      <c r="J519" s="198"/>
      <c r="K519" s="198"/>
      <c r="L519" s="198"/>
      <c r="M519" s="198"/>
      <c r="N519" s="198"/>
      <c r="O519" s="198"/>
      <c r="P519" s="198"/>
      <c r="Q519" s="198"/>
      <c r="R519" s="198"/>
      <c r="S519" s="198"/>
      <c r="T519" s="198"/>
      <c r="U519" s="198"/>
      <c r="V519" s="198"/>
      <c r="W519" s="201"/>
      <c r="X519" s="198"/>
      <c r="Y519" s="198"/>
      <c r="Z519" s="198"/>
      <c r="AA519" s="198"/>
      <c r="AB519" s="198"/>
      <c r="AC519" s="198"/>
      <c r="AD519" s="198"/>
      <c r="AE519" s="198"/>
      <c r="AF519" s="198"/>
      <c r="AG519" s="198"/>
      <c r="AH519" s="198"/>
      <c r="AI519" s="198"/>
      <c r="AJ519" s="198"/>
      <c r="AK519" s="198"/>
    </row>
    <row r="520">
      <c r="A520" s="198"/>
      <c r="B520" s="198"/>
      <c r="C520" s="198"/>
      <c r="D520" s="198"/>
      <c r="E520" s="198"/>
      <c r="F520" s="198"/>
      <c r="G520" s="198"/>
      <c r="H520" s="198"/>
      <c r="I520" s="198"/>
      <c r="J520" s="198"/>
      <c r="K520" s="198"/>
      <c r="L520" s="198"/>
      <c r="M520" s="198"/>
      <c r="N520" s="198"/>
      <c r="O520" s="198"/>
      <c r="P520" s="198"/>
      <c r="Q520" s="198"/>
      <c r="R520" s="198"/>
      <c r="S520" s="198"/>
      <c r="T520" s="198"/>
      <c r="U520" s="198"/>
      <c r="V520" s="198"/>
      <c r="W520" s="201"/>
      <c r="X520" s="198"/>
      <c r="Y520" s="198"/>
      <c r="Z520" s="198"/>
      <c r="AA520" s="198"/>
      <c r="AB520" s="198"/>
      <c r="AC520" s="198"/>
      <c r="AD520" s="198"/>
      <c r="AE520" s="198"/>
      <c r="AF520" s="198"/>
      <c r="AG520" s="198"/>
      <c r="AH520" s="198"/>
      <c r="AI520" s="198"/>
      <c r="AJ520" s="198"/>
      <c r="AK520" s="198"/>
    </row>
    <row r="521">
      <c r="A521" s="198"/>
      <c r="B521" s="198"/>
      <c r="C521" s="198"/>
      <c r="D521" s="198"/>
      <c r="E521" s="198"/>
      <c r="F521" s="198"/>
      <c r="G521" s="198"/>
      <c r="H521" s="198"/>
      <c r="I521" s="198"/>
      <c r="J521" s="198"/>
      <c r="K521" s="198"/>
      <c r="L521" s="198"/>
      <c r="M521" s="198"/>
      <c r="N521" s="198"/>
      <c r="O521" s="198"/>
      <c r="P521" s="198"/>
      <c r="Q521" s="198"/>
      <c r="R521" s="198"/>
      <c r="S521" s="198"/>
      <c r="T521" s="198"/>
      <c r="U521" s="198"/>
      <c r="V521" s="198"/>
      <c r="W521" s="201"/>
      <c r="X521" s="198"/>
      <c r="Y521" s="198"/>
      <c r="Z521" s="198"/>
      <c r="AA521" s="198"/>
      <c r="AB521" s="198"/>
      <c r="AC521" s="198"/>
      <c r="AD521" s="198"/>
      <c r="AE521" s="198"/>
      <c r="AF521" s="198"/>
      <c r="AG521" s="198"/>
      <c r="AH521" s="198"/>
      <c r="AI521" s="198"/>
      <c r="AJ521" s="198"/>
      <c r="AK521" s="198"/>
    </row>
    <row r="522">
      <c r="A522" s="198"/>
      <c r="B522" s="198"/>
      <c r="C522" s="198"/>
      <c r="D522" s="198"/>
      <c r="E522" s="198"/>
      <c r="F522" s="198"/>
      <c r="G522" s="198"/>
      <c r="H522" s="198"/>
      <c r="I522" s="198"/>
      <c r="J522" s="198"/>
      <c r="K522" s="198"/>
      <c r="L522" s="198"/>
      <c r="M522" s="198"/>
      <c r="N522" s="198"/>
      <c r="O522" s="198"/>
      <c r="P522" s="198"/>
      <c r="Q522" s="198"/>
      <c r="R522" s="198"/>
      <c r="S522" s="198"/>
      <c r="T522" s="198"/>
      <c r="U522" s="198"/>
      <c r="V522" s="198"/>
      <c r="W522" s="201"/>
      <c r="X522" s="198"/>
      <c r="Y522" s="198"/>
      <c r="Z522" s="198"/>
      <c r="AA522" s="198"/>
      <c r="AB522" s="198"/>
      <c r="AC522" s="198"/>
      <c r="AD522" s="198"/>
      <c r="AE522" s="198"/>
      <c r="AF522" s="198"/>
      <c r="AG522" s="198"/>
      <c r="AH522" s="198"/>
      <c r="AI522" s="198"/>
      <c r="AJ522" s="198"/>
      <c r="AK522" s="198"/>
    </row>
    <row r="523">
      <c r="A523" s="198"/>
      <c r="B523" s="198"/>
      <c r="C523" s="198"/>
      <c r="D523" s="198"/>
      <c r="E523" s="198"/>
      <c r="F523" s="198"/>
      <c r="G523" s="198"/>
      <c r="H523" s="198"/>
      <c r="I523" s="198"/>
      <c r="J523" s="198"/>
      <c r="K523" s="198"/>
      <c r="L523" s="198"/>
      <c r="M523" s="198"/>
      <c r="N523" s="198"/>
      <c r="O523" s="198"/>
      <c r="P523" s="198"/>
      <c r="Q523" s="198"/>
      <c r="R523" s="198"/>
      <c r="S523" s="198"/>
      <c r="T523" s="198"/>
      <c r="U523" s="198"/>
      <c r="V523" s="198"/>
      <c r="W523" s="201"/>
      <c r="X523" s="198"/>
      <c r="Y523" s="198"/>
      <c r="Z523" s="198"/>
      <c r="AA523" s="198"/>
      <c r="AB523" s="198"/>
      <c r="AC523" s="198"/>
      <c r="AD523" s="198"/>
      <c r="AE523" s="198"/>
      <c r="AF523" s="198"/>
      <c r="AG523" s="198"/>
      <c r="AH523" s="198"/>
      <c r="AI523" s="198"/>
      <c r="AJ523" s="198"/>
      <c r="AK523" s="198"/>
    </row>
    <row r="524">
      <c r="A524" s="198"/>
      <c r="B524" s="198"/>
      <c r="C524" s="198"/>
      <c r="D524" s="198"/>
      <c r="E524" s="198"/>
      <c r="F524" s="198"/>
      <c r="G524" s="198"/>
      <c r="H524" s="198"/>
      <c r="I524" s="198"/>
      <c r="J524" s="198"/>
      <c r="K524" s="198"/>
      <c r="L524" s="198"/>
      <c r="M524" s="198"/>
      <c r="N524" s="198"/>
      <c r="O524" s="198"/>
      <c r="P524" s="198"/>
      <c r="Q524" s="198"/>
      <c r="R524" s="198"/>
      <c r="S524" s="198"/>
      <c r="T524" s="198"/>
      <c r="U524" s="198"/>
      <c r="V524" s="198"/>
      <c r="W524" s="201"/>
      <c r="X524" s="198"/>
      <c r="Y524" s="198"/>
      <c r="Z524" s="198"/>
      <c r="AA524" s="198"/>
      <c r="AB524" s="198"/>
      <c r="AC524" s="198"/>
      <c r="AD524" s="198"/>
      <c r="AE524" s="198"/>
      <c r="AF524" s="198"/>
      <c r="AG524" s="198"/>
      <c r="AH524" s="198"/>
      <c r="AI524" s="198"/>
      <c r="AJ524" s="198"/>
      <c r="AK524" s="198"/>
    </row>
    <row r="525">
      <c r="A525" s="198"/>
      <c r="B525" s="198"/>
      <c r="C525" s="198"/>
      <c r="D525" s="198"/>
      <c r="E525" s="198"/>
      <c r="F525" s="198"/>
      <c r="G525" s="198"/>
      <c r="H525" s="198"/>
      <c r="I525" s="198"/>
      <c r="J525" s="198"/>
      <c r="K525" s="198"/>
      <c r="L525" s="198"/>
      <c r="M525" s="198"/>
      <c r="N525" s="198"/>
      <c r="O525" s="198"/>
      <c r="P525" s="198"/>
      <c r="Q525" s="198"/>
      <c r="R525" s="198"/>
      <c r="S525" s="198"/>
      <c r="T525" s="198"/>
      <c r="U525" s="198"/>
      <c r="V525" s="198"/>
      <c r="W525" s="201"/>
      <c r="X525" s="198"/>
      <c r="Y525" s="198"/>
      <c r="Z525" s="198"/>
      <c r="AA525" s="198"/>
      <c r="AB525" s="198"/>
      <c r="AC525" s="198"/>
      <c r="AD525" s="198"/>
      <c r="AE525" s="198"/>
      <c r="AF525" s="198"/>
      <c r="AG525" s="198"/>
      <c r="AH525" s="198"/>
      <c r="AI525" s="198"/>
      <c r="AJ525" s="198"/>
      <c r="AK525" s="198"/>
    </row>
    <row r="526">
      <c r="A526" s="198"/>
      <c r="B526" s="198"/>
      <c r="C526" s="198"/>
      <c r="D526" s="198"/>
      <c r="E526" s="198"/>
      <c r="F526" s="198"/>
      <c r="G526" s="198"/>
      <c r="H526" s="198"/>
      <c r="I526" s="198"/>
      <c r="J526" s="198"/>
      <c r="K526" s="198"/>
      <c r="L526" s="198"/>
      <c r="M526" s="198"/>
      <c r="N526" s="198"/>
      <c r="O526" s="198"/>
      <c r="P526" s="198"/>
      <c r="Q526" s="198"/>
      <c r="R526" s="198"/>
      <c r="S526" s="198"/>
      <c r="T526" s="198"/>
      <c r="U526" s="198"/>
      <c r="V526" s="198"/>
      <c r="W526" s="201"/>
      <c r="X526" s="198"/>
      <c r="Y526" s="198"/>
      <c r="Z526" s="198"/>
      <c r="AA526" s="198"/>
      <c r="AB526" s="198"/>
      <c r="AC526" s="198"/>
      <c r="AD526" s="198"/>
      <c r="AE526" s="198"/>
      <c r="AF526" s="198"/>
      <c r="AG526" s="198"/>
      <c r="AH526" s="198"/>
      <c r="AI526" s="198"/>
      <c r="AJ526" s="198"/>
      <c r="AK526" s="198"/>
    </row>
    <row r="527">
      <c r="A527" s="198"/>
      <c r="B527" s="198"/>
      <c r="C527" s="198"/>
      <c r="D527" s="198"/>
      <c r="E527" s="198"/>
      <c r="F527" s="198"/>
      <c r="G527" s="198"/>
      <c r="H527" s="198"/>
      <c r="I527" s="198"/>
      <c r="J527" s="198"/>
      <c r="K527" s="198"/>
      <c r="L527" s="198"/>
      <c r="M527" s="198"/>
      <c r="N527" s="198"/>
      <c r="O527" s="198"/>
      <c r="P527" s="198"/>
      <c r="Q527" s="198"/>
      <c r="R527" s="198"/>
      <c r="S527" s="198"/>
      <c r="T527" s="198"/>
      <c r="U527" s="198"/>
      <c r="V527" s="198"/>
      <c r="W527" s="201"/>
      <c r="X527" s="198"/>
      <c r="Y527" s="198"/>
      <c r="Z527" s="198"/>
      <c r="AA527" s="198"/>
      <c r="AB527" s="198"/>
      <c r="AC527" s="198"/>
      <c r="AD527" s="198"/>
      <c r="AE527" s="198"/>
      <c r="AF527" s="198"/>
      <c r="AG527" s="198"/>
      <c r="AH527" s="198"/>
      <c r="AI527" s="198"/>
      <c r="AJ527" s="198"/>
      <c r="AK527" s="198"/>
    </row>
    <row r="528">
      <c r="A528" s="198"/>
      <c r="B528" s="198"/>
      <c r="C528" s="198"/>
      <c r="D528" s="198"/>
      <c r="E528" s="198"/>
      <c r="F528" s="198"/>
      <c r="G528" s="198"/>
      <c r="H528" s="198"/>
      <c r="I528" s="198"/>
      <c r="J528" s="198"/>
      <c r="K528" s="198"/>
      <c r="L528" s="198"/>
      <c r="M528" s="198"/>
      <c r="N528" s="198"/>
      <c r="O528" s="198"/>
      <c r="P528" s="198"/>
      <c r="Q528" s="198"/>
      <c r="R528" s="198"/>
      <c r="S528" s="198"/>
      <c r="T528" s="198"/>
      <c r="U528" s="198"/>
      <c r="V528" s="198"/>
      <c r="W528" s="201"/>
      <c r="X528" s="198"/>
      <c r="Y528" s="198"/>
      <c r="Z528" s="198"/>
      <c r="AA528" s="198"/>
      <c r="AB528" s="198"/>
      <c r="AC528" s="198"/>
      <c r="AD528" s="198"/>
      <c r="AE528" s="198"/>
      <c r="AF528" s="198"/>
      <c r="AG528" s="198"/>
      <c r="AH528" s="198"/>
      <c r="AI528" s="198"/>
      <c r="AJ528" s="198"/>
      <c r="AK528" s="198"/>
    </row>
    <row r="529">
      <c r="A529" s="198"/>
      <c r="B529" s="198"/>
      <c r="C529" s="198"/>
      <c r="D529" s="198"/>
      <c r="E529" s="198"/>
      <c r="F529" s="198"/>
      <c r="G529" s="198"/>
      <c r="H529" s="198"/>
      <c r="I529" s="198"/>
      <c r="J529" s="198"/>
      <c r="K529" s="198"/>
      <c r="L529" s="198"/>
      <c r="M529" s="198"/>
      <c r="N529" s="198"/>
      <c r="O529" s="198"/>
      <c r="P529" s="198"/>
      <c r="Q529" s="198"/>
      <c r="R529" s="198"/>
      <c r="S529" s="198"/>
      <c r="T529" s="198"/>
      <c r="U529" s="198"/>
      <c r="V529" s="198"/>
      <c r="W529" s="201"/>
      <c r="X529" s="198"/>
      <c r="Y529" s="198"/>
      <c r="Z529" s="198"/>
      <c r="AA529" s="198"/>
      <c r="AB529" s="198"/>
      <c r="AC529" s="198"/>
      <c r="AD529" s="198"/>
      <c r="AE529" s="198"/>
      <c r="AF529" s="198"/>
      <c r="AG529" s="198"/>
      <c r="AH529" s="198"/>
      <c r="AI529" s="198"/>
      <c r="AJ529" s="198"/>
      <c r="AK529" s="198"/>
    </row>
    <row r="530">
      <c r="A530" s="198"/>
      <c r="B530" s="198"/>
      <c r="C530" s="198"/>
      <c r="D530" s="198"/>
      <c r="E530" s="198"/>
      <c r="F530" s="198"/>
      <c r="G530" s="198"/>
      <c r="H530" s="198"/>
      <c r="I530" s="198"/>
      <c r="J530" s="198"/>
      <c r="K530" s="198"/>
      <c r="L530" s="198"/>
      <c r="M530" s="198"/>
      <c r="N530" s="198"/>
      <c r="O530" s="198"/>
      <c r="P530" s="198"/>
      <c r="Q530" s="198"/>
      <c r="R530" s="198"/>
      <c r="S530" s="198"/>
      <c r="T530" s="198"/>
      <c r="U530" s="198"/>
      <c r="V530" s="198"/>
      <c r="W530" s="201"/>
      <c r="X530" s="198"/>
      <c r="Y530" s="198"/>
      <c r="Z530" s="198"/>
      <c r="AA530" s="198"/>
      <c r="AB530" s="198"/>
      <c r="AC530" s="198"/>
      <c r="AD530" s="198"/>
      <c r="AE530" s="198"/>
      <c r="AF530" s="198"/>
      <c r="AG530" s="198"/>
      <c r="AH530" s="198"/>
      <c r="AI530" s="198"/>
      <c r="AJ530" s="198"/>
      <c r="AK530" s="198"/>
    </row>
    <row r="531">
      <c r="A531" s="198"/>
      <c r="B531" s="198"/>
      <c r="C531" s="198"/>
      <c r="D531" s="198"/>
      <c r="E531" s="198"/>
      <c r="F531" s="198"/>
      <c r="G531" s="198"/>
      <c r="H531" s="198"/>
      <c r="I531" s="198"/>
      <c r="J531" s="198"/>
      <c r="K531" s="198"/>
      <c r="L531" s="198"/>
      <c r="M531" s="198"/>
      <c r="N531" s="198"/>
      <c r="O531" s="198"/>
      <c r="P531" s="198"/>
      <c r="Q531" s="198"/>
      <c r="R531" s="198"/>
      <c r="S531" s="198"/>
      <c r="T531" s="198"/>
      <c r="U531" s="198"/>
      <c r="V531" s="198"/>
      <c r="W531" s="201"/>
      <c r="X531" s="198"/>
      <c r="Y531" s="198"/>
      <c r="Z531" s="198"/>
      <c r="AA531" s="198"/>
      <c r="AB531" s="198"/>
      <c r="AC531" s="198"/>
      <c r="AD531" s="198"/>
      <c r="AE531" s="198"/>
      <c r="AF531" s="198"/>
      <c r="AG531" s="198"/>
      <c r="AH531" s="198"/>
      <c r="AI531" s="198"/>
      <c r="AJ531" s="198"/>
      <c r="AK531" s="198"/>
    </row>
    <row r="532">
      <c r="A532" s="198"/>
      <c r="B532" s="198"/>
      <c r="C532" s="198"/>
      <c r="D532" s="198"/>
      <c r="E532" s="198"/>
      <c r="F532" s="198"/>
      <c r="G532" s="198"/>
      <c r="H532" s="198"/>
      <c r="I532" s="198"/>
      <c r="J532" s="198"/>
      <c r="K532" s="198"/>
      <c r="L532" s="198"/>
      <c r="M532" s="198"/>
      <c r="N532" s="198"/>
      <c r="O532" s="198"/>
      <c r="P532" s="198"/>
      <c r="Q532" s="198"/>
      <c r="R532" s="198"/>
      <c r="S532" s="198"/>
      <c r="T532" s="198"/>
      <c r="U532" s="198"/>
      <c r="V532" s="198"/>
      <c r="W532" s="201"/>
      <c r="X532" s="198"/>
      <c r="Y532" s="198"/>
      <c r="Z532" s="198"/>
      <c r="AA532" s="198"/>
      <c r="AB532" s="198"/>
      <c r="AC532" s="198"/>
      <c r="AD532" s="198"/>
      <c r="AE532" s="198"/>
      <c r="AF532" s="198"/>
      <c r="AG532" s="198"/>
      <c r="AH532" s="198"/>
      <c r="AI532" s="198"/>
      <c r="AJ532" s="198"/>
      <c r="AK532" s="198"/>
    </row>
    <row r="533">
      <c r="A533" s="198"/>
      <c r="B533" s="198"/>
      <c r="C533" s="198"/>
      <c r="D533" s="198"/>
      <c r="E533" s="198"/>
      <c r="F533" s="198"/>
      <c r="G533" s="198"/>
      <c r="H533" s="198"/>
      <c r="I533" s="198"/>
      <c r="J533" s="198"/>
      <c r="K533" s="198"/>
      <c r="L533" s="198"/>
      <c r="M533" s="198"/>
      <c r="N533" s="198"/>
      <c r="O533" s="198"/>
      <c r="P533" s="198"/>
      <c r="Q533" s="198"/>
      <c r="R533" s="198"/>
      <c r="S533" s="198"/>
      <c r="T533" s="198"/>
      <c r="U533" s="198"/>
      <c r="V533" s="198"/>
      <c r="W533" s="201"/>
      <c r="X533" s="198"/>
      <c r="Y533" s="198"/>
      <c r="Z533" s="198"/>
      <c r="AA533" s="198"/>
      <c r="AB533" s="198"/>
      <c r="AC533" s="198"/>
      <c r="AD533" s="198"/>
      <c r="AE533" s="198"/>
      <c r="AF533" s="198"/>
      <c r="AG533" s="198"/>
      <c r="AH533" s="198"/>
      <c r="AI533" s="198"/>
      <c r="AJ533" s="198"/>
      <c r="AK533" s="198"/>
    </row>
    <row r="534">
      <c r="A534" s="198"/>
      <c r="B534" s="198"/>
      <c r="C534" s="198"/>
      <c r="D534" s="198"/>
      <c r="E534" s="198"/>
      <c r="F534" s="198"/>
      <c r="G534" s="198"/>
      <c r="H534" s="198"/>
      <c r="I534" s="198"/>
      <c r="J534" s="198"/>
      <c r="K534" s="198"/>
      <c r="L534" s="198"/>
      <c r="M534" s="198"/>
      <c r="N534" s="198"/>
      <c r="O534" s="198"/>
      <c r="P534" s="198"/>
      <c r="Q534" s="198"/>
      <c r="R534" s="198"/>
      <c r="S534" s="198"/>
      <c r="T534" s="198"/>
      <c r="U534" s="198"/>
      <c r="V534" s="198"/>
      <c r="W534" s="201"/>
      <c r="X534" s="198"/>
      <c r="Y534" s="198"/>
      <c r="Z534" s="198"/>
      <c r="AA534" s="198"/>
      <c r="AB534" s="198"/>
      <c r="AC534" s="198"/>
      <c r="AD534" s="198"/>
      <c r="AE534" s="198"/>
      <c r="AF534" s="198"/>
      <c r="AG534" s="198"/>
      <c r="AH534" s="198"/>
      <c r="AI534" s="198"/>
      <c r="AJ534" s="198"/>
      <c r="AK534" s="198"/>
    </row>
    <row r="535">
      <c r="A535" s="198"/>
      <c r="B535" s="198"/>
      <c r="C535" s="198"/>
      <c r="D535" s="198"/>
      <c r="E535" s="198"/>
      <c r="F535" s="198"/>
      <c r="G535" s="198"/>
      <c r="H535" s="198"/>
      <c r="I535" s="198"/>
      <c r="J535" s="198"/>
      <c r="K535" s="198"/>
      <c r="L535" s="198"/>
      <c r="M535" s="198"/>
      <c r="N535" s="198"/>
      <c r="O535" s="198"/>
      <c r="P535" s="198"/>
      <c r="Q535" s="198"/>
      <c r="R535" s="198"/>
      <c r="S535" s="198"/>
      <c r="T535" s="198"/>
      <c r="U535" s="198"/>
      <c r="V535" s="198"/>
      <c r="W535" s="201"/>
      <c r="X535" s="198"/>
      <c r="Y535" s="198"/>
      <c r="Z535" s="198"/>
      <c r="AA535" s="198"/>
      <c r="AB535" s="198"/>
      <c r="AC535" s="198"/>
      <c r="AD535" s="198"/>
      <c r="AE535" s="198"/>
      <c r="AF535" s="198"/>
      <c r="AG535" s="198"/>
      <c r="AH535" s="198"/>
      <c r="AI535" s="198"/>
      <c r="AJ535" s="198"/>
      <c r="AK535" s="198"/>
    </row>
    <row r="536">
      <c r="A536" s="198"/>
      <c r="B536" s="198"/>
      <c r="C536" s="198"/>
      <c r="D536" s="198"/>
      <c r="E536" s="198"/>
      <c r="F536" s="198"/>
      <c r="G536" s="198"/>
      <c r="H536" s="198"/>
      <c r="I536" s="198"/>
      <c r="J536" s="198"/>
      <c r="K536" s="198"/>
      <c r="L536" s="198"/>
      <c r="M536" s="198"/>
      <c r="N536" s="198"/>
      <c r="O536" s="198"/>
      <c r="P536" s="198"/>
      <c r="Q536" s="198"/>
      <c r="R536" s="198"/>
      <c r="S536" s="198"/>
      <c r="T536" s="198"/>
      <c r="U536" s="198"/>
      <c r="V536" s="198"/>
      <c r="W536" s="201"/>
      <c r="X536" s="198"/>
      <c r="Y536" s="198"/>
      <c r="Z536" s="198"/>
      <c r="AA536" s="198"/>
      <c r="AB536" s="198"/>
      <c r="AC536" s="198"/>
      <c r="AD536" s="198"/>
      <c r="AE536" s="198"/>
      <c r="AF536" s="198"/>
      <c r="AG536" s="198"/>
      <c r="AH536" s="198"/>
      <c r="AI536" s="198"/>
      <c r="AJ536" s="198"/>
      <c r="AK536" s="198"/>
    </row>
    <row r="537">
      <c r="A537" s="198"/>
      <c r="B537" s="198"/>
      <c r="C537" s="198"/>
      <c r="D537" s="198"/>
      <c r="E537" s="198"/>
      <c r="F537" s="198"/>
      <c r="G537" s="198"/>
      <c r="H537" s="198"/>
      <c r="I537" s="198"/>
      <c r="J537" s="198"/>
      <c r="K537" s="198"/>
      <c r="L537" s="198"/>
      <c r="M537" s="198"/>
      <c r="N537" s="198"/>
      <c r="O537" s="198"/>
      <c r="P537" s="198"/>
      <c r="Q537" s="198"/>
      <c r="R537" s="198"/>
      <c r="S537" s="198"/>
      <c r="T537" s="198"/>
      <c r="U537" s="198"/>
      <c r="V537" s="198"/>
      <c r="W537" s="201"/>
      <c r="X537" s="198"/>
      <c r="Y537" s="198"/>
      <c r="Z537" s="198"/>
      <c r="AA537" s="198"/>
      <c r="AB537" s="198"/>
      <c r="AC537" s="198"/>
      <c r="AD537" s="198"/>
      <c r="AE537" s="198"/>
      <c r="AF537" s="198"/>
      <c r="AG537" s="198"/>
      <c r="AH537" s="198"/>
      <c r="AI537" s="198"/>
      <c r="AJ537" s="198"/>
      <c r="AK537" s="198"/>
    </row>
    <row r="538">
      <c r="A538" s="198"/>
      <c r="B538" s="198"/>
      <c r="C538" s="198"/>
      <c r="D538" s="198"/>
      <c r="E538" s="198"/>
      <c r="F538" s="198"/>
      <c r="G538" s="198"/>
      <c r="H538" s="198"/>
      <c r="I538" s="198"/>
      <c r="J538" s="198"/>
      <c r="K538" s="198"/>
      <c r="L538" s="198"/>
      <c r="M538" s="198"/>
      <c r="N538" s="198"/>
      <c r="O538" s="198"/>
      <c r="P538" s="198"/>
      <c r="Q538" s="198"/>
      <c r="R538" s="198"/>
      <c r="S538" s="198"/>
      <c r="T538" s="198"/>
      <c r="U538" s="198"/>
      <c r="V538" s="198"/>
      <c r="W538" s="201"/>
      <c r="X538" s="198"/>
      <c r="Y538" s="198"/>
      <c r="Z538" s="198"/>
      <c r="AA538" s="198"/>
      <c r="AB538" s="198"/>
      <c r="AC538" s="198"/>
      <c r="AD538" s="198"/>
      <c r="AE538" s="198"/>
      <c r="AF538" s="198"/>
      <c r="AG538" s="198"/>
      <c r="AH538" s="198"/>
      <c r="AI538" s="198"/>
      <c r="AJ538" s="198"/>
      <c r="AK538" s="198"/>
    </row>
    <row r="539">
      <c r="A539" s="198"/>
      <c r="B539" s="198"/>
      <c r="C539" s="198"/>
      <c r="D539" s="198"/>
      <c r="E539" s="198"/>
      <c r="F539" s="198"/>
      <c r="G539" s="198"/>
      <c r="H539" s="198"/>
      <c r="I539" s="198"/>
      <c r="J539" s="198"/>
      <c r="K539" s="198"/>
      <c r="L539" s="198"/>
      <c r="M539" s="198"/>
      <c r="N539" s="198"/>
      <c r="O539" s="198"/>
      <c r="P539" s="198"/>
      <c r="Q539" s="198"/>
      <c r="R539" s="198"/>
      <c r="S539" s="198"/>
      <c r="T539" s="198"/>
      <c r="U539" s="198"/>
      <c r="V539" s="198"/>
      <c r="W539" s="201"/>
      <c r="X539" s="198"/>
      <c r="Y539" s="198"/>
      <c r="Z539" s="198"/>
      <c r="AA539" s="198"/>
      <c r="AB539" s="198"/>
      <c r="AC539" s="198"/>
      <c r="AD539" s="198"/>
      <c r="AE539" s="198"/>
      <c r="AF539" s="198"/>
      <c r="AG539" s="198"/>
      <c r="AH539" s="198"/>
      <c r="AI539" s="198"/>
      <c r="AJ539" s="198"/>
      <c r="AK539" s="198"/>
    </row>
    <row r="540">
      <c r="A540" s="198"/>
      <c r="B540" s="198"/>
      <c r="C540" s="198"/>
      <c r="D540" s="198"/>
      <c r="E540" s="198"/>
      <c r="F540" s="198"/>
      <c r="G540" s="198"/>
      <c r="H540" s="198"/>
      <c r="I540" s="198"/>
      <c r="J540" s="198"/>
      <c r="K540" s="198"/>
      <c r="L540" s="198"/>
      <c r="M540" s="198"/>
      <c r="N540" s="198"/>
      <c r="O540" s="198"/>
      <c r="P540" s="198"/>
      <c r="Q540" s="198"/>
      <c r="R540" s="198"/>
      <c r="S540" s="198"/>
      <c r="T540" s="198"/>
      <c r="U540" s="198"/>
      <c r="V540" s="198"/>
      <c r="W540" s="201"/>
      <c r="X540" s="198"/>
      <c r="Y540" s="198"/>
      <c r="Z540" s="198"/>
      <c r="AA540" s="198"/>
      <c r="AB540" s="198"/>
      <c r="AC540" s="198"/>
      <c r="AD540" s="198"/>
      <c r="AE540" s="198"/>
      <c r="AF540" s="198"/>
      <c r="AG540" s="198"/>
      <c r="AH540" s="198"/>
      <c r="AI540" s="198"/>
      <c r="AJ540" s="198"/>
      <c r="AK540" s="198"/>
    </row>
    <row r="541">
      <c r="A541" s="198"/>
      <c r="B541" s="198"/>
      <c r="C541" s="198"/>
      <c r="D541" s="198"/>
      <c r="E541" s="198"/>
      <c r="F541" s="198"/>
      <c r="G541" s="198"/>
      <c r="H541" s="198"/>
      <c r="I541" s="198"/>
      <c r="J541" s="198"/>
      <c r="K541" s="198"/>
      <c r="L541" s="198"/>
      <c r="M541" s="198"/>
      <c r="N541" s="198"/>
      <c r="O541" s="198"/>
      <c r="P541" s="198"/>
      <c r="Q541" s="198"/>
      <c r="R541" s="198"/>
      <c r="S541" s="198"/>
      <c r="T541" s="198"/>
      <c r="U541" s="198"/>
      <c r="V541" s="198"/>
      <c r="W541" s="201"/>
      <c r="X541" s="198"/>
      <c r="Y541" s="198"/>
      <c r="Z541" s="198"/>
      <c r="AA541" s="198"/>
      <c r="AB541" s="198"/>
      <c r="AC541" s="198"/>
      <c r="AD541" s="198"/>
      <c r="AE541" s="198"/>
      <c r="AF541" s="198"/>
      <c r="AG541" s="198"/>
      <c r="AH541" s="198"/>
      <c r="AI541" s="198"/>
      <c r="AJ541" s="198"/>
      <c r="AK541" s="198"/>
    </row>
    <row r="542">
      <c r="A542" s="198"/>
      <c r="B542" s="198"/>
      <c r="C542" s="198"/>
      <c r="D542" s="198"/>
      <c r="E542" s="198"/>
      <c r="F542" s="198"/>
      <c r="G542" s="198"/>
      <c r="H542" s="198"/>
      <c r="I542" s="198"/>
      <c r="J542" s="198"/>
      <c r="K542" s="198"/>
      <c r="L542" s="198"/>
      <c r="M542" s="198"/>
      <c r="N542" s="198"/>
      <c r="O542" s="198"/>
      <c r="P542" s="198"/>
      <c r="Q542" s="198"/>
      <c r="R542" s="198"/>
      <c r="S542" s="198"/>
      <c r="T542" s="198"/>
      <c r="U542" s="198"/>
      <c r="V542" s="198"/>
      <c r="W542" s="201"/>
      <c r="X542" s="198"/>
      <c r="Y542" s="198"/>
      <c r="Z542" s="198"/>
      <c r="AA542" s="198"/>
      <c r="AB542" s="198"/>
      <c r="AC542" s="198"/>
      <c r="AD542" s="198"/>
      <c r="AE542" s="198"/>
      <c r="AF542" s="198"/>
      <c r="AG542" s="198"/>
      <c r="AH542" s="198"/>
      <c r="AI542" s="198"/>
      <c r="AJ542" s="198"/>
      <c r="AK542" s="198"/>
    </row>
    <row r="543">
      <c r="A543" s="198"/>
      <c r="B543" s="198"/>
      <c r="C543" s="198"/>
      <c r="D543" s="198"/>
      <c r="E543" s="198"/>
      <c r="F543" s="198"/>
      <c r="G543" s="198"/>
      <c r="H543" s="198"/>
      <c r="I543" s="198"/>
      <c r="J543" s="198"/>
      <c r="K543" s="198"/>
      <c r="L543" s="198"/>
      <c r="M543" s="198"/>
      <c r="N543" s="198"/>
      <c r="O543" s="198"/>
      <c r="P543" s="198"/>
      <c r="Q543" s="198"/>
      <c r="R543" s="198"/>
      <c r="S543" s="198"/>
      <c r="T543" s="198"/>
      <c r="U543" s="198"/>
      <c r="V543" s="198"/>
      <c r="W543" s="201"/>
      <c r="X543" s="198"/>
      <c r="Y543" s="198"/>
      <c r="Z543" s="198"/>
      <c r="AA543" s="198"/>
      <c r="AB543" s="198"/>
      <c r="AC543" s="198"/>
      <c r="AD543" s="198"/>
      <c r="AE543" s="198"/>
      <c r="AF543" s="198"/>
      <c r="AG543" s="198"/>
      <c r="AH543" s="198"/>
      <c r="AI543" s="198"/>
      <c r="AJ543" s="198"/>
      <c r="AK543" s="198"/>
    </row>
    <row r="544">
      <c r="A544" s="198"/>
      <c r="B544" s="198"/>
      <c r="C544" s="198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198"/>
      <c r="Q544" s="198"/>
      <c r="R544" s="198"/>
      <c r="S544" s="198"/>
      <c r="T544" s="198"/>
      <c r="U544" s="198"/>
      <c r="V544" s="198"/>
      <c r="W544" s="201"/>
      <c r="X544" s="198"/>
      <c r="Y544" s="198"/>
      <c r="Z544" s="198"/>
      <c r="AA544" s="198"/>
      <c r="AB544" s="198"/>
      <c r="AC544" s="198"/>
      <c r="AD544" s="198"/>
      <c r="AE544" s="198"/>
      <c r="AF544" s="198"/>
      <c r="AG544" s="198"/>
      <c r="AH544" s="198"/>
      <c r="AI544" s="198"/>
      <c r="AJ544" s="198"/>
      <c r="AK544" s="198"/>
    </row>
    <row r="545">
      <c r="A545" s="198"/>
      <c r="B545" s="198"/>
      <c r="C545" s="198"/>
      <c r="D545" s="198"/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198"/>
      <c r="Q545" s="198"/>
      <c r="R545" s="198"/>
      <c r="S545" s="198"/>
      <c r="T545" s="198"/>
      <c r="U545" s="198"/>
      <c r="V545" s="198"/>
      <c r="W545" s="201"/>
      <c r="X545" s="198"/>
      <c r="Y545" s="198"/>
      <c r="Z545" s="198"/>
      <c r="AA545" s="198"/>
      <c r="AB545" s="198"/>
      <c r="AC545" s="198"/>
      <c r="AD545" s="198"/>
      <c r="AE545" s="198"/>
      <c r="AF545" s="198"/>
      <c r="AG545" s="198"/>
      <c r="AH545" s="198"/>
      <c r="AI545" s="198"/>
      <c r="AJ545" s="198"/>
      <c r="AK545" s="198"/>
    </row>
    <row r="546">
      <c r="A546" s="198"/>
      <c r="B546" s="198"/>
      <c r="C546" s="198"/>
      <c r="D546" s="198"/>
      <c r="E546" s="198"/>
      <c r="F546" s="198"/>
      <c r="G546" s="198"/>
      <c r="H546" s="198"/>
      <c r="I546" s="198"/>
      <c r="J546" s="198"/>
      <c r="K546" s="198"/>
      <c r="L546" s="198"/>
      <c r="M546" s="198"/>
      <c r="N546" s="198"/>
      <c r="O546" s="198"/>
      <c r="P546" s="198"/>
      <c r="Q546" s="198"/>
      <c r="R546" s="198"/>
      <c r="S546" s="198"/>
      <c r="T546" s="198"/>
      <c r="U546" s="198"/>
      <c r="V546" s="198"/>
      <c r="W546" s="201"/>
      <c r="X546" s="198"/>
      <c r="Y546" s="198"/>
      <c r="Z546" s="198"/>
      <c r="AA546" s="198"/>
      <c r="AB546" s="198"/>
      <c r="AC546" s="198"/>
      <c r="AD546" s="198"/>
      <c r="AE546" s="198"/>
      <c r="AF546" s="198"/>
      <c r="AG546" s="198"/>
      <c r="AH546" s="198"/>
      <c r="AI546" s="198"/>
      <c r="AJ546" s="198"/>
      <c r="AK546" s="198"/>
    </row>
    <row r="547">
      <c r="A547" s="198"/>
      <c r="B547" s="198"/>
      <c r="C547" s="198"/>
      <c r="D547" s="198"/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198"/>
      <c r="Q547" s="198"/>
      <c r="R547" s="198"/>
      <c r="S547" s="198"/>
      <c r="T547" s="198"/>
      <c r="U547" s="198"/>
      <c r="V547" s="198"/>
      <c r="W547" s="201"/>
      <c r="X547" s="198"/>
      <c r="Y547" s="198"/>
      <c r="Z547" s="198"/>
      <c r="AA547" s="198"/>
      <c r="AB547" s="198"/>
      <c r="AC547" s="198"/>
      <c r="AD547" s="198"/>
      <c r="AE547" s="198"/>
      <c r="AF547" s="198"/>
      <c r="AG547" s="198"/>
      <c r="AH547" s="198"/>
      <c r="AI547" s="198"/>
      <c r="AJ547" s="198"/>
      <c r="AK547" s="198"/>
    </row>
    <row r="548">
      <c r="A548" s="198"/>
      <c r="B548" s="198"/>
      <c r="C548" s="198"/>
      <c r="D548" s="198"/>
      <c r="E548" s="198"/>
      <c r="F548" s="198"/>
      <c r="G548" s="198"/>
      <c r="H548" s="198"/>
      <c r="I548" s="198"/>
      <c r="J548" s="198"/>
      <c r="K548" s="198"/>
      <c r="L548" s="198"/>
      <c r="M548" s="198"/>
      <c r="N548" s="198"/>
      <c r="O548" s="198"/>
      <c r="P548" s="198"/>
      <c r="Q548" s="198"/>
      <c r="R548" s="198"/>
      <c r="S548" s="198"/>
      <c r="T548" s="198"/>
      <c r="U548" s="198"/>
      <c r="V548" s="198"/>
      <c r="W548" s="201"/>
      <c r="X548" s="198"/>
      <c r="Y548" s="198"/>
      <c r="Z548" s="198"/>
      <c r="AA548" s="198"/>
      <c r="AB548" s="198"/>
      <c r="AC548" s="198"/>
      <c r="AD548" s="198"/>
      <c r="AE548" s="198"/>
      <c r="AF548" s="198"/>
      <c r="AG548" s="198"/>
      <c r="AH548" s="198"/>
      <c r="AI548" s="198"/>
      <c r="AJ548" s="198"/>
      <c r="AK548" s="198"/>
    </row>
    <row r="549">
      <c r="A549" s="198"/>
      <c r="B549" s="198"/>
      <c r="C549" s="198"/>
      <c r="D549" s="198"/>
      <c r="E549" s="198"/>
      <c r="F549" s="198"/>
      <c r="G549" s="198"/>
      <c r="H549" s="198"/>
      <c r="I549" s="198"/>
      <c r="J549" s="198"/>
      <c r="K549" s="198"/>
      <c r="L549" s="198"/>
      <c r="M549" s="198"/>
      <c r="N549" s="198"/>
      <c r="O549" s="198"/>
      <c r="P549" s="198"/>
      <c r="Q549" s="198"/>
      <c r="R549" s="198"/>
      <c r="S549" s="198"/>
      <c r="T549" s="198"/>
      <c r="U549" s="198"/>
      <c r="V549" s="198"/>
      <c r="W549" s="201"/>
      <c r="X549" s="198"/>
      <c r="Y549" s="198"/>
      <c r="Z549" s="198"/>
      <c r="AA549" s="198"/>
      <c r="AB549" s="198"/>
      <c r="AC549" s="198"/>
      <c r="AD549" s="198"/>
      <c r="AE549" s="198"/>
      <c r="AF549" s="198"/>
      <c r="AG549" s="198"/>
      <c r="AH549" s="198"/>
      <c r="AI549" s="198"/>
      <c r="AJ549" s="198"/>
      <c r="AK549" s="198"/>
    </row>
    <row r="550">
      <c r="A550" s="198"/>
      <c r="B550" s="198"/>
      <c r="C550" s="198"/>
      <c r="D550" s="198"/>
      <c r="E550" s="198"/>
      <c r="F550" s="198"/>
      <c r="G550" s="198"/>
      <c r="H550" s="198"/>
      <c r="I550" s="198"/>
      <c r="J550" s="198"/>
      <c r="K550" s="198"/>
      <c r="L550" s="198"/>
      <c r="M550" s="198"/>
      <c r="N550" s="198"/>
      <c r="O550" s="198"/>
      <c r="P550" s="198"/>
      <c r="Q550" s="198"/>
      <c r="R550" s="198"/>
      <c r="S550" s="198"/>
      <c r="T550" s="198"/>
      <c r="U550" s="198"/>
      <c r="V550" s="198"/>
      <c r="W550" s="201"/>
      <c r="X550" s="198"/>
      <c r="Y550" s="198"/>
      <c r="Z550" s="198"/>
      <c r="AA550" s="198"/>
      <c r="AB550" s="198"/>
      <c r="AC550" s="198"/>
      <c r="AD550" s="198"/>
      <c r="AE550" s="198"/>
      <c r="AF550" s="198"/>
      <c r="AG550" s="198"/>
      <c r="AH550" s="198"/>
      <c r="AI550" s="198"/>
      <c r="AJ550" s="198"/>
      <c r="AK550" s="198"/>
    </row>
    <row r="551">
      <c r="A551" s="198"/>
      <c r="B551" s="198"/>
      <c r="C551" s="198"/>
      <c r="D551" s="198"/>
      <c r="E551" s="198"/>
      <c r="F551" s="198"/>
      <c r="G551" s="198"/>
      <c r="H551" s="198"/>
      <c r="I551" s="198"/>
      <c r="J551" s="198"/>
      <c r="K551" s="198"/>
      <c r="L551" s="198"/>
      <c r="M551" s="198"/>
      <c r="N551" s="198"/>
      <c r="O551" s="198"/>
      <c r="P551" s="198"/>
      <c r="Q551" s="198"/>
      <c r="R551" s="198"/>
      <c r="S551" s="198"/>
      <c r="T551" s="198"/>
      <c r="U551" s="198"/>
      <c r="V551" s="198"/>
      <c r="W551" s="201"/>
      <c r="X551" s="198"/>
      <c r="Y551" s="198"/>
      <c r="Z551" s="198"/>
      <c r="AA551" s="198"/>
      <c r="AB551" s="198"/>
      <c r="AC551" s="198"/>
      <c r="AD551" s="198"/>
      <c r="AE551" s="198"/>
      <c r="AF551" s="198"/>
      <c r="AG551" s="198"/>
      <c r="AH551" s="198"/>
      <c r="AI551" s="198"/>
      <c r="AJ551" s="198"/>
      <c r="AK551" s="198"/>
    </row>
    <row r="552">
      <c r="A552" s="198"/>
      <c r="B552" s="198"/>
      <c r="C552" s="198"/>
      <c r="D552" s="198"/>
      <c r="E552" s="198"/>
      <c r="F552" s="198"/>
      <c r="G552" s="198"/>
      <c r="H552" s="198"/>
      <c r="I552" s="198"/>
      <c r="J552" s="198"/>
      <c r="K552" s="198"/>
      <c r="L552" s="198"/>
      <c r="M552" s="198"/>
      <c r="N552" s="198"/>
      <c r="O552" s="198"/>
      <c r="P552" s="198"/>
      <c r="Q552" s="198"/>
      <c r="R552" s="198"/>
      <c r="S552" s="198"/>
      <c r="T552" s="198"/>
      <c r="U552" s="198"/>
      <c r="V552" s="198"/>
      <c r="W552" s="201"/>
      <c r="X552" s="198"/>
      <c r="Y552" s="198"/>
      <c r="Z552" s="198"/>
      <c r="AA552" s="198"/>
      <c r="AB552" s="198"/>
      <c r="AC552" s="198"/>
      <c r="AD552" s="198"/>
      <c r="AE552" s="198"/>
      <c r="AF552" s="198"/>
      <c r="AG552" s="198"/>
      <c r="AH552" s="198"/>
      <c r="AI552" s="198"/>
      <c r="AJ552" s="198"/>
      <c r="AK552" s="198"/>
    </row>
    <row r="553">
      <c r="A553" s="198"/>
      <c r="B553" s="198"/>
      <c r="C553" s="198"/>
      <c r="D553" s="198"/>
      <c r="E553" s="198"/>
      <c r="F553" s="198"/>
      <c r="G553" s="198"/>
      <c r="H553" s="198"/>
      <c r="I553" s="198"/>
      <c r="J553" s="198"/>
      <c r="K553" s="198"/>
      <c r="L553" s="198"/>
      <c r="M553" s="198"/>
      <c r="N553" s="198"/>
      <c r="O553" s="198"/>
      <c r="P553" s="198"/>
      <c r="Q553" s="198"/>
      <c r="R553" s="198"/>
      <c r="S553" s="198"/>
      <c r="T553" s="198"/>
      <c r="U553" s="198"/>
      <c r="V553" s="198"/>
      <c r="W553" s="201"/>
      <c r="X553" s="198"/>
      <c r="Y553" s="198"/>
      <c r="Z553" s="198"/>
      <c r="AA553" s="198"/>
      <c r="AB553" s="198"/>
      <c r="AC553" s="198"/>
      <c r="AD553" s="198"/>
      <c r="AE553" s="198"/>
      <c r="AF553" s="198"/>
      <c r="AG553" s="198"/>
      <c r="AH553" s="198"/>
      <c r="AI553" s="198"/>
      <c r="AJ553" s="198"/>
      <c r="AK553" s="198"/>
    </row>
    <row r="554">
      <c r="A554" s="198"/>
      <c r="B554" s="198"/>
      <c r="C554" s="198"/>
      <c r="D554" s="198"/>
      <c r="E554" s="198"/>
      <c r="F554" s="198"/>
      <c r="G554" s="198"/>
      <c r="H554" s="198"/>
      <c r="I554" s="198"/>
      <c r="J554" s="198"/>
      <c r="K554" s="198"/>
      <c r="L554" s="198"/>
      <c r="M554" s="198"/>
      <c r="N554" s="198"/>
      <c r="O554" s="198"/>
      <c r="P554" s="198"/>
      <c r="Q554" s="198"/>
      <c r="R554" s="198"/>
      <c r="S554" s="198"/>
      <c r="T554" s="198"/>
      <c r="U554" s="198"/>
      <c r="V554" s="198"/>
      <c r="W554" s="201"/>
      <c r="X554" s="198"/>
      <c r="Y554" s="198"/>
      <c r="Z554" s="198"/>
      <c r="AA554" s="198"/>
      <c r="AB554" s="198"/>
      <c r="AC554" s="198"/>
      <c r="AD554" s="198"/>
      <c r="AE554" s="198"/>
      <c r="AF554" s="198"/>
      <c r="AG554" s="198"/>
      <c r="AH554" s="198"/>
      <c r="AI554" s="198"/>
      <c r="AJ554" s="198"/>
      <c r="AK554" s="198"/>
    </row>
    <row r="555">
      <c r="A555" s="198"/>
      <c r="B555" s="198"/>
      <c r="C555" s="198"/>
      <c r="D555" s="198"/>
      <c r="E555" s="198"/>
      <c r="F555" s="198"/>
      <c r="G555" s="198"/>
      <c r="H555" s="198"/>
      <c r="I555" s="198"/>
      <c r="J555" s="198"/>
      <c r="K555" s="198"/>
      <c r="L555" s="198"/>
      <c r="M555" s="198"/>
      <c r="N555" s="198"/>
      <c r="O555" s="198"/>
      <c r="P555" s="198"/>
      <c r="Q555" s="198"/>
      <c r="R555" s="198"/>
      <c r="S555" s="198"/>
      <c r="T555" s="198"/>
      <c r="U555" s="198"/>
      <c r="V555" s="198"/>
      <c r="W555" s="201"/>
      <c r="X555" s="198"/>
      <c r="Y555" s="198"/>
      <c r="Z555" s="198"/>
      <c r="AA555" s="198"/>
      <c r="AB555" s="198"/>
      <c r="AC555" s="198"/>
      <c r="AD555" s="198"/>
      <c r="AE555" s="198"/>
      <c r="AF555" s="198"/>
      <c r="AG555" s="198"/>
      <c r="AH555" s="198"/>
      <c r="AI555" s="198"/>
      <c r="AJ555" s="198"/>
      <c r="AK555" s="198"/>
    </row>
    <row r="556">
      <c r="A556" s="198"/>
      <c r="B556" s="198"/>
      <c r="C556" s="198"/>
      <c r="D556" s="198"/>
      <c r="E556" s="198"/>
      <c r="F556" s="198"/>
      <c r="G556" s="198"/>
      <c r="H556" s="198"/>
      <c r="I556" s="198"/>
      <c r="J556" s="198"/>
      <c r="K556" s="198"/>
      <c r="L556" s="198"/>
      <c r="M556" s="198"/>
      <c r="N556" s="198"/>
      <c r="O556" s="198"/>
      <c r="P556" s="198"/>
      <c r="Q556" s="198"/>
      <c r="R556" s="198"/>
      <c r="S556" s="198"/>
      <c r="T556" s="198"/>
      <c r="U556" s="198"/>
      <c r="V556" s="198"/>
      <c r="W556" s="201"/>
      <c r="X556" s="198"/>
      <c r="Y556" s="198"/>
      <c r="Z556" s="198"/>
      <c r="AA556" s="198"/>
      <c r="AB556" s="198"/>
      <c r="AC556" s="198"/>
      <c r="AD556" s="198"/>
      <c r="AE556" s="198"/>
      <c r="AF556" s="198"/>
      <c r="AG556" s="198"/>
      <c r="AH556" s="198"/>
      <c r="AI556" s="198"/>
      <c r="AJ556" s="198"/>
      <c r="AK556" s="198"/>
    </row>
    <row r="557">
      <c r="A557" s="198"/>
      <c r="B557" s="198"/>
      <c r="C557" s="198"/>
      <c r="D557" s="198"/>
      <c r="E557" s="198"/>
      <c r="F557" s="198"/>
      <c r="G557" s="198"/>
      <c r="H557" s="198"/>
      <c r="I557" s="198"/>
      <c r="J557" s="198"/>
      <c r="K557" s="198"/>
      <c r="L557" s="198"/>
      <c r="M557" s="198"/>
      <c r="N557" s="198"/>
      <c r="O557" s="198"/>
      <c r="P557" s="198"/>
      <c r="Q557" s="198"/>
      <c r="R557" s="198"/>
      <c r="S557" s="198"/>
      <c r="T557" s="198"/>
      <c r="U557" s="198"/>
      <c r="V557" s="198"/>
      <c r="W557" s="201"/>
      <c r="X557" s="198"/>
      <c r="Y557" s="198"/>
      <c r="Z557" s="198"/>
      <c r="AA557" s="198"/>
      <c r="AB557" s="198"/>
      <c r="AC557" s="198"/>
      <c r="AD557" s="198"/>
      <c r="AE557" s="198"/>
      <c r="AF557" s="198"/>
      <c r="AG557" s="198"/>
      <c r="AH557" s="198"/>
      <c r="AI557" s="198"/>
      <c r="AJ557" s="198"/>
      <c r="AK557" s="198"/>
    </row>
    <row r="558">
      <c r="A558" s="198"/>
      <c r="B558" s="198"/>
      <c r="C558" s="198"/>
      <c r="D558" s="198"/>
      <c r="E558" s="198"/>
      <c r="F558" s="198"/>
      <c r="G558" s="198"/>
      <c r="H558" s="198"/>
      <c r="I558" s="198"/>
      <c r="J558" s="198"/>
      <c r="K558" s="198"/>
      <c r="L558" s="198"/>
      <c r="M558" s="198"/>
      <c r="N558" s="198"/>
      <c r="O558" s="198"/>
      <c r="P558" s="198"/>
      <c r="Q558" s="198"/>
      <c r="R558" s="198"/>
      <c r="S558" s="198"/>
      <c r="T558" s="198"/>
      <c r="U558" s="198"/>
      <c r="V558" s="198"/>
      <c r="W558" s="201"/>
      <c r="X558" s="198"/>
      <c r="Y558" s="198"/>
      <c r="Z558" s="198"/>
      <c r="AA558" s="198"/>
      <c r="AB558" s="198"/>
      <c r="AC558" s="198"/>
      <c r="AD558" s="198"/>
      <c r="AE558" s="198"/>
      <c r="AF558" s="198"/>
      <c r="AG558" s="198"/>
      <c r="AH558" s="198"/>
      <c r="AI558" s="198"/>
      <c r="AJ558" s="198"/>
      <c r="AK558" s="198"/>
    </row>
    <row r="559">
      <c r="A559" s="198"/>
      <c r="B559" s="198"/>
      <c r="C559" s="198"/>
      <c r="D559" s="198"/>
      <c r="E559" s="198"/>
      <c r="F559" s="198"/>
      <c r="G559" s="198"/>
      <c r="H559" s="198"/>
      <c r="I559" s="198"/>
      <c r="J559" s="198"/>
      <c r="K559" s="198"/>
      <c r="L559" s="198"/>
      <c r="M559" s="198"/>
      <c r="N559" s="198"/>
      <c r="O559" s="198"/>
      <c r="P559" s="198"/>
      <c r="Q559" s="198"/>
      <c r="R559" s="198"/>
      <c r="S559" s="198"/>
      <c r="T559" s="198"/>
      <c r="U559" s="198"/>
      <c r="V559" s="198"/>
      <c r="W559" s="201"/>
      <c r="X559" s="198"/>
      <c r="Y559" s="198"/>
      <c r="Z559" s="198"/>
      <c r="AA559" s="198"/>
      <c r="AB559" s="198"/>
      <c r="AC559" s="198"/>
      <c r="AD559" s="198"/>
      <c r="AE559" s="198"/>
      <c r="AF559" s="198"/>
      <c r="AG559" s="198"/>
      <c r="AH559" s="198"/>
      <c r="AI559" s="198"/>
      <c r="AJ559" s="198"/>
      <c r="AK559" s="198"/>
    </row>
    <row r="560">
      <c r="A560" s="198"/>
      <c r="B560" s="198"/>
      <c r="C560" s="198"/>
      <c r="D560" s="198"/>
      <c r="E560" s="198"/>
      <c r="F560" s="198"/>
      <c r="G560" s="198"/>
      <c r="H560" s="198"/>
      <c r="I560" s="198"/>
      <c r="J560" s="198"/>
      <c r="K560" s="198"/>
      <c r="L560" s="198"/>
      <c r="M560" s="198"/>
      <c r="N560" s="198"/>
      <c r="O560" s="198"/>
      <c r="P560" s="198"/>
      <c r="Q560" s="198"/>
      <c r="R560" s="198"/>
      <c r="S560" s="198"/>
      <c r="T560" s="198"/>
      <c r="U560" s="198"/>
      <c r="V560" s="198"/>
      <c r="W560" s="201"/>
      <c r="X560" s="198"/>
      <c r="Y560" s="198"/>
      <c r="Z560" s="198"/>
      <c r="AA560" s="198"/>
      <c r="AB560" s="198"/>
      <c r="AC560" s="198"/>
      <c r="AD560" s="198"/>
      <c r="AE560" s="198"/>
      <c r="AF560" s="198"/>
      <c r="AG560" s="198"/>
      <c r="AH560" s="198"/>
      <c r="AI560" s="198"/>
      <c r="AJ560" s="198"/>
      <c r="AK560" s="198"/>
    </row>
    <row r="561">
      <c r="A561" s="198"/>
      <c r="B561" s="198"/>
      <c r="C561" s="198"/>
      <c r="D561" s="198"/>
      <c r="E561" s="198"/>
      <c r="F561" s="198"/>
      <c r="G561" s="198"/>
      <c r="H561" s="198"/>
      <c r="I561" s="198"/>
      <c r="J561" s="198"/>
      <c r="K561" s="198"/>
      <c r="L561" s="198"/>
      <c r="M561" s="198"/>
      <c r="N561" s="198"/>
      <c r="O561" s="198"/>
      <c r="P561" s="198"/>
      <c r="Q561" s="198"/>
      <c r="R561" s="198"/>
      <c r="S561" s="198"/>
      <c r="T561" s="198"/>
      <c r="U561" s="198"/>
      <c r="V561" s="198"/>
      <c r="W561" s="201"/>
      <c r="X561" s="198"/>
      <c r="Y561" s="198"/>
      <c r="Z561" s="198"/>
      <c r="AA561" s="198"/>
      <c r="AB561" s="198"/>
      <c r="AC561" s="198"/>
      <c r="AD561" s="198"/>
      <c r="AE561" s="198"/>
      <c r="AF561" s="198"/>
      <c r="AG561" s="198"/>
      <c r="AH561" s="198"/>
      <c r="AI561" s="198"/>
      <c r="AJ561" s="198"/>
      <c r="AK561" s="198"/>
    </row>
    <row r="562">
      <c r="A562" s="198"/>
      <c r="B562" s="198"/>
      <c r="C562" s="198"/>
      <c r="D562" s="198"/>
      <c r="E562" s="198"/>
      <c r="F562" s="198"/>
      <c r="G562" s="198"/>
      <c r="H562" s="198"/>
      <c r="I562" s="198"/>
      <c r="J562" s="198"/>
      <c r="K562" s="198"/>
      <c r="L562" s="198"/>
      <c r="M562" s="198"/>
      <c r="N562" s="198"/>
      <c r="O562" s="198"/>
      <c r="P562" s="198"/>
      <c r="Q562" s="198"/>
      <c r="R562" s="198"/>
      <c r="S562" s="198"/>
      <c r="T562" s="198"/>
      <c r="U562" s="198"/>
      <c r="V562" s="198"/>
      <c r="W562" s="201"/>
      <c r="X562" s="198"/>
      <c r="Y562" s="198"/>
      <c r="Z562" s="198"/>
      <c r="AA562" s="198"/>
      <c r="AB562" s="198"/>
      <c r="AC562" s="198"/>
      <c r="AD562" s="198"/>
      <c r="AE562" s="198"/>
      <c r="AF562" s="198"/>
      <c r="AG562" s="198"/>
      <c r="AH562" s="198"/>
      <c r="AI562" s="198"/>
      <c r="AJ562" s="198"/>
      <c r="AK562" s="198"/>
    </row>
    <row r="563">
      <c r="A563" s="198"/>
      <c r="B563" s="198"/>
      <c r="C563" s="198"/>
      <c r="D563" s="198"/>
      <c r="E563" s="198"/>
      <c r="F563" s="198"/>
      <c r="G563" s="198"/>
      <c r="H563" s="198"/>
      <c r="I563" s="198"/>
      <c r="J563" s="198"/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201"/>
      <c r="X563" s="198"/>
      <c r="Y563" s="198"/>
      <c r="Z563" s="198"/>
      <c r="AA563" s="198"/>
      <c r="AB563" s="198"/>
      <c r="AC563" s="198"/>
      <c r="AD563" s="198"/>
      <c r="AE563" s="198"/>
      <c r="AF563" s="198"/>
      <c r="AG563" s="198"/>
      <c r="AH563" s="198"/>
      <c r="AI563" s="198"/>
      <c r="AJ563" s="198"/>
      <c r="AK563" s="198"/>
    </row>
    <row r="564">
      <c r="A564" s="198"/>
      <c r="B564" s="198"/>
      <c r="C564" s="198"/>
      <c r="D564" s="198"/>
      <c r="E564" s="198"/>
      <c r="F564" s="198"/>
      <c r="G564" s="198"/>
      <c r="H564" s="198"/>
      <c r="I564" s="198"/>
      <c r="J564" s="198"/>
      <c r="K564" s="198"/>
      <c r="L564" s="198"/>
      <c r="M564" s="198"/>
      <c r="N564" s="198"/>
      <c r="O564" s="198"/>
      <c r="P564" s="198"/>
      <c r="Q564" s="198"/>
      <c r="R564" s="198"/>
      <c r="S564" s="198"/>
      <c r="T564" s="198"/>
      <c r="U564" s="198"/>
      <c r="V564" s="198"/>
      <c r="W564" s="201"/>
      <c r="X564" s="198"/>
      <c r="Y564" s="198"/>
      <c r="Z564" s="198"/>
      <c r="AA564" s="198"/>
      <c r="AB564" s="198"/>
      <c r="AC564" s="198"/>
      <c r="AD564" s="198"/>
      <c r="AE564" s="198"/>
      <c r="AF564" s="198"/>
      <c r="AG564" s="198"/>
      <c r="AH564" s="198"/>
      <c r="AI564" s="198"/>
      <c r="AJ564" s="198"/>
      <c r="AK564" s="198"/>
    </row>
    <row r="565">
      <c r="A565" s="198"/>
      <c r="B565" s="198"/>
      <c r="C565" s="198"/>
      <c r="D565" s="198"/>
      <c r="E565" s="198"/>
      <c r="F565" s="198"/>
      <c r="G565" s="198"/>
      <c r="H565" s="198"/>
      <c r="I565" s="198"/>
      <c r="J565" s="198"/>
      <c r="K565" s="198"/>
      <c r="L565" s="198"/>
      <c r="M565" s="198"/>
      <c r="N565" s="198"/>
      <c r="O565" s="198"/>
      <c r="P565" s="198"/>
      <c r="Q565" s="198"/>
      <c r="R565" s="198"/>
      <c r="S565" s="198"/>
      <c r="T565" s="198"/>
      <c r="U565" s="198"/>
      <c r="V565" s="198"/>
      <c r="W565" s="201"/>
      <c r="X565" s="198"/>
      <c r="Y565" s="198"/>
      <c r="Z565" s="198"/>
      <c r="AA565" s="198"/>
      <c r="AB565" s="198"/>
      <c r="AC565" s="198"/>
      <c r="AD565" s="198"/>
      <c r="AE565" s="198"/>
      <c r="AF565" s="198"/>
      <c r="AG565" s="198"/>
      <c r="AH565" s="198"/>
      <c r="AI565" s="198"/>
      <c r="AJ565" s="198"/>
      <c r="AK565" s="198"/>
    </row>
    <row r="566">
      <c r="A566" s="198"/>
      <c r="B566" s="198"/>
      <c r="C566" s="198"/>
      <c r="D566" s="198"/>
      <c r="E566" s="198"/>
      <c r="F566" s="198"/>
      <c r="G566" s="198"/>
      <c r="H566" s="198"/>
      <c r="I566" s="198"/>
      <c r="J566" s="198"/>
      <c r="K566" s="198"/>
      <c r="L566" s="198"/>
      <c r="M566" s="198"/>
      <c r="N566" s="198"/>
      <c r="O566" s="198"/>
      <c r="P566" s="198"/>
      <c r="Q566" s="198"/>
      <c r="R566" s="198"/>
      <c r="S566" s="198"/>
      <c r="T566" s="198"/>
      <c r="U566" s="198"/>
      <c r="V566" s="198"/>
      <c r="W566" s="201"/>
      <c r="X566" s="198"/>
      <c r="Y566" s="198"/>
      <c r="Z566" s="198"/>
      <c r="AA566" s="198"/>
      <c r="AB566" s="198"/>
      <c r="AC566" s="198"/>
      <c r="AD566" s="198"/>
      <c r="AE566" s="198"/>
      <c r="AF566" s="198"/>
      <c r="AG566" s="198"/>
      <c r="AH566" s="198"/>
      <c r="AI566" s="198"/>
      <c r="AJ566" s="198"/>
      <c r="AK566" s="198"/>
    </row>
    <row r="567">
      <c r="A567" s="198"/>
      <c r="B567" s="198"/>
      <c r="C567" s="198"/>
      <c r="D567" s="198"/>
      <c r="E567" s="198"/>
      <c r="F567" s="198"/>
      <c r="G567" s="198"/>
      <c r="H567" s="198"/>
      <c r="I567" s="198"/>
      <c r="J567" s="198"/>
      <c r="K567" s="198"/>
      <c r="L567" s="198"/>
      <c r="M567" s="198"/>
      <c r="N567" s="198"/>
      <c r="O567" s="198"/>
      <c r="P567" s="198"/>
      <c r="Q567" s="198"/>
      <c r="R567" s="198"/>
      <c r="S567" s="198"/>
      <c r="T567" s="198"/>
      <c r="U567" s="198"/>
      <c r="V567" s="198"/>
      <c r="W567" s="201"/>
      <c r="X567" s="198"/>
      <c r="Y567" s="198"/>
      <c r="Z567" s="198"/>
      <c r="AA567" s="198"/>
      <c r="AB567" s="198"/>
      <c r="AC567" s="198"/>
      <c r="AD567" s="198"/>
      <c r="AE567" s="198"/>
      <c r="AF567" s="198"/>
      <c r="AG567" s="198"/>
      <c r="AH567" s="198"/>
      <c r="AI567" s="198"/>
      <c r="AJ567" s="198"/>
      <c r="AK567" s="198"/>
    </row>
    <row r="568">
      <c r="A568" s="198"/>
      <c r="B568" s="198"/>
      <c r="C568" s="198"/>
      <c r="D568" s="198"/>
      <c r="E568" s="198"/>
      <c r="F568" s="198"/>
      <c r="G568" s="198"/>
      <c r="H568" s="198"/>
      <c r="I568" s="198"/>
      <c r="J568" s="198"/>
      <c r="K568" s="198"/>
      <c r="L568" s="198"/>
      <c r="M568" s="198"/>
      <c r="N568" s="198"/>
      <c r="O568" s="198"/>
      <c r="P568" s="198"/>
      <c r="Q568" s="198"/>
      <c r="R568" s="198"/>
      <c r="S568" s="198"/>
      <c r="T568" s="198"/>
      <c r="U568" s="198"/>
      <c r="V568" s="198"/>
      <c r="W568" s="201"/>
      <c r="X568" s="198"/>
      <c r="Y568" s="198"/>
      <c r="Z568" s="198"/>
      <c r="AA568" s="198"/>
      <c r="AB568" s="198"/>
      <c r="AC568" s="198"/>
      <c r="AD568" s="198"/>
      <c r="AE568" s="198"/>
      <c r="AF568" s="198"/>
      <c r="AG568" s="198"/>
      <c r="AH568" s="198"/>
      <c r="AI568" s="198"/>
      <c r="AJ568" s="198"/>
      <c r="AK568" s="198"/>
    </row>
    <row r="569">
      <c r="A569" s="198"/>
      <c r="B569" s="198"/>
      <c r="C569" s="198"/>
      <c r="D569" s="198"/>
      <c r="E569" s="198"/>
      <c r="F569" s="198"/>
      <c r="G569" s="198"/>
      <c r="H569" s="198"/>
      <c r="I569" s="198"/>
      <c r="J569" s="198"/>
      <c r="K569" s="198"/>
      <c r="L569" s="198"/>
      <c r="M569" s="198"/>
      <c r="N569" s="198"/>
      <c r="O569" s="198"/>
      <c r="P569" s="198"/>
      <c r="Q569" s="198"/>
      <c r="R569" s="198"/>
      <c r="S569" s="198"/>
      <c r="T569" s="198"/>
      <c r="U569" s="198"/>
      <c r="V569" s="198"/>
      <c r="W569" s="201"/>
      <c r="X569" s="198"/>
      <c r="Y569" s="198"/>
      <c r="Z569" s="198"/>
      <c r="AA569" s="198"/>
      <c r="AB569" s="198"/>
      <c r="AC569" s="198"/>
      <c r="AD569" s="198"/>
      <c r="AE569" s="198"/>
      <c r="AF569" s="198"/>
      <c r="AG569" s="198"/>
      <c r="AH569" s="198"/>
      <c r="AI569" s="198"/>
      <c r="AJ569" s="198"/>
      <c r="AK569" s="198"/>
    </row>
    <row r="570">
      <c r="A570" s="198"/>
      <c r="B570" s="198"/>
      <c r="C570" s="198"/>
      <c r="D570" s="198"/>
      <c r="E570" s="198"/>
      <c r="F570" s="198"/>
      <c r="G570" s="198"/>
      <c r="H570" s="198"/>
      <c r="I570" s="198"/>
      <c r="J570" s="198"/>
      <c r="K570" s="198"/>
      <c r="L570" s="198"/>
      <c r="M570" s="198"/>
      <c r="N570" s="198"/>
      <c r="O570" s="198"/>
      <c r="P570" s="198"/>
      <c r="Q570" s="198"/>
      <c r="R570" s="198"/>
      <c r="S570" s="198"/>
      <c r="T570" s="198"/>
      <c r="U570" s="198"/>
      <c r="V570" s="198"/>
      <c r="W570" s="201"/>
      <c r="X570" s="198"/>
      <c r="Y570" s="198"/>
      <c r="Z570" s="198"/>
      <c r="AA570" s="198"/>
      <c r="AB570" s="198"/>
      <c r="AC570" s="198"/>
      <c r="AD570" s="198"/>
      <c r="AE570" s="198"/>
      <c r="AF570" s="198"/>
      <c r="AG570" s="198"/>
      <c r="AH570" s="198"/>
      <c r="AI570" s="198"/>
      <c r="AJ570" s="198"/>
      <c r="AK570" s="198"/>
    </row>
    <row r="571">
      <c r="A571" s="198"/>
      <c r="B571" s="198"/>
      <c r="C571" s="198"/>
      <c r="D571" s="198"/>
      <c r="E571" s="198"/>
      <c r="F571" s="198"/>
      <c r="G571" s="198"/>
      <c r="H571" s="198"/>
      <c r="I571" s="198"/>
      <c r="J571" s="198"/>
      <c r="K571" s="198"/>
      <c r="L571" s="198"/>
      <c r="M571" s="198"/>
      <c r="N571" s="198"/>
      <c r="O571" s="198"/>
      <c r="P571" s="198"/>
      <c r="Q571" s="198"/>
      <c r="R571" s="198"/>
      <c r="S571" s="198"/>
      <c r="T571" s="198"/>
      <c r="U571" s="198"/>
      <c r="V571" s="198"/>
      <c r="W571" s="201"/>
      <c r="X571" s="198"/>
      <c r="Y571" s="198"/>
      <c r="Z571" s="198"/>
      <c r="AA571" s="198"/>
      <c r="AB571" s="198"/>
      <c r="AC571" s="198"/>
      <c r="AD571" s="198"/>
      <c r="AE571" s="198"/>
      <c r="AF571" s="198"/>
      <c r="AG571" s="198"/>
      <c r="AH571" s="198"/>
      <c r="AI571" s="198"/>
      <c r="AJ571" s="198"/>
      <c r="AK571" s="198"/>
    </row>
    <row r="572">
      <c r="A572" s="198"/>
      <c r="B572" s="198"/>
      <c r="C572" s="198"/>
      <c r="D572" s="198"/>
      <c r="E572" s="198"/>
      <c r="F572" s="198"/>
      <c r="G572" s="198"/>
      <c r="H572" s="198"/>
      <c r="I572" s="198"/>
      <c r="J572" s="198"/>
      <c r="K572" s="198"/>
      <c r="L572" s="198"/>
      <c r="M572" s="198"/>
      <c r="N572" s="198"/>
      <c r="O572" s="198"/>
      <c r="P572" s="198"/>
      <c r="Q572" s="198"/>
      <c r="R572" s="198"/>
      <c r="S572" s="198"/>
      <c r="T572" s="198"/>
      <c r="U572" s="198"/>
      <c r="V572" s="198"/>
      <c r="W572" s="201"/>
      <c r="X572" s="198"/>
      <c r="Y572" s="198"/>
      <c r="Z572" s="198"/>
      <c r="AA572" s="198"/>
      <c r="AB572" s="198"/>
      <c r="AC572" s="198"/>
      <c r="AD572" s="198"/>
      <c r="AE572" s="198"/>
      <c r="AF572" s="198"/>
      <c r="AG572" s="198"/>
      <c r="AH572" s="198"/>
      <c r="AI572" s="198"/>
      <c r="AJ572" s="198"/>
      <c r="AK572" s="198"/>
    </row>
    <row r="573">
      <c r="A573" s="198"/>
      <c r="B573" s="198"/>
      <c r="C573" s="198"/>
      <c r="D573" s="198"/>
      <c r="E573" s="198"/>
      <c r="F573" s="198"/>
      <c r="G573" s="198"/>
      <c r="H573" s="198"/>
      <c r="I573" s="198"/>
      <c r="J573" s="198"/>
      <c r="K573" s="198"/>
      <c r="L573" s="198"/>
      <c r="M573" s="198"/>
      <c r="N573" s="198"/>
      <c r="O573" s="198"/>
      <c r="P573" s="198"/>
      <c r="Q573" s="198"/>
      <c r="R573" s="198"/>
      <c r="S573" s="198"/>
      <c r="T573" s="198"/>
      <c r="U573" s="198"/>
      <c r="V573" s="198"/>
      <c r="W573" s="201"/>
      <c r="X573" s="198"/>
      <c r="Y573" s="198"/>
      <c r="Z573" s="198"/>
      <c r="AA573" s="198"/>
      <c r="AB573" s="198"/>
      <c r="AC573" s="198"/>
      <c r="AD573" s="198"/>
      <c r="AE573" s="198"/>
      <c r="AF573" s="198"/>
      <c r="AG573" s="198"/>
      <c r="AH573" s="198"/>
      <c r="AI573" s="198"/>
      <c r="AJ573" s="198"/>
      <c r="AK573" s="198"/>
    </row>
    <row r="574">
      <c r="A574" s="198"/>
      <c r="B574" s="198"/>
      <c r="C574" s="198"/>
      <c r="D574" s="198"/>
      <c r="E574" s="198"/>
      <c r="F574" s="198"/>
      <c r="G574" s="198"/>
      <c r="H574" s="198"/>
      <c r="I574" s="198"/>
      <c r="J574" s="198"/>
      <c r="K574" s="198"/>
      <c r="L574" s="198"/>
      <c r="M574" s="198"/>
      <c r="N574" s="198"/>
      <c r="O574" s="198"/>
      <c r="P574" s="198"/>
      <c r="Q574" s="198"/>
      <c r="R574" s="198"/>
      <c r="S574" s="198"/>
      <c r="T574" s="198"/>
      <c r="U574" s="198"/>
      <c r="V574" s="198"/>
      <c r="W574" s="201"/>
      <c r="X574" s="198"/>
      <c r="Y574" s="198"/>
      <c r="Z574" s="198"/>
      <c r="AA574" s="198"/>
      <c r="AB574" s="198"/>
      <c r="AC574" s="198"/>
      <c r="AD574" s="198"/>
      <c r="AE574" s="198"/>
      <c r="AF574" s="198"/>
      <c r="AG574" s="198"/>
      <c r="AH574" s="198"/>
      <c r="AI574" s="198"/>
      <c r="AJ574" s="198"/>
      <c r="AK574" s="198"/>
    </row>
    <row r="575">
      <c r="A575" s="198"/>
      <c r="B575" s="198"/>
      <c r="C575" s="198"/>
      <c r="D575" s="198"/>
      <c r="E575" s="198"/>
      <c r="F575" s="198"/>
      <c r="G575" s="198"/>
      <c r="H575" s="198"/>
      <c r="I575" s="198"/>
      <c r="J575" s="198"/>
      <c r="K575" s="198"/>
      <c r="L575" s="198"/>
      <c r="M575" s="198"/>
      <c r="N575" s="198"/>
      <c r="O575" s="198"/>
      <c r="P575" s="198"/>
      <c r="Q575" s="198"/>
      <c r="R575" s="198"/>
      <c r="S575" s="198"/>
      <c r="T575" s="198"/>
      <c r="U575" s="198"/>
      <c r="V575" s="198"/>
      <c r="W575" s="201"/>
      <c r="X575" s="198"/>
      <c r="Y575" s="198"/>
      <c r="Z575" s="198"/>
      <c r="AA575" s="198"/>
      <c r="AB575" s="198"/>
      <c r="AC575" s="198"/>
      <c r="AD575" s="198"/>
      <c r="AE575" s="198"/>
      <c r="AF575" s="198"/>
      <c r="AG575" s="198"/>
      <c r="AH575" s="198"/>
      <c r="AI575" s="198"/>
      <c r="AJ575" s="198"/>
      <c r="AK575" s="198"/>
    </row>
    <row r="576">
      <c r="A576" s="198"/>
      <c r="B576" s="198"/>
      <c r="C576" s="198"/>
      <c r="D576" s="198"/>
      <c r="E576" s="198"/>
      <c r="F576" s="198"/>
      <c r="G576" s="198"/>
      <c r="H576" s="198"/>
      <c r="I576" s="198"/>
      <c r="J576" s="198"/>
      <c r="K576" s="198"/>
      <c r="L576" s="198"/>
      <c r="M576" s="198"/>
      <c r="N576" s="198"/>
      <c r="O576" s="198"/>
      <c r="P576" s="198"/>
      <c r="Q576" s="198"/>
      <c r="R576" s="198"/>
      <c r="S576" s="198"/>
      <c r="T576" s="198"/>
      <c r="U576" s="198"/>
      <c r="V576" s="198"/>
      <c r="W576" s="201"/>
      <c r="X576" s="198"/>
      <c r="Y576" s="198"/>
      <c r="Z576" s="198"/>
      <c r="AA576" s="198"/>
      <c r="AB576" s="198"/>
      <c r="AC576" s="198"/>
      <c r="AD576" s="198"/>
      <c r="AE576" s="198"/>
      <c r="AF576" s="198"/>
      <c r="AG576" s="198"/>
      <c r="AH576" s="198"/>
      <c r="AI576" s="198"/>
      <c r="AJ576" s="198"/>
      <c r="AK576" s="198"/>
    </row>
    <row r="577">
      <c r="A577" s="198"/>
      <c r="B577" s="198"/>
      <c r="C577" s="198"/>
      <c r="D577" s="198"/>
      <c r="E577" s="198"/>
      <c r="F577" s="198"/>
      <c r="G577" s="198"/>
      <c r="H577" s="198"/>
      <c r="I577" s="198"/>
      <c r="J577" s="198"/>
      <c r="K577" s="198"/>
      <c r="L577" s="198"/>
      <c r="M577" s="198"/>
      <c r="N577" s="198"/>
      <c r="O577" s="198"/>
      <c r="P577" s="198"/>
      <c r="Q577" s="198"/>
      <c r="R577" s="198"/>
      <c r="S577" s="198"/>
      <c r="T577" s="198"/>
      <c r="U577" s="198"/>
      <c r="V577" s="198"/>
      <c r="W577" s="201"/>
      <c r="X577" s="198"/>
      <c r="Y577" s="198"/>
      <c r="Z577" s="198"/>
      <c r="AA577" s="198"/>
      <c r="AB577" s="198"/>
      <c r="AC577" s="198"/>
      <c r="AD577" s="198"/>
      <c r="AE577" s="198"/>
      <c r="AF577" s="198"/>
      <c r="AG577" s="198"/>
      <c r="AH577" s="198"/>
      <c r="AI577" s="198"/>
      <c r="AJ577" s="198"/>
      <c r="AK577" s="198"/>
    </row>
    <row r="578">
      <c r="A578" s="198"/>
      <c r="B578" s="198"/>
      <c r="C578" s="198"/>
      <c r="D578" s="198"/>
      <c r="E578" s="198"/>
      <c r="F578" s="198"/>
      <c r="G578" s="198"/>
      <c r="H578" s="198"/>
      <c r="I578" s="198"/>
      <c r="J578" s="198"/>
      <c r="K578" s="198"/>
      <c r="L578" s="198"/>
      <c r="M578" s="198"/>
      <c r="N578" s="198"/>
      <c r="O578" s="198"/>
      <c r="P578" s="198"/>
      <c r="Q578" s="198"/>
      <c r="R578" s="198"/>
      <c r="S578" s="198"/>
      <c r="T578" s="198"/>
      <c r="U578" s="198"/>
      <c r="V578" s="198"/>
      <c r="W578" s="201"/>
      <c r="X578" s="198"/>
      <c r="Y578" s="198"/>
      <c r="Z578" s="198"/>
      <c r="AA578" s="198"/>
      <c r="AB578" s="198"/>
      <c r="AC578" s="198"/>
      <c r="AD578" s="198"/>
      <c r="AE578" s="198"/>
      <c r="AF578" s="198"/>
      <c r="AG578" s="198"/>
      <c r="AH578" s="198"/>
      <c r="AI578" s="198"/>
      <c r="AJ578" s="198"/>
      <c r="AK578" s="198"/>
    </row>
    <row r="579">
      <c r="A579" s="198"/>
      <c r="B579" s="198"/>
      <c r="C579" s="198"/>
      <c r="D579" s="198"/>
      <c r="E579" s="198"/>
      <c r="F579" s="198"/>
      <c r="G579" s="198"/>
      <c r="H579" s="198"/>
      <c r="I579" s="198"/>
      <c r="J579" s="198"/>
      <c r="K579" s="198"/>
      <c r="L579" s="198"/>
      <c r="M579" s="198"/>
      <c r="N579" s="198"/>
      <c r="O579" s="198"/>
      <c r="P579" s="198"/>
      <c r="Q579" s="198"/>
      <c r="R579" s="198"/>
      <c r="S579" s="198"/>
      <c r="T579" s="198"/>
      <c r="U579" s="198"/>
      <c r="V579" s="198"/>
      <c r="W579" s="201"/>
      <c r="X579" s="198"/>
      <c r="Y579" s="198"/>
      <c r="Z579" s="198"/>
      <c r="AA579" s="198"/>
      <c r="AB579" s="198"/>
      <c r="AC579" s="198"/>
      <c r="AD579" s="198"/>
      <c r="AE579" s="198"/>
      <c r="AF579" s="198"/>
      <c r="AG579" s="198"/>
      <c r="AH579" s="198"/>
      <c r="AI579" s="198"/>
      <c r="AJ579" s="198"/>
      <c r="AK579" s="198"/>
    </row>
    <row r="580">
      <c r="A580" s="198"/>
      <c r="B580" s="198"/>
      <c r="C580" s="198"/>
      <c r="D580" s="198"/>
      <c r="E580" s="198"/>
      <c r="F580" s="198"/>
      <c r="G580" s="198"/>
      <c r="H580" s="198"/>
      <c r="I580" s="198"/>
      <c r="J580" s="198"/>
      <c r="K580" s="198"/>
      <c r="L580" s="198"/>
      <c r="M580" s="198"/>
      <c r="N580" s="198"/>
      <c r="O580" s="198"/>
      <c r="P580" s="198"/>
      <c r="Q580" s="198"/>
      <c r="R580" s="198"/>
      <c r="S580" s="198"/>
      <c r="T580" s="198"/>
      <c r="U580" s="198"/>
      <c r="V580" s="198"/>
      <c r="W580" s="201"/>
      <c r="X580" s="198"/>
      <c r="Y580" s="198"/>
      <c r="Z580" s="198"/>
      <c r="AA580" s="198"/>
      <c r="AB580" s="198"/>
      <c r="AC580" s="198"/>
      <c r="AD580" s="198"/>
      <c r="AE580" s="198"/>
      <c r="AF580" s="198"/>
      <c r="AG580" s="198"/>
      <c r="AH580" s="198"/>
      <c r="AI580" s="198"/>
      <c r="AJ580" s="198"/>
      <c r="AK580" s="198"/>
    </row>
    <row r="581">
      <c r="A581" s="198"/>
      <c r="B581" s="198"/>
      <c r="C581" s="198"/>
      <c r="D581" s="198"/>
      <c r="E581" s="198"/>
      <c r="F581" s="198"/>
      <c r="G581" s="198"/>
      <c r="H581" s="198"/>
      <c r="I581" s="198"/>
      <c r="J581" s="198"/>
      <c r="K581" s="198"/>
      <c r="L581" s="198"/>
      <c r="M581" s="198"/>
      <c r="N581" s="198"/>
      <c r="O581" s="198"/>
      <c r="P581" s="198"/>
      <c r="Q581" s="198"/>
      <c r="R581" s="198"/>
      <c r="S581" s="198"/>
      <c r="T581" s="198"/>
      <c r="U581" s="198"/>
      <c r="V581" s="198"/>
      <c r="W581" s="201"/>
      <c r="X581" s="198"/>
      <c r="Y581" s="198"/>
      <c r="Z581" s="198"/>
      <c r="AA581" s="198"/>
      <c r="AB581" s="198"/>
      <c r="AC581" s="198"/>
      <c r="AD581" s="198"/>
      <c r="AE581" s="198"/>
      <c r="AF581" s="198"/>
      <c r="AG581" s="198"/>
      <c r="AH581" s="198"/>
      <c r="AI581" s="198"/>
      <c r="AJ581" s="198"/>
      <c r="AK581" s="198"/>
    </row>
    <row r="582">
      <c r="A582" s="198"/>
      <c r="B582" s="198"/>
      <c r="C582" s="198"/>
      <c r="D582" s="198"/>
      <c r="E582" s="198"/>
      <c r="F582" s="198"/>
      <c r="G582" s="198"/>
      <c r="H582" s="198"/>
      <c r="I582" s="198"/>
      <c r="J582" s="198"/>
      <c r="K582" s="198"/>
      <c r="L582" s="198"/>
      <c r="M582" s="198"/>
      <c r="N582" s="198"/>
      <c r="O582" s="198"/>
      <c r="P582" s="198"/>
      <c r="Q582" s="198"/>
      <c r="R582" s="198"/>
      <c r="S582" s="198"/>
      <c r="T582" s="198"/>
      <c r="U582" s="198"/>
      <c r="V582" s="198"/>
      <c r="W582" s="201"/>
      <c r="X582" s="198"/>
      <c r="Y582" s="198"/>
      <c r="Z582" s="198"/>
      <c r="AA582" s="198"/>
      <c r="AB582" s="198"/>
      <c r="AC582" s="198"/>
      <c r="AD582" s="198"/>
      <c r="AE582" s="198"/>
      <c r="AF582" s="198"/>
      <c r="AG582" s="198"/>
      <c r="AH582" s="198"/>
      <c r="AI582" s="198"/>
      <c r="AJ582" s="198"/>
      <c r="AK582" s="198"/>
    </row>
    <row r="583">
      <c r="A583" s="198"/>
      <c r="B583" s="198"/>
      <c r="C583" s="198"/>
      <c r="D583" s="198"/>
      <c r="E583" s="198"/>
      <c r="F583" s="198"/>
      <c r="G583" s="198"/>
      <c r="H583" s="198"/>
      <c r="I583" s="198"/>
      <c r="J583" s="198"/>
      <c r="K583" s="198"/>
      <c r="L583" s="198"/>
      <c r="M583" s="198"/>
      <c r="N583" s="198"/>
      <c r="O583" s="198"/>
      <c r="P583" s="198"/>
      <c r="Q583" s="198"/>
      <c r="R583" s="198"/>
      <c r="S583" s="198"/>
      <c r="T583" s="198"/>
      <c r="U583" s="198"/>
      <c r="V583" s="198"/>
      <c r="W583" s="201"/>
      <c r="X583" s="198"/>
      <c r="Y583" s="198"/>
      <c r="Z583" s="198"/>
      <c r="AA583" s="198"/>
      <c r="AB583" s="198"/>
      <c r="AC583" s="198"/>
      <c r="AD583" s="198"/>
      <c r="AE583" s="198"/>
      <c r="AF583" s="198"/>
      <c r="AG583" s="198"/>
      <c r="AH583" s="198"/>
      <c r="AI583" s="198"/>
      <c r="AJ583" s="198"/>
      <c r="AK583" s="198"/>
    </row>
    <row r="584">
      <c r="A584" s="198"/>
      <c r="B584" s="198"/>
      <c r="C584" s="198"/>
      <c r="D584" s="198"/>
      <c r="E584" s="198"/>
      <c r="F584" s="198"/>
      <c r="G584" s="198"/>
      <c r="H584" s="198"/>
      <c r="I584" s="198"/>
      <c r="J584" s="198"/>
      <c r="K584" s="198"/>
      <c r="L584" s="198"/>
      <c r="M584" s="198"/>
      <c r="N584" s="198"/>
      <c r="O584" s="198"/>
      <c r="P584" s="198"/>
      <c r="Q584" s="198"/>
      <c r="R584" s="198"/>
      <c r="S584" s="198"/>
      <c r="T584" s="198"/>
      <c r="U584" s="198"/>
      <c r="V584" s="198"/>
      <c r="W584" s="201"/>
      <c r="X584" s="198"/>
      <c r="Y584" s="198"/>
      <c r="Z584" s="198"/>
      <c r="AA584" s="198"/>
      <c r="AB584" s="198"/>
      <c r="AC584" s="198"/>
      <c r="AD584" s="198"/>
      <c r="AE584" s="198"/>
      <c r="AF584" s="198"/>
      <c r="AG584" s="198"/>
      <c r="AH584" s="198"/>
      <c r="AI584" s="198"/>
      <c r="AJ584" s="198"/>
      <c r="AK584" s="198"/>
    </row>
    <row r="585">
      <c r="A585" s="198"/>
      <c r="B585" s="198"/>
      <c r="C585" s="198"/>
      <c r="D585" s="198"/>
      <c r="E585" s="198"/>
      <c r="F585" s="198"/>
      <c r="G585" s="198"/>
      <c r="H585" s="198"/>
      <c r="I585" s="198"/>
      <c r="J585" s="198"/>
      <c r="K585" s="198"/>
      <c r="L585" s="198"/>
      <c r="M585" s="198"/>
      <c r="N585" s="198"/>
      <c r="O585" s="198"/>
      <c r="P585" s="198"/>
      <c r="Q585" s="198"/>
      <c r="R585" s="198"/>
      <c r="S585" s="198"/>
      <c r="T585" s="198"/>
      <c r="U585" s="198"/>
      <c r="V585" s="198"/>
      <c r="W585" s="201"/>
      <c r="X585" s="198"/>
      <c r="Y585" s="198"/>
      <c r="Z585" s="198"/>
      <c r="AA585" s="198"/>
      <c r="AB585" s="198"/>
      <c r="AC585" s="198"/>
      <c r="AD585" s="198"/>
      <c r="AE585" s="198"/>
      <c r="AF585" s="198"/>
      <c r="AG585" s="198"/>
      <c r="AH585" s="198"/>
      <c r="AI585" s="198"/>
      <c r="AJ585" s="198"/>
      <c r="AK585" s="198"/>
    </row>
    <row r="586">
      <c r="A586" s="198"/>
      <c r="B586" s="198"/>
      <c r="C586" s="198"/>
      <c r="D586" s="198"/>
      <c r="E586" s="198"/>
      <c r="F586" s="198"/>
      <c r="G586" s="198"/>
      <c r="H586" s="198"/>
      <c r="I586" s="198"/>
      <c r="J586" s="198"/>
      <c r="K586" s="198"/>
      <c r="L586" s="198"/>
      <c r="M586" s="198"/>
      <c r="N586" s="198"/>
      <c r="O586" s="198"/>
      <c r="P586" s="198"/>
      <c r="Q586" s="198"/>
      <c r="R586" s="198"/>
      <c r="S586" s="198"/>
      <c r="T586" s="198"/>
      <c r="U586" s="198"/>
      <c r="V586" s="198"/>
      <c r="W586" s="201"/>
      <c r="X586" s="198"/>
      <c r="Y586" s="198"/>
      <c r="Z586" s="198"/>
      <c r="AA586" s="198"/>
      <c r="AB586" s="198"/>
      <c r="AC586" s="198"/>
      <c r="AD586" s="198"/>
      <c r="AE586" s="198"/>
      <c r="AF586" s="198"/>
      <c r="AG586" s="198"/>
      <c r="AH586" s="198"/>
      <c r="AI586" s="198"/>
      <c r="AJ586" s="198"/>
      <c r="AK586" s="198"/>
    </row>
    <row r="587">
      <c r="A587" s="198"/>
      <c r="B587" s="198"/>
      <c r="C587" s="198"/>
      <c r="D587" s="198"/>
      <c r="E587" s="198"/>
      <c r="F587" s="198"/>
      <c r="G587" s="198"/>
      <c r="H587" s="198"/>
      <c r="I587" s="198"/>
      <c r="J587" s="198"/>
      <c r="K587" s="198"/>
      <c r="L587" s="198"/>
      <c r="M587" s="198"/>
      <c r="N587" s="198"/>
      <c r="O587" s="198"/>
      <c r="P587" s="198"/>
      <c r="Q587" s="198"/>
      <c r="R587" s="198"/>
      <c r="S587" s="198"/>
      <c r="T587" s="198"/>
      <c r="U587" s="198"/>
      <c r="V587" s="198"/>
      <c r="W587" s="201"/>
      <c r="X587" s="198"/>
      <c r="Y587" s="198"/>
      <c r="Z587" s="198"/>
      <c r="AA587" s="198"/>
      <c r="AB587" s="198"/>
      <c r="AC587" s="198"/>
      <c r="AD587" s="198"/>
      <c r="AE587" s="198"/>
      <c r="AF587" s="198"/>
      <c r="AG587" s="198"/>
      <c r="AH587" s="198"/>
      <c r="AI587" s="198"/>
      <c r="AJ587" s="198"/>
      <c r="AK587" s="198"/>
    </row>
    <row r="588">
      <c r="A588" s="198"/>
      <c r="B588" s="198"/>
      <c r="C588" s="198"/>
      <c r="D588" s="198"/>
      <c r="E588" s="198"/>
      <c r="F588" s="198"/>
      <c r="G588" s="198"/>
      <c r="H588" s="198"/>
      <c r="I588" s="198"/>
      <c r="J588" s="198"/>
      <c r="K588" s="198"/>
      <c r="L588" s="198"/>
      <c r="M588" s="198"/>
      <c r="N588" s="198"/>
      <c r="O588" s="198"/>
      <c r="P588" s="198"/>
      <c r="Q588" s="198"/>
      <c r="R588" s="198"/>
      <c r="S588" s="198"/>
      <c r="T588" s="198"/>
      <c r="U588" s="198"/>
      <c r="V588" s="198"/>
      <c r="W588" s="201"/>
      <c r="X588" s="198"/>
      <c r="Y588" s="198"/>
      <c r="Z588" s="198"/>
      <c r="AA588" s="198"/>
      <c r="AB588" s="198"/>
      <c r="AC588" s="198"/>
      <c r="AD588" s="198"/>
      <c r="AE588" s="198"/>
      <c r="AF588" s="198"/>
      <c r="AG588" s="198"/>
      <c r="AH588" s="198"/>
      <c r="AI588" s="198"/>
      <c r="AJ588" s="198"/>
      <c r="AK588" s="198"/>
    </row>
    <row r="589">
      <c r="A589" s="198"/>
      <c r="B589" s="198"/>
      <c r="C589" s="198"/>
      <c r="D589" s="198"/>
      <c r="E589" s="198"/>
      <c r="F589" s="198"/>
      <c r="G589" s="198"/>
      <c r="H589" s="198"/>
      <c r="I589" s="198"/>
      <c r="J589" s="198"/>
      <c r="K589" s="198"/>
      <c r="L589" s="198"/>
      <c r="M589" s="198"/>
      <c r="N589" s="198"/>
      <c r="O589" s="198"/>
      <c r="P589" s="198"/>
      <c r="Q589" s="198"/>
      <c r="R589" s="198"/>
      <c r="S589" s="198"/>
      <c r="T589" s="198"/>
      <c r="U589" s="198"/>
      <c r="V589" s="198"/>
      <c r="W589" s="201"/>
      <c r="X589" s="198"/>
      <c r="Y589" s="198"/>
      <c r="Z589" s="198"/>
      <c r="AA589" s="198"/>
      <c r="AB589" s="198"/>
      <c r="AC589" s="198"/>
      <c r="AD589" s="198"/>
      <c r="AE589" s="198"/>
      <c r="AF589" s="198"/>
      <c r="AG589" s="198"/>
      <c r="AH589" s="198"/>
      <c r="AI589" s="198"/>
      <c r="AJ589" s="198"/>
      <c r="AK589" s="198"/>
    </row>
    <row r="590">
      <c r="A590" s="198"/>
      <c r="B590" s="198"/>
      <c r="C590" s="198"/>
      <c r="D590" s="198"/>
      <c r="E590" s="198"/>
      <c r="F590" s="198"/>
      <c r="G590" s="198"/>
      <c r="H590" s="198"/>
      <c r="I590" s="198"/>
      <c r="J590" s="198"/>
      <c r="K590" s="198"/>
      <c r="L590" s="198"/>
      <c r="M590" s="198"/>
      <c r="N590" s="198"/>
      <c r="O590" s="198"/>
      <c r="P590" s="198"/>
      <c r="Q590" s="198"/>
      <c r="R590" s="198"/>
      <c r="S590" s="198"/>
      <c r="T590" s="198"/>
      <c r="U590" s="198"/>
      <c r="V590" s="198"/>
      <c r="W590" s="201"/>
      <c r="X590" s="198"/>
      <c r="Y590" s="198"/>
      <c r="Z590" s="198"/>
      <c r="AA590" s="198"/>
      <c r="AB590" s="198"/>
      <c r="AC590" s="198"/>
      <c r="AD590" s="198"/>
      <c r="AE590" s="198"/>
      <c r="AF590" s="198"/>
      <c r="AG590" s="198"/>
      <c r="AH590" s="198"/>
      <c r="AI590" s="198"/>
      <c r="AJ590" s="198"/>
      <c r="AK590" s="198"/>
    </row>
    <row r="591">
      <c r="A591" s="198"/>
      <c r="B591" s="198"/>
      <c r="C591" s="198"/>
      <c r="D591" s="198"/>
      <c r="E591" s="198"/>
      <c r="F591" s="198"/>
      <c r="G591" s="198"/>
      <c r="H591" s="198"/>
      <c r="I591" s="198"/>
      <c r="J591" s="198"/>
      <c r="K591" s="198"/>
      <c r="L591" s="198"/>
      <c r="M591" s="198"/>
      <c r="N591" s="198"/>
      <c r="O591" s="198"/>
      <c r="P591" s="198"/>
      <c r="Q591" s="198"/>
      <c r="R591" s="198"/>
      <c r="S591" s="198"/>
      <c r="T591" s="198"/>
      <c r="U591" s="198"/>
      <c r="V591" s="198"/>
      <c r="W591" s="201"/>
      <c r="X591" s="198"/>
      <c r="Y591" s="198"/>
      <c r="Z591" s="198"/>
      <c r="AA591" s="198"/>
      <c r="AB591" s="198"/>
      <c r="AC591" s="198"/>
      <c r="AD591" s="198"/>
      <c r="AE591" s="198"/>
      <c r="AF591" s="198"/>
      <c r="AG591" s="198"/>
      <c r="AH591" s="198"/>
      <c r="AI591" s="198"/>
      <c r="AJ591" s="198"/>
      <c r="AK591" s="198"/>
    </row>
    <row r="592">
      <c r="A592" s="198"/>
      <c r="B592" s="198"/>
      <c r="C592" s="198"/>
      <c r="D592" s="198"/>
      <c r="E592" s="198"/>
      <c r="F592" s="198"/>
      <c r="G592" s="198"/>
      <c r="H592" s="198"/>
      <c r="I592" s="198"/>
      <c r="J592" s="198"/>
      <c r="K592" s="198"/>
      <c r="L592" s="198"/>
      <c r="M592" s="198"/>
      <c r="N592" s="198"/>
      <c r="O592" s="198"/>
      <c r="P592" s="198"/>
      <c r="Q592" s="198"/>
      <c r="R592" s="198"/>
      <c r="S592" s="198"/>
      <c r="T592" s="198"/>
      <c r="U592" s="198"/>
      <c r="V592" s="198"/>
      <c r="W592" s="201"/>
      <c r="X592" s="198"/>
      <c r="Y592" s="198"/>
      <c r="Z592" s="198"/>
      <c r="AA592" s="198"/>
      <c r="AB592" s="198"/>
      <c r="AC592" s="198"/>
      <c r="AD592" s="198"/>
      <c r="AE592" s="198"/>
      <c r="AF592" s="198"/>
      <c r="AG592" s="198"/>
      <c r="AH592" s="198"/>
      <c r="AI592" s="198"/>
      <c r="AJ592" s="198"/>
      <c r="AK592" s="198"/>
    </row>
    <row r="593">
      <c r="A593" s="198"/>
      <c r="B593" s="198"/>
      <c r="C593" s="198"/>
      <c r="D593" s="198"/>
      <c r="E593" s="198"/>
      <c r="F593" s="198"/>
      <c r="G593" s="198"/>
      <c r="H593" s="198"/>
      <c r="I593" s="198"/>
      <c r="J593" s="198"/>
      <c r="K593" s="198"/>
      <c r="L593" s="198"/>
      <c r="M593" s="198"/>
      <c r="N593" s="198"/>
      <c r="O593" s="198"/>
      <c r="P593" s="198"/>
      <c r="Q593" s="198"/>
      <c r="R593" s="198"/>
      <c r="S593" s="198"/>
      <c r="T593" s="198"/>
      <c r="U593" s="198"/>
      <c r="V593" s="198"/>
      <c r="W593" s="201"/>
      <c r="X593" s="198"/>
      <c r="Y593" s="198"/>
      <c r="Z593" s="198"/>
      <c r="AA593" s="198"/>
      <c r="AB593" s="198"/>
      <c r="AC593" s="198"/>
      <c r="AD593" s="198"/>
      <c r="AE593" s="198"/>
      <c r="AF593" s="198"/>
      <c r="AG593" s="198"/>
      <c r="AH593" s="198"/>
      <c r="AI593" s="198"/>
      <c r="AJ593" s="198"/>
      <c r="AK593" s="198"/>
    </row>
    <row r="594">
      <c r="A594" s="198"/>
      <c r="B594" s="198"/>
      <c r="C594" s="198"/>
      <c r="D594" s="198"/>
      <c r="E594" s="198"/>
      <c r="F594" s="198"/>
      <c r="G594" s="198"/>
      <c r="H594" s="198"/>
      <c r="I594" s="198"/>
      <c r="J594" s="198"/>
      <c r="K594" s="198"/>
      <c r="L594" s="198"/>
      <c r="M594" s="198"/>
      <c r="N594" s="198"/>
      <c r="O594" s="198"/>
      <c r="P594" s="198"/>
      <c r="Q594" s="198"/>
      <c r="R594" s="198"/>
      <c r="S594" s="198"/>
      <c r="T594" s="198"/>
      <c r="U594" s="198"/>
      <c r="V594" s="198"/>
      <c r="W594" s="201"/>
      <c r="X594" s="198"/>
      <c r="Y594" s="198"/>
      <c r="Z594" s="198"/>
      <c r="AA594" s="198"/>
      <c r="AB594" s="198"/>
      <c r="AC594" s="198"/>
      <c r="AD594" s="198"/>
      <c r="AE594" s="198"/>
      <c r="AF594" s="198"/>
      <c r="AG594" s="198"/>
      <c r="AH594" s="198"/>
      <c r="AI594" s="198"/>
      <c r="AJ594" s="198"/>
      <c r="AK594" s="198"/>
    </row>
    <row r="595">
      <c r="A595" s="198"/>
      <c r="B595" s="198"/>
      <c r="C595" s="198"/>
      <c r="D595" s="198"/>
      <c r="E595" s="198"/>
      <c r="F595" s="198"/>
      <c r="G595" s="198"/>
      <c r="H595" s="198"/>
      <c r="I595" s="198"/>
      <c r="J595" s="198"/>
      <c r="K595" s="198"/>
      <c r="L595" s="198"/>
      <c r="M595" s="198"/>
      <c r="N595" s="198"/>
      <c r="O595" s="198"/>
      <c r="P595" s="198"/>
      <c r="Q595" s="198"/>
      <c r="R595" s="198"/>
      <c r="S595" s="198"/>
      <c r="T595" s="198"/>
      <c r="U595" s="198"/>
      <c r="V595" s="198"/>
      <c r="W595" s="201"/>
      <c r="X595" s="198"/>
      <c r="Y595" s="198"/>
      <c r="Z595" s="198"/>
      <c r="AA595" s="198"/>
      <c r="AB595" s="198"/>
      <c r="AC595" s="198"/>
      <c r="AD595" s="198"/>
      <c r="AE595" s="198"/>
      <c r="AF595" s="198"/>
      <c r="AG595" s="198"/>
      <c r="AH595" s="198"/>
      <c r="AI595" s="198"/>
      <c r="AJ595" s="198"/>
      <c r="AK595" s="198"/>
    </row>
    <row r="596">
      <c r="A596" s="198"/>
      <c r="B596" s="198"/>
      <c r="C596" s="198"/>
      <c r="D596" s="198"/>
      <c r="E596" s="198"/>
      <c r="F596" s="198"/>
      <c r="G596" s="198"/>
      <c r="H596" s="198"/>
      <c r="I596" s="198"/>
      <c r="J596" s="198"/>
      <c r="K596" s="198"/>
      <c r="L596" s="198"/>
      <c r="M596" s="198"/>
      <c r="N596" s="198"/>
      <c r="O596" s="198"/>
      <c r="P596" s="198"/>
      <c r="Q596" s="198"/>
      <c r="R596" s="198"/>
      <c r="S596" s="198"/>
      <c r="T596" s="198"/>
      <c r="U596" s="198"/>
      <c r="V596" s="198"/>
      <c r="W596" s="201"/>
      <c r="X596" s="198"/>
      <c r="Y596" s="198"/>
      <c r="Z596" s="198"/>
      <c r="AA596" s="198"/>
      <c r="AB596" s="198"/>
      <c r="AC596" s="198"/>
      <c r="AD596" s="198"/>
      <c r="AE596" s="198"/>
      <c r="AF596" s="198"/>
      <c r="AG596" s="198"/>
      <c r="AH596" s="198"/>
      <c r="AI596" s="198"/>
      <c r="AJ596" s="198"/>
      <c r="AK596" s="198"/>
    </row>
    <row r="597">
      <c r="A597" s="198"/>
      <c r="B597" s="198"/>
      <c r="C597" s="198"/>
      <c r="D597" s="198"/>
      <c r="E597" s="198"/>
      <c r="F597" s="198"/>
      <c r="G597" s="198"/>
      <c r="H597" s="198"/>
      <c r="I597" s="198"/>
      <c r="J597" s="198"/>
      <c r="K597" s="198"/>
      <c r="L597" s="198"/>
      <c r="M597" s="198"/>
      <c r="N597" s="198"/>
      <c r="O597" s="198"/>
      <c r="P597" s="198"/>
      <c r="Q597" s="198"/>
      <c r="R597" s="198"/>
      <c r="S597" s="198"/>
      <c r="T597" s="198"/>
      <c r="U597" s="198"/>
      <c r="V597" s="198"/>
      <c r="W597" s="201"/>
      <c r="X597" s="198"/>
      <c r="Y597" s="198"/>
      <c r="Z597" s="198"/>
      <c r="AA597" s="198"/>
      <c r="AB597" s="198"/>
      <c r="AC597" s="198"/>
      <c r="AD597" s="198"/>
      <c r="AE597" s="198"/>
      <c r="AF597" s="198"/>
      <c r="AG597" s="198"/>
      <c r="AH597" s="198"/>
      <c r="AI597" s="198"/>
      <c r="AJ597" s="198"/>
      <c r="AK597" s="198"/>
    </row>
    <row r="598">
      <c r="A598" s="198"/>
      <c r="B598" s="198"/>
      <c r="C598" s="198"/>
      <c r="D598" s="198"/>
      <c r="E598" s="198"/>
      <c r="F598" s="198"/>
      <c r="G598" s="198"/>
      <c r="H598" s="198"/>
      <c r="I598" s="198"/>
      <c r="J598" s="198"/>
      <c r="K598" s="198"/>
      <c r="L598" s="198"/>
      <c r="M598" s="198"/>
      <c r="N598" s="198"/>
      <c r="O598" s="198"/>
      <c r="P598" s="198"/>
      <c r="Q598" s="198"/>
      <c r="R598" s="198"/>
      <c r="S598" s="198"/>
      <c r="T598" s="198"/>
      <c r="U598" s="198"/>
      <c r="V598" s="198"/>
      <c r="W598" s="201"/>
      <c r="X598" s="198"/>
      <c r="Y598" s="198"/>
      <c r="Z598" s="198"/>
      <c r="AA598" s="198"/>
      <c r="AB598" s="198"/>
      <c r="AC598" s="198"/>
      <c r="AD598" s="198"/>
      <c r="AE598" s="198"/>
      <c r="AF598" s="198"/>
      <c r="AG598" s="198"/>
      <c r="AH598" s="198"/>
      <c r="AI598" s="198"/>
      <c r="AJ598" s="198"/>
      <c r="AK598" s="198"/>
    </row>
    <row r="599">
      <c r="A599" s="198"/>
      <c r="B599" s="198"/>
      <c r="C599" s="198"/>
      <c r="D599" s="198"/>
      <c r="E599" s="198"/>
      <c r="F599" s="198"/>
      <c r="G599" s="198"/>
      <c r="H599" s="198"/>
      <c r="I599" s="198"/>
      <c r="J599" s="198"/>
      <c r="K599" s="198"/>
      <c r="L599" s="198"/>
      <c r="M599" s="198"/>
      <c r="N599" s="198"/>
      <c r="O599" s="198"/>
      <c r="P599" s="198"/>
      <c r="Q599" s="198"/>
      <c r="R599" s="198"/>
      <c r="S599" s="198"/>
      <c r="T599" s="198"/>
      <c r="U599" s="198"/>
      <c r="V599" s="198"/>
      <c r="W599" s="201"/>
      <c r="X599" s="198"/>
      <c r="Y599" s="198"/>
      <c r="Z599" s="198"/>
      <c r="AA599" s="198"/>
      <c r="AB599" s="198"/>
      <c r="AC599" s="198"/>
      <c r="AD599" s="198"/>
      <c r="AE599" s="198"/>
      <c r="AF599" s="198"/>
      <c r="AG599" s="198"/>
      <c r="AH599" s="198"/>
      <c r="AI599" s="198"/>
      <c r="AJ599" s="198"/>
      <c r="AK599" s="198"/>
    </row>
    <row r="600">
      <c r="A600" s="198"/>
      <c r="B600" s="198"/>
      <c r="C600" s="198"/>
      <c r="D600" s="198"/>
      <c r="E600" s="198"/>
      <c r="F600" s="198"/>
      <c r="G600" s="198"/>
      <c r="H600" s="198"/>
      <c r="I600" s="198"/>
      <c r="J600" s="198"/>
      <c r="K600" s="198"/>
      <c r="L600" s="198"/>
      <c r="M600" s="198"/>
      <c r="N600" s="198"/>
      <c r="O600" s="198"/>
      <c r="P600" s="198"/>
      <c r="Q600" s="198"/>
      <c r="R600" s="198"/>
      <c r="S600" s="198"/>
      <c r="T600" s="198"/>
      <c r="U600" s="198"/>
      <c r="V600" s="198"/>
      <c r="W600" s="201"/>
      <c r="X600" s="198"/>
      <c r="Y600" s="198"/>
      <c r="Z600" s="198"/>
      <c r="AA600" s="198"/>
      <c r="AB600" s="198"/>
      <c r="AC600" s="198"/>
      <c r="AD600" s="198"/>
      <c r="AE600" s="198"/>
      <c r="AF600" s="198"/>
      <c r="AG600" s="198"/>
      <c r="AH600" s="198"/>
      <c r="AI600" s="198"/>
      <c r="AJ600" s="198"/>
      <c r="AK600" s="198"/>
    </row>
    <row r="601">
      <c r="A601" s="198"/>
      <c r="B601" s="198"/>
      <c r="C601" s="198"/>
      <c r="D601" s="198"/>
      <c r="E601" s="198"/>
      <c r="F601" s="198"/>
      <c r="G601" s="198"/>
      <c r="H601" s="198"/>
      <c r="I601" s="198"/>
      <c r="J601" s="198"/>
      <c r="K601" s="198"/>
      <c r="L601" s="198"/>
      <c r="M601" s="198"/>
      <c r="N601" s="198"/>
      <c r="O601" s="198"/>
      <c r="P601" s="198"/>
      <c r="Q601" s="198"/>
      <c r="R601" s="198"/>
      <c r="S601" s="198"/>
      <c r="T601" s="198"/>
      <c r="U601" s="198"/>
      <c r="V601" s="198"/>
      <c r="W601" s="201"/>
      <c r="X601" s="198"/>
      <c r="Y601" s="198"/>
      <c r="Z601" s="198"/>
      <c r="AA601" s="198"/>
      <c r="AB601" s="198"/>
      <c r="AC601" s="198"/>
      <c r="AD601" s="198"/>
      <c r="AE601" s="198"/>
      <c r="AF601" s="198"/>
      <c r="AG601" s="198"/>
      <c r="AH601" s="198"/>
      <c r="AI601" s="198"/>
      <c r="AJ601" s="198"/>
      <c r="AK601" s="198"/>
    </row>
    <row r="602">
      <c r="A602" s="198"/>
      <c r="B602" s="198"/>
      <c r="C602" s="198"/>
      <c r="D602" s="198"/>
      <c r="E602" s="198"/>
      <c r="F602" s="198"/>
      <c r="G602" s="198"/>
      <c r="H602" s="198"/>
      <c r="I602" s="198"/>
      <c r="J602" s="198"/>
      <c r="K602" s="198"/>
      <c r="L602" s="198"/>
      <c r="M602" s="198"/>
      <c r="N602" s="198"/>
      <c r="O602" s="198"/>
      <c r="P602" s="198"/>
      <c r="Q602" s="198"/>
      <c r="R602" s="198"/>
      <c r="S602" s="198"/>
      <c r="T602" s="198"/>
      <c r="U602" s="198"/>
      <c r="V602" s="198"/>
      <c r="W602" s="201"/>
      <c r="X602" s="198"/>
      <c r="Y602" s="198"/>
      <c r="Z602" s="198"/>
      <c r="AA602" s="198"/>
      <c r="AB602" s="198"/>
      <c r="AC602" s="198"/>
      <c r="AD602" s="198"/>
      <c r="AE602" s="198"/>
      <c r="AF602" s="198"/>
      <c r="AG602" s="198"/>
      <c r="AH602" s="198"/>
      <c r="AI602" s="198"/>
      <c r="AJ602" s="198"/>
      <c r="AK602" s="198"/>
    </row>
    <row r="603">
      <c r="A603" s="198"/>
      <c r="B603" s="198"/>
      <c r="C603" s="198"/>
      <c r="D603" s="198"/>
      <c r="E603" s="198"/>
      <c r="F603" s="198"/>
      <c r="G603" s="198"/>
      <c r="H603" s="198"/>
      <c r="I603" s="198"/>
      <c r="J603" s="198"/>
      <c r="K603" s="198"/>
      <c r="L603" s="198"/>
      <c r="M603" s="198"/>
      <c r="N603" s="198"/>
      <c r="O603" s="198"/>
      <c r="P603" s="198"/>
      <c r="Q603" s="198"/>
      <c r="R603" s="198"/>
      <c r="S603" s="198"/>
      <c r="T603" s="198"/>
      <c r="U603" s="198"/>
      <c r="V603" s="198"/>
      <c r="W603" s="201"/>
      <c r="X603" s="198"/>
      <c r="Y603" s="198"/>
      <c r="Z603" s="198"/>
      <c r="AA603" s="198"/>
      <c r="AB603" s="198"/>
      <c r="AC603" s="198"/>
      <c r="AD603" s="198"/>
      <c r="AE603" s="198"/>
      <c r="AF603" s="198"/>
      <c r="AG603" s="198"/>
      <c r="AH603" s="198"/>
      <c r="AI603" s="198"/>
      <c r="AJ603" s="198"/>
      <c r="AK603" s="198"/>
    </row>
    <row r="604">
      <c r="A604" s="198"/>
      <c r="B604" s="198"/>
      <c r="C604" s="198"/>
      <c r="D604" s="198"/>
      <c r="E604" s="198"/>
      <c r="F604" s="198"/>
      <c r="G604" s="198"/>
      <c r="H604" s="198"/>
      <c r="I604" s="198"/>
      <c r="J604" s="198"/>
      <c r="K604" s="198"/>
      <c r="L604" s="198"/>
      <c r="M604" s="198"/>
      <c r="N604" s="198"/>
      <c r="O604" s="198"/>
      <c r="P604" s="198"/>
      <c r="Q604" s="198"/>
      <c r="R604" s="198"/>
      <c r="S604" s="198"/>
      <c r="T604" s="198"/>
      <c r="U604" s="198"/>
      <c r="V604" s="198"/>
      <c r="W604" s="201"/>
      <c r="X604" s="198"/>
      <c r="Y604" s="198"/>
      <c r="Z604" s="198"/>
      <c r="AA604" s="198"/>
      <c r="AB604" s="198"/>
      <c r="AC604" s="198"/>
      <c r="AD604" s="198"/>
      <c r="AE604" s="198"/>
      <c r="AF604" s="198"/>
      <c r="AG604" s="198"/>
      <c r="AH604" s="198"/>
      <c r="AI604" s="198"/>
      <c r="AJ604" s="198"/>
      <c r="AK604" s="198"/>
    </row>
    <row r="605">
      <c r="A605" s="198"/>
      <c r="B605" s="198"/>
      <c r="C605" s="198"/>
      <c r="D605" s="198"/>
      <c r="E605" s="198"/>
      <c r="F605" s="198"/>
      <c r="G605" s="198"/>
      <c r="H605" s="198"/>
      <c r="I605" s="198"/>
      <c r="J605" s="198"/>
      <c r="K605" s="198"/>
      <c r="L605" s="198"/>
      <c r="M605" s="198"/>
      <c r="N605" s="198"/>
      <c r="O605" s="198"/>
      <c r="P605" s="198"/>
      <c r="Q605" s="198"/>
      <c r="R605" s="198"/>
      <c r="S605" s="198"/>
      <c r="T605" s="198"/>
      <c r="U605" s="198"/>
      <c r="V605" s="198"/>
      <c r="W605" s="201"/>
      <c r="X605" s="198"/>
      <c r="Y605" s="198"/>
      <c r="Z605" s="198"/>
      <c r="AA605" s="198"/>
      <c r="AB605" s="198"/>
      <c r="AC605" s="198"/>
      <c r="AD605" s="198"/>
      <c r="AE605" s="198"/>
      <c r="AF605" s="198"/>
      <c r="AG605" s="198"/>
      <c r="AH605" s="198"/>
      <c r="AI605" s="198"/>
      <c r="AJ605" s="198"/>
      <c r="AK605" s="198"/>
    </row>
    <row r="606">
      <c r="A606" s="198"/>
      <c r="B606" s="198"/>
      <c r="C606" s="198"/>
      <c r="D606" s="198"/>
      <c r="E606" s="198"/>
      <c r="F606" s="198"/>
      <c r="G606" s="198"/>
      <c r="H606" s="198"/>
      <c r="I606" s="198"/>
      <c r="J606" s="198"/>
      <c r="K606" s="198"/>
      <c r="L606" s="198"/>
      <c r="M606" s="198"/>
      <c r="N606" s="198"/>
      <c r="O606" s="198"/>
      <c r="P606" s="198"/>
      <c r="Q606" s="198"/>
      <c r="R606" s="198"/>
      <c r="S606" s="198"/>
      <c r="T606" s="198"/>
      <c r="U606" s="198"/>
      <c r="V606" s="198"/>
      <c r="W606" s="201"/>
      <c r="X606" s="198"/>
      <c r="Y606" s="198"/>
      <c r="Z606" s="198"/>
      <c r="AA606" s="198"/>
      <c r="AB606" s="198"/>
      <c r="AC606" s="198"/>
      <c r="AD606" s="198"/>
      <c r="AE606" s="198"/>
      <c r="AF606" s="198"/>
      <c r="AG606" s="198"/>
      <c r="AH606" s="198"/>
      <c r="AI606" s="198"/>
      <c r="AJ606" s="198"/>
      <c r="AK606" s="198"/>
    </row>
    <row r="607">
      <c r="A607" s="198"/>
      <c r="B607" s="198"/>
      <c r="C607" s="198"/>
      <c r="D607" s="198"/>
      <c r="E607" s="198"/>
      <c r="F607" s="198"/>
      <c r="G607" s="198"/>
      <c r="H607" s="198"/>
      <c r="I607" s="198"/>
      <c r="J607" s="198"/>
      <c r="K607" s="198"/>
      <c r="L607" s="198"/>
      <c r="M607" s="198"/>
      <c r="N607" s="198"/>
      <c r="O607" s="198"/>
      <c r="P607" s="198"/>
      <c r="Q607" s="198"/>
      <c r="R607" s="198"/>
      <c r="S607" s="198"/>
      <c r="T607" s="198"/>
      <c r="U607" s="198"/>
      <c r="V607" s="198"/>
      <c r="W607" s="201"/>
      <c r="X607" s="198"/>
      <c r="Y607" s="198"/>
      <c r="Z607" s="198"/>
      <c r="AA607" s="198"/>
      <c r="AB607" s="198"/>
      <c r="AC607" s="198"/>
      <c r="AD607" s="198"/>
      <c r="AE607" s="198"/>
      <c r="AF607" s="198"/>
      <c r="AG607" s="198"/>
      <c r="AH607" s="198"/>
      <c r="AI607" s="198"/>
      <c r="AJ607" s="198"/>
      <c r="AK607" s="198"/>
    </row>
    <row r="608">
      <c r="A608" s="198"/>
      <c r="B608" s="198"/>
      <c r="C608" s="198"/>
      <c r="D608" s="198"/>
      <c r="E608" s="198"/>
      <c r="F608" s="198"/>
      <c r="G608" s="198"/>
      <c r="H608" s="198"/>
      <c r="I608" s="198"/>
      <c r="J608" s="198"/>
      <c r="K608" s="198"/>
      <c r="L608" s="198"/>
      <c r="M608" s="198"/>
      <c r="N608" s="198"/>
      <c r="O608" s="198"/>
      <c r="P608" s="198"/>
      <c r="Q608" s="198"/>
      <c r="R608" s="198"/>
      <c r="S608" s="198"/>
      <c r="T608" s="198"/>
      <c r="U608" s="198"/>
      <c r="V608" s="198"/>
      <c r="W608" s="201"/>
      <c r="X608" s="198"/>
      <c r="Y608" s="198"/>
      <c r="Z608" s="198"/>
      <c r="AA608" s="198"/>
      <c r="AB608" s="198"/>
      <c r="AC608" s="198"/>
      <c r="AD608" s="198"/>
      <c r="AE608" s="198"/>
      <c r="AF608" s="198"/>
      <c r="AG608" s="198"/>
      <c r="AH608" s="198"/>
      <c r="AI608" s="198"/>
      <c r="AJ608" s="198"/>
      <c r="AK608" s="198"/>
    </row>
    <row r="609">
      <c r="A609" s="198"/>
      <c r="B609" s="198"/>
      <c r="C609" s="198"/>
      <c r="D609" s="198"/>
      <c r="E609" s="198"/>
      <c r="F609" s="198"/>
      <c r="G609" s="198"/>
      <c r="H609" s="198"/>
      <c r="I609" s="198"/>
      <c r="J609" s="198"/>
      <c r="K609" s="198"/>
      <c r="L609" s="198"/>
      <c r="M609" s="198"/>
      <c r="N609" s="198"/>
      <c r="O609" s="198"/>
      <c r="P609" s="198"/>
      <c r="Q609" s="198"/>
      <c r="R609" s="198"/>
      <c r="S609" s="198"/>
      <c r="T609" s="198"/>
      <c r="U609" s="198"/>
      <c r="V609" s="198"/>
      <c r="W609" s="201"/>
      <c r="X609" s="198"/>
      <c r="Y609" s="198"/>
      <c r="Z609" s="198"/>
      <c r="AA609" s="198"/>
      <c r="AB609" s="198"/>
      <c r="AC609" s="198"/>
      <c r="AD609" s="198"/>
      <c r="AE609" s="198"/>
      <c r="AF609" s="198"/>
      <c r="AG609" s="198"/>
      <c r="AH609" s="198"/>
      <c r="AI609" s="198"/>
      <c r="AJ609" s="198"/>
      <c r="AK609" s="198"/>
    </row>
    <row r="610">
      <c r="A610" s="198"/>
      <c r="B610" s="198"/>
      <c r="C610" s="198"/>
      <c r="D610" s="198"/>
      <c r="E610" s="198"/>
      <c r="F610" s="198"/>
      <c r="G610" s="198"/>
      <c r="H610" s="198"/>
      <c r="I610" s="198"/>
      <c r="J610" s="198"/>
      <c r="K610" s="198"/>
      <c r="L610" s="198"/>
      <c r="M610" s="198"/>
      <c r="N610" s="198"/>
      <c r="O610" s="198"/>
      <c r="P610" s="198"/>
      <c r="Q610" s="198"/>
      <c r="R610" s="198"/>
      <c r="S610" s="198"/>
      <c r="T610" s="198"/>
      <c r="U610" s="198"/>
      <c r="V610" s="198"/>
      <c r="W610" s="201"/>
      <c r="X610" s="198"/>
      <c r="Y610" s="198"/>
      <c r="Z610" s="198"/>
      <c r="AA610" s="198"/>
      <c r="AB610" s="198"/>
      <c r="AC610" s="198"/>
      <c r="AD610" s="198"/>
      <c r="AE610" s="198"/>
      <c r="AF610" s="198"/>
      <c r="AG610" s="198"/>
      <c r="AH610" s="198"/>
      <c r="AI610" s="198"/>
      <c r="AJ610" s="198"/>
      <c r="AK610" s="198"/>
    </row>
    <row r="611">
      <c r="A611" s="198"/>
      <c r="B611" s="198"/>
      <c r="C611" s="198"/>
      <c r="D611" s="198"/>
      <c r="E611" s="198"/>
      <c r="F611" s="198"/>
      <c r="G611" s="198"/>
      <c r="H611" s="198"/>
      <c r="I611" s="198"/>
      <c r="J611" s="198"/>
      <c r="K611" s="198"/>
      <c r="L611" s="198"/>
      <c r="M611" s="198"/>
      <c r="N611" s="198"/>
      <c r="O611" s="198"/>
      <c r="P611" s="198"/>
      <c r="Q611" s="198"/>
      <c r="R611" s="198"/>
      <c r="S611" s="198"/>
      <c r="T611" s="198"/>
      <c r="U611" s="198"/>
      <c r="V611" s="198"/>
      <c r="W611" s="201"/>
      <c r="X611" s="198"/>
      <c r="Y611" s="198"/>
      <c r="Z611" s="198"/>
      <c r="AA611" s="198"/>
      <c r="AB611" s="198"/>
      <c r="AC611" s="198"/>
      <c r="AD611" s="198"/>
      <c r="AE611" s="198"/>
      <c r="AF611" s="198"/>
      <c r="AG611" s="198"/>
      <c r="AH611" s="198"/>
      <c r="AI611" s="198"/>
      <c r="AJ611" s="198"/>
      <c r="AK611" s="198"/>
    </row>
    <row r="612">
      <c r="A612" s="198"/>
      <c r="B612" s="198"/>
      <c r="C612" s="198"/>
      <c r="D612" s="198"/>
      <c r="E612" s="198"/>
      <c r="F612" s="198"/>
      <c r="G612" s="198"/>
      <c r="H612" s="198"/>
      <c r="I612" s="198"/>
      <c r="J612" s="198"/>
      <c r="K612" s="198"/>
      <c r="L612" s="198"/>
      <c r="M612" s="198"/>
      <c r="N612" s="198"/>
      <c r="O612" s="198"/>
      <c r="P612" s="198"/>
      <c r="Q612" s="198"/>
      <c r="R612" s="198"/>
      <c r="S612" s="198"/>
      <c r="T612" s="198"/>
      <c r="U612" s="198"/>
      <c r="V612" s="198"/>
      <c r="W612" s="201"/>
      <c r="X612" s="198"/>
      <c r="Y612" s="198"/>
      <c r="Z612" s="198"/>
      <c r="AA612" s="198"/>
      <c r="AB612" s="198"/>
      <c r="AC612" s="198"/>
      <c r="AD612" s="198"/>
      <c r="AE612" s="198"/>
      <c r="AF612" s="198"/>
      <c r="AG612" s="198"/>
      <c r="AH612" s="198"/>
      <c r="AI612" s="198"/>
      <c r="AJ612" s="198"/>
      <c r="AK612" s="198"/>
    </row>
    <row r="613">
      <c r="A613" s="198"/>
      <c r="B613" s="198"/>
      <c r="C613" s="198"/>
      <c r="D613" s="198"/>
      <c r="E613" s="198"/>
      <c r="F613" s="198"/>
      <c r="G613" s="198"/>
      <c r="H613" s="198"/>
      <c r="I613" s="198"/>
      <c r="J613" s="198"/>
      <c r="K613" s="198"/>
      <c r="L613" s="198"/>
      <c r="M613" s="198"/>
      <c r="N613" s="198"/>
      <c r="O613" s="198"/>
      <c r="P613" s="198"/>
      <c r="Q613" s="198"/>
      <c r="R613" s="198"/>
      <c r="S613" s="198"/>
      <c r="T613" s="198"/>
      <c r="U613" s="198"/>
      <c r="V613" s="198"/>
      <c r="W613" s="201"/>
      <c r="X613" s="198"/>
      <c r="Y613" s="198"/>
      <c r="Z613" s="198"/>
      <c r="AA613" s="198"/>
      <c r="AB613" s="198"/>
      <c r="AC613" s="198"/>
      <c r="AD613" s="198"/>
      <c r="AE613" s="198"/>
      <c r="AF613" s="198"/>
      <c r="AG613" s="198"/>
      <c r="AH613" s="198"/>
      <c r="AI613" s="198"/>
      <c r="AJ613" s="198"/>
      <c r="AK613" s="198"/>
    </row>
    <row r="614">
      <c r="A614" s="198"/>
      <c r="B614" s="198"/>
      <c r="C614" s="198"/>
      <c r="D614" s="198"/>
      <c r="E614" s="198"/>
      <c r="F614" s="198"/>
      <c r="G614" s="198"/>
      <c r="H614" s="198"/>
      <c r="I614" s="198"/>
      <c r="J614" s="198"/>
      <c r="K614" s="198"/>
      <c r="L614" s="198"/>
      <c r="M614" s="198"/>
      <c r="N614" s="198"/>
      <c r="O614" s="198"/>
      <c r="P614" s="198"/>
      <c r="Q614" s="198"/>
      <c r="R614" s="198"/>
      <c r="S614" s="198"/>
      <c r="T614" s="198"/>
      <c r="U614" s="198"/>
      <c r="V614" s="198"/>
      <c r="W614" s="201"/>
      <c r="X614" s="198"/>
      <c r="Y614" s="198"/>
      <c r="Z614" s="198"/>
      <c r="AA614" s="198"/>
      <c r="AB614" s="198"/>
      <c r="AC614" s="198"/>
      <c r="AD614" s="198"/>
      <c r="AE614" s="198"/>
      <c r="AF614" s="198"/>
      <c r="AG614" s="198"/>
      <c r="AH614" s="198"/>
      <c r="AI614" s="198"/>
      <c r="AJ614" s="198"/>
      <c r="AK614" s="198"/>
    </row>
    <row r="615">
      <c r="A615" s="198"/>
      <c r="B615" s="198"/>
      <c r="C615" s="198"/>
      <c r="D615" s="198"/>
      <c r="E615" s="198"/>
      <c r="F615" s="198"/>
      <c r="G615" s="198"/>
      <c r="H615" s="198"/>
      <c r="I615" s="198"/>
      <c r="J615" s="198"/>
      <c r="K615" s="198"/>
      <c r="L615" s="198"/>
      <c r="M615" s="198"/>
      <c r="N615" s="198"/>
      <c r="O615" s="198"/>
      <c r="P615" s="198"/>
      <c r="Q615" s="198"/>
      <c r="R615" s="198"/>
      <c r="S615" s="198"/>
      <c r="T615" s="198"/>
      <c r="U615" s="198"/>
      <c r="V615" s="198"/>
      <c r="W615" s="201"/>
      <c r="X615" s="198"/>
      <c r="Y615" s="198"/>
      <c r="Z615" s="198"/>
      <c r="AA615" s="198"/>
      <c r="AB615" s="198"/>
      <c r="AC615" s="198"/>
      <c r="AD615" s="198"/>
      <c r="AE615" s="198"/>
      <c r="AF615" s="198"/>
      <c r="AG615" s="198"/>
      <c r="AH615" s="198"/>
      <c r="AI615" s="198"/>
      <c r="AJ615" s="198"/>
      <c r="AK615" s="198"/>
    </row>
    <row r="616">
      <c r="A616" s="198"/>
      <c r="B616" s="198"/>
      <c r="C616" s="198"/>
      <c r="D616" s="198"/>
      <c r="E616" s="198"/>
      <c r="F616" s="198"/>
      <c r="G616" s="198"/>
      <c r="H616" s="198"/>
      <c r="I616" s="198"/>
      <c r="J616" s="198"/>
      <c r="K616" s="198"/>
      <c r="L616" s="198"/>
      <c r="M616" s="198"/>
      <c r="N616" s="198"/>
      <c r="O616" s="198"/>
      <c r="P616" s="198"/>
      <c r="Q616" s="198"/>
      <c r="R616" s="198"/>
      <c r="S616" s="198"/>
      <c r="T616" s="198"/>
      <c r="U616" s="198"/>
      <c r="V616" s="198"/>
      <c r="W616" s="201"/>
      <c r="X616" s="198"/>
      <c r="Y616" s="198"/>
      <c r="Z616" s="198"/>
      <c r="AA616" s="198"/>
      <c r="AB616" s="198"/>
      <c r="AC616" s="198"/>
      <c r="AD616" s="198"/>
      <c r="AE616" s="198"/>
      <c r="AF616" s="198"/>
      <c r="AG616" s="198"/>
      <c r="AH616" s="198"/>
      <c r="AI616" s="198"/>
      <c r="AJ616" s="198"/>
      <c r="AK616" s="198"/>
    </row>
    <row r="617">
      <c r="A617" s="198"/>
      <c r="B617" s="198"/>
      <c r="C617" s="198"/>
      <c r="D617" s="198"/>
      <c r="E617" s="198"/>
      <c r="F617" s="198"/>
      <c r="G617" s="198"/>
      <c r="H617" s="198"/>
      <c r="I617" s="198"/>
      <c r="J617" s="198"/>
      <c r="K617" s="198"/>
      <c r="L617" s="198"/>
      <c r="M617" s="198"/>
      <c r="N617" s="198"/>
      <c r="O617" s="198"/>
      <c r="P617" s="198"/>
      <c r="Q617" s="198"/>
      <c r="R617" s="198"/>
      <c r="S617" s="198"/>
      <c r="T617" s="198"/>
      <c r="U617" s="198"/>
      <c r="V617" s="198"/>
      <c r="W617" s="201"/>
      <c r="X617" s="198"/>
      <c r="Y617" s="198"/>
      <c r="Z617" s="198"/>
      <c r="AA617" s="198"/>
      <c r="AB617" s="198"/>
      <c r="AC617" s="198"/>
      <c r="AD617" s="198"/>
      <c r="AE617" s="198"/>
      <c r="AF617" s="198"/>
      <c r="AG617" s="198"/>
      <c r="AH617" s="198"/>
      <c r="AI617" s="198"/>
      <c r="AJ617" s="198"/>
      <c r="AK617" s="198"/>
    </row>
    <row r="618">
      <c r="A618" s="198"/>
      <c r="B618" s="198"/>
      <c r="C618" s="198"/>
      <c r="D618" s="198"/>
      <c r="E618" s="198"/>
      <c r="F618" s="198"/>
      <c r="G618" s="198"/>
      <c r="H618" s="198"/>
      <c r="I618" s="198"/>
      <c r="J618" s="198"/>
      <c r="K618" s="198"/>
      <c r="L618" s="198"/>
      <c r="M618" s="198"/>
      <c r="N618" s="198"/>
      <c r="O618" s="198"/>
      <c r="P618" s="198"/>
      <c r="Q618" s="198"/>
      <c r="R618" s="198"/>
      <c r="S618" s="198"/>
      <c r="T618" s="198"/>
      <c r="U618" s="198"/>
      <c r="V618" s="198"/>
      <c r="W618" s="201"/>
      <c r="X618" s="198"/>
      <c r="Y618" s="198"/>
      <c r="Z618" s="198"/>
      <c r="AA618" s="198"/>
      <c r="AB618" s="198"/>
      <c r="AC618" s="198"/>
      <c r="AD618" s="198"/>
      <c r="AE618" s="198"/>
      <c r="AF618" s="198"/>
      <c r="AG618" s="198"/>
      <c r="AH618" s="198"/>
      <c r="AI618" s="198"/>
      <c r="AJ618" s="198"/>
      <c r="AK618" s="198"/>
    </row>
    <row r="619">
      <c r="A619" s="198"/>
      <c r="B619" s="198"/>
      <c r="C619" s="198"/>
      <c r="D619" s="198"/>
      <c r="E619" s="198"/>
      <c r="F619" s="198"/>
      <c r="G619" s="198"/>
      <c r="H619" s="198"/>
      <c r="I619" s="198"/>
      <c r="J619" s="198"/>
      <c r="K619" s="198"/>
      <c r="L619" s="198"/>
      <c r="M619" s="198"/>
      <c r="N619" s="198"/>
      <c r="O619" s="198"/>
      <c r="P619" s="198"/>
      <c r="Q619" s="198"/>
      <c r="R619" s="198"/>
      <c r="S619" s="198"/>
      <c r="T619" s="198"/>
      <c r="U619" s="198"/>
      <c r="V619" s="198"/>
      <c r="W619" s="201"/>
      <c r="X619" s="198"/>
      <c r="Y619" s="198"/>
      <c r="Z619" s="198"/>
      <c r="AA619" s="198"/>
      <c r="AB619" s="198"/>
      <c r="AC619" s="198"/>
      <c r="AD619" s="198"/>
      <c r="AE619" s="198"/>
      <c r="AF619" s="198"/>
      <c r="AG619" s="198"/>
      <c r="AH619" s="198"/>
      <c r="AI619" s="198"/>
      <c r="AJ619" s="198"/>
      <c r="AK619" s="198"/>
    </row>
    <row r="620">
      <c r="A620" s="198"/>
      <c r="B620" s="198"/>
      <c r="C620" s="198"/>
      <c r="D620" s="198"/>
      <c r="E620" s="198"/>
      <c r="F620" s="198"/>
      <c r="G620" s="198"/>
      <c r="H620" s="198"/>
      <c r="I620" s="198"/>
      <c r="J620" s="198"/>
      <c r="K620" s="198"/>
      <c r="L620" s="198"/>
      <c r="M620" s="198"/>
      <c r="N620" s="198"/>
      <c r="O620" s="198"/>
      <c r="P620" s="198"/>
      <c r="Q620" s="198"/>
      <c r="R620" s="198"/>
      <c r="S620" s="198"/>
      <c r="T620" s="198"/>
      <c r="U620" s="198"/>
      <c r="V620" s="198"/>
      <c r="W620" s="201"/>
      <c r="X620" s="198"/>
      <c r="Y620" s="198"/>
      <c r="Z620" s="198"/>
      <c r="AA620" s="198"/>
      <c r="AB620" s="198"/>
      <c r="AC620" s="198"/>
      <c r="AD620" s="198"/>
      <c r="AE620" s="198"/>
      <c r="AF620" s="198"/>
      <c r="AG620" s="198"/>
      <c r="AH620" s="198"/>
      <c r="AI620" s="198"/>
      <c r="AJ620" s="198"/>
      <c r="AK620" s="198"/>
    </row>
    <row r="621">
      <c r="A621" s="198"/>
      <c r="B621" s="198"/>
      <c r="C621" s="198"/>
      <c r="D621" s="198"/>
      <c r="E621" s="198"/>
      <c r="F621" s="198"/>
      <c r="G621" s="198"/>
      <c r="H621" s="198"/>
      <c r="I621" s="198"/>
      <c r="J621" s="198"/>
      <c r="K621" s="198"/>
      <c r="L621" s="198"/>
      <c r="M621" s="198"/>
      <c r="N621" s="198"/>
      <c r="O621" s="198"/>
      <c r="P621" s="198"/>
      <c r="Q621" s="198"/>
      <c r="R621" s="198"/>
      <c r="S621" s="198"/>
      <c r="T621" s="198"/>
      <c r="U621" s="198"/>
      <c r="V621" s="198"/>
      <c r="W621" s="201"/>
      <c r="X621" s="198"/>
      <c r="Y621" s="198"/>
      <c r="Z621" s="198"/>
      <c r="AA621" s="198"/>
      <c r="AB621" s="198"/>
      <c r="AC621" s="198"/>
      <c r="AD621" s="198"/>
      <c r="AE621" s="198"/>
      <c r="AF621" s="198"/>
      <c r="AG621" s="198"/>
      <c r="AH621" s="198"/>
      <c r="AI621" s="198"/>
      <c r="AJ621" s="198"/>
      <c r="AK621" s="198"/>
    </row>
    <row r="622">
      <c r="A622" s="198"/>
      <c r="B622" s="198"/>
      <c r="C622" s="198"/>
      <c r="D622" s="198"/>
      <c r="E622" s="198"/>
      <c r="F622" s="198"/>
      <c r="G622" s="198"/>
      <c r="H622" s="198"/>
      <c r="I622" s="198"/>
      <c r="J622" s="198"/>
      <c r="K622" s="198"/>
      <c r="L622" s="198"/>
      <c r="M622" s="198"/>
      <c r="N622" s="198"/>
      <c r="O622" s="198"/>
      <c r="P622" s="198"/>
      <c r="Q622" s="198"/>
      <c r="R622" s="198"/>
      <c r="S622" s="198"/>
      <c r="T622" s="198"/>
      <c r="U622" s="198"/>
      <c r="V622" s="198"/>
      <c r="W622" s="201"/>
      <c r="X622" s="198"/>
      <c r="Y622" s="198"/>
      <c r="Z622" s="198"/>
      <c r="AA622" s="198"/>
      <c r="AB622" s="198"/>
      <c r="AC622" s="198"/>
      <c r="AD622" s="198"/>
      <c r="AE622" s="198"/>
      <c r="AF622" s="198"/>
      <c r="AG622" s="198"/>
      <c r="AH622" s="198"/>
      <c r="AI622" s="198"/>
      <c r="AJ622" s="198"/>
      <c r="AK622" s="198"/>
    </row>
    <row r="623">
      <c r="A623" s="198"/>
      <c r="B623" s="198"/>
      <c r="C623" s="198"/>
      <c r="D623" s="198"/>
      <c r="E623" s="198"/>
      <c r="F623" s="198"/>
      <c r="G623" s="198"/>
      <c r="H623" s="198"/>
      <c r="I623" s="198"/>
      <c r="J623" s="198"/>
      <c r="K623" s="198"/>
      <c r="L623" s="198"/>
      <c r="M623" s="198"/>
      <c r="N623" s="198"/>
      <c r="O623" s="198"/>
      <c r="P623" s="198"/>
      <c r="Q623" s="198"/>
      <c r="R623" s="198"/>
      <c r="S623" s="198"/>
      <c r="T623" s="198"/>
      <c r="U623" s="198"/>
      <c r="V623" s="198"/>
      <c r="W623" s="201"/>
      <c r="X623" s="198"/>
      <c r="Y623" s="198"/>
      <c r="Z623" s="198"/>
      <c r="AA623" s="198"/>
      <c r="AB623" s="198"/>
      <c r="AC623" s="198"/>
      <c r="AD623" s="198"/>
      <c r="AE623" s="198"/>
      <c r="AF623" s="198"/>
      <c r="AG623" s="198"/>
      <c r="AH623" s="198"/>
      <c r="AI623" s="198"/>
      <c r="AJ623" s="198"/>
      <c r="AK623" s="198"/>
    </row>
    <row r="624">
      <c r="A624" s="198"/>
      <c r="B624" s="198"/>
      <c r="C624" s="198"/>
      <c r="D624" s="198"/>
      <c r="E624" s="198"/>
      <c r="F624" s="198"/>
      <c r="G624" s="198"/>
      <c r="H624" s="198"/>
      <c r="I624" s="198"/>
      <c r="J624" s="198"/>
      <c r="K624" s="198"/>
      <c r="L624" s="198"/>
      <c r="M624" s="198"/>
      <c r="N624" s="198"/>
      <c r="O624" s="198"/>
      <c r="P624" s="198"/>
      <c r="Q624" s="198"/>
      <c r="R624" s="198"/>
      <c r="S624" s="198"/>
      <c r="T624" s="198"/>
      <c r="U624" s="198"/>
      <c r="V624" s="198"/>
      <c r="W624" s="201"/>
      <c r="X624" s="198"/>
      <c r="Y624" s="198"/>
      <c r="Z624" s="198"/>
      <c r="AA624" s="198"/>
      <c r="AB624" s="198"/>
      <c r="AC624" s="198"/>
      <c r="AD624" s="198"/>
      <c r="AE624" s="198"/>
      <c r="AF624" s="198"/>
      <c r="AG624" s="198"/>
      <c r="AH624" s="198"/>
      <c r="AI624" s="198"/>
      <c r="AJ624" s="198"/>
      <c r="AK624" s="198"/>
    </row>
    <row r="625">
      <c r="A625" s="198"/>
      <c r="B625" s="198"/>
      <c r="C625" s="198"/>
      <c r="D625" s="198"/>
      <c r="E625" s="198"/>
      <c r="F625" s="198"/>
      <c r="G625" s="198"/>
      <c r="H625" s="198"/>
      <c r="I625" s="198"/>
      <c r="J625" s="198"/>
      <c r="K625" s="198"/>
      <c r="L625" s="198"/>
      <c r="M625" s="198"/>
      <c r="N625" s="198"/>
      <c r="O625" s="198"/>
      <c r="P625" s="198"/>
      <c r="Q625" s="198"/>
      <c r="R625" s="198"/>
      <c r="S625" s="198"/>
      <c r="T625" s="198"/>
      <c r="U625" s="198"/>
      <c r="V625" s="198"/>
      <c r="W625" s="201"/>
      <c r="X625" s="198"/>
      <c r="Y625" s="198"/>
      <c r="Z625" s="198"/>
      <c r="AA625" s="198"/>
      <c r="AB625" s="198"/>
      <c r="AC625" s="198"/>
      <c r="AD625" s="198"/>
      <c r="AE625" s="198"/>
      <c r="AF625" s="198"/>
      <c r="AG625" s="198"/>
      <c r="AH625" s="198"/>
      <c r="AI625" s="198"/>
      <c r="AJ625" s="198"/>
      <c r="AK625" s="198"/>
    </row>
    <row r="626">
      <c r="A626" s="198"/>
      <c r="B626" s="198"/>
      <c r="C626" s="198"/>
      <c r="D626" s="198"/>
      <c r="E626" s="198"/>
      <c r="F626" s="198"/>
      <c r="G626" s="198"/>
      <c r="H626" s="198"/>
      <c r="I626" s="198"/>
      <c r="J626" s="198"/>
      <c r="K626" s="198"/>
      <c r="L626" s="198"/>
      <c r="M626" s="198"/>
      <c r="N626" s="198"/>
      <c r="O626" s="198"/>
      <c r="P626" s="198"/>
      <c r="Q626" s="198"/>
      <c r="R626" s="198"/>
      <c r="S626" s="198"/>
      <c r="T626" s="198"/>
      <c r="U626" s="198"/>
      <c r="V626" s="198"/>
      <c r="W626" s="201"/>
      <c r="X626" s="198"/>
      <c r="Y626" s="198"/>
      <c r="Z626" s="198"/>
      <c r="AA626" s="198"/>
      <c r="AB626" s="198"/>
      <c r="AC626" s="198"/>
      <c r="AD626" s="198"/>
      <c r="AE626" s="198"/>
      <c r="AF626" s="198"/>
      <c r="AG626" s="198"/>
      <c r="AH626" s="198"/>
      <c r="AI626" s="198"/>
      <c r="AJ626" s="198"/>
      <c r="AK626" s="198"/>
    </row>
    <row r="627">
      <c r="A627" s="198"/>
      <c r="B627" s="198"/>
      <c r="C627" s="198"/>
      <c r="D627" s="198"/>
      <c r="E627" s="198"/>
      <c r="F627" s="198"/>
      <c r="G627" s="198"/>
      <c r="H627" s="198"/>
      <c r="I627" s="198"/>
      <c r="J627" s="198"/>
      <c r="K627" s="198"/>
      <c r="L627" s="198"/>
      <c r="M627" s="198"/>
      <c r="N627" s="198"/>
      <c r="O627" s="198"/>
      <c r="P627" s="198"/>
      <c r="Q627" s="198"/>
      <c r="R627" s="198"/>
      <c r="S627" s="198"/>
      <c r="T627" s="198"/>
      <c r="U627" s="198"/>
      <c r="V627" s="198"/>
      <c r="W627" s="201"/>
      <c r="X627" s="198"/>
      <c r="Y627" s="198"/>
      <c r="Z627" s="198"/>
      <c r="AA627" s="198"/>
      <c r="AB627" s="198"/>
      <c r="AC627" s="198"/>
      <c r="AD627" s="198"/>
      <c r="AE627" s="198"/>
      <c r="AF627" s="198"/>
      <c r="AG627" s="198"/>
      <c r="AH627" s="198"/>
      <c r="AI627" s="198"/>
      <c r="AJ627" s="198"/>
      <c r="AK627" s="198"/>
    </row>
    <row r="628">
      <c r="A628" s="198"/>
      <c r="B628" s="198"/>
      <c r="C628" s="198"/>
      <c r="D628" s="198"/>
      <c r="E628" s="198"/>
      <c r="F628" s="198"/>
      <c r="G628" s="198"/>
      <c r="H628" s="198"/>
      <c r="I628" s="198"/>
      <c r="J628" s="198"/>
      <c r="K628" s="198"/>
      <c r="L628" s="198"/>
      <c r="M628" s="198"/>
      <c r="N628" s="198"/>
      <c r="O628" s="198"/>
      <c r="P628" s="198"/>
      <c r="Q628" s="198"/>
      <c r="R628" s="198"/>
      <c r="S628" s="198"/>
      <c r="T628" s="198"/>
      <c r="U628" s="198"/>
      <c r="V628" s="198"/>
      <c r="W628" s="201"/>
      <c r="X628" s="198"/>
      <c r="Y628" s="198"/>
      <c r="Z628" s="198"/>
      <c r="AA628" s="198"/>
      <c r="AB628" s="198"/>
      <c r="AC628" s="198"/>
      <c r="AD628" s="198"/>
      <c r="AE628" s="198"/>
      <c r="AF628" s="198"/>
      <c r="AG628" s="198"/>
      <c r="AH628" s="198"/>
      <c r="AI628" s="198"/>
      <c r="AJ628" s="198"/>
      <c r="AK628" s="198"/>
    </row>
    <row r="629">
      <c r="A629" s="198"/>
      <c r="B629" s="198"/>
      <c r="C629" s="198"/>
      <c r="D629" s="198"/>
      <c r="E629" s="198"/>
      <c r="F629" s="198"/>
      <c r="G629" s="198"/>
      <c r="H629" s="198"/>
      <c r="I629" s="198"/>
      <c r="J629" s="198"/>
      <c r="K629" s="198"/>
      <c r="L629" s="198"/>
      <c r="M629" s="198"/>
      <c r="N629" s="198"/>
      <c r="O629" s="198"/>
      <c r="P629" s="198"/>
      <c r="Q629" s="198"/>
      <c r="R629" s="198"/>
      <c r="S629" s="198"/>
      <c r="T629" s="198"/>
      <c r="U629" s="198"/>
      <c r="V629" s="198"/>
      <c r="W629" s="201"/>
      <c r="X629" s="198"/>
      <c r="Y629" s="198"/>
      <c r="Z629" s="198"/>
      <c r="AA629" s="198"/>
      <c r="AB629" s="198"/>
      <c r="AC629" s="198"/>
      <c r="AD629" s="198"/>
      <c r="AE629" s="198"/>
      <c r="AF629" s="198"/>
      <c r="AG629" s="198"/>
      <c r="AH629" s="198"/>
      <c r="AI629" s="198"/>
      <c r="AJ629" s="198"/>
      <c r="AK629" s="198"/>
    </row>
    <row r="630">
      <c r="A630" s="198"/>
      <c r="B630" s="198"/>
      <c r="C630" s="198"/>
      <c r="D630" s="198"/>
      <c r="E630" s="198"/>
      <c r="F630" s="198"/>
      <c r="G630" s="198"/>
      <c r="H630" s="198"/>
      <c r="I630" s="198"/>
      <c r="J630" s="198"/>
      <c r="K630" s="198"/>
      <c r="L630" s="198"/>
      <c r="M630" s="198"/>
      <c r="N630" s="198"/>
      <c r="O630" s="198"/>
      <c r="P630" s="198"/>
      <c r="Q630" s="198"/>
      <c r="R630" s="198"/>
      <c r="S630" s="198"/>
      <c r="T630" s="198"/>
      <c r="U630" s="198"/>
      <c r="V630" s="198"/>
      <c r="W630" s="201"/>
      <c r="X630" s="198"/>
      <c r="Y630" s="198"/>
      <c r="Z630" s="198"/>
      <c r="AA630" s="198"/>
      <c r="AB630" s="198"/>
      <c r="AC630" s="198"/>
      <c r="AD630" s="198"/>
      <c r="AE630" s="198"/>
      <c r="AF630" s="198"/>
      <c r="AG630" s="198"/>
      <c r="AH630" s="198"/>
      <c r="AI630" s="198"/>
      <c r="AJ630" s="198"/>
      <c r="AK630" s="198"/>
    </row>
    <row r="631">
      <c r="A631" s="198"/>
      <c r="B631" s="198"/>
      <c r="C631" s="198"/>
      <c r="D631" s="198"/>
      <c r="E631" s="198"/>
      <c r="F631" s="198"/>
      <c r="G631" s="198"/>
      <c r="H631" s="198"/>
      <c r="I631" s="198"/>
      <c r="J631" s="198"/>
      <c r="K631" s="198"/>
      <c r="L631" s="198"/>
      <c r="M631" s="198"/>
      <c r="N631" s="198"/>
      <c r="O631" s="198"/>
      <c r="P631" s="198"/>
      <c r="Q631" s="198"/>
      <c r="R631" s="198"/>
      <c r="S631" s="198"/>
      <c r="T631" s="198"/>
      <c r="U631" s="198"/>
      <c r="V631" s="198"/>
      <c r="W631" s="201"/>
      <c r="X631" s="198"/>
      <c r="Y631" s="198"/>
      <c r="Z631" s="198"/>
      <c r="AA631" s="198"/>
      <c r="AB631" s="198"/>
      <c r="AC631" s="198"/>
      <c r="AD631" s="198"/>
      <c r="AE631" s="198"/>
      <c r="AF631" s="198"/>
      <c r="AG631" s="198"/>
      <c r="AH631" s="198"/>
      <c r="AI631" s="198"/>
      <c r="AJ631" s="198"/>
      <c r="AK631" s="198"/>
    </row>
    <row r="632">
      <c r="A632" s="198"/>
      <c r="B632" s="198"/>
      <c r="C632" s="198"/>
      <c r="D632" s="198"/>
      <c r="E632" s="198"/>
      <c r="F632" s="198"/>
      <c r="G632" s="198"/>
      <c r="H632" s="198"/>
      <c r="I632" s="198"/>
      <c r="J632" s="198"/>
      <c r="K632" s="198"/>
      <c r="L632" s="198"/>
      <c r="M632" s="198"/>
      <c r="N632" s="198"/>
      <c r="O632" s="198"/>
      <c r="P632" s="198"/>
      <c r="Q632" s="198"/>
      <c r="R632" s="198"/>
      <c r="S632" s="198"/>
      <c r="T632" s="198"/>
      <c r="U632" s="198"/>
      <c r="V632" s="198"/>
      <c r="W632" s="201"/>
      <c r="X632" s="198"/>
      <c r="Y632" s="198"/>
      <c r="Z632" s="198"/>
      <c r="AA632" s="198"/>
      <c r="AB632" s="198"/>
      <c r="AC632" s="198"/>
      <c r="AD632" s="198"/>
      <c r="AE632" s="198"/>
      <c r="AF632" s="198"/>
      <c r="AG632" s="198"/>
      <c r="AH632" s="198"/>
      <c r="AI632" s="198"/>
      <c r="AJ632" s="198"/>
      <c r="AK632" s="198"/>
    </row>
    <row r="633">
      <c r="A633" s="198"/>
      <c r="B633" s="198"/>
      <c r="C633" s="198"/>
      <c r="D633" s="198"/>
      <c r="E633" s="198"/>
      <c r="F633" s="198"/>
      <c r="G633" s="198"/>
      <c r="H633" s="198"/>
      <c r="I633" s="198"/>
      <c r="J633" s="198"/>
      <c r="K633" s="198"/>
      <c r="L633" s="198"/>
      <c r="M633" s="198"/>
      <c r="N633" s="198"/>
      <c r="O633" s="198"/>
      <c r="P633" s="198"/>
      <c r="Q633" s="198"/>
      <c r="R633" s="198"/>
      <c r="S633" s="198"/>
      <c r="T633" s="198"/>
      <c r="U633" s="198"/>
      <c r="V633" s="198"/>
      <c r="W633" s="201"/>
      <c r="X633" s="198"/>
      <c r="Y633" s="198"/>
      <c r="Z633" s="198"/>
      <c r="AA633" s="198"/>
      <c r="AB633" s="198"/>
      <c r="AC633" s="198"/>
      <c r="AD633" s="198"/>
      <c r="AE633" s="198"/>
      <c r="AF633" s="198"/>
      <c r="AG633" s="198"/>
      <c r="AH633" s="198"/>
      <c r="AI633" s="198"/>
      <c r="AJ633" s="198"/>
      <c r="AK633" s="198"/>
    </row>
    <row r="634">
      <c r="A634" s="198"/>
      <c r="B634" s="198"/>
      <c r="C634" s="198"/>
      <c r="D634" s="198"/>
      <c r="E634" s="198"/>
      <c r="F634" s="198"/>
      <c r="G634" s="198"/>
      <c r="H634" s="198"/>
      <c r="I634" s="198"/>
      <c r="J634" s="198"/>
      <c r="K634" s="198"/>
      <c r="L634" s="198"/>
      <c r="M634" s="198"/>
      <c r="N634" s="198"/>
      <c r="O634" s="198"/>
      <c r="P634" s="198"/>
      <c r="Q634" s="198"/>
      <c r="R634" s="198"/>
      <c r="S634" s="198"/>
      <c r="T634" s="198"/>
      <c r="U634" s="198"/>
      <c r="V634" s="198"/>
      <c r="W634" s="201"/>
      <c r="X634" s="198"/>
      <c r="Y634" s="198"/>
      <c r="Z634" s="198"/>
      <c r="AA634" s="198"/>
      <c r="AB634" s="198"/>
      <c r="AC634" s="198"/>
      <c r="AD634" s="198"/>
      <c r="AE634" s="198"/>
      <c r="AF634" s="198"/>
      <c r="AG634" s="198"/>
      <c r="AH634" s="198"/>
      <c r="AI634" s="198"/>
      <c r="AJ634" s="198"/>
      <c r="AK634" s="198"/>
    </row>
    <row r="635">
      <c r="A635" s="198"/>
      <c r="B635" s="198"/>
      <c r="C635" s="198"/>
      <c r="D635" s="198"/>
      <c r="E635" s="198"/>
      <c r="F635" s="198"/>
      <c r="G635" s="198"/>
      <c r="H635" s="198"/>
      <c r="I635" s="198"/>
      <c r="J635" s="198"/>
      <c r="K635" s="198"/>
      <c r="L635" s="198"/>
      <c r="M635" s="198"/>
      <c r="N635" s="198"/>
      <c r="O635" s="198"/>
      <c r="P635" s="198"/>
      <c r="Q635" s="198"/>
      <c r="R635" s="198"/>
      <c r="S635" s="198"/>
      <c r="T635" s="198"/>
      <c r="U635" s="198"/>
      <c r="V635" s="198"/>
      <c r="W635" s="201"/>
      <c r="X635" s="198"/>
      <c r="Y635" s="198"/>
      <c r="Z635" s="198"/>
      <c r="AA635" s="198"/>
      <c r="AB635" s="198"/>
      <c r="AC635" s="198"/>
      <c r="AD635" s="198"/>
      <c r="AE635" s="198"/>
      <c r="AF635" s="198"/>
      <c r="AG635" s="198"/>
      <c r="AH635" s="198"/>
      <c r="AI635" s="198"/>
      <c r="AJ635" s="198"/>
      <c r="AK635" s="198"/>
    </row>
    <row r="636">
      <c r="A636" s="198"/>
      <c r="B636" s="198"/>
      <c r="C636" s="198"/>
      <c r="D636" s="198"/>
      <c r="E636" s="198"/>
      <c r="F636" s="198"/>
      <c r="G636" s="198"/>
      <c r="H636" s="198"/>
      <c r="I636" s="198"/>
      <c r="J636" s="198"/>
      <c r="K636" s="198"/>
      <c r="L636" s="198"/>
      <c r="M636" s="198"/>
      <c r="N636" s="198"/>
      <c r="O636" s="198"/>
      <c r="P636" s="198"/>
      <c r="Q636" s="198"/>
      <c r="R636" s="198"/>
      <c r="S636" s="198"/>
      <c r="T636" s="198"/>
      <c r="U636" s="198"/>
      <c r="V636" s="198"/>
      <c r="W636" s="201"/>
      <c r="X636" s="198"/>
      <c r="Y636" s="198"/>
      <c r="Z636" s="198"/>
      <c r="AA636" s="198"/>
      <c r="AB636" s="198"/>
      <c r="AC636" s="198"/>
      <c r="AD636" s="198"/>
      <c r="AE636" s="198"/>
      <c r="AF636" s="198"/>
      <c r="AG636" s="198"/>
      <c r="AH636" s="198"/>
      <c r="AI636" s="198"/>
      <c r="AJ636" s="198"/>
      <c r="AK636" s="198"/>
    </row>
    <row r="637">
      <c r="A637" s="198"/>
      <c r="B637" s="198"/>
      <c r="C637" s="198"/>
      <c r="D637" s="198"/>
      <c r="E637" s="198"/>
      <c r="F637" s="198"/>
      <c r="G637" s="198"/>
      <c r="H637" s="198"/>
      <c r="I637" s="198"/>
      <c r="J637" s="198"/>
      <c r="K637" s="198"/>
      <c r="L637" s="198"/>
      <c r="M637" s="198"/>
      <c r="N637" s="198"/>
      <c r="O637" s="198"/>
      <c r="P637" s="198"/>
      <c r="Q637" s="198"/>
      <c r="R637" s="198"/>
      <c r="S637" s="198"/>
      <c r="T637" s="198"/>
      <c r="U637" s="198"/>
      <c r="V637" s="198"/>
      <c r="W637" s="201"/>
      <c r="X637" s="198"/>
      <c r="Y637" s="198"/>
      <c r="Z637" s="198"/>
      <c r="AA637" s="198"/>
      <c r="AB637" s="198"/>
      <c r="AC637" s="198"/>
      <c r="AD637" s="198"/>
      <c r="AE637" s="198"/>
      <c r="AF637" s="198"/>
      <c r="AG637" s="198"/>
      <c r="AH637" s="198"/>
      <c r="AI637" s="198"/>
      <c r="AJ637" s="198"/>
      <c r="AK637" s="198"/>
    </row>
    <row r="638">
      <c r="A638" s="198"/>
      <c r="B638" s="198"/>
      <c r="C638" s="198"/>
      <c r="D638" s="198"/>
      <c r="E638" s="198"/>
      <c r="F638" s="198"/>
      <c r="G638" s="198"/>
      <c r="H638" s="198"/>
      <c r="I638" s="198"/>
      <c r="J638" s="198"/>
      <c r="K638" s="198"/>
      <c r="L638" s="198"/>
      <c r="M638" s="198"/>
      <c r="N638" s="198"/>
      <c r="O638" s="198"/>
      <c r="P638" s="198"/>
      <c r="Q638" s="198"/>
      <c r="R638" s="198"/>
      <c r="S638" s="198"/>
      <c r="T638" s="198"/>
      <c r="U638" s="198"/>
      <c r="V638" s="198"/>
      <c r="W638" s="201"/>
      <c r="X638" s="198"/>
      <c r="Y638" s="198"/>
      <c r="Z638" s="198"/>
      <c r="AA638" s="198"/>
      <c r="AB638" s="198"/>
      <c r="AC638" s="198"/>
      <c r="AD638" s="198"/>
      <c r="AE638" s="198"/>
      <c r="AF638" s="198"/>
      <c r="AG638" s="198"/>
      <c r="AH638" s="198"/>
      <c r="AI638" s="198"/>
      <c r="AJ638" s="198"/>
      <c r="AK638" s="198"/>
    </row>
    <row r="639">
      <c r="A639" s="198"/>
      <c r="B639" s="198"/>
      <c r="C639" s="198"/>
      <c r="D639" s="198"/>
      <c r="E639" s="198"/>
      <c r="F639" s="198"/>
      <c r="G639" s="198"/>
      <c r="H639" s="198"/>
      <c r="I639" s="198"/>
      <c r="J639" s="198"/>
      <c r="K639" s="198"/>
      <c r="L639" s="198"/>
      <c r="M639" s="198"/>
      <c r="N639" s="198"/>
      <c r="O639" s="198"/>
      <c r="P639" s="198"/>
      <c r="Q639" s="198"/>
      <c r="R639" s="198"/>
      <c r="S639" s="198"/>
      <c r="T639" s="198"/>
      <c r="U639" s="198"/>
      <c r="V639" s="198"/>
      <c r="W639" s="201"/>
      <c r="X639" s="198"/>
      <c r="Y639" s="198"/>
      <c r="Z639" s="198"/>
      <c r="AA639" s="198"/>
      <c r="AB639" s="198"/>
      <c r="AC639" s="198"/>
      <c r="AD639" s="198"/>
      <c r="AE639" s="198"/>
      <c r="AF639" s="198"/>
      <c r="AG639" s="198"/>
      <c r="AH639" s="198"/>
      <c r="AI639" s="198"/>
      <c r="AJ639" s="198"/>
      <c r="AK639" s="198"/>
    </row>
    <row r="640">
      <c r="A640" s="198"/>
      <c r="B640" s="198"/>
      <c r="C640" s="198"/>
      <c r="D640" s="198"/>
      <c r="E640" s="198"/>
      <c r="F640" s="198"/>
      <c r="G640" s="198"/>
      <c r="H640" s="198"/>
      <c r="I640" s="198"/>
      <c r="J640" s="198"/>
      <c r="K640" s="198"/>
      <c r="L640" s="198"/>
      <c r="M640" s="198"/>
      <c r="N640" s="198"/>
      <c r="O640" s="198"/>
      <c r="P640" s="198"/>
      <c r="Q640" s="198"/>
      <c r="R640" s="198"/>
      <c r="S640" s="198"/>
      <c r="T640" s="198"/>
      <c r="U640" s="198"/>
      <c r="V640" s="198"/>
      <c r="W640" s="201"/>
      <c r="X640" s="198"/>
      <c r="Y640" s="198"/>
      <c r="Z640" s="198"/>
      <c r="AA640" s="198"/>
      <c r="AB640" s="198"/>
      <c r="AC640" s="198"/>
      <c r="AD640" s="198"/>
      <c r="AE640" s="198"/>
      <c r="AF640" s="198"/>
      <c r="AG640" s="198"/>
      <c r="AH640" s="198"/>
      <c r="AI640" s="198"/>
      <c r="AJ640" s="198"/>
      <c r="AK640" s="198"/>
    </row>
    <row r="641">
      <c r="A641" s="198"/>
      <c r="B641" s="198"/>
      <c r="C641" s="198"/>
      <c r="D641" s="198"/>
      <c r="E641" s="198"/>
      <c r="F641" s="198"/>
      <c r="G641" s="198"/>
      <c r="H641" s="198"/>
      <c r="I641" s="198"/>
      <c r="J641" s="198"/>
      <c r="K641" s="198"/>
      <c r="L641" s="198"/>
      <c r="M641" s="198"/>
      <c r="N641" s="198"/>
      <c r="O641" s="198"/>
      <c r="P641" s="198"/>
      <c r="Q641" s="198"/>
      <c r="R641" s="198"/>
      <c r="S641" s="198"/>
      <c r="T641" s="198"/>
      <c r="U641" s="198"/>
      <c r="V641" s="198"/>
      <c r="W641" s="201"/>
      <c r="X641" s="198"/>
      <c r="Y641" s="198"/>
      <c r="Z641" s="198"/>
      <c r="AA641" s="198"/>
      <c r="AB641" s="198"/>
      <c r="AC641" s="198"/>
      <c r="AD641" s="198"/>
      <c r="AE641" s="198"/>
      <c r="AF641" s="198"/>
      <c r="AG641" s="198"/>
      <c r="AH641" s="198"/>
      <c r="AI641" s="198"/>
      <c r="AJ641" s="198"/>
      <c r="AK641" s="198"/>
    </row>
    <row r="642">
      <c r="A642" s="198"/>
      <c r="B642" s="198"/>
      <c r="C642" s="198"/>
      <c r="D642" s="198"/>
      <c r="E642" s="198"/>
      <c r="F642" s="198"/>
      <c r="G642" s="198"/>
      <c r="H642" s="198"/>
      <c r="I642" s="198"/>
      <c r="J642" s="198"/>
      <c r="K642" s="198"/>
      <c r="L642" s="198"/>
      <c r="M642" s="198"/>
      <c r="N642" s="198"/>
      <c r="O642" s="198"/>
      <c r="P642" s="198"/>
      <c r="Q642" s="198"/>
      <c r="R642" s="198"/>
      <c r="S642" s="198"/>
      <c r="T642" s="198"/>
      <c r="U642" s="198"/>
      <c r="V642" s="198"/>
      <c r="W642" s="201"/>
      <c r="X642" s="198"/>
      <c r="Y642" s="198"/>
      <c r="Z642" s="198"/>
      <c r="AA642" s="198"/>
      <c r="AB642" s="198"/>
      <c r="AC642" s="198"/>
      <c r="AD642" s="198"/>
      <c r="AE642" s="198"/>
      <c r="AF642" s="198"/>
      <c r="AG642" s="198"/>
      <c r="AH642" s="198"/>
      <c r="AI642" s="198"/>
      <c r="AJ642" s="198"/>
      <c r="AK642" s="198"/>
    </row>
    <row r="643">
      <c r="A643" s="198"/>
      <c r="B643" s="198"/>
      <c r="C643" s="198"/>
      <c r="D643" s="198"/>
      <c r="E643" s="198"/>
      <c r="F643" s="198"/>
      <c r="G643" s="198"/>
      <c r="H643" s="198"/>
      <c r="I643" s="198"/>
      <c r="J643" s="198"/>
      <c r="K643" s="198"/>
      <c r="L643" s="198"/>
      <c r="M643" s="198"/>
      <c r="N643" s="198"/>
      <c r="O643" s="198"/>
      <c r="P643" s="198"/>
      <c r="Q643" s="198"/>
      <c r="R643" s="198"/>
      <c r="S643" s="198"/>
      <c r="T643" s="198"/>
      <c r="U643" s="198"/>
      <c r="V643" s="198"/>
      <c r="W643" s="201"/>
      <c r="X643" s="198"/>
      <c r="Y643" s="198"/>
      <c r="Z643" s="198"/>
      <c r="AA643" s="198"/>
      <c r="AB643" s="198"/>
      <c r="AC643" s="198"/>
      <c r="AD643" s="198"/>
      <c r="AE643" s="198"/>
      <c r="AF643" s="198"/>
      <c r="AG643" s="198"/>
      <c r="AH643" s="198"/>
      <c r="AI643" s="198"/>
      <c r="AJ643" s="198"/>
      <c r="AK643" s="198"/>
    </row>
    <row r="644">
      <c r="A644" s="198"/>
      <c r="B644" s="198"/>
      <c r="C644" s="198"/>
      <c r="D644" s="198"/>
      <c r="E644" s="198"/>
      <c r="F644" s="198"/>
      <c r="G644" s="198"/>
      <c r="H644" s="198"/>
      <c r="I644" s="198"/>
      <c r="J644" s="198"/>
      <c r="K644" s="198"/>
      <c r="L644" s="198"/>
      <c r="M644" s="198"/>
      <c r="N644" s="198"/>
      <c r="O644" s="198"/>
      <c r="P644" s="198"/>
      <c r="Q644" s="198"/>
      <c r="R644" s="198"/>
      <c r="S644" s="198"/>
      <c r="T644" s="198"/>
      <c r="U644" s="198"/>
      <c r="V644" s="198"/>
      <c r="W644" s="201"/>
      <c r="X644" s="198"/>
      <c r="Y644" s="198"/>
      <c r="Z644" s="198"/>
      <c r="AA644" s="198"/>
      <c r="AB644" s="198"/>
      <c r="AC644" s="198"/>
      <c r="AD644" s="198"/>
      <c r="AE644" s="198"/>
      <c r="AF644" s="198"/>
      <c r="AG644" s="198"/>
      <c r="AH644" s="198"/>
      <c r="AI644" s="198"/>
      <c r="AJ644" s="198"/>
      <c r="AK644" s="198"/>
    </row>
    <row r="645">
      <c r="A645" s="198"/>
      <c r="B645" s="198"/>
      <c r="C645" s="198"/>
      <c r="D645" s="198"/>
      <c r="E645" s="198"/>
      <c r="F645" s="198"/>
      <c r="G645" s="198"/>
      <c r="H645" s="198"/>
      <c r="I645" s="198"/>
      <c r="J645" s="198"/>
      <c r="K645" s="198"/>
      <c r="L645" s="198"/>
      <c r="M645" s="198"/>
      <c r="N645" s="198"/>
      <c r="O645" s="198"/>
      <c r="P645" s="198"/>
      <c r="Q645" s="198"/>
      <c r="R645" s="198"/>
      <c r="S645" s="198"/>
      <c r="T645" s="198"/>
      <c r="U645" s="198"/>
      <c r="V645" s="198"/>
      <c r="W645" s="201"/>
      <c r="X645" s="198"/>
      <c r="Y645" s="198"/>
      <c r="Z645" s="198"/>
      <c r="AA645" s="198"/>
      <c r="AB645" s="198"/>
      <c r="AC645" s="198"/>
      <c r="AD645" s="198"/>
      <c r="AE645" s="198"/>
      <c r="AF645" s="198"/>
      <c r="AG645" s="198"/>
      <c r="AH645" s="198"/>
      <c r="AI645" s="198"/>
      <c r="AJ645" s="198"/>
      <c r="AK645" s="198"/>
    </row>
    <row r="646">
      <c r="A646" s="198"/>
      <c r="B646" s="198"/>
      <c r="C646" s="198"/>
      <c r="D646" s="198"/>
      <c r="E646" s="198"/>
      <c r="F646" s="198"/>
      <c r="G646" s="198"/>
      <c r="H646" s="198"/>
      <c r="I646" s="198"/>
      <c r="J646" s="198"/>
      <c r="K646" s="198"/>
      <c r="L646" s="198"/>
      <c r="M646" s="198"/>
      <c r="N646" s="198"/>
      <c r="O646" s="198"/>
      <c r="P646" s="198"/>
      <c r="Q646" s="198"/>
      <c r="R646" s="198"/>
      <c r="S646" s="198"/>
      <c r="T646" s="198"/>
      <c r="U646" s="198"/>
      <c r="V646" s="198"/>
      <c r="W646" s="201"/>
      <c r="X646" s="198"/>
      <c r="Y646" s="198"/>
      <c r="Z646" s="198"/>
      <c r="AA646" s="198"/>
      <c r="AB646" s="198"/>
      <c r="AC646" s="198"/>
      <c r="AD646" s="198"/>
      <c r="AE646" s="198"/>
      <c r="AF646" s="198"/>
      <c r="AG646" s="198"/>
      <c r="AH646" s="198"/>
      <c r="AI646" s="198"/>
      <c r="AJ646" s="198"/>
      <c r="AK646" s="198"/>
    </row>
    <row r="647">
      <c r="A647" s="198"/>
      <c r="B647" s="198"/>
      <c r="C647" s="198"/>
      <c r="D647" s="198"/>
      <c r="E647" s="198"/>
      <c r="F647" s="198"/>
      <c r="G647" s="198"/>
      <c r="H647" s="198"/>
      <c r="I647" s="198"/>
      <c r="J647" s="198"/>
      <c r="K647" s="198"/>
      <c r="L647" s="198"/>
      <c r="M647" s="198"/>
      <c r="N647" s="198"/>
      <c r="O647" s="198"/>
      <c r="P647" s="198"/>
      <c r="Q647" s="198"/>
      <c r="R647" s="198"/>
      <c r="S647" s="198"/>
      <c r="T647" s="198"/>
      <c r="U647" s="198"/>
      <c r="V647" s="198"/>
      <c r="W647" s="201"/>
      <c r="X647" s="198"/>
      <c r="Y647" s="198"/>
      <c r="Z647" s="198"/>
      <c r="AA647" s="198"/>
      <c r="AB647" s="198"/>
      <c r="AC647" s="198"/>
      <c r="AD647" s="198"/>
      <c r="AE647" s="198"/>
      <c r="AF647" s="198"/>
      <c r="AG647" s="198"/>
      <c r="AH647" s="198"/>
      <c r="AI647" s="198"/>
      <c r="AJ647" s="198"/>
      <c r="AK647" s="198"/>
    </row>
    <row r="648">
      <c r="A648" s="198"/>
      <c r="B648" s="198"/>
      <c r="C648" s="198"/>
      <c r="D648" s="198"/>
      <c r="E648" s="198"/>
      <c r="F648" s="198"/>
      <c r="G648" s="198"/>
      <c r="H648" s="198"/>
      <c r="I648" s="198"/>
      <c r="J648" s="198"/>
      <c r="K648" s="198"/>
      <c r="L648" s="198"/>
      <c r="M648" s="198"/>
      <c r="N648" s="198"/>
      <c r="O648" s="198"/>
      <c r="P648" s="198"/>
      <c r="Q648" s="198"/>
      <c r="R648" s="198"/>
      <c r="S648" s="198"/>
      <c r="T648" s="198"/>
      <c r="U648" s="198"/>
      <c r="V648" s="198"/>
      <c r="W648" s="201"/>
      <c r="X648" s="198"/>
      <c r="Y648" s="198"/>
      <c r="Z648" s="198"/>
      <c r="AA648" s="198"/>
      <c r="AB648" s="198"/>
      <c r="AC648" s="198"/>
      <c r="AD648" s="198"/>
      <c r="AE648" s="198"/>
      <c r="AF648" s="198"/>
      <c r="AG648" s="198"/>
      <c r="AH648" s="198"/>
      <c r="AI648" s="198"/>
      <c r="AJ648" s="198"/>
      <c r="AK648" s="198"/>
    </row>
    <row r="649">
      <c r="A649" s="198"/>
      <c r="B649" s="198"/>
      <c r="C649" s="198"/>
      <c r="D649" s="198"/>
      <c r="E649" s="198"/>
      <c r="F649" s="198"/>
      <c r="G649" s="198"/>
      <c r="H649" s="198"/>
      <c r="I649" s="198"/>
      <c r="J649" s="198"/>
      <c r="K649" s="198"/>
      <c r="L649" s="198"/>
      <c r="M649" s="198"/>
      <c r="N649" s="198"/>
      <c r="O649" s="198"/>
      <c r="P649" s="198"/>
      <c r="Q649" s="198"/>
      <c r="R649" s="198"/>
      <c r="S649" s="198"/>
      <c r="T649" s="198"/>
      <c r="U649" s="198"/>
      <c r="V649" s="198"/>
      <c r="W649" s="201"/>
      <c r="X649" s="198"/>
      <c r="Y649" s="198"/>
      <c r="Z649" s="198"/>
      <c r="AA649" s="198"/>
      <c r="AB649" s="198"/>
      <c r="AC649" s="198"/>
      <c r="AD649" s="198"/>
      <c r="AE649" s="198"/>
      <c r="AF649" s="198"/>
      <c r="AG649" s="198"/>
      <c r="AH649" s="198"/>
      <c r="AI649" s="198"/>
      <c r="AJ649" s="198"/>
      <c r="AK649" s="198"/>
    </row>
    <row r="650">
      <c r="A650" s="198"/>
      <c r="B650" s="198"/>
      <c r="C650" s="198"/>
      <c r="D650" s="198"/>
      <c r="E650" s="198"/>
      <c r="F650" s="198"/>
      <c r="G650" s="198"/>
      <c r="H650" s="198"/>
      <c r="I650" s="198"/>
      <c r="J650" s="198"/>
      <c r="K650" s="198"/>
      <c r="L650" s="198"/>
      <c r="M650" s="198"/>
      <c r="N650" s="198"/>
      <c r="O650" s="198"/>
      <c r="P650" s="198"/>
      <c r="Q650" s="198"/>
      <c r="R650" s="198"/>
      <c r="S650" s="198"/>
      <c r="T650" s="198"/>
      <c r="U650" s="198"/>
      <c r="V650" s="198"/>
      <c r="W650" s="201"/>
      <c r="X650" s="198"/>
      <c r="Y650" s="198"/>
      <c r="Z650" s="198"/>
      <c r="AA650" s="198"/>
      <c r="AB650" s="198"/>
      <c r="AC650" s="198"/>
      <c r="AD650" s="198"/>
      <c r="AE650" s="198"/>
      <c r="AF650" s="198"/>
      <c r="AG650" s="198"/>
      <c r="AH650" s="198"/>
      <c r="AI650" s="198"/>
      <c r="AJ650" s="198"/>
      <c r="AK650" s="198"/>
    </row>
    <row r="651">
      <c r="A651" s="198"/>
      <c r="B651" s="198"/>
      <c r="C651" s="198"/>
      <c r="D651" s="198"/>
      <c r="E651" s="198"/>
      <c r="F651" s="198"/>
      <c r="G651" s="198"/>
      <c r="H651" s="198"/>
      <c r="I651" s="198"/>
      <c r="J651" s="198"/>
      <c r="K651" s="198"/>
      <c r="L651" s="198"/>
      <c r="M651" s="198"/>
      <c r="N651" s="198"/>
      <c r="O651" s="198"/>
      <c r="P651" s="198"/>
      <c r="Q651" s="198"/>
      <c r="R651" s="198"/>
      <c r="S651" s="198"/>
      <c r="T651" s="198"/>
      <c r="U651" s="198"/>
      <c r="V651" s="198"/>
      <c r="W651" s="201"/>
      <c r="X651" s="198"/>
      <c r="Y651" s="198"/>
      <c r="Z651" s="198"/>
      <c r="AA651" s="198"/>
      <c r="AB651" s="198"/>
      <c r="AC651" s="198"/>
      <c r="AD651" s="198"/>
      <c r="AE651" s="198"/>
      <c r="AF651" s="198"/>
      <c r="AG651" s="198"/>
      <c r="AH651" s="198"/>
      <c r="AI651" s="198"/>
      <c r="AJ651" s="198"/>
      <c r="AK651" s="198"/>
    </row>
    <row r="652">
      <c r="A652" s="198"/>
      <c r="B652" s="198"/>
      <c r="C652" s="198"/>
      <c r="D652" s="198"/>
      <c r="E652" s="198"/>
      <c r="F652" s="198"/>
      <c r="G652" s="198"/>
      <c r="H652" s="198"/>
      <c r="I652" s="198"/>
      <c r="J652" s="198"/>
      <c r="K652" s="198"/>
      <c r="L652" s="198"/>
      <c r="M652" s="198"/>
      <c r="N652" s="198"/>
      <c r="O652" s="198"/>
      <c r="P652" s="198"/>
      <c r="Q652" s="198"/>
      <c r="R652" s="198"/>
      <c r="S652" s="198"/>
      <c r="T652" s="198"/>
      <c r="U652" s="198"/>
      <c r="V652" s="198"/>
      <c r="W652" s="201"/>
      <c r="X652" s="198"/>
      <c r="Y652" s="198"/>
      <c r="Z652" s="198"/>
      <c r="AA652" s="198"/>
      <c r="AB652" s="198"/>
      <c r="AC652" s="198"/>
      <c r="AD652" s="198"/>
      <c r="AE652" s="198"/>
      <c r="AF652" s="198"/>
      <c r="AG652" s="198"/>
      <c r="AH652" s="198"/>
      <c r="AI652" s="198"/>
      <c r="AJ652" s="198"/>
      <c r="AK652" s="198"/>
    </row>
    <row r="653">
      <c r="A653" s="198"/>
      <c r="B653" s="198"/>
      <c r="C653" s="198"/>
      <c r="D653" s="198"/>
      <c r="E653" s="198"/>
      <c r="F653" s="198"/>
      <c r="G653" s="198"/>
      <c r="H653" s="198"/>
      <c r="I653" s="198"/>
      <c r="J653" s="198"/>
      <c r="K653" s="198"/>
      <c r="L653" s="198"/>
      <c r="M653" s="198"/>
      <c r="N653" s="198"/>
      <c r="O653" s="198"/>
      <c r="P653" s="198"/>
      <c r="Q653" s="198"/>
      <c r="R653" s="198"/>
      <c r="S653" s="198"/>
      <c r="T653" s="198"/>
      <c r="U653" s="198"/>
      <c r="V653" s="198"/>
      <c r="W653" s="201"/>
      <c r="X653" s="198"/>
      <c r="Y653" s="198"/>
      <c r="Z653" s="198"/>
      <c r="AA653" s="198"/>
      <c r="AB653" s="198"/>
      <c r="AC653" s="198"/>
      <c r="AD653" s="198"/>
      <c r="AE653" s="198"/>
      <c r="AF653" s="198"/>
      <c r="AG653" s="198"/>
      <c r="AH653" s="198"/>
      <c r="AI653" s="198"/>
      <c r="AJ653" s="198"/>
      <c r="AK653" s="198"/>
    </row>
    <row r="654">
      <c r="A654" s="198"/>
      <c r="B654" s="198"/>
      <c r="C654" s="198"/>
      <c r="D654" s="198"/>
      <c r="E654" s="198"/>
      <c r="F654" s="198"/>
      <c r="G654" s="198"/>
      <c r="H654" s="198"/>
      <c r="I654" s="198"/>
      <c r="J654" s="198"/>
      <c r="K654" s="198"/>
      <c r="L654" s="198"/>
      <c r="M654" s="198"/>
      <c r="N654" s="198"/>
      <c r="O654" s="198"/>
      <c r="P654" s="198"/>
      <c r="Q654" s="198"/>
      <c r="R654" s="198"/>
      <c r="S654" s="198"/>
      <c r="T654" s="198"/>
      <c r="U654" s="198"/>
      <c r="V654" s="198"/>
      <c r="W654" s="201"/>
      <c r="X654" s="198"/>
      <c r="Y654" s="198"/>
      <c r="Z654" s="198"/>
      <c r="AA654" s="198"/>
      <c r="AB654" s="198"/>
      <c r="AC654" s="198"/>
      <c r="AD654" s="198"/>
      <c r="AE654" s="198"/>
      <c r="AF654" s="198"/>
      <c r="AG654" s="198"/>
      <c r="AH654" s="198"/>
      <c r="AI654" s="198"/>
      <c r="AJ654" s="198"/>
      <c r="AK654" s="198"/>
    </row>
    <row r="655">
      <c r="A655" s="198"/>
      <c r="B655" s="198"/>
      <c r="C655" s="198"/>
      <c r="D655" s="198"/>
      <c r="E655" s="198"/>
      <c r="F655" s="198"/>
      <c r="G655" s="198"/>
      <c r="H655" s="198"/>
      <c r="I655" s="198"/>
      <c r="J655" s="198"/>
      <c r="K655" s="198"/>
      <c r="L655" s="198"/>
      <c r="M655" s="198"/>
      <c r="N655" s="198"/>
      <c r="O655" s="198"/>
      <c r="P655" s="198"/>
      <c r="Q655" s="198"/>
      <c r="R655" s="198"/>
      <c r="S655" s="198"/>
      <c r="T655" s="198"/>
      <c r="U655" s="198"/>
      <c r="V655" s="198"/>
      <c r="W655" s="201"/>
      <c r="X655" s="198"/>
      <c r="Y655" s="198"/>
      <c r="Z655" s="198"/>
      <c r="AA655" s="198"/>
      <c r="AB655" s="198"/>
      <c r="AC655" s="198"/>
      <c r="AD655" s="198"/>
      <c r="AE655" s="198"/>
      <c r="AF655" s="198"/>
      <c r="AG655" s="198"/>
      <c r="AH655" s="198"/>
      <c r="AI655" s="198"/>
      <c r="AJ655" s="198"/>
      <c r="AK655" s="198"/>
    </row>
    <row r="656">
      <c r="A656" s="198"/>
      <c r="B656" s="198"/>
      <c r="C656" s="198"/>
      <c r="D656" s="198"/>
      <c r="E656" s="198"/>
      <c r="F656" s="198"/>
      <c r="G656" s="198"/>
      <c r="H656" s="198"/>
      <c r="I656" s="198"/>
      <c r="J656" s="198"/>
      <c r="K656" s="198"/>
      <c r="L656" s="198"/>
      <c r="M656" s="198"/>
      <c r="N656" s="198"/>
      <c r="O656" s="198"/>
      <c r="P656" s="198"/>
      <c r="Q656" s="198"/>
      <c r="R656" s="198"/>
      <c r="S656" s="198"/>
      <c r="T656" s="198"/>
      <c r="U656" s="198"/>
      <c r="V656" s="198"/>
      <c r="W656" s="201"/>
      <c r="X656" s="198"/>
      <c r="Y656" s="198"/>
      <c r="Z656" s="198"/>
      <c r="AA656" s="198"/>
      <c r="AB656" s="198"/>
      <c r="AC656" s="198"/>
      <c r="AD656" s="198"/>
      <c r="AE656" s="198"/>
      <c r="AF656" s="198"/>
      <c r="AG656" s="198"/>
      <c r="AH656" s="198"/>
      <c r="AI656" s="198"/>
      <c r="AJ656" s="198"/>
      <c r="AK656" s="198"/>
    </row>
    <row r="657">
      <c r="A657" s="198"/>
      <c r="B657" s="198"/>
      <c r="C657" s="198"/>
      <c r="D657" s="198"/>
      <c r="E657" s="198"/>
      <c r="F657" s="198"/>
      <c r="G657" s="198"/>
      <c r="H657" s="198"/>
      <c r="I657" s="198"/>
      <c r="J657" s="198"/>
      <c r="K657" s="198"/>
      <c r="L657" s="198"/>
      <c r="M657" s="198"/>
      <c r="N657" s="198"/>
      <c r="O657" s="198"/>
      <c r="P657" s="198"/>
      <c r="Q657" s="198"/>
      <c r="R657" s="198"/>
      <c r="S657" s="198"/>
      <c r="T657" s="198"/>
      <c r="U657" s="198"/>
      <c r="V657" s="198"/>
      <c r="W657" s="201"/>
      <c r="X657" s="198"/>
      <c r="Y657" s="198"/>
      <c r="Z657" s="198"/>
      <c r="AA657" s="198"/>
      <c r="AB657" s="198"/>
      <c r="AC657" s="198"/>
      <c r="AD657" s="198"/>
      <c r="AE657" s="198"/>
      <c r="AF657" s="198"/>
      <c r="AG657" s="198"/>
      <c r="AH657" s="198"/>
      <c r="AI657" s="198"/>
      <c r="AJ657" s="198"/>
      <c r="AK657" s="198"/>
    </row>
    <row r="658">
      <c r="A658" s="198"/>
      <c r="B658" s="198"/>
      <c r="C658" s="198"/>
      <c r="D658" s="198"/>
      <c r="E658" s="198"/>
      <c r="F658" s="198"/>
      <c r="G658" s="198"/>
      <c r="H658" s="198"/>
      <c r="I658" s="198"/>
      <c r="J658" s="198"/>
      <c r="K658" s="198"/>
      <c r="L658" s="198"/>
      <c r="M658" s="198"/>
      <c r="N658" s="198"/>
      <c r="O658" s="198"/>
      <c r="P658" s="198"/>
      <c r="Q658" s="198"/>
      <c r="R658" s="198"/>
      <c r="S658" s="198"/>
      <c r="T658" s="198"/>
      <c r="U658" s="198"/>
      <c r="V658" s="198"/>
      <c r="W658" s="201"/>
      <c r="X658" s="198"/>
      <c r="Y658" s="198"/>
      <c r="Z658" s="198"/>
      <c r="AA658" s="198"/>
      <c r="AB658" s="198"/>
      <c r="AC658" s="198"/>
      <c r="AD658" s="198"/>
      <c r="AE658" s="198"/>
      <c r="AF658" s="198"/>
      <c r="AG658" s="198"/>
      <c r="AH658" s="198"/>
      <c r="AI658" s="198"/>
      <c r="AJ658" s="198"/>
      <c r="AK658" s="198"/>
    </row>
    <row r="659">
      <c r="A659" s="198"/>
      <c r="B659" s="198"/>
      <c r="C659" s="198"/>
      <c r="D659" s="198"/>
      <c r="E659" s="198"/>
      <c r="F659" s="198"/>
      <c r="G659" s="198"/>
      <c r="H659" s="198"/>
      <c r="I659" s="198"/>
      <c r="J659" s="198"/>
      <c r="K659" s="198"/>
      <c r="L659" s="198"/>
      <c r="M659" s="198"/>
      <c r="N659" s="198"/>
      <c r="O659" s="198"/>
      <c r="P659" s="198"/>
      <c r="Q659" s="198"/>
      <c r="R659" s="198"/>
      <c r="S659" s="198"/>
      <c r="T659" s="198"/>
      <c r="U659" s="198"/>
      <c r="V659" s="198"/>
      <c r="W659" s="201"/>
      <c r="X659" s="198"/>
      <c r="Y659" s="198"/>
      <c r="Z659" s="198"/>
      <c r="AA659" s="198"/>
      <c r="AB659" s="198"/>
      <c r="AC659" s="198"/>
      <c r="AD659" s="198"/>
      <c r="AE659" s="198"/>
      <c r="AF659" s="198"/>
      <c r="AG659" s="198"/>
      <c r="AH659" s="198"/>
      <c r="AI659" s="198"/>
      <c r="AJ659" s="198"/>
      <c r="AK659" s="198"/>
    </row>
    <row r="660">
      <c r="A660" s="198"/>
      <c r="B660" s="198"/>
      <c r="C660" s="198"/>
      <c r="D660" s="198"/>
      <c r="E660" s="198"/>
      <c r="F660" s="198"/>
      <c r="G660" s="198"/>
      <c r="H660" s="198"/>
      <c r="I660" s="198"/>
      <c r="J660" s="198"/>
      <c r="K660" s="198"/>
      <c r="L660" s="198"/>
      <c r="M660" s="198"/>
      <c r="N660" s="198"/>
      <c r="O660" s="198"/>
      <c r="P660" s="198"/>
      <c r="Q660" s="198"/>
      <c r="R660" s="198"/>
      <c r="S660" s="198"/>
      <c r="T660" s="198"/>
      <c r="U660" s="198"/>
      <c r="V660" s="198"/>
      <c r="W660" s="201"/>
      <c r="X660" s="198"/>
      <c r="Y660" s="198"/>
      <c r="Z660" s="198"/>
      <c r="AA660" s="198"/>
      <c r="AB660" s="198"/>
      <c r="AC660" s="198"/>
      <c r="AD660" s="198"/>
      <c r="AE660" s="198"/>
      <c r="AF660" s="198"/>
      <c r="AG660" s="198"/>
      <c r="AH660" s="198"/>
      <c r="AI660" s="198"/>
      <c r="AJ660" s="198"/>
      <c r="AK660" s="198"/>
    </row>
    <row r="661">
      <c r="A661" s="198"/>
      <c r="B661" s="198"/>
      <c r="C661" s="198"/>
      <c r="D661" s="198"/>
      <c r="E661" s="198"/>
      <c r="F661" s="198"/>
      <c r="G661" s="198"/>
      <c r="H661" s="198"/>
      <c r="I661" s="198"/>
      <c r="J661" s="198"/>
      <c r="K661" s="198"/>
      <c r="L661" s="198"/>
      <c r="M661" s="198"/>
      <c r="N661" s="198"/>
      <c r="O661" s="198"/>
      <c r="P661" s="198"/>
      <c r="Q661" s="198"/>
      <c r="R661" s="198"/>
      <c r="S661" s="198"/>
      <c r="T661" s="198"/>
      <c r="U661" s="198"/>
      <c r="V661" s="198"/>
      <c r="W661" s="201"/>
      <c r="X661" s="198"/>
      <c r="Y661" s="198"/>
      <c r="Z661" s="198"/>
      <c r="AA661" s="198"/>
      <c r="AB661" s="198"/>
      <c r="AC661" s="198"/>
      <c r="AD661" s="198"/>
      <c r="AE661" s="198"/>
      <c r="AF661" s="198"/>
      <c r="AG661" s="198"/>
      <c r="AH661" s="198"/>
      <c r="AI661" s="198"/>
      <c r="AJ661" s="198"/>
      <c r="AK661" s="198"/>
    </row>
    <row r="662">
      <c r="A662" s="198"/>
      <c r="B662" s="198"/>
      <c r="C662" s="198"/>
      <c r="D662" s="198"/>
      <c r="E662" s="198"/>
      <c r="F662" s="198"/>
      <c r="G662" s="198"/>
      <c r="H662" s="198"/>
      <c r="I662" s="198"/>
      <c r="J662" s="198"/>
      <c r="K662" s="198"/>
      <c r="L662" s="198"/>
      <c r="M662" s="198"/>
      <c r="N662" s="198"/>
      <c r="O662" s="198"/>
      <c r="P662" s="198"/>
      <c r="Q662" s="198"/>
      <c r="R662" s="198"/>
      <c r="S662" s="198"/>
      <c r="T662" s="198"/>
      <c r="U662" s="198"/>
      <c r="V662" s="198"/>
      <c r="W662" s="201"/>
      <c r="X662" s="198"/>
      <c r="Y662" s="198"/>
      <c r="Z662" s="198"/>
      <c r="AA662" s="198"/>
      <c r="AB662" s="198"/>
      <c r="AC662" s="198"/>
      <c r="AD662" s="198"/>
      <c r="AE662" s="198"/>
      <c r="AF662" s="198"/>
      <c r="AG662" s="198"/>
      <c r="AH662" s="198"/>
      <c r="AI662" s="198"/>
      <c r="AJ662" s="198"/>
      <c r="AK662" s="198"/>
    </row>
    <row r="663">
      <c r="A663" s="198"/>
      <c r="B663" s="198"/>
      <c r="C663" s="198"/>
      <c r="D663" s="198"/>
      <c r="E663" s="198"/>
      <c r="F663" s="198"/>
      <c r="G663" s="198"/>
      <c r="H663" s="198"/>
      <c r="I663" s="198"/>
      <c r="J663" s="198"/>
      <c r="K663" s="198"/>
      <c r="L663" s="198"/>
      <c r="M663" s="198"/>
      <c r="N663" s="198"/>
      <c r="O663" s="198"/>
      <c r="P663" s="198"/>
      <c r="Q663" s="198"/>
      <c r="R663" s="198"/>
      <c r="S663" s="198"/>
      <c r="T663" s="198"/>
      <c r="U663" s="198"/>
      <c r="V663" s="198"/>
      <c r="W663" s="201"/>
      <c r="X663" s="198"/>
      <c r="Y663" s="198"/>
      <c r="Z663" s="198"/>
      <c r="AA663" s="198"/>
      <c r="AB663" s="198"/>
      <c r="AC663" s="198"/>
      <c r="AD663" s="198"/>
      <c r="AE663" s="198"/>
      <c r="AF663" s="198"/>
      <c r="AG663" s="198"/>
      <c r="AH663" s="198"/>
      <c r="AI663" s="198"/>
      <c r="AJ663" s="198"/>
      <c r="AK663" s="198"/>
    </row>
    <row r="664">
      <c r="A664" s="198"/>
      <c r="B664" s="198"/>
      <c r="C664" s="198"/>
      <c r="D664" s="198"/>
      <c r="E664" s="198"/>
      <c r="F664" s="198"/>
      <c r="G664" s="198"/>
      <c r="H664" s="198"/>
      <c r="I664" s="198"/>
      <c r="J664" s="198"/>
      <c r="K664" s="198"/>
      <c r="L664" s="198"/>
      <c r="M664" s="198"/>
      <c r="N664" s="198"/>
      <c r="O664" s="198"/>
      <c r="P664" s="198"/>
      <c r="Q664" s="198"/>
      <c r="R664" s="198"/>
      <c r="S664" s="198"/>
      <c r="T664" s="198"/>
      <c r="U664" s="198"/>
      <c r="V664" s="198"/>
      <c r="W664" s="201"/>
      <c r="X664" s="198"/>
      <c r="Y664" s="198"/>
      <c r="Z664" s="198"/>
      <c r="AA664" s="198"/>
      <c r="AB664" s="198"/>
      <c r="AC664" s="198"/>
      <c r="AD664" s="198"/>
      <c r="AE664" s="198"/>
      <c r="AF664" s="198"/>
      <c r="AG664" s="198"/>
      <c r="AH664" s="198"/>
      <c r="AI664" s="198"/>
      <c r="AJ664" s="198"/>
      <c r="AK664" s="198"/>
    </row>
    <row r="665">
      <c r="A665" s="198"/>
      <c r="B665" s="198"/>
      <c r="C665" s="198"/>
      <c r="D665" s="198"/>
      <c r="E665" s="198"/>
      <c r="F665" s="198"/>
      <c r="G665" s="198"/>
      <c r="H665" s="198"/>
      <c r="I665" s="198"/>
      <c r="J665" s="198"/>
      <c r="K665" s="198"/>
      <c r="L665" s="198"/>
      <c r="M665" s="198"/>
      <c r="N665" s="198"/>
      <c r="O665" s="198"/>
      <c r="P665" s="198"/>
      <c r="Q665" s="198"/>
      <c r="R665" s="198"/>
      <c r="S665" s="198"/>
      <c r="T665" s="198"/>
      <c r="U665" s="198"/>
      <c r="V665" s="198"/>
      <c r="W665" s="201"/>
      <c r="X665" s="198"/>
      <c r="Y665" s="198"/>
      <c r="Z665" s="198"/>
      <c r="AA665" s="198"/>
      <c r="AB665" s="198"/>
      <c r="AC665" s="198"/>
      <c r="AD665" s="198"/>
      <c r="AE665" s="198"/>
      <c r="AF665" s="198"/>
      <c r="AG665" s="198"/>
      <c r="AH665" s="198"/>
      <c r="AI665" s="198"/>
      <c r="AJ665" s="198"/>
      <c r="AK665" s="198"/>
    </row>
    <row r="666">
      <c r="A666" s="198"/>
      <c r="B666" s="198"/>
      <c r="C666" s="198"/>
      <c r="D666" s="198"/>
      <c r="E666" s="198"/>
      <c r="F666" s="198"/>
      <c r="G666" s="198"/>
      <c r="H666" s="198"/>
      <c r="I666" s="198"/>
      <c r="J666" s="198"/>
      <c r="K666" s="198"/>
      <c r="L666" s="198"/>
      <c r="M666" s="198"/>
      <c r="N666" s="198"/>
      <c r="O666" s="198"/>
      <c r="P666" s="198"/>
      <c r="Q666" s="198"/>
      <c r="R666" s="198"/>
      <c r="S666" s="198"/>
      <c r="T666" s="198"/>
      <c r="U666" s="198"/>
      <c r="V666" s="198"/>
      <c r="W666" s="201"/>
      <c r="X666" s="198"/>
      <c r="Y666" s="198"/>
      <c r="Z666" s="198"/>
      <c r="AA666" s="198"/>
      <c r="AB666" s="198"/>
      <c r="AC666" s="198"/>
      <c r="AD666" s="198"/>
      <c r="AE666" s="198"/>
      <c r="AF666" s="198"/>
      <c r="AG666" s="198"/>
      <c r="AH666" s="198"/>
      <c r="AI666" s="198"/>
      <c r="AJ666" s="198"/>
      <c r="AK666" s="198"/>
    </row>
    <row r="667">
      <c r="A667" s="198"/>
      <c r="B667" s="198"/>
      <c r="C667" s="198"/>
      <c r="D667" s="198"/>
      <c r="E667" s="198"/>
      <c r="F667" s="198"/>
      <c r="G667" s="198"/>
      <c r="H667" s="198"/>
      <c r="I667" s="198"/>
      <c r="J667" s="198"/>
      <c r="K667" s="198"/>
      <c r="L667" s="198"/>
      <c r="M667" s="198"/>
      <c r="N667" s="198"/>
      <c r="O667" s="198"/>
      <c r="P667" s="198"/>
      <c r="Q667" s="198"/>
      <c r="R667" s="198"/>
      <c r="S667" s="198"/>
      <c r="T667" s="198"/>
      <c r="U667" s="198"/>
      <c r="V667" s="198"/>
      <c r="W667" s="201"/>
      <c r="X667" s="198"/>
      <c r="Y667" s="198"/>
      <c r="Z667" s="198"/>
      <c r="AA667" s="198"/>
      <c r="AB667" s="198"/>
      <c r="AC667" s="198"/>
      <c r="AD667" s="198"/>
      <c r="AE667" s="198"/>
      <c r="AF667" s="198"/>
      <c r="AG667" s="198"/>
      <c r="AH667" s="198"/>
      <c r="AI667" s="198"/>
      <c r="AJ667" s="198"/>
      <c r="AK667" s="198"/>
    </row>
    <row r="668">
      <c r="A668" s="198"/>
      <c r="B668" s="198"/>
      <c r="C668" s="198"/>
      <c r="D668" s="198"/>
      <c r="E668" s="198"/>
      <c r="F668" s="198"/>
      <c r="G668" s="198"/>
      <c r="H668" s="198"/>
      <c r="I668" s="198"/>
      <c r="J668" s="198"/>
      <c r="K668" s="198"/>
      <c r="L668" s="198"/>
      <c r="M668" s="198"/>
      <c r="N668" s="198"/>
      <c r="O668" s="198"/>
      <c r="P668" s="198"/>
      <c r="Q668" s="198"/>
      <c r="R668" s="198"/>
      <c r="S668" s="198"/>
      <c r="T668" s="198"/>
      <c r="U668" s="198"/>
      <c r="V668" s="198"/>
      <c r="W668" s="201"/>
      <c r="X668" s="198"/>
      <c r="Y668" s="198"/>
      <c r="Z668" s="198"/>
      <c r="AA668" s="198"/>
      <c r="AB668" s="198"/>
      <c r="AC668" s="198"/>
      <c r="AD668" s="198"/>
      <c r="AE668" s="198"/>
      <c r="AF668" s="198"/>
      <c r="AG668" s="198"/>
      <c r="AH668" s="198"/>
      <c r="AI668" s="198"/>
      <c r="AJ668" s="198"/>
      <c r="AK668" s="198"/>
    </row>
    <row r="669">
      <c r="A669" s="198"/>
      <c r="B669" s="198"/>
      <c r="C669" s="198"/>
      <c r="D669" s="198"/>
      <c r="E669" s="198"/>
      <c r="F669" s="198"/>
      <c r="G669" s="198"/>
      <c r="H669" s="198"/>
      <c r="I669" s="198"/>
      <c r="J669" s="198"/>
      <c r="K669" s="198"/>
      <c r="L669" s="198"/>
      <c r="M669" s="198"/>
      <c r="N669" s="198"/>
      <c r="O669" s="198"/>
      <c r="P669" s="198"/>
      <c r="Q669" s="198"/>
      <c r="R669" s="198"/>
      <c r="S669" s="198"/>
      <c r="T669" s="198"/>
      <c r="U669" s="198"/>
      <c r="V669" s="198"/>
      <c r="W669" s="201"/>
      <c r="X669" s="198"/>
      <c r="Y669" s="198"/>
      <c r="Z669" s="198"/>
      <c r="AA669" s="198"/>
      <c r="AB669" s="198"/>
      <c r="AC669" s="198"/>
      <c r="AD669" s="198"/>
      <c r="AE669" s="198"/>
      <c r="AF669" s="198"/>
      <c r="AG669" s="198"/>
      <c r="AH669" s="198"/>
      <c r="AI669" s="198"/>
      <c r="AJ669" s="198"/>
      <c r="AK669" s="198"/>
    </row>
    <row r="670">
      <c r="A670" s="198"/>
      <c r="B670" s="198"/>
      <c r="C670" s="198"/>
      <c r="D670" s="198"/>
      <c r="E670" s="198"/>
      <c r="F670" s="198"/>
      <c r="G670" s="198"/>
      <c r="H670" s="198"/>
      <c r="I670" s="198"/>
      <c r="J670" s="198"/>
      <c r="K670" s="198"/>
      <c r="L670" s="198"/>
      <c r="M670" s="198"/>
      <c r="N670" s="198"/>
      <c r="O670" s="198"/>
      <c r="P670" s="198"/>
      <c r="Q670" s="198"/>
      <c r="R670" s="198"/>
      <c r="S670" s="198"/>
      <c r="T670" s="198"/>
      <c r="U670" s="198"/>
      <c r="V670" s="198"/>
      <c r="W670" s="201"/>
      <c r="X670" s="198"/>
      <c r="Y670" s="198"/>
      <c r="Z670" s="198"/>
      <c r="AA670" s="198"/>
      <c r="AB670" s="198"/>
      <c r="AC670" s="198"/>
      <c r="AD670" s="198"/>
      <c r="AE670" s="198"/>
      <c r="AF670" s="198"/>
      <c r="AG670" s="198"/>
      <c r="AH670" s="198"/>
      <c r="AI670" s="198"/>
      <c r="AJ670" s="198"/>
      <c r="AK670" s="198"/>
    </row>
    <row r="671">
      <c r="A671" s="198"/>
      <c r="B671" s="198"/>
      <c r="C671" s="198"/>
      <c r="D671" s="198"/>
      <c r="E671" s="198"/>
      <c r="F671" s="198"/>
      <c r="G671" s="198"/>
      <c r="H671" s="198"/>
      <c r="I671" s="198"/>
      <c r="J671" s="198"/>
      <c r="K671" s="198"/>
      <c r="L671" s="198"/>
      <c r="M671" s="198"/>
      <c r="N671" s="198"/>
      <c r="O671" s="198"/>
      <c r="P671" s="198"/>
      <c r="Q671" s="198"/>
      <c r="R671" s="198"/>
      <c r="S671" s="198"/>
      <c r="T671" s="198"/>
      <c r="U671" s="198"/>
      <c r="V671" s="198"/>
      <c r="W671" s="201"/>
      <c r="X671" s="198"/>
      <c r="Y671" s="198"/>
      <c r="Z671" s="198"/>
      <c r="AA671" s="198"/>
      <c r="AB671" s="198"/>
      <c r="AC671" s="198"/>
      <c r="AD671" s="198"/>
      <c r="AE671" s="198"/>
      <c r="AF671" s="198"/>
      <c r="AG671" s="198"/>
      <c r="AH671" s="198"/>
      <c r="AI671" s="198"/>
      <c r="AJ671" s="198"/>
      <c r="AK671" s="198"/>
    </row>
    <row r="672">
      <c r="A672" s="198"/>
      <c r="B672" s="198"/>
      <c r="C672" s="198"/>
      <c r="D672" s="198"/>
      <c r="E672" s="198"/>
      <c r="F672" s="198"/>
      <c r="G672" s="198"/>
      <c r="H672" s="198"/>
      <c r="I672" s="198"/>
      <c r="J672" s="198"/>
      <c r="K672" s="198"/>
      <c r="L672" s="198"/>
      <c r="M672" s="198"/>
      <c r="N672" s="198"/>
      <c r="O672" s="198"/>
      <c r="P672" s="198"/>
      <c r="Q672" s="198"/>
      <c r="R672" s="198"/>
      <c r="S672" s="198"/>
      <c r="T672" s="198"/>
      <c r="U672" s="198"/>
      <c r="V672" s="198"/>
      <c r="W672" s="201"/>
      <c r="X672" s="198"/>
      <c r="Y672" s="198"/>
      <c r="Z672" s="198"/>
      <c r="AA672" s="198"/>
      <c r="AB672" s="198"/>
      <c r="AC672" s="198"/>
      <c r="AD672" s="198"/>
      <c r="AE672" s="198"/>
      <c r="AF672" s="198"/>
      <c r="AG672" s="198"/>
      <c r="AH672" s="198"/>
      <c r="AI672" s="198"/>
      <c r="AJ672" s="198"/>
      <c r="AK672" s="198"/>
    </row>
    <row r="673">
      <c r="A673" s="198"/>
      <c r="B673" s="198"/>
      <c r="C673" s="198"/>
      <c r="D673" s="198"/>
      <c r="E673" s="198"/>
      <c r="F673" s="198"/>
      <c r="G673" s="198"/>
      <c r="H673" s="198"/>
      <c r="I673" s="198"/>
      <c r="J673" s="198"/>
      <c r="K673" s="198"/>
      <c r="L673" s="198"/>
      <c r="M673" s="198"/>
      <c r="N673" s="198"/>
      <c r="O673" s="198"/>
      <c r="P673" s="198"/>
      <c r="Q673" s="198"/>
      <c r="R673" s="198"/>
      <c r="S673" s="198"/>
      <c r="T673" s="198"/>
      <c r="U673" s="198"/>
      <c r="V673" s="198"/>
      <c r="W673" s="201"/>
      <c r="X673" s="198"/>
      <c r="Y673" s="198"/>
      <c r="Z673" s="198"/>
      <c r="AA673" s="198"/>
      <c r="AB673" s="198"/>
      <c r="AC673" s="198"/>
      <c r="AD673" s="198"/>
      <c r="AE673" s="198"/>
      <c r="AF673" s="198"/>
      <c r="AG673" s="198"/>
      <c r="AH673" s="198"/>
      <c r="AI673" s="198"/>
      <c r="AJ673" s="198"/>
      <c r="AK673" s="198"/>
    </row>
    <row r="674">
      <c r="A674" s="198"/>
      <c r="B674" s="198"/>
      <c r="C674" s="198"/>
      <c r="D674" s="198"/>
      <c r="E674" s="198"/>
      <c r="F674" s="198"/>
      <c r="G674" s="198"/>
      <c r="H674" s="198"/>
      <c r="I674" s="198"/>
      <c r="J674" s="198"/>
      <c r="K674" s="198"/>
      <c r="L674" s="198"/>
      <c r="M674" s="198"/>
      <c r="N674" s="198"/>
      <c r="O674" s="198"/>
      <c r="P674" s="198"/>
      <c r="Q674" s="198"/>
      <c r="R674" s="198"/>
      <c r="S674" s="198"/>
      <c r="T674" s="198"/>
      <c r="U674" s="198"/>
      <c r="V674" s="198"/>
      <c r="W674" s="201"/>
      <c r="X674" s="198"/>
      <c r="Y674" s="198"/>
      <c r="Z674" s="198"/>
      <c r="AA674" s="198"/>
      <c r="AB674" s="198"/>
      <c r="AC674" s="198"/>
      <c r="AD674" s="198"/>
      <c r="AE674" s="198"/>
      <c r="AF674" s="198"/>
      <c r="AG674" s="198"/>
      <c r="AH674" s="198"/>
      <c r="AI674" s="198"/>
      <c r="AJ674" s="198"/>
      <c r="AK674" s="198"/>
    </row>
    <row r="675">
      <c r="A675" s="198"/>
      <c r="B675" s="198"/>
      <c r="C675" s="198"/>
      <c r="D675" s="198"/>
      <c r="E675" s="198"/>
      <c r="F675" s="198"/>
      <c r="G675" s="198"/>
      <c r="H675" s="198"/>
      <c r="I675" s="198"/>
      <c r="J675" s="198"/>
      <c r="K675" s="198"/>
      <c r="L675" s="198"/>
      <c r="M675" s="198"/>
      <c r="N675" s="198"/>
      <c r="O675" s="198"/>
      <c r="P675" s="198"/>
      <c r="Q675" s="198"/>
      <c r="R675" s="198"/>
      <c r="S675" s="198"/>
      <c r="T675" s="198"/>
      <c r="U675" s="198"/>
      <c r="V675" s="198"/>
      <c r="W675" s="201"/>
      <c r="X675" s="198"/>
      <c r="Y675" s="198"/>
      <c r="Z675" s="198"/>
      <c r="AA675" s="198"/>
      <c r="AB675" s="198"/>
      <c r="AC675" s="198"/>
      <c r="AD675" s="198"/>
      <c r="AE675" s="198"/>
      <c r="AF675" s="198"/>
      <c r="AG675" s="198"/>
      <c r="AH675" s="198"/>
      <c r="AI675" s="198"/>
      <c r="AJ675" s="198"/>
      <c r="AK675" s="198"/>
    </row>
    <row r="676">
      <c r="A676" s="198"/>
      <c r="B676" s="198"/>
      <c r="C676" s="198"/>
      <c r="D676" s="198"/>
      <c r="E676" s="198"/>
      <c r="F676" s="198"/>
      <c r="G676" s="198"/>
      <c r="H676" s="198"/>
      <c r="I676" s="198"/>
      <c r="J676" s="198"/>
      <c r="K676" s="198"/>
      <c r="L676" s="198"/>
      <c r="M676" s="198"/>
      <c r="N676" s="198"/>
      <c r="O676" s="198"/>
      <c r="P676" s="198"/>
      <c r="Q676" s="198"/>
      <c r="R676" s="198"/>
      <c r="S676" s="198"/>
      <c r="T676" s="198"/>
      <c r="U676" s="198"/>
      <c r="V676" s="198"/>
      <c r="W676" s="201"/>
      <c r="X676" s="198"/>
      <c r="Y676" s="198"/>
      <c r="Z676" s="198"/>
      <c r="AA676" s="198"/>
      <c r="AB676" s="198"/>
      <c r="AC676" s="198"/>
      <c r="AD676" s="198"/>
      <c r="AE676" s="198"/>
      <c r="AF676" s="198"/>
      <c r="AG676" s="198"/>
      <c r="AH676" s="198"/>
      <c r="AI676" s="198"/>
      <c r="AJ676" s="198"/>
      <c r="AK676" s="198"/>
    </row>
    <row r="677">
      <c r="A677" s="198"/>
      <c r="B677" s="198"/>
      <c r="C677" s="198"/>
      <c r="D677" s="198"/>
      <c r="E677" s="198"/>
      <c r="F677" s="198"/>
      <c r="G677" s="198"/>
      <c r="H677" s="198"/>
      <c r="I677" s="198"/>
      <c r="J677" s="198"/>
      <c r="K677" s="198"/>
      <c r="L677" s="198"/>
      <c r="M677" s="198"/>
      <c r="N677" s="198"/>
      <c r="O677" s="198"/>
      <c r="P677" s="198"/>
      <c r="Q677" s="198"/>
      <c r="R677" s="198"/>
      <c r="S677" s="198"/>
      <c r="T677" s="198"/>
      <c r="U677" s="198"/>
      <c r="V677" s="198"/>
      <c r="W677" s="201"/>
      <c r="X677" s="198"/>
      <c r="Y677" s="198"/>
      <c r="Z677" s="198"/>
      <c r="AA677" s="198"/>
      <c r="AB677" s="198"/>
      <c r="AC677" s="198"/>
      <c r="AD677" s="198"/>
      <c r="AE677" s="198"/>
      <c r="AF677" s="198"/>
      <c r="AG677" s="198"/>
      <c r="AH677" s="198"/>
      <c r="AI677" s="198"/>
      <c r="AJ677" s="198"/>
      <c r="AK677" s="198"/>
    </row>
    <row r="678">
      <c r="A678" s="198"/>
      <c r="B678" s="198"/>
      <c r="C678" s="198"/>
      <c r="D678" s="198"/>
      <c r="E678" s="198"/>
      <c r="F678" s="198"/>
      <c r="G678" s="198"/>
      <c r="H678" s="198"/>
      <c r="I678" s="198"/>
      <c r="J678" s="198"/>
      <c r="K678" s="198"/>
      <c r="L678" s="198"/>
      <c r="M678" s="198"/>
      <c r="N678" s="198"/>
      <c r="O678" s="198"/>
      <c r="P678" s="198"/>
      <c r="Q678" s="198"/>
      <c r="R678" s="198"/>
      <c r="S678" s="198"/>
      <c r="T678" s="198"/>
      <c r="U678" s="198"/>
      <c r="V678" s="198"/>
      <c r="W678" s="201"/>
      <c r="X678" s="198"/>
      <c r="Y678" s="198"/>
      <c r="Z678" s="198"/>
      <c r="AA678" s="198"/>
      <c r="AB678" s="198"/>
      <c r="AC678" s="198"/>
      <c r="AD678" s="198"/>
      <c r="AE678" s="198"/>
      <c r="AF678" s="198"/>
      <c r="AG678" s="198"/>
      <c r="AH678" s="198"/>
      <c r="AI678" s="198"/>
      <c r="AJ678" s="198"/>
      <c r="AK678" s="198"/>
    </row>
    <row r="679">
      <c r="A679" s="198"/>
      <c r="B679" s="198"/>
      <c r="C679" s="198"/>
      <c r="D679" s="198"/>
      <c r="E679" s="198"/>
      <c r="F679" s="198"/>
      <c r="G679" s="198"/>
      <c r="H679" s="198"/>
      <c r="I679" s="198"/>
      <c r="J679" s="198"/>
      <c r="K679" s="198"/>
      <c r="L679" s="198"/>
      <c r="M679" s="198"/>
      <c r="N679" s="198"/>
      <c r="O679" s="198"/>
      <c r="P679" s="198"/>
      <c r="Q679" s="198"/>
      <c r="R679" s="198"/>
      <c r="S679" s="198"/>
      <c r="T679" s="198"/>
      <c r="U679" s="198"/>
      <c r="V679" s="198"/>
      <c r="W679" s="201"/>
      <c r="X679" s="198"/>
      <c r="Y679" s="198"/>
      <c r="Z679" s="198"/>
      <c r="AA679" s="198"/>
      <c r="AB679" s="198"/>
      <c r="AC679" s="198"/>
      <c r="AD679" s="198"/>
      <c r="AE679" s="198"/>
      <c r="AF679" s="198"/>
      <c r="AG679" s="198"/>
      <c r="AH679" s="198"/>
      <c r="AI679" s="198"/>
      <c r="AJ679" s="198"/>
      <c r="AK679" s="198"/>
    </row>
    <row r="680">
      <c r="A680" s="198"/>
      <c r="B680" s="198"/>
      <c r="C680" s="198"/>
      <c r="D680" s="198"/>
      <c r="E680" s="198"/>
      <c r="F680" s="198"/>
      <c r="G680" s="198"/>
      <c r="H680" s="198"/>
      <c r="I680" s="198"/>
      <c r="J680" s="198"/>
      <c r="K680" s="198"/>
      <c r="L680" s="198"/>
      <c r="M680" s="198"/>
      <c r="N680" s="198"/>
      <c r="O680" s="198"/>
      <c r="P680" s="198"/>
      <c r="Q680" s="198"/>
      <c r="R680" s="198"/>
      <c r="S680" s="198"/>
      <c r="T680" s="198"/>
      <c r="U680" s="198"/>
      <c r="V680" s="198"/>
      <c r="W680" s="201"/>
      <c r="X680" s="198"/>
      <c r="Y680" s="198"/>
      <c r="Z680" s="198"/>
      <c r="AA680" s="198"/>
      <c r="AB680" s="198"/>
      <c r="AC680" s="198"/>
      <c r="AD680" s="198"/>
      <c r="AE680" s="198"/>
      <c r="AF680" s="198"/>
      <c r="AG680" s="198"/>
      <c r="AH680" s="198"/>
      <c r="AI680" s="198"/>
      <c r="AJ680" s="198"/>
      <c r="AK680" s="198"/>
    </row>
    <row r="681">
      <c r="A681" s="198"/>
      <c r="B681" s="198"/>
      <c r="C681" s="198"/>
      <c r="D681" s="198"/>
      <c r="E681" s="198"/>
      <c r="F681" s="198"/>
      <c r="G681" s="198"/>
      <c r="H681" s="198"/>
      <c r="I681" s="198"/>
      <c r="J681" s="198"/>
      <c r="K681" s="198"/>
      <c r="L681" s="198"/>
      <c r="M681" s="198"/>
      <c r="N681" s="198"/>
      <c r="O681" s="198"/>
      <c r="P681" s="198"/>
      <c r="Q681" s="198"/>
      <c r="R681" s="198"/>
      <c r="S681" s="198"/>
      <c r="T681" s="198"/>
      <c r="U681" s="198"/>
      <c r="V681" s="198"/>
      <c r="W681" s="201"/>
      <c r="X681" s="198"/>
      <c r="Y681" s="198"/>
      <c r="Z681" s="198"/>
      <c r="AA681" s="198"/>
      <c r="AB681" s="198"/>
      <c r="AC681" s="198"/>
      <c r="AD681" s="198"/>
      <c r="AE681" s="198"/>
      <c r="AF681" s="198"/>
      <c r="AG681" s="198"/>
      <c r="AH681" s="198"/>
      <c r="AI681" s="198"/>
      <c r="AJ681" s="198"/>
      <c r="AK681" s="198"/>
    </row>
    <row r="682">
      <c r="A682" s="198"/>
      <c r="B682" s="198"/>
      <c r="C682" s="198"/>
      <c r="D682" s="198"/>
      <c r="E682" s="198"/>
      <c r="F682" s="198"/>
      <c r="G682" s="198"/>
      <c r="H682" s="198"/>
      <c r="I682" s="198"/>
      <c r="J682" s="198"/>
      <c r="K682" s="198"/>
      <c r="L682" s="198"/>
      <c r="M682" s="198"/>
      <c r="N682" s="198"/>
      <c r="O682" s="198"/>
      <c r="P682" s="198"/>
      <c r="Q682" s="198"/>
      <c r="R682" s="198"/>
      <c r="S682" s="198"/>
      <c r="T682" s="198"/>
      <c r="U682" s="198"/>
      <c r="V682" s="198"/>
      <c r="W682" s="201"/>
      <c r="X682" s="198"/>
      <c r="Y682" s="198"/>
      <c r="Z682" s="198"/>
      <c r="AA682" s="198"/>
      <c r="AB682" s="198"/>
      <c r="AC682" s="198"/>
      <c r="AD682" s="198"/>
      <c r="AE682" s="198"/>
      <c r="AF682" s="198"/>
      <c r="AG682" s="198"/>
      <c r="AH682" s="198"/>
      <c r="AI682" s="198"/>
      <c r="AJ682" s="198"/>
      <c r="AK682" s="198"/>
    </row>
    <row r="683">
      <c r="A683" s="198"/>
      <c r="B683" s="198"/>
      <c r="C683" s="198"/>
      <c r="D683" s="198"/>
      <c r="E683" s="198"/>
      <c r="F683" s="198"/>
      <c r="G683" s="198"/>
      <c r="H683" s="198"/>
      <c r="I683" s="198"/>
      <c r="J683" s="198"/>
      <c r="K683" s="198"/>
      <c r="L683" s="198"/>
      <c r="M683" s="198"/>
      <c r="N683" s="198"/>
      <c r="O683" s="198"/>
      <c r="P683" s="198"/>
      <c r="Q683" s="198"/>
      <c r="R683" s="198"/>
      <c r="S683" s="198"/>
      <c r="T683" s="198"/>
      <c r="U683" s="198"/>
      <c r="V683" s="198"/>
      <c r="W683" s="201"/>
      <c r="X683" s="198"/>
      <c r="Y683" s="198"/>
      <c r="Z683" s="198"/>
      <c r="AA683" s="198"/>
      <c r="AB683" s="198"/>
      <c r="AC683" s="198"/>
      <c r="AD683" s="198"/>
      <c r="AE683" s="198"/>
      <c r="AF683" s="198"/>
      <c r="AG683" s="198"/>
      <c r="AH683" s="198"/>
      <c r="AI683" s="198"/>
      <c r="AJ683" s="198"/>
      <c r="AK683" s="198"/>
    </row>
    <row r="684">
      <c r="A684" s="198"/>
      <c r="B684" s="198"/>
      <c r="C684" s="198"/>
      <c r="D684" s="198"/>
      <c r="E684" s="198"/>
      <c r="F684" s="198"/>
      <c r="G684" s="198"/>
      <c r="H684" s="198"/>
      <c r="I684" s="198"/>
      <c r="J684" s="198"/>
      <c r="K684" s="198"/>
      <c r="L684" s="198"/>
      <c r="M684" s="198"/>
      <c r="N684" s="198"/>
      <c r="O684" s="198"/>
      <c r="P684" s="198"/>
      <c r="Q684" s="198"/>
      <c r="R684" s="198"/>
      <c r="S684" s="198"/>
      <c r="T684" s="198"/>
      <c r="U684" s="198"/>
      <c r="V684" s="198"/>
      <c r="W684" s="201"/>
      <c r="X684" s="198"/>
      <c r="Y684" s="198"/>
      <c r="Z684" s="198"/>
      <c r="AA684" s="198"/>
      <c r="AB684" s="198"/>
      <c r="AC684" s="198"/>
      <c r="AD684" s="198"/>
      <c r="AE684" s="198"/>
      <c r="AF684" s="198"/>
      <c r="AG684" s="198"/>
      <c r="AH684" s="198"/>
      <c r="AI684" s="198"/>
      <c r="AJ684" s="198"/>
      <c r="AK684" s="198"/>
    </row>
    <row r="685">
      <c r="A685" s="198"/>
      <c r="B685" s="198"/>
      <c r="C685" s="198"/>
      <c r="D685" s="198"/>
      <c r="E685" s="198"/>
      <c r="F685" s="198"/>
      <c r="G685" s="198"/>
      <c r="H685" s="198"/>
      <c r="I685" s="198"/>
      <c r="J685" s="198"/>
      <c r="K685" s="198"/>
      <c r="L685" s="198"/>
      <c r="M685" s="198"/>
      <c r="N685" s="198"/>
      <c r="O685" s="198"/>
      <c r="P685" s="198"/>
      <c r="Q685" s="198"/>
      <c r="R685" s="198"/>
      <c r="S685" s="198"/>
      <c r="T685" s="198"/>
      <c r="U685" s="198"/>
      <c r="V685" s="198"/>
      <c r="W685" s="201"/>
      <c r="X685" s="198"/>
      <c r="Y685" s="198"/>
      <c r="Z685" s="198"/>
      <c r="AA685" s="198"/>
      <c r="AB685" s="198"/>
      <c r="AC685" s="198"/>
      <c r="AD685" s="198"/>
      <c r="AE685" s="198"/>
      <c r="AF685" s="198"/>
      <c r="AG685" s="198"/>
      <c r="AH685" s="198"/>
      <c r="AI685" s="198"/>
      <c r="AJ685" s="198"/>
      <c r="AK685" s="198"/>
    </row>
    <row r="686">
      <c r="A686" s="198"/>
      <c r="B686" s="198"/>
      <c r="C686" s="198"/>
      <c r="D686" s="198"/>
      <c r="E686" s="198"/>
      <c r="F686" s="198"/>
      <c r="G686" s="198"/>
      <c r="H686" s="198"/>
      <c r="I686" s="198"/>
      <c r="J686" s="198"/>
      <c r="K686" s="198"/>
      <c r="L686" s="198"/>
      <c r="M686" s="198"/>
      <c r="N686" s="198"/>
      <c r="O686" s="198"/>
      <c r="P686" s="198"/>
      <c r="Q686" s="198"/>
      <c r="R686" s="198"/>
      <c r="S686" s="198"/>
      <c r="T686" s="198"/>
      <c r="U686" s="198"/>
      <c r="V686" s="198"/>
      <c r="W686" s="201"/>
      <c r="X686" s="198"/>
      <c r="Y686" s="198"/>
      <c r="Z686" s="198"/>
      <c r="AA686" s="198"/>
      <c r="AB686" s="198"/>
      <c r="AC686" s="198"/>
      <c r="AD686" s="198"/>
      <c r="AE686" s="198"/>
      <c r="AF686" s="198"/>
      <c r="AG686" s="198"/>
      <c r="AH686" s="198"/>
      <c r="AI686" s="198"/>
      <c r="AJ686" s="198"/>
      <c r="AK686" s="198"/>
    </row>
    <row r="687">
      <c r="A687" s="198"/>
      <c r="B687" s="198"/>
      <c r="C687" s="198"/>
      <c r="D687" s="198"/>
      <c r="E687" s="198"/>
      <c r="F687" s="198"/>
      <c r="G687" s="198"/>
      <c r="H687" s="198"/>
      <c r="I687" s="198"/>
      <c r="J687" s="198"/>
      <c r="K687" s="198"/>
      <c r="L687" s="198"/>
      <c r="M687" s="198"/>
      <c r="N687" s="198"/>
      <c r="O687" s="198"/>
      <c r="P687" s="198"/>
      <c r="Q687" s="198"/>
      <c r="R687" s="198"/>
      <c r="S687" s="198"/>
      <c r="T687" s="198"/>
      <c r="U687" s="198"/>
      <c r="V687" s="198"/>
      <c r="W687" s="201"/>
      <c r="X687" s="198"/>
      <c r="Y687" s="198"/>
      <c r="Z687" s="198"/>
      <c r="AA687" s="198"/>
      <c r="AB687" s="198"/>
      <c r="AC687" s="198"/>
      <c r="AD687" s="198"/>
      <c r="AE687" s="198"/>
      <c r="AF687" s="198"/>
      <c r="AG687" s="198"/>
      <c r="AH687" s="198"/>
      <c r="AI687" s="198"/>
      <c r="AJ687" s="198"/>
      <c r="AK687" s="198"/>
    </row>
    <row r="688">
      <c r="A688" s="198"/>
      <c r="B688" s="198"/>
      <c r="C688" s="198"/>
      <c r="D688" s="198"/>
      <c r="E688" s="198"/>
      <c r="F688" s="198"/>
      <c r="G688" s="198"/>
      <c r="H688" s="198"/>
      <c r="I688" s="198"/>
      <c r="J688" s="198"/>
      <c r="K688" s="198"/>
      <c r="L688" s="198"/>
      <c r="M688" s="198"/>
      <c r="N688" s="198"/>
      <c r="O688" s="198"/>
      <c r="P688" s="198"/>
      <c r="Q688" s="198"/>
      <c r="R688" s="198"/>
      <c r="S688" s="198"/>
      <c r="T688" s="198"/>
      <c r="U688" s="198"/>
      <c r="V688" s="198"/>
      <c r="W688" s="201"/>
      <c r="X688" s="198"/>
      <c r="Y688" s="198"/>
      <c r="Z688" s="198"/>
      <c r="AA688" s="198"/>
      <c r="AB688" s="198"/>
      <c r="AC688" s="198"/>
      <c r="AD688" s="198"/>
      <c r="AE688" s="198"/>
      <c r="AF688" s="198"/>
      <c r="AG688" s="198"/>
      <c r="AH688" s="198"/>
      <c r="AI688" s="198"/>
      <c r="AJ688" s="198"/>
      <c r="AK688" s="198"/>
    </row>
    <row r="689">
      <c r="A689" s="198"/>
      <c r="B689" s="198"/>
      <c r="C689" s="198"/>
      <c r="D689" s="198"/>
      <c r="E689" s="198"/>
      <c r="F689" s="198"/>
      <c r="G689" s="198"/>
      <c r="H689" s="198"/>
      <c r="I689" s="198"/>
      <c r="J689" s="198"/>
      <c r="K689" s="198"/>
      <c r="L689" s="198"/>
      <c r="M689" s="198"/>
      <c r="N689" s="198"/>
      <c r="O689" s="198"/>
      <c r="P689" s="198"/>
      <c r="Q689" s="198"/>
      <c r="R689" s="198"/>
      <c r="S689" s="198"/>
      <c r="T689" s="198"/>
      <c r="U689" s="198"/>
      <c r="V689" s="198"/>
      <c r="W689" s="201"/>
      <c r="X689" s="198"/>
      <c r="Y689" s="198"/>
      <c r="Z689" s="198"/>
      <c r="AA689" s="198"/>
      <c r="AB689" s="198"/>
      <c r="AC689" s="198"/>
      <c r="AD689" s="198"/>
      <c r="AE689" s="198"/>
      <c r="AF689" s="198"/>
      <c r="AG689" s="198"/>
      <c r="AH689" s="198"/>
      <c r="AI689" s="198"/>
      <c r="AJ689" s="198"/>
      <c r="AK689" s="198"/>
    </row>
    <row r="690">
      <c r="A690" s="198"/>
      <c r="B690" s="198"/>
      <c r="C690" s="198"/>
      <c r="D690" s="198"/>
      <c r="E690" s="198"/>
      <c r="F690" s="198"/>
      <c r="G690" s="198"/>
      <c r="H690" s="198"/>
      <c r="I690" s="198"/>
      <c r="J690" s="198"/>
      <c r="K690" s="198"/>
      <c r="L690" s="198"/>
      <c r="M690" s="198"/>
      <c r="N690" s="198"/>
      <c r="O690" s="198"/>
      <c r="P690" s="198"/>
      <c r="Q690" s="198"/>
      <c r="R690" s="198"/>
      <c r="S690" s="198"/>
      <c r="T690" s="198"/>
      <c r="U690" s="198"/>
      <c r="V690" s="198"/>
      <c r="W690" s="201"/>
      <c r="X690" s="198"/>
      <c r="Y690" s="198"/>
      <c r="Z690" s="198"/>
      <c r="AA690" s="198"/>
      <c r="AB690" s="198"/>
      <c r="AC690" s="198"/>
      <c r="AD690" s="198"/>
      <c r="AE690" s="198"/>
      <c r="AF690" s="198"/>
      <c r="AG690" s="198"/>
      <c r="AH690" s="198"/>
      <c r="AI690" s="198"/>
      <c r="AJ690" s="198"/>
      <c r="AK690" s="198"/>
    </row>
    <row r="691">
      <c r="A691" s="198"/>
      <c r="B691" s="198"/>
      <c r="C691" s="198"/>
      <c r="D691" s="198"/>
      <c r="E691" s="198"/>
      <c r="F691" s="198"/>
      <c r="G691" s="198"/>
      <c r="H691" s="198"/>
      <c r="I691" s="198"/>
      <c r="J691" s="198"/>
      <c r="K691" s="198"/>
      <c r="L691" s="198"/>
      <c r="M691" s="198"/>
      <c r="N691" s="198"/>
      <c r="O691" s="198"/>
      <c r="P691" s="198"/>
      <c r="Q691" s="198"/>
      <c r="R691" s="198"/>
      <c r="S691" s="198"/>
      <c r="T691" s="198"/>
      <c r="U691" s="198"/>
      <c r="V691" s="198"/>
      <c r="W691" s="201"/>
      <c r="X691" s="198"/>
      <c r="Y691" s="198"/>
      <c r="Z691" s="198"/>
      <c r="AA691" s="198"/>
      <c r="AB691" s="198"/>
      <c r="AC691" s="198"/>
      <c r="AD691" s="198"/>
      <c r="AE691" s="198"/>
      <c r="AF691" s="198"/>
      <c r="AG691" s="198"/>
      <c r="AH691" s="198"/>
      <c r="AI691" s="198"/>
      <c r="AJ691" s="198"/>
      <c r="AK691" s="198"/>
    </row>
    <row r="692">
      <c r="A692" s="198"/>
      <c r="B692" s="198"/>
      <c r="C692" s="198"/>
      <c r="D692" s="198"/>
      <c r="E692" s="198"/>
      <c r="F692" s="198"/>
      <c r="G692" s="198"/>
      <c r="H692" s="198"/>
      <c r="I692" s="198"/>
      <c r="J692" s="198"/>
      <c r="K692" s="198"/>
      <c r="L692" s="198"/>
      <c r="M692" s="198"/>
      <c r="N692" s="198"/>
      <c r="O692" s="198"/>
      <c r="P692" s="198"/>
      <c r="Q692" s="198"/>
      <c r="R692" s="198"/>
      <c r="S692" s="198"/>
      <c r="T692" s="198"/>
      <c r="U692" s="198"/>
      <c r="V692" s="198"/>
      <c r="W692" s="201"/>
      <c r="X692" s="198"/>
      <c r="Y692" s="198"/>
      <c r="Z692" s="198"/>
      <c r="AA692" s="198"/>
      <c r="AB692" s="198"/>
      <c r="AC692" s="198"/>
      <c r="AD692" s="198"/>
      <c r="AE692" s="198"/>
      <c r="AF692" s="198"/>
      <c r="AG692" s="198"/>
      <c r="AH692" s="198"/>
      <c r="AI692" s="198"/>
      <c r="AJ692" s="198"/>
      <c r="AK692" s="198"/>
    </row>
    <row r="693">
      <c r="A693" s="198"/>
      <c r="B693" s="198"/>
      <c r="C693" s="198"/>
      <c r="D693" s="198"/>
      <c r="E693" s="198"/>
      <c r="F693" s="198"/>
      <c r="G693" s="198"/>
      <c r="H693" s="198"/>
      <c r="I693" s="198"/>
      <c r="J693" s="198"/>
      <c r="K693" s="198"/>
      <c r="L693" s="198"/>
      <c r="M693" s="198"/>
      <c r="N693" s="198"/>
      <c r="O693" s="198"/>
      <c r="P693" s="198"/>
      <c r="Q693" s="198"/>
      <c r="R693" s="198"/>
      <c r="S693" s="198"/>
      <c r="T693" s="198"/>
      <c r="U693" s="198"/>
      <c r="V693" s="198"/>
      <c r="W693" s="201"/>
      <c r="X693" s="198"/>
      <c r="Y693" s="198"/>
      <c r="Z693" s="198"/>
      <c r="AA693" s="198"/>
      <c r="AB693" s="198"/>
      <c r="AC693" s="198"/>
      <c r="AD693" s="198"/>
      <c r="AE693" s="198"/>
      <c r="AF693" s="198"/>
      <c r="AG693" s="198"/>
      <c r="AH693" s="198"/>
      <c r="AI693" s="198"/>
      <c r="AJ693" s="198"/>
      <c r="AK693" s="198"/>
    </row>
    <row r="694">
      <c r="A694" s="198"/>
      <c r="B694" s="198"/>
      <c r="C694" s="198"/>
      <c r="D694" s="198"/>
      <c r="E694" s="198"/>
      <c r="F694" s="198"/>
      <c r="G694" s="198"/>
      <c r="H694" s="198"/>
      <c r="I694" s="198"/>
      <c r="J694" s="198"/>
      <c r="K694" s="198"/>
      <c r="L694" s="198"/>
      <c r="M694" s="198"/>
      <c r="N694" s="198"/>
      <c r="O694" s="198"/>
      <c r="P694" s="198"/>
      <c r="Q694" s="198"/>
      <c r="R694" s="198"/>
      <c r="S694" s="198"/>
      <c r="T694" s="198"/>
      <c r="U694" s="198"/>
      <c r="V694" s="198"/>
      <c r="W694" s="201"/>
      <c r="X694" s="198"/>
      <c r="Y694" s="198"/>
      <c r="Z694" s="198"/>
      <c r="AA694" s="198"/>
      <c r="AB694" s="198"/>
      <c r="AC694" s="198"/>
      <c r="AD694" s="198"/>
      <c r="AE694" s="198"/>
      <c r="AF694" s="198"/>
      <c r="AG694" s="198"/>
      <c r="AH694" s="198"/>
      <c r="AI694" s="198"/>
      <c r="AJ694" s="198"/>
      <c r="AK694" s="198"/>
    </row>
    <row r="695">
      <c r="A695" s="198"/>
      <c r="B695" s="198"/>
      <c r="C695" s="198"/>
      <c r="D695" s="198"/>
      <c r="E695" s="198"/>
      <c r="F695" s="198"/>
      <c r="G695" s="198"/>
      <c r="H695" s="198"/>
      <c r="I695" s="198"/>
      <c r="J695" s="198"/>
      <c r="K695" s="198"/>
      <c r="L695" s="198"/>
      <c r="M695" s="198"/>
      <c r="N695" s="198"/>
      <c r="O695" s="198"/>
      <c r="P695" s="198"/>
      <c r="Q695" s="198"/>
      <c r="R695" s="198"/>
      <c r="S695" s="198"/>
      <c r="T695" s="198"/>
      <c r="U695" s="198"/>
      <c r="V695" s="198"/>
      <c r="W695" s="201"/>
      <c r="X695" s="198"/>
      <c r="Y695" s="198"/>
      <c r="Z695" s="198"/>
      <c r="AA695" s="198"/>
      <c r="AB695" s="198"/>
      <c r="AC695" s="198"/>
      <c r="AD695" s="198"/>
      <c r="AE695" s="198"/>
      <c r="AF695" s="198"/>
      <c r="AG695" s="198"/>
      <c r="AH695" s="198"/>
      <c r="AI695" s="198"/>
      <c r="AJ695" s="198"/>
      <c r="AK695" s="198"/>
    </row>
    <row r="696">
      <c r="A696" s="198"/>
      <c r="B696" s="198"/>
      <c r="C696" s="198"/>
      <c r="D696" s="198"/>
      <c r="E696" s="198"/>
      <c r="F696" s="198"/>
      <c r="G696" s="198"/>
      <c r="H696" s="198"/>
      <c r="I696" s="198"/>
      <c r="J696" s="198"/>
      <c r="K696" s="198"/>
      <c r="L696" s="198"/>
      <c r="M696" s="198"/>
      <c r="N696" s="198"/>
      <c r="O696" s="198"/>
      <c r="P696" s="198"/>
      <c r="Q696" s="198"/>
      <c r="R696" s="198"/>
      <c r="S696" s="198"/>
      <c r="T696" s="198"/>
      <c r="U696" s="198"/>
      <c r="V696" s="198"/>
      <c r="W696" s="201"/>
      <c r="X696" s="198"/>
      <c r="Y696" s="198"/>
      <c r="Z696" s="198"/>
      <c r="AA696" s="198"/>
      <c r="AB696" s="198"/>
      <c r="AC696" s="198"/>
      <c r="AD696" s="198"/>
      <c r="AE696" s="198"/>
      <c r="AF696" s="198"/>
      <c r="AG696" s="198"/>
      <c r="AH696" s="198"/>
      <c r="AI696" s="198"/>
      <c r="AJ696" s="198"/>
      <c r="AK696" s="198"/>
    </row>
    <row r="697">
      <c r="A697" s="198"/>
      <c r="B697" s="198"/>
      <c r="C697" s="198"/>
      <c r="D697" s="198"/>
      <c r="E697" s="198"/>
      <c r="F697" s="198"/>
      <c r="G697" s="198"/>
      <c r="H697" s="198"/>
      <c r="I697" s="198"/>
      <c r="J697" s="198"/>
      <c r="K697" s="198"/>
      <c r="L697" s="198"/>
      <c r="M697" s="198"/>
      <c r="N697" s="198"/>
      <c r="O697" s="198"/>
      <c r="P697" s="198"/>
      <c r="Q697" s="198"/>
      <c r="R697" s="198"/>
      <c r="S697" s="198"/>
      <c r="T697" s="198"/>
      <c r="U697" s="198"/>
      <c r="V697" s="198"/>
      <c r="W697" s="201"/>
      <c r="X697" s="198"/>
      <c r="Y697" s="198"/>
      <c r="Z697" s="198"/>
      <c r="AA697" s="198"/>
      <c r="AB697" s="198"/>
      <c r="AC697" s="198"/>
      <c r="AD697" s="198"/>
      <c r="AE697" s="198"/>
      <c r="AF697" s="198"/>
      <c r="AG697" s="198"/>
      <c r="AH697" s="198"/>
      <c r="AI697" s="198"/>
      <c r="AJ697" s="198"/>
      <c r="AK697" s="198"/>
    </row>
    <row r="698">
      <c r="A698" s="198"/>
      <c r="B698" s="198"/>
      <c r="C698" s="198"/>
      <c r="D698" s="198"/>
      <c r="E698" s="198"/>
      <c r="F698" s="198"/>
      <c r="G698" s="198"/>
      <c r="H698" s="198"/>
      <c r="I698" s="198"/>
      <c r="J698" s="198"/>
      <c r="K698" s="198"/>
      <c r="L698" s="198"/>
      <c r="M698" s="198"/>
      <c r="N698" s="198"/>
      <c r="O698" s="198"/>
      <c r="P698" s="198"/>
      <c r="Q698" s="198"/>
      <c r="R698" s="198"/>
      <c r="S698" s="198"/>
      <c r="T698" s="198"/>
      <c r="U698" s="198"/>
      <c r="V698" s="198"/>
      <c r="W698" s="201"/>
      <c r="X698" s="198"/>
      <c r="Y698" s="198"/>
      <c r="Z698" s="198"/>
      <c r="AA698" s="198"/>
      <c r="AB698" s="198"/>
      <c r="AC698" s="198"/>
      <c r="AD698" s="198"/>
      <c r="AE698" s="198"/>
      <c r="AF698" s="198"/>
      <c r="AG698" s="198"/>
      <c r="AH698" s="198"/>
      <c r="AI698" s="198"/>
      <c r="AJ698" s="198"/>
      <c r="AK698" s="198"/>
    </row>
    <row r="699">
      <c r="A699" s="198"/>
      <c r="B699" s="198"/>
      <c r="C699" s="198"/>
      <c r="D699" s="198"/>
      <c r="E699" s="198"/>
      <c r="F699" s="198"/>
      <c r="G699" s="198"/>
      <c r="H699" s="198"/>
      <c r="I699" s="198"/>
      <c r="J699" s="198"/>
      <c r="K699" s="198"/>
      <c r="L699" s="198"/>
      <c r="M699" s="198"/>
      <c r="N699" s="198"/>
      <c r="O699" s="198"/>
      <c r="P699" s="198"/>
      <c r="Q699" s="198"/>
      <c r="R699" s="198"/>
      <c r="S699" s="198"/>
      <c r="T699" s="198"/>
      <c r="U699" s="198"/>
      <c r="V699" s="198"/>
      <c r="W699" s="201"/>
      <c r="X699" s="198"/>
      <c r="Y699" s="198"/>
      <c r="Z699" s="198"/>
      <c r="AA699" s="198"/>
      <c r="AB699" s="198"/>
      <c r="AC699" s="198"/>
      <c r="AD699" s="198"/>
      <c r="AE699" s="198"/>
      <c r="AF699" s="198"/>
      <c r="AG699" s="198"/>
      <c r="AH699" s="198"/>
      <c r="AI699" s="198"/>
      <c r="AJ699" s="198"/>
      <c r="AK699" s="198"/>
    </row>
    <row r="700">
      <c r="A700" s="198"/>
      <c r="B700" s="198"/>
      <c r="C700" s="198"/>
      <c r="D700" s="198"/>
      <c r="E700" s="198"/>
      <c r="F700" s="198"/>
      <c r="G700" s="198"/>
      <c r="H700" s="198"/>
      <c r="I700" s="198"/>
      <c r="J700" s="198"/>
      <c r="K700" s="198"/>
      <c r="L700" s="198"/>
      <c r="M700" s="198"/>
      <c r="N700" s="198"/>
      <c r="O700" s="198"/>
      <c r="P700" s="198"/>
      <c r="Q700" s="198"/>
      <c r="R700" s="198"/>
      <c r="S700" s="198"/>
      <c r="T700" s="198"/>
      <c r="U700" s="198"/>
      <c r="V700" s="198"/>
      <c r="W700" s="201"/>
      <c r="X700" s="198"/>
      <c r="Y700" s="198"/>
      <c r="Z700" s="198"/>
      <c r="AA700" s="198"/>
      <c r="AB700" s="198"/>
      <c r="AC700" s="198"/>
      <c r="AD700" s="198"/>
      <c r="AE700" s="198"/>
      <c r="AF700" s="198"/>
      <c r="AG700" s="198"/>
      <c r="AH700" s="198"/>
      <c r="AI700" s="198"/>
      <c r="AJ700" s="198"/>
      <c r="AK700" s="198"/>
    </row>
    <row r="701">
      <c r="A701" s="198"/>
      <c r="B701" s="198"/>
      <c r="C701" s="198"/>
      <c r="D701" s="198"/>
      <c r="E701" s="198"/>
      <c r="F701" s="198"/>
      <c r="G701" s="198"/>
      <c r="H701" s="198"/>
      <c r="I701" s="198"/>
      <c r="J701" s="198"/>
      <c r="K701" s="198"/>
      <c r="L701" s="198"/>
      <c r="M701" s="198"/>
      <c r="N701" s="198"/>
      <c r="O701" s="198"/>
      <c r="P701" s="198"/>
      <c r="Q701" s="198"/>
      <c r="R701" s="198"/>
      <c r="S701" s="198"/>
      <c r="T701" s="198"/>
      <c r="U701" s="198"/>
      <c r="V701" s="198"/>
      <c r="W701" s="201"/>
      <c r="X701" s="198"/>
      <c r="Y701" s="198"/>
      <c r="Z701" s="198"/>
      <c r="AA701" s="198"/>
      <c r="AB701" s="198"/>
      <c r="AC701" s="198"/>
      <c r="AD701" s="198"/>
      <c r="AE701" s="198"/>
      <c r="AF701" s="198"/>
      <c r="AG701" s="198"/>
      <c r="AH701" s="198"/>
      <c r="AI701" s="198"/>
      <c r="AJ701" s="198"/>
      <c r="AK701" s="198"/>
    </row>
    <row r="702">
      <c r="A702" s="198"/>
      <c r="B702" s="198"/>
      <c r="C702" s="198"/>
      <c r="D702" s="198"/>
      <c r="E702" s="198"/>
      <c r="F702" s="198"/>
      <c r="G702" s="198"/>
      <c r="H702" s="198"/>
      <c r="I702" s="198"/>
      <c r="J702" s="198"/>
      <c r="K702" s="198"/>
      <c r="L702" s="198"/>
      <c r="M702" s="198"/>
      <c r="N702" s="198"/>
      <c r="O702" s="198"/>
      <c r="P702" s="198"/>
      <c r="Q702" s="198"/>
      <c r="R702" s="198"/>
      <c r="S702" s="198"/>
      <c r="T702" s="198"/>
      <c r="U702" s="198"/>
      <c r="V702" s="198"/>
      <c r="W702" s="201"/>
      <c r="X702" s="198"/>
      <c r="Y702" s="198"/>
      <c r="Z702" s="198"/>
      <c r="AA702" s="198"/>
      <c r="AB702" s="198"/>
      <c r="AC702" s="198"/>
      <c r="AD702" s="198"/>
      <c r="AE702" s="198"/>
      <c r="AF702" s="198"/>
      <c r="AG702" s="198"/>
      <c r="AH702" s="198"/>
      <c r="AI702" s="198"/>
      <c r="AJ702" s="198"/>
      <c r="AK702" s="198"/>
    </row>
    <row r="703">
      <c r="A703" s="198"/>
      <c r="B703" s="198"/>
      <c r="C703" s="198"/>
      <c r="D703" s="198"/>
      <c r="E703" s="198"/>
      <c r="F703" s="198"/>
      <c r="G703" s="198"/>
      <c r="H703" s="198"/>
      <c r="I703" s="198"/>
      <c r="J703" s="198"/>
      <c r="K703" s="198"/>
      <c r="L703" s="198"/>
      <c r="M703" s="198"/>
      <c r="N703" s="198"/>
      <c r="O703" s="198"/>
      <c r="P703" s="198"/>
      <c r="Q703" s="198"/>
      <c r="R703" s="198"/>
      <c r="S703" s="198"/>
      <c r="T703" s="198"/>
      <c r="U703" s="198"/>
      <c r="V703" s="198"/>
      <c r="W703" s="201"/>
      <c r="X703" s="198"/>
      <c r="Y703" s="198"/>
      <c r="Z703" s="198"/>
      <c r="AA703" s="198"/>
      <c r="AB703" s="198"/>
      <c r="AC703" s="198"/>
      <c r="AD703" s="198"/>
      <c r="AE703" s="198"/>
      <c r="AF703" s="198"/>
      <c r="AG703" s="198"/>
      <c r="AH703" s="198"/>
      <c r="AI703" s="198"/>
      <c r="AJ703" s="198"/>
      <c r="AK703" s="198"/>
    </row>
    <row r="704">
      <c r="A704" s="198"/>
      <c r="B704" s="198"/>
      <c r="C704" s="198"/>
      <c r="D704" s="198"/>
      <c r="E704" s="198"/>
      <c r="F704" s="198"/>
      <c r="G704" s="198"/>
      <c r="H704" s="198"/>
      <c r="I704" s="198"/>
      <c r="J704" s="198"/>
      <c r="K704" s="198"/>
      <c r="L704" s="198"/>
      <c r="M704" s="198"/>
      <c r="N704" s="198"/>
      <c r="O704" s="198"/>
      <c r="P704" s="198"/>
      <c r="Q704" s="198"/>
      <c r="R704" s="198"/>
      <c r="S704" s="198"/>
      <c r="T704" s="198"/>
      <c r="U704" s="198"/>
      <c r="V704" s="198"/>
      <c r="W704" s="201"/>
      <c r="X704" s="198"/>
      <c r="Y704" s="198"/>
      <c r="Z704" s="198"/>
      <c r="AA704" s="198"/>
      <c r="AB704" s="198"/>
      <c r="AC704" s="198"/>
      <c r="AD704" s="198"/>
      <c r="AE704" s="198"/>
      <c r="AF704" s="198"/>
      <c r="AG704" s="198"/>
      <c r="AH704" s="198"/>
      <c r="AI704" s="198"/>
      <c r="AJ704" s="198"/>
      <c r="AK704" s="198"/>
    </row>
    <row r="705">
      <c r="A705" s="198"/>
      <c r="B705" s="198"/>
      <c r="C705" s="198"/>
      <c r="D705" s="198"/>
      <c r="E705" s="198"/>
      <c r="F705" s="198"/>
      <c r="G705" s="198"/>
      <c r="H705" s="198"/>
      <c r="I705" s="198"/>
      <c r="J705" s="198"/>
      <c r="K705" s="198"/>
      <c r="L705" s="198"/>
      <c r="M705" s="198"/>
      <c r="N705" s="198"/>
      <c r="O705" s="198"/>
      <c r="P705" s="198"/>
      <c r="Q705" s="198"/>
      <c r="R705" s="198"/>
      <c r="S705" s="198"/>
      <c r="T705" s="198"/>
      <c r="U705" s="198"/>
      <c r="V705" s="198"/>
      <c r="W705" s="201"/>
      <c r="X705" s="198"/>
      <c r="Y705" s="198"/>
      <c r="Z705" s="198"/>
      <c r="AA705" s="198"/>
      <c r="AB705" s="198"/>
      <c r="AC705" s="198"/>
      <c r="AD705" s="198"/>
      <c r="AE705" s="198"/>
      <c r="AF705" s="198"/>
      <c r="AG705" s="198"/>
      <c r="AH705" s="198"/>
      <c r="AI705" s="198"/>
      <c r="AJ705" s="198"/>
      <c r="AK705" s="198"/>
    </row>
    <row r="706">
      <c r="A706" s="198"/>
      <c r="B706" s="198"/>
      <c r="C706" s="198"/>
      <c r="D706" s="198"/>
      <c r="E706" s="198"/>
      <c r="F706" s="198"/>
      <c r="G706" s="198"/>
      <c r="H706" s="198"/>
      <c r="I706" s="198"/>
      <c r="J706" s="198"/>
      <c r="K706" s="198"/>
      <c r="L706" s="198"/>
      <c r="M706" s="198"/>
      <c r="N706" s="198"/>
      <c r="O706" s="198"/>
      <c r="P706" s="198"/>
      <c r="Q706" s="198"/>
      <c r="R706" s="198"/>
      <c r="S706" s="198"/>
      <c r="T706" s="198"/>
      <c r="U706" s="198"/>
      <c r="V706" s="198"/>
      <c r="W706" s="201"/>
      <c r="X706" s="198"/>
      <c r="Y706" s="198"/>
      <c r="Z706" s="198"/>
      <c r="AA706" s="198"/>
      <c r="AB706" s="198"/>
      <c r="AC706" s="198"/>
      <c r="AD706" s="198"/>
      <c r="AE706" s="198"/>
      <c r="AF706" s="198"/>
      <c r="AG706" s="198"/>
      <c r="AH706" s="198"/>
      <c r="AI706" s="198"/>
      <c r="AJ706" s="198"/>
      <c r="AK706" s="198"/>
    </row>
    <row r="707">
      <c r="A707" s="198"/>
      <c r="B707" s="198"/>
      <c r="C707" s="198"/>
      <c r="D707" s="198"/>
      <c r="E707" s="198"/>
      <c r="F707" s="198"/>
      <c r="G707" s="198"/>
      <c r="H707" s="198"/>
      <c r="I707" s="198"/>
      <c r="J707" s="198"/>
      <c r="K707" s="198"/>
      <c r="L707" s="198"/>
      <c r="M707" s="198"/>
      <c r="N707" s="198"/>
      <c r="O707" s="198"/>
      <c r="P707" s="198"/>
      <c r="Q707" s="198"/>
      <c r="R707" s="198"/>
      <c r="S707" s="198"/>
      <c r="T707" s="198"/>
      <c r="U707" s="198"/>
      <c r="V707" s="198"/>
      <c r="W707" s="201"/>
      <c r="X707" s="198"/>
      <c r="Y707" s="198"/>
      <c r="Z707" s="198"/>
      <c r="AA707" s="198"/>
      <c r="AB707" s="198"/>
      <c r="AC707" s="198"/>
      <c r="AD707" s="198"/>
      <c r="AE707" s="198"/>
      <c r="AF707" s="198"/>
      <c r="AG707" s="198"/>
      <c r="AH707" s="198"/>
      <c r="AI707" s="198"/>
      <c r="AJ707" s="198"/>
      <c r="AK707" s="198"/>
    </row>
    <row r="708">
      <c r="A708" s="198"/>
      <c r="B708" s="198"/>
      <c r="C708" s="198"/>
      <c r="D708" s="198"/>
      <c r="E708" s="198"/>
      <c r="F708" s="198"/>
      <c r="G708" s="198"/>
      <c r="H708" s="198"/>
      <c r="I708" s="198"/>
      <c r="J708" s="198"/>
      <c r="K708" s="198"/>
      <c r="L708" s="198"/>
      <c r="M708" s="198"/>
      <c r="N708" s="198"/>
      <c r="O708" s="198"/>
      <c r="P708" s="198"/>
      <c r="Q708" s="198"/>
      <c r="R708" s="198"/>
      <c r="S708" s="198"/>
      <c r="T708" s="198"/>
      <c r="U708" s="198"/>
      <c r="V708" s="198"/>
      <c r="W708" s="201"/>
      <c r="X708" s="198"/>
      <c r="Y708" s="198"/>
      <c r="Z708" s="198"/>
      <c r="AA708" s="198"/>
      <c r="AB708" s="198"/>
      <c r="AC708" s="198"/>
      <c r="AD708" s="198"/>
      <c r="AE708" s="198"/>
      <c r="AF708" s="198"/>
      <c r="AG708" s="198"/>
      <c r="AH708" s="198"/>
      <c r="AI708" s="198"/>
      <c r="AJ708" s="198"/>
      <c r="AK708" s="198"/>
    </row>
    <row r="709">
      <c r="A709" s="198"/>
      <c r="B709" s="198"/>
      <c r="C709" s="198"/>
      <c r="D709" s="198"/>
      <c r="E709" s="198"/>
      <c r="F709" s="198"/>
      <c r="G709" s="198"/>
      <c r="H709" s="198"/>
      <c r="I709" s="198"/>
      <c r="J709" s="198"/>
      <c r="K709" s="198"/>
      <c r="L709" s="198"/>
      <c r="M709" s="198"/>
      <c r="N709" s="198"/>
      <c r="O709" s="198"/>
      <c r="P709" s="198"/>
      <c r="Q709" s="198"/>
      <c r="R709" s="198"/>
      <c r="S709" s="198"/>
      <c r="T709" s="198"/>
      <c r="U709" s="198"/>
      <c r="V709" s="198"/>
      <c r="W709" s="201"/>
      <c r="X709" s="198"/>
      <c r="Y709" s="198"/>
      <c r="Z709" s="198"/>
      <c r="AA709" s="198"/>
      <c r="AB709" s="198"/>
      <c r="AC709" s="198"/>
      <c r="AD709" s="198"/>
      <c r="AE709" s="198"/>
      <c r="AF709" s="198"/>
      <c r="AG709" s="198"/>
      <c r="AH709" s="198"/>
      <c r="AI709" s="198"/>
      <c r="AJ709" s="198"/>
      <c r="AK709" s="198"/>
    </row>
    <row r="710">
      <c r="A710" s="198"/>
      <c r="B710" s="198"/>
      <c r="C710" s="198"/>
      <c r="D710" s="198"/>
      <c r="E710" s="198"/>
      <c r="F710" s="198"/>
      <c r="G710" s="198"/>
      <c r="H710" s="198"/>
      <c r="I710" s="198"/>
      <c r="J710" s="198"/>
      <c r="K710" s="198"/>
      <c r="L710" s="198"/>
      <c r="M710" s="198"/>
      <c r="N710" s="198"/>
      <c r="O710" s="198"/>
      <c r="P710" s="198"/>
      <c r="Q710" s="198"/>
      <c r="R710" s="198"/>
      <c r="S710" s="198"/>
      <c r="T710" s="198"/>
      <c r="U710" s="198"/>
      <c r="V710" s="198"/>
      <c r="W710" s="201"/>
      <c r="X710" s="198"/>
      <c r="Y710" s="198"/>
      <c r="Z710" s="198"/>
      <c r="AA710" s="198"/>
      <c r="AB710" s="198"/>
      <c r="AC710" s="198"/>
      <c r="AD710" s="198"/>
      <c r="AE710" s="198"/>
      <c r="AF710" s="198"/>
      <c r="AG710" s="198"/>
      <c r="AH710" s="198"/>
      <c r="AI710" s="198"/>
      <c r="AJ710" s="198"/>
      <c r="AK710" s="198"/>
    </row>
    <row r="711">
      <c r="A711" s="198"/>
      <c r="B711" s="198"/>
      <c r="C711" s="198"/>
      <c r="D711" s="198"/>
      <c r="E711" s="198"/>
      <c r="F711" s="198"/>
      <c r="G711" s="198"/>
      <c r="H711" s="198"/>
      <c r="I711" s="198"/>
      <c r="J711" s="198"/>
      <c r="K711" s="198"/>
      <c r="L711" s="198"/>
      <c r="M711" s="198"/>
      <c r="N711" s="198"/>
      <c r="O711" s="198"/>
      <c r="P711" s="198"/>
      <c r="Q711" s="198"/>
      <c r="R711" s="198"/>
      <c r="S711" s="198"/>
      <c r="T711" s="198"/>
      <c r="U711" s="198"/>
      <c r="V711" s="198"/>
      <c r="W711" s="201"/>
      <c r="X711" s="198"/>
      <c r="Y711" s="198"/>
      <c r="Z711" s="198"/>
      <c r="AA711" s="198"/>
      <c r="AB711" s="198"/>
      <c r="AC711" s="198"/>
      <c r="AD711" s="198"/>
      <c r="AE711" s="198"/>
      <c r="AF711" s="198"/>
      <c r="AG711" s="198"/>
      <c r="AH711" s="198"/>
      <c r="AI711" s="198"/>
      <c r="AJ711" s="198"/>
      <c r="AK711" s="198"/>
    </row>
    <row r="712">
      <c r="A712" s="198"/>
      <c r="B712" s="198"/>
      <c r="C712" s="198"/>
      <c r="D712" s="198"/>
      <c r="E712" s="198"/>
      <c r="F712" s="198"/>
      <c r="G712" s="198"/>
      <c r="H712" s="198"/>
      <c r="I712" s="198"/>
      <c r="J712" s="198"/>
      <c r="K712" s="198"/>
      <c r="L712" s="198"/>
      <c r="M712" s="198"/>
      <c r="N712" s="198"/>
      <c r="O712" s="198"/>
      <c r="P712" s="198"/>
      <c r="Q712" s="198"/>
      <c r="R712" s="198"/>
      <c r="S712" s="198"/>
      <c r="T712" s="198"/>
      <c r="U712" s="198"/>
      <c r="V712" s="198"/>
      <c r="W712" s="201"/>
      <c r="X712" s="198"/>
      <c r="Y712" s="198"/>
      <c r="Z712" s="198"/>
      <c r="AA712" s="198"/>
      <c r="AB712" s="198"/>
      <c r="AC712" s="198"/>
      <c r="AD712" s="198"/>
      <c r="AE712" s="198"/>
      <c r="AF712" s="198"/>
      <c r="AG712" s="198"/>
      <c r="AH712" s="198"/>
      <c r="AI712" s="198"/>
      <c r="AJ712" s="198"/>
      <c r="AK712" s="198"/>
    </row>
    <row r="713">
      <c r="A713" s="198"/>
      <c r="B713" s="198"/>
      <c r="C713" s="198"/>
      <c r="D713" s="198"/>
      <c r="E713" s="198"/>
      <c r="F713" s="198"/>
      <c r="G713" s="198"/>
      <c r="H713" s="198"/>
      <c r="I713" s="198"/>
      <c r="J713" s="198"/>
      <c r="K713" s="198"/>
      <c r="L713" s="198"/>
      <c r="M713" s="198"/>
      <c r="N713" s="198"/>
      <c r="O713" s="198"/>
      <c r="P713" s="198"/>
      <c r="Q713" s="198"/>
      <c r="R713" s="198"/>
      <c r="S713" s="198"/>
      <c r="T713" s="198"/>
      <c r="U713" s="198"/>
      <c r="V713" s="198"/>
      <c r="W713" s="201"/>
      <c r="X713" s="198"/>
      <c r="Y713" s="198"/>
      <c r="Z713" s="198"/>
      <c r="AA713" s="198"/>
      <c r="AB713" s="198"/>
      <c r="AC713" s="198"/>
      <c r="AD713" s="198"/>
      <c r="AE713" s="198"/>
      <c r="AF713" s="198"/>
      <c r="AG713" s="198"/>
      <c r="AH713" s="198"/>
      <c r="AI713" s="198"/>
      <c r="AJ713" s="198"/>
      <c r="AK713" s="198"/>
    </row>
    <row r="714">
      <c r="A714" s="198"/>
      <c r="B714" s="198"/>
      <c r="C714" s="198"/>
      <c r="D714" s="198"/>
      <c r="E714" s="198"/>
      <c r="F714" s="198"/>
      <c r="G714" s="198"/>
      <c r="H714" s="198"/>
      <c r="I714" s="198"/>
      <c r="J714" s="198"/>
      <c r="K714" s="198"/>
      <c r="L714" s="198"/>
      <c r="M714" s="198"/>
      <c r="N714" s="198"/>
      <c r="O714" s="198"/>
      <c r="P714" s="198"/>
      <c r="Q714" s="198"/>
      <c r="R714" s="198"/>
      <c r="S714" s="198"/>
      <c r="T714" s="198"/>
      <c r="U714" s="198"/>
      <c r="V714" s="198"/>
      <c r="W714" s="201"/>
      <c r="X714" s="198"/>
      <c r="Y714" s="198"/>
      <c r="Z714" s="198"/>
      <c r="AA714" s="198"/>
      <c r="AB714" s="198"/>
      <c r="AC714" s="198"/>
      <c r="AD714" s="198"/>
      <c r="AE714" s="198"/>
      <c r="AF714" s="198"/>
      <c r="AG714" s="198"/>
      <c r="AH714" s="198"/>
      <c r="AI714" s="198"/>
      <c r="AJ714" s="198"/>
      <c r="AK714" s="198"/>
    </row>
    <row r="715">
      <c r="A715" s="198"/>
      <c r="B715" s="198"/>
      <c r="C715" s="198"/>
      <c r="D715" s="198"/>
      <c r="E715" s="198"/>
      <c r="F715" s="198"/>
      <c r="G715" s="198"/>
      <c r="H715" s="198"/>
      <c r="I715" s="198"/>
      <c r="J715" s="198"/>
      <c r="K715" s="198"/>
      <c r="L715" s="198"/>
      <c r="M715" s="198"/>
      <c r="N715" s="198"/>
      <c r="O715" s="198"/>
      <c r="P715" s="198"/>
      <c r="Q715" s="198"/>
      <c r="R715" s="198"/>
      <c r="S715" s="198"/>
      <c r="T715" s="198"/>
      <c r="U715" s="198"/>
      <c r="V715" s="198"/>
      <c r="W715" s="201"/>
      <c r="X715" s="198"/>
      <c r="Y715" s="198"/>
      <c r="Z715" s="198"/>
      <c r="AA715" s="198"/>
      <c r="AB715" s="198"/>
      <c r="AC715" s="198"/>
      <c r="AD715" s="198"/>
      <c r="AE715" s="198"/>
      <c r="AF715" s="198"/>
      <c r="AG715" s="198"/>
      <c r="AH715" s="198"/>
      <c r="AI715" s="198"/>
      <c r="AJ715" s="198"/>
      <c r="AK715" s="198"/>
    </row>
    <row r="716">
      <c r="A716" s="198"/>
      <c r="B716" s="198"/>
      <c r="C716" s="198"/>
      <c r="D716" s="198"/>
      <c r="E716" s="198"/>
      <c r="F716" s="198"/>
      <c r="G716" s="198"/>
      <c r="H716" s="198"/>
      <c r="I716" s="198"/>
      <c r="J716" s="198"/>
      <c r="K716" s="198"/>
      <c r="L716" s="198"/>
      <c r="M716" s="198"/>
      <c r="N716" s="198"/>
      <c r="O716" s="198"/>
      <c r="P716" s="198"/>
      <c r="Q716" s="198"/>
      <c r="R716" s="198"/>
      <c r="S716" s="198"/>
      <c r="T716" s="198"/>
      <c r="U716" s="198"/>
      <c r="V716" s="198"/>
      <c r="W716" s="201"/>
      <c r="X716" s="198"/>
      <c r="Y716" s="198"/>
      <c r="Z716" s="198"/>
      <c r="AA716" s="198"/>
      <c r="AB716" s="198"/>
      <c r="AC716" s="198"/>
      <c r="AD716" s="198"/>
      <c r="AE716" s="198"/>
      <c r="AF716" s="198"/>
      <c r="AG716" s="198"/>
      <c r="AH716" s="198"/>
      <c r="AI716" s="198"/>
      <c r="AJ716" s="198"/>
      <c r="AK716" s="198"/>
    </row>
    <row r="717">
      <c r="A717" s="198"/>
      <c r="B717" s="198"/>
      <c r="C717" s="198"/>
      <c r="D717" s="198"/>
      <c r="E717" s="198"/>
      <c r="F717" s="198"/>
      <c r="G717" s="198"/>
      <c r="H717" s="198"/>
      <c r="I717" s="198"/>
      <c r="J717" s="198"/>
      <c r="K717" s="198"/>
      <c r="L717" s="198"/>
      <c r="M717" s="198"/>
      <c r="N717" s="198"/>
      <c r="O717" s="198"/>
      <c r="P717" s="198"/>
      <c r="Q717" s="198"/>
      <c r="R717" s="198"/>
      <c r="S717" s="198"/>
      <c r="T717" s="198"/>
      <c r="U717" s="198"/>
      <c r="V717" s="198"/>
      <c r="W717" s="201"/>
      <c r="X717" s="198"/>
      <c r="Y717" s="198"/>
      <c r="Z717" s="198"/>
      <c r="AA717" s="198"/>
      <c r="AB717" s="198"/>
      <c r="AC717" s="198"/>
      <c r="AD717" s="198"/>
      <c r="AE717" s="198"/>
      <c r="AF717" s="198"/>
      <c r="AG717" s="198"/>
      <c r="AH717" s="198"/>
      <c r="AI717" s="198"/>
      <c r="AJ717" s="198"/>
      <c r="AK717" s="198"/>
    </row>
    <row r="718">
      <c r="A718" s="198"/>
      <c r="B718" s="198"/>
      <c r="C718" s="198"/>
      <c r="D718" s="198"/>
      <c r="E718" s="198"/>
      <c r="F718" s="198"/>
      <c r="G718" s="198"/>
      <c r="H718" s="198"/>
      <c r="I718" s="198"/>
      <c r="J718" s="198"/>
      <c r="K718" s="198"/>
      <c r="L718" s="198"/>
      <c r="M718" s="198"/>
      <c r="N718" s="198"/>
      <c r="O718" s="198"/>
      <c r="P718" s="198"/>
      <c r="Q718" s="198"/>
      <c r="R718" s="198"/>
      <c r="S718" s="198"/>
      <c r="T718" s="198"/>
      <c r="U718" s="198"/>
      <c r="V718" s="198"/>
      <c r="W718" s="201"/>
      <c r="X718" s="198"/>
      <c r="Y718" s="198"/>
      <c r="Z718" s="198"/>
      <c r="AA718" s="198"/>
      <c r="AB718" s="198"/>
      <c r="AC718" s="198"/>
      <c r="AD718" s="198"/>
      <c r="AE718" s="198"/>
      <c r="AF718" s="198"/>
      <c r="AG718" s="198"/>
      <c r="AH718" s="198"/>
      <c r="AI718" s="198"/>
      <c r="AJ718" s="198"/>
      <c r="AK718" s="198"/>
    </row>
    <row r="719">
      <c r="A719" s="198"/>
      <c r="B719" s="198"/>
      <c r="C719" s="198"/>
      <c r="D719" s="198"/>
      <c r="E719" s="198"/>
      <c r="F719" s="198"/>
      <c r="G719" s="198"/>
      <c r="H719" s="198"/>
      <c r="I719" s="198"/>
      <c r="J719" s="198"/>
      <c r="K719" s="198"/>
      <c r="L719" s="198"/>
      <c r="M719" s="198"/>
      <c r="N719" s="198"/>
      <c r="O719" s="198"/>
      <c r="P719" s="198"/>
      <c r="Q719" s="198"/>
      <c r="R719" s="198"/>
      <c r="S719" s="198"/>
      <c r="T719" s="198"/>
      <c r="U719" s="198"/>
      <c r="V719" s="198"/>
      <c r="W719" s="201"/>
      <c r="X719" s="198"/>
      <c r="Y719" s="198"/>
      <c r="Z719" s="198"/>
      <c r="AA719" s="198"/>
      <c r="AB719" s="198"/>
      <c r="AC719" s="198"/>
      <c r="AD719" s="198"/>
      <c r="AE719" s="198"/>
      <c r="AF719" s="198"/>
      <c r="AG719" s="198"/>
      <c r="AH719" s="198"/>
      <c r="AI719" s="198"/>
      <c r="AJ719" s="198"/>
      <c r="AK719" s="198"/>
    </row>
    <row r="720">
      <c r="A720" s="198"/>
      <c r="B720" s="198"/>
      <c r="C720" s="198"/>
      <c r="D720" s="198"/>
      <c r="E720" s="198"/>
      <c r="F720" s="198"/>
      <c r="G720" s="198"/>
      <c r="H720" s="198"/>
      <c r="I720" s="198"/>
      <c r="J720" s="198"/>
      <c r="K720" s="198"/>
      <c r="L720" s="198"/>
      <c r="M720" s="198"/>
      <c r="N720" s="198"/>
      <c r="O720" s="198"/>
      <c r="P720" s="198"/>
      <c r="Q720" s="198"/>
      <c r="R720" s="198"/>
      <c r="S720" s="198"/>
      <c r="T720" s="198"/>
      <c r="U720" s="198"/>
      <c r="V720" s="198"/>
      <c r="W720" s="201"/>
      <c r="X720" s="198"/>
      <c r="Y720" s="198"/>
      <c r="Z720" s="198"/>
      <c r="AA720" s="198"/>
      <c r="AB720" s="198"/>
      <c r="AC720" s="198"/>
      <c r="AD720" s="198"/>
      <c r="AE720" s="198"/>
      <c r="AF720" s="198"/>
      <c r="AG720" s="198"/>
      <c r="AH720" s="198"/>
      <c r="AI720" s="198"/>
      <c r="AJ720" s="198"/>
      <c r="AK720" s="198"/>
    </row>
    <row r="721">
      <c r="A721" s="198"/>
      <c r="B721" s="198"/>
      <c r="C721" s="198"/>
      <c r="D721" s="198"/>
      <c r="E721" s="198"/>
      <c r="F721" s="198"/>
      <c r="G721" s="198"/>
      <c r="H721" s="198"/>
      <c r="I721" s="198"/>
      <c r="J721" s="198"/>
      <c r="K721" s="198"/>
      <c r="L721" s="198"/>
      <c r="M721" s="198"/>
      <c r="N721" s="198"/>
      <c r="O721" s="198"/>
      <c r="P721" s="198"/>
      <c r="Q721" s="198"/>
      <c r="R721" s="198"/>
      <c r="S721" s="198"/>
      <c r="T721" s="198"/>
      <c r="U721" s="198"/>
      <c r="V721" s="198"/>
      <c r="W721" s="201"/>
      <c r="X721" s="198"/>
      <c r="Y721" s="198"/>
      <c r="Z721" s="198"/>
      <c r="AA721" s="198"/>
      <c r="AB721" s="198"/>
      <c r="AC721" s="198"/>
      <c r="AD721" s="198"/>
      <c r="AE721" s="198"/>
      <c r="AF721" s="198"/>
      <c r="AG721" s="198"/>
      <c r="AH721" s="198"/>
      <c r="AI721" s="198"/>
      <c r="AJ721" s="198"/>
      <c r="AK721" s="198"/>
    </row>
    <row r="722">
      <c r="A722" s="198"/>
      <c r="B722" s="198"/>
      <c r="C722" s="198"/>
      <c r="D722" s="198"/>
      <c r="E722" s="198"/>
      <c r="F722" s="198"/>
      <c r="G722" s="198"/>
      <c r="H722" s="198"/>
      <c r="I722" s="198"/>
      <c r="J722" s="198"/>
      <c r="K722" s="198"/>
      <c r="L722" s="198"/>
      <c r="M722" s="198"/>
      <c r="N722" s="198"/>
      <c r="O722" s="198"/>
      <c r="P722" s="198"/>
      <c r="Q722" s="198"/>
      <c r="R722" s="198"/>
      <c r="S722" s="198"/>
      <c r="T722" s="198"/>
      <c r="U722" s="198"/>
      <c r="V722" s="198"/>
      <c r="W722" s="201"/>
      <c r="X722" s="198"/>
      <c r="Y722" s="198"/>
      <c r="Z722" s="198"/>
      <c r="AA722" s="198"/>
      <c r="AB722" s="198"/>
      <c r="AC722" s="198"/>
      <c r="AD722" s="198"/>
      <c r="AE722" s="198"/>
      <c r="AF722" s="198"/>
      <c r="AG722" s="198"/>
      <c r="AH722" s="198"/>
      <c r="AI722" s="198"/>
      <c r="AJ722" s="198"/>
      <c r="AK722" s="198"/>
    </row>
    <row r="723">
      <c r="A723" s="198"/>
      <c r="B723" s="198"/>
      <c r="C723" s="198"/>
      <c r="D723" s="198"/>
      <c r="E723" s="198"/>
      <c r="F723" s="198"/>
      <c r="G723" s="198"/>
      <c r="H723" s="198"/>
      <c r="I723" s="198"/>
      <c r="J723" s="198"/>
      <c r="K723" s="198"/>
      <c r="L723" s="198"/>
      <c r="M723" s="198"/>
      <c r="N723" s="198"/>
      <c r="O723" s="198"/>
      <c r="P723" s="198"/>
      <c r="Q723" s="198"/>
      <c r="R723" s="198"/>
      <c r="S723" s="198"/>
      <c r="T723" s="198"/>
      <c r="U723" s="198"/>
      <c r="V723" s="198"/>
      <c r="W723" s="201"/>
      <c r="X723" s="198"/>
      <c r="Y723" s="198"/>
      <c r="Z723" s="198"/>
      <c r="AA723" s="198"/>
      <c r="AB723" s="198"/>
      <c r="AC723" s="198"/>
      <c r="AD723" s="198"/>
      <c r="AE723" s="198"/>
      <c r="AF723" s="198"/>
      <c r="AG723" s="198"/>
      <c r="AH723" s="198"/>
      <c r="AI723" s="198"/>
      <c r="AJ723" s="198"/>
      <c r="AK723" s="198"/>
    </row>
    <row r="724">
      <c r="A724" s="198"/>
      <c r="B724" s="198"/>
      <c r="C724" s="198"/>
      <c r="D724" s="198"/>
      <c r="E724" s="198"/>
      <c r="F724" s="198"/>
      <c r="G724" s="198"/>
      <c r="H724" s="198"/>
      <c r="I724" s="198"/>
      <c r="J724" s="198"/>
      <c r="K724" s="198"/>
      <c r="L724" s="198"/>
      <c r="M724" s="198"/>
      <c r="N724" s="198"/>
      <c r="O724" s="198"/>
      <c r="P724" s="198"/>
      <c r="Q724" s="198"/>
      <c r="R724" s="198"/>
      <c r="S724" s="198"/>
      <c r="T724" s="198"/>
      <c r="U724" s="198"/>
      <c r="V724" s="198"/>
      <c r="W724" s="201"/>
      <c r="X724" s="198"/>
      <c r="Y724" s="198"/>
      <c r="Z724" s="198"/>
      <c r="AA724" s="198"/>
      <c r="AB724" s="198"/>
      <c r="AC724" s="198"/>
      <c r="AD724" s="198"/>
      <c r="AE724" s="198"/>
      <c r="AF724" s="198"/>
      <c r="AG724" s="198"/>
      <c r="AH724" s="198"/>
      <c r="AI724" s="198"/>
      <c r="AJ724" s="198"/>
      <c r="AK724" s="198"/>
    </row>
    <row r="725">
      <c r="A725" s="198"/>
      <c r="B725" s="198"/>
      <c r="C725" s="198"/>
      <c r="D725" s="198"/>
      <c r="E725" s="198"/>
      <c r="F725" s="198"/>
      <c r="G725" s="198"/>
      <c r="H725" s="198"/>
      <c r="I725" s="198"/>
      <c r="J725" s="198"/>
      <c r="K725" s="198"/>
      <c r="L725" s="198"/>
      <c r="M725" s="198"/>
      <c r="N725" s="198"/>
      <c r="O725" s="198"/>
      <c r="P725" s="198"/>
      <c r="Q725" s="198"/>
      <c r="R725" s="198"/>
      <c r="S725" s="198"/>
      <c r="T725" s="198"/>
      <c r="U725" s="198"/>
      <c r="V725" s="198"/>
      <c r="W725" s="201"/>
      <c r="X725" s="198"/>
      <c r="Y725" s="198"/>
      <c r="Z725" s="198"/>
      <c r="AA725" s="198"/>
      <c r="AB725" s="198"/>
      <c r="AC725" s="198"/>
      <c r="AD725" s="198"/>
      <c r="AE725" s="198"/>
      <c r="AF725" s="198"/>
      <c r="AG725" s="198"/>
      <c r="AH725" s="198"/>
      <c r="AI725" s="198"/>
      <c r="AJ725" s="198"/>
      <c r="AK725" s="198"/>
    </row>
    <row r="726">
      <c r="A726" s="198"/>
      <c r="B726" s="198"/>
      <c r="C726" s="198"/>
      <c r="D726" s="198"/>
      <c r="E726" s="198"/>
      <c r="F726" s="198"/>
      <c r="G726" s="198"/>
      <c r="H726" s="198"/>
      <c r="I726" s="198"/>
      <c r="J726" s="198"/>
      <c r="K726" s="198"/>
      <c r="L726" s="198"/>
      <c r="M726" s="198"/>
      <c r="N726" s="198"/>
      <c r="O726" s="198"/>
      <c r="P726" s="198"/>
      <c r="Q726" s="198"/>
      <c r="R726" s="198"/>
      <c r="S726" s="198"/>
      <c r="T726" s="198"/>
      <c r="U726" s="198"/>
      <c r="V726" s="198"/>
      <c r="W726" s="201"/>
      <c r="X726" s="198"/>
      <c r="Y726" s="198"/>
      <c r="Z726" s="198"/>
      <c r="AA726" s="198"/>
      <c r="AB726" s="198"/>
      <c r="AC726" s="198"/>
      <c r="AD726" s="198"/>
      <c r="AE726" s="198"/>
      <c r="AF726" s="198"/>
      <c r="AG726" s="198"/>
      <c r="AH726" s="198"/>
      <c r="AI726" s="198"/>
      <c r="AJ726" s="198"/>
      <c r="AK726" s="198"/>
    </row>
    <row r="727">
      <c r="A727" s="198"/>
      <c r="B727" s="198"/>
      <c r="C727" s="198"/>
      <c r="D727" s="198"/>
      <c r="E727" s="198"/>
      <c r="F727" s="198"/>
      <c r="G727" s="198"/>
      <c r="H727" s="198"/>
      <c r="I727" s="198"/>
      <c r="J727" s="198"/>
      <c r="K727" s="198"/>
      <c r="L727" s="198"/>
      <c r="M727" s="198"/>
      <c r="N727" s="198"/>
      <c r="O727" s="198"/>
      <c r="P727" s="198"/>
      <c r="Q727" s="198"/>
      <c r="R727" s="198"/>
      <c r="S727" s="198"/>
      <c r="T727" s="198"/>
      <c r="U727" s="198"/>
      <c r="V727" s="198"/>
      <c r="W727" s="201"/>
      <c r="X727" s="198"/>
      <c r="Y727" s="198"/>
      <c r="Z727" s="198"/>
      <c r="AA727" s="198"/>
      <c r="AB727" s="198"/>
      <c r="AC727" s="198"/>
      <c r="AD727" s="198"/>
      <c r="AE727" s="198"/>
      <c r="AF727" s="198"/>
      <c r="AG727" s="198"/>
      <c r="AH727" s="198"/>
      <c r="AI727" s="198"/>
      <c r="AJ727" s="198"/>
      <c r="AK727" s="198"/>
    </row>
    <row r="728">
      <c r="A728" s="198"/>
      <c r="B728" s="198"/>
      <c r="C728" s="198"/>
      <c r="D728" s="198"/>
      <c r="E728" s="198"/>
      <c r="F728" s="198"/>
      <c r="G728" s="198"/>
      <c r="H728" s="198"/>
      <c r="I728" s="198"/>
      <c r="J728" s="198"/>
      <c r="K728" s="198"/>
      <c r="L728" s="198"/>
      <c r="M728" s="198"/>
      <c r="N728" s="198"/>
      <c r="O728" s="198"/>
      <c r="P728" s="198"/>
      <c r="Q728" s="198"/>
      <c r="R728" s="198"/>
      <c r="S728" s="198"/>
      <c r="T728" s="198"/>
      <c r="U728" s="198"/>
      <c r="V728" s="198"/>
      <c r="W728" s="201"/>
      <c r="X728" s="198"/>
      <c r="Y728" s="198"/>
      <c r="Z728" s="198"/>
      <c r="AA728" s="198"/>
      <c r="AB728" s="198"/>
      <c r="AC728" s="198"/>
      <c r="AD728" s="198"/>
      <c r="AE728" s="198"/>
      <c r="AF728" s="198"/>
      <c r="AG728" s="198"/>
      <c r="AH728" s="198"/>
      <c r="AI728" s="198"/>
      <c r="AJ728" s="198"/>
      <c r="AK728" s="198"/>
    </row>
    <row r="729">
      <c r="A729" s="198"/>
      <c r="B729" s="198"/>
      <c r="C729" s="198"/>
      <c r="D729" s="198"/>
      <c r="E729" s="198"/>
      <c r="F729" s="198"/>
      <c r="G729" s="198"/>
      <c r="H729" s="198"/>
      <c r="I729" s="198"/>
      <c r="J729" s="198"/>
      <c r="K729" s="198"/>
      <c r="L729" s="198"/>
      <c r="M729" s="198"/>
      <c r="N729" s="198"/>
      <c r="O729" s="198"/>
      <c r="P729" s="198"/>
      <c r="Q729" s="198"/>
      <c r="R729" s="198"/>
      <c r="S729" s="198"/>
      <c r="T729" s="198"/>
      <c r="U729" s="198"/>
      <c r="V729" s="198"/>
      <c r="W729" s="201"/>
      <c r="X729" s="198"/>
      <c r="Y729" s="198"/>
      <c r="Z729" s="198"/>
      <c r="AA729" s="198"/>
      <c r="AB729" s="198"/>
      <c r="AC729" s="198"/>
      <c r="AD729" s="198"/>
      <c r="AE729" s="198"/>
      <c r="AF729" s="198"/>
      <c r="AG729" s="198"/>
      <c r="AH729" s="198"/>
      <c r="AI729" s="198"/>
      <c r="AJ729" s="198"/>
      <c r="AK729" s="198"/>
    </row>
    <row r="730">
      <c r="A730" s="198"/>
      <c r="B730" s="198"/>
      <c r="C730" s="198"/>
      <c r="D730" s="198"/>
      <c r="E730" s="198"/>
      <c r="F730" s="198"/>
      <c r="G730" s="198"/>
      <c r="H730" s="198"/>
      <c r="I730" s="198"/>
      <c r="J730" s="198"/>
      <c r="K730" s="198"/>
      <c r="L730" s="198"/>
      <c r="M730" s="198"/>
      <c r="N730" s="198"/>
      <c r="O730" s="198"/>
      <c r="P730" s="198"/>
      <c r="Q730" s="198"/>
      <c r="R730" s="198"/>
      <c r="S730" s="198"/>
      <c r="T730" s="198"/>
      <c r="U730" s="198"/>
      <c r="V730" s="198"/>
      <c r="W730" s="201"/>
      <c r="X730" s="198"/>
      <c r="Y730" s="198"/>
      <c r="Z730" s="198"/>
      <c r="AA730" s="198"/>
      <c r="AB730" s="198"/>
      <c r="AC730" s="198"/>
      <c r="AD730" s="198"/>
      <c r="AE730" s="198"/>
      <c r="AF730" s="198"/>
      <c r="AG730" s="198"/>
      <c r="AH730" s="198"/>
      <c r="AI730" s="198"/>
      <c r="AJ730" s="198"/>
      <c r="AK730" s="198"/>
    </row>
    <row r="731">
      <c r="A731" s="198"/>
      <c r="B731" s="198"/>
      <c r="C731" s="198"/>
      <c r="D731" s="198"/>
      <c r="E731" s="198"/>
      <c r="F731" s="198"/>
      <c r="G731" s="198"/>
      <c r="H731" s="198"/>
      <c r="I731" s="198"/>
      <c r="J731" s="198"/>
      <c r="K731" s="198"/>
      <c r="L731" s="198"/>
      <c r="M731" s="198"/>
      <c r="N731" s="198"/>
      <c r="O731" s="198"/>
      <c r="P731" s="198"/>
      <c r="Q731" s="198"/>
      <c r="R731" s="198"/>
      <c r="S731" s="198"/>
      <c r="T731" s="198"/>
      <c r="U731" s="198"/>
      <c r="V731" s="198"/>
      <c r="W731" s="201"/>
      <c r="X731" s="198"/>
      <c r="Y731" s="198"/>
      <c r="Z731" s="198"/>
      <c r="AA731" s="198"/>
      <c r="AB731" s="198"/>
      <c r="AC731" s="198"/>
      <c r="AD731" s="198"/>
      <c r="AE731" s="198"/>
      <c r="AF731" s="198"/>
      <c r="AG731" s="198"/>
      <c r="AH731" s="198"/>
      <c r="AI731" s="198"/>
      <c r="AJ731" s="198"/>
      <c r="AK731" s="198"/>
    </row>
    <row r="732">
      <c r="A732" s="198"/>
      <c r="B732" s="198"/>
      <c r="C732" s="198"/>
      <c r="D732" s="198"/>
      <c r="E732" s="198"/>
      <c r="F732" s="198"/>
      <c r="G732" s="198"/>
      <c r="H732" s="198"/>
      <c r="I732" s="198"/>
      <c r="J732" s="198"/>
      <c r="K732" s="198"/>
      <c r="L732" s="198"/>
      <c r="M732" s="198"/>
      <c r="N732" s="198"/>
      <c r="O732" s="198"/>
      <c r="P732" s="198"/>
      <c r="Q732" s="198"/>
      <c r="R732" s="198"/>
      <c r="S732" s="198"/>
      <c r="T732" s="198"/>
      <c r="U732" s="198"/>
      <c r="V732" s="198"/>
      <c r="W732" s="201"/>
      <c r="X732" s="198"/>
      <c r="Y732" s="198"/>
      <c r="Z732" s="198"/>
      <c r="AA732" s="198"/>
      <c r="AB732" s="198"/>
      <c r="AC732" s="198"/>
      <c r="AD732" s="198"/>
      <c r="AE732" s="198"/>
      <c r="AF732" s="198"/>
      <c r="AG732" s="198"/>
      <c r="AH732" s="198"/>
      <c r="AI732" s="198"/>
      <c r="AJ732" s="198"/>
      <c r="AK732" s="198"/>
    </row>
    <row r="733">
      <c r="A733" s="198"/>
      <c r="B733" s="198"/>
      <c r="C733" s="198"/>
      <c r="D733" s="198"/>
      <c r="E733" s="198"/>
      <c r="F733" s="198"/>
      <c r="G733" s="198"/>
      <c r="H733" s="198"/>
      <c r="I733" s="198"/>
      <c r="J733" s="198"/>
      <c r="K733" s="198"/>
      <c r="L733" s="198"/>
      <c r="M733" s="198"/>
      <c r="N733" s="198"/>
      <c r="O733" s="198"/>
      <c r="P733" s="198"/>
      <c r="Q733" s="198"/>
      <c r="R733" s="198"/>
      <c r="S733" s="198"/>
      <c r="T733" s="198"/>
      <c r="U733" s="198"/>
      <c r="V733" s="198"/>
      <c r="W733" s="201"/>
      <c r="X733" s="198"/>
      <c r="Y733" s="198"/>
      <c r="Z733" s="198"/>
      <c r="AA733" s="198"/>
      <c r="AB733" s="198"/>
      <c r="AC733" s="198"/>
      <c r="AD733" s="198"/>
      <c r="AE733" s="198"/>
      <c r="AF733" s="198"/>
      <c r="AG733" s="198"/>
      <c r="AH733" s="198"/>
      <c r="AI733" s="198"/>
      <c r="AJ733" s="198"/>
      <c r="AK733" s="198"/>
    </row>
    <row r="734">
      <c r="A734" s="198"/>
      <c r="B734" s="198"/>
      <c r="C734" s="198"/>
      <c r="D734" s="198"/>
      <c r="E734" s="198"/>
      <c r="F734" s="198"/>
      <c r="G734" s="198"/>
      <c r="H734" s="198"/>
      <c r="I734" s="198"/>
      <c r="J734" s="198"/>
      <c r="K734" s="198"/>
      <c r="L734" s="198"/>
      <c r="M734" s="198"/>
      <c r="N734" s="198"/>
      <c r="O734" s="198"/>
      <c r="P734" s="198"/>
      <c r="Q734" s="198"/>
      <c r="R734" s="198"/>
      <c r="S734" s="198"/>
      <c r="T734" s="198"/>
      <c r="U734" s="198"/>
      <c r="V734" s="198"/>
      <c r="W734" s="201"/>
      <c r="X734" s="198"/>
      <c r="Y734" s="198"/>
      <c r="Z734" s="198"/>
      <c r="AA734" s="198"/>
      <c r="AB734" s="198"/>
      <c r="AC734" s="198"/>
      <c r="AD734" s="198"/>
      <c r="AE734" s="198"/>
      <c r="AF734" s="198"/>
      <c r="AG734" s="198"/>
      <c r="AH734" s="198"/>
      <c r="AI734" s="198"/>
      <c r="AJ734" s="198"/>
      <c r="AK734" s="198"/>
    </row>
    <row r="735">
      <c r="A735" s="198"/>
      <c r="B735" s="198"/>
      <c r="C735" s="198"/>
      <c r="D735" s="198"/>
      <c r="E735" s="198"/>
      <c r="F735" s="198"/>
      <c r="G735" s="198"/>
      <c r="H735" s="198"/>
      <c r="I735" s="198"/>
      <c r="J735" s="198"/>
      <c r="K735" s="198"/>
      <c r="L735" s="198"/>
      <c r="M735" s="198"/>
      <c r="N735" s="198"/>
      <c r="O735" s="198"/>
      <c r="P735" s="198"/>
      <c r="Q735" s="198"/>
      <c r="R735" s="198"/>
      <c r="S735" s="198"/>
      <c r="T735" s="198"/>
      <c r="U735" s="198"/>
      <c r="V735" s="198"/>
      <c r="W735" s="201"/>
      <c r="X735" s="198"/>
      <c r="Y735" s="198"/>
      <c r="Z735" s="198"/>
      <c r="AA735" s="198"/>
      <c r="AB735" s="198"/>
      <c r="AC735" s="198"/>
      <c r="AD735" s="198"/>
      <c r="AE735" s="198"/>
      <c r="AF735" s="198"/>
      <c r="AG735" s="198"/>
      <c r="AH735" s="198"/>
      <c r="AI735" s="198"/>
      <c r="AJ735" s="198"/>
      <c r="AK735" s="198"/>
    </row>
    <row r="736">
      <c r="A736" s="198"/>
      <c r="B736" s="198"/>
      <c r="C736" s="198"/>
      <c r="D736" s="198"/>
      <c r="E736" s="198"/>
      <c r="F736" s="198"/>
      <c r="G736" s="198"/>
      <c r="H736" s="198"/>
      <c r="I736" s="198"/>
      <c r="J736" s="198"/>
      <c r="K736" s="198"/>
      <c r="L736" s="198"/>
      <c r="M736" s="198"/>
      <c r="N736" s="198"/>
      <c r="O736" s="198"/>
      <c r="P736" s="198"/>
      <c r="Q736" s="198"/>
      <c r="R736" s="198"/>
      <c r="S736" s="198"/>
      <c r="T736" s="198"/>
      <c r="U736" s="198"/>
      <c r="V736" s="198"/>
      <c r="W736" s="201"/>
      <c r="X736" s="198"/>
      <c r="Y736" s="198"/>
      <c r="Z736" s="198"/>
      <c r="AA736" s="198"/>
      <c r="AB736" s="198"/>
      <c r="AC736" s="198"/>
      <c r="AD736" s="198"/>
      <c r="AE736" s="198"/>
      <c r="AF736" s="198"/>
      <c r="AG736" s="198"/>
      <c r="AH736" s="198"/>
      <c r="AI736" s="198"/>
      <c r="AJ736" s="198"/>
      <c r="AK736" s="198"/>
    </row>
    <row r="737">
      <c r="A737" s="198"/>
      <c r="B737" s="198"/>
      <c r="C737" s="198"/>
      <c r="D737" s="198"/>
      <c r="E737" s="198"/>
      <c r="F737" s="198"/>
      <c r="G737" s="198"/>
      <c r="H737" s="198"/>
      <c r="I737" s="198"/>
      <c r="J737" s="198"/>
      <c r="K737" s="198"/>
      <c r="L737" s="198"/>
      <c r="M737" s="198"/>
      <c r="N737" s="198"/>
      <c r="O737" s="198"/>
      <c r="P737" s="198"/>
      <c r="Q737" s="198"/>
      <c r="R737" s="198"/>
      <c r="S737" s="198"/>
      <c r="T737" s="198"/>
      <c r="U737" s="198"/>
      <c r="V737" s="198"/>
      <c r="W737" s="201"/>
      <c r="X737" s="198"/>
      <c r="Y737" s="198"/>
      <c r="Z737" s="198"/>
      <c r="AA737" s="198"/>
      <c r="AB737" s="198"/>
      <c r="AC737" s="198"/>
      <c r="AD737" s="198"/>
      <c r="AE737" s="198"/>
      <c r="AF737" s="198"/>
      <c r="AG737" s="198"/>
      <c r="AH737" s="198"/>
      <c r="AI737" s="198"/>
      <c r="AJ737" s="198"/>
      <c r="AK737" s="198"/>
    </row>
    <row r="738">
      <c r="A738" s="198"/>
      <c r="B738" s="198"/>
      <c r="C738" s="198"/>
      <c r="D738" s="198"/>
      <c r="E738" s="198"/>
      <c r="F738" s="198"/>
      <c r="G738" s="198"/>
      <c r="H738" s="198"/>
      <c r="I738" s="198"/>
      <c r="J738" s="198"/>
      <c r="K738" s="198"/>
      <c r="L738" s="198"/>
      <c r="M738" s="198"/>
      <c r="N738" s="198"/>
      <c r="O738" s="198"/>
      <c r="P738" s="198"/>
      <c r="Q738" s="198"/>
      <c r="R738" s="198"/>
      <c r="S738" s="198"/>
      <c r="T738" s="198"/>
      <c r="U738" s="198"/>
      <c r="V738" s="198"/>
      <c r="W738" s="201"/>
      <c r="X738" s="198"/>
      <c r="Y738" s="198"/>
      <c r="Z738" s="198"/>
      <c r="AA738" s="198"/>
      <c r="AB738" s="198"/>
      <c r="AC738" s="198"/>
      <c r="AD738" s="198"/>
      <c r="AE738" s="198"/>
      <c r="AF738" s="198"/>
      <c r="AG738" s="198"/>
      <c r="AH738" s="198"/>
      <c r="AI738" s="198"/>
      <c r="AJ738" s="198"/>
      <c r="AK738" s="198"/>
    </row>
    <row r="739">
      <c r="A739" s="198"/>
      <c r="B739" s="198"/>
      <c r="C739" s="198"/>
      <c r="D739" s="198"/>
      <c r="E739" s="198"/>
      <c r="F739" s="198"/>
      <c r="G739" s="198"/>
      <c r="H739" s="198"/>
      <c r="I739" s="198"/>
      <c r="J739" s="198"/>
      <c r="K739" s="198"/>
      <c r="L739" s="198"/>
      <c r="M739" s="198"/>
      <c r="N739" s="198"/>
      <c r="O739" s="198"/>
      <c r="P739" s="198"/>
      <c r="Q739" s="198"/>
      <c r="R739" s="198"/>
      <c r="S739" s="198"/>
      <c r="T739" s="198"/>
      <c r="U739" s="198"/>
      <c r="V739" s="198"/>
      <c r="W739" s="201"/>
      <c r="X739" s="198"/>
      <c r="Y739" s="198"/>
      <c r="Z739" s="198"/>
      <c r="AA739" s="198"/>
      <c r="AB739" s="198"/>
      <c r="AC739" s="198"/>
      <c r="AD739" s="198"/>
      <c r="AE739" s="198"/>
      <c r="AF739" s="198"/>
      <c r="AG739" s="198"/>
      <c r="AH739" s="198"/>
      <c r="AI739" s="198"/>
      <c r="AJ739" s="198"/>
      <c r="AK739" s="198"/>
    </row>
    <row r="740">
      <c r="A740" s="198"/>
      <c r="B740" s="198"/>
      <c r="C740" s="198"/>
      <c r="D740" s="198"/>
      <c r="E740" s="198"/>
      <c r="F740" s="198"/>
      <c r="G740" s="198"/>
      <c r="H740" s="198"/>
      <c r="I740" s="198"/>
      <c r="J740" s="198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201"/>
      <c r="X740" s="198"/>
      <c r="Y740" s="198"/>
      <c r="Z740" s="198"/>
      <c r="AA740" s="198"/>
      <c r="AB740" s="198"/>
      <c r="AC740" s="198"/>
      <c r="AD740" s="198"/>
      <c r="AE740" s="198"/>
      <c r="AF740" s="198"/>
      <c r="AG740" s="198"/>
      <c r="AH740" s="198"/>
      <c r="AI740" s="198"/>
      <c r="AJ740" s="198"/>
      <c r="AK740" s="198"/>
    </row>
    <row r="741">
      <c r="A741" s="198"/>
      <c r="B741" s="198"/>
      <c r="C741" s="198"/>
      <c r="D741" s="198"/>
      <c r="E741" s="198"/>
      <c r="F741" s="198"/>
      <c r="G741" s="198"/>
      <c r="H741" s="198"/>
      <c r="I741" s="198"/>
      <c r="J741" s="198"/>
      <c r="K741" s="198"/>
      <c r="L741" s="198"/>
      <c r="M741" s="198"/>
      <c r="N741" s="198"/>
      <c r="O741" s="198"/>
      <c r="P741" s="198"/>
      <c r="Q741" s="198"/>
      <c r="R741" s="198"/>
      <c r="S741" s="198"/>
      <c r="T741" s="198"/>
      <c r="U741" s="198"/>
      <c r="V741" s="198"/>
      <c r="W741" s="201"/>
      <c r="X741" s="198"/>
      <c r="Y741" s="198"/>
      <c r="Z741" s="198"/>
      <c r="AA741" s="198"/>
      <c r="AB741" s="198"/>
      <c r="AC741" s="198"/>
      <c r="AD741" s="198"/>
      <c r="AE741" s="198"/>
      <c r="AF741" s="198"/>
      <c r="AG741" s="198"/>
      <c r="AH741" s="198"/>
      <c r="AI741" s="198"/>
      <c r="AJ741" s="198"/>
      <c r="AK741" s="198"/>
    </row>
    <row r="742">
      <c r="A742" s="198"/>
      <c r="B742" s="198"/>
      <c r="C742" s="198"/>
      <c r="D742" s="198"/>
      <c r="E742" s="198"/>
      <c r="F742" s="198"/>
      <c r="G742" s="198"/>
      <c r="H742" s="198"/>
      <c r="I742" s="198"/>
      <c r="J742" s="198"/>
      <c r="K742" s="198"/>
      <c r="L742" s="198"/>
      <c r="M742" s="198"/>
      <c r="N742" s="198"/>
      <c r="O742" s="198"/>
      <c r="P742" s="198"/>
      <c r="Q742" s="198"/>
      <c r="R742" s="198"/>
      <c r="S742" s="198"/>
      <c r="T742" s="198"/>
      <c r="U742" s="198"/>
      <c r="V742" s="198"/>
      <c r="W742" s="201"/>
      <c r="X742" s="198"/>
      <c r="Y742" s="198"/>
      <c r="Z742" s="198"/>
      <c r="AA742" s="198"/>
      <c r="AB742" s="198"/>
      <c r="AC742" s="198"/>
      <c r="AD742" s="198"/>
      <c r="AE742" s="198"/>
      <c r="AF742" s="198"/>
      <c r="AG742" s="198"/>
      <c r="AH742" s="198"/>
      <c r="AI742" s="198"/>
      <c r="AJ742" s="198"/>
      <c r="AK742" s="198"/>
    </row>
    <row r="743">
      <c r="A743" s="198"/>
      <c r="B743" s="198"/>
      <c r="C743" s="198"/>
      <c r="D743" s="198"/>
      <c r="E743" s="198"/>
      <c r="F743" s="198"/>
      <c r="G743" s="198"/>
      <c r="H743" s="198"/>
      <c r="I743" s="198"/>
      <c r="J743" s="198"/>
      <c r="K743" s="198"/>
      <c r="L743" s="198"/>
      <c r="M743" s="198"/>
      <c r="N743" s="198"/>
      <c r="O743" s="198"/>
      <c r="P743" s="198"/>
      <c r="Q743" s="198"/>
      <c r="R743" s="198"/>
      <c r="S743" s="198"/>
      <c r="T743" s="198"/>
      <c r="U743" s="198"/>
      <c r="V743" s="198"/>
      <c r="W743" s="201"/>
      <c r="X743" s="198"/>
      <c r="Y743" s="198"/>
      <c r="Z743" s="198"/>
      <c r="AA743" s="198"/>
      <c r="AB743" s="198"/>
      <c r="AC743" s="198"/>
      <c r="AD743" s="198"/>
      <c r="AE743" s="198"/>
      <c r="AF743" s="198"/>
      <c r="AG743" s="198"/>
      <c r="AH743" s="198"/>
      <c r="AI743" s="198"/>
      <c r="AJ743" s="198"/>
      <c r="AK743" s="198"/>
    </row>
    <row r="744">
      <c r="A744" s="198"/>
      <c r="B744" s="198"/>
      <c r="C744" s="198"/>
      <c r="D744" s="198"/>
      <c r="E744" s="198"/>
      <c r="F744" s="198"/>
      <c r="G744" s="198"/>
      <c r="H744" s="198"/>
      <c r="I744" s="198"/>
      <c r="J744" s="198"/>
      <c r="K744" s="198"/>
      <c r="L744" s="198"/>
      <c r="M744" s="198"/>
      <c r="N744" s="198"/>
      <c r="O744" s="198"/>
      <c r="P744" s="198"/>
      <c r="Q744" s="198"/>
      <c r="R744" s="198"/>
      <c r="S744" s="198"/>
      <c r="T744" s="198"/>
      <c r="U744" s="198"/>
      <c r="V744" s="198"/>
      <c r="W744" s="201"/>
      <c r="X744" s="198"/>
      <c r="Y744" s="198"/>
      <c r="Z744" s="198"/>
      <c r="AA744" s="198"/>
      <c r="AB744" s="198"/>
      <c r="AC744" s="198"/>
      <c r="AD744" s="198"/>
      <c r="AE744" s="198"/>
      <c r="AF744" s="198"/>
      <c r="AG744" s="198"/>
      <c r="AH744" s="198"/>
      <c r="AI744" s="198"/>
      <c r="AJ744" s="198"/>
      <c r="AK744" s="198"/>
    </row>
    <row r="745">
      <c r="A745" s="198"/>
      <c r="B745" s="198"/>
      <c r="C745" s="198"/>
      <c r="D745" s="198"/>
      <c r="E745" s="198"/>
      <c r="F745" s="198"/>
      <c r="G745" s="198"/>
      <c r="H745" s="198"/>
      <c r="I745" s="198"/>
      <c r="J745" s="198"/>
      <c r="K745" s="198"/>
      <c r="L745" s="198"/>
      <c r="M745" s="198"/>
      <c r="N745" s="198"/>
      <c r="O745" s="198"/>
      <c r="P745" s="198"/>
      <c r="Q745" s="198"/>
      <c r="R745" s="198"/>
      <c r="S745" s="198"/>
      <c r="T745" s="198"/>
      <c r="U745" s="198"/>
      <c r="V745" s="198"/>
      <c r="W745" s="201"/>
      <c r="X745" s="198"/>
      <c r="Y745" s="198"/>
      <c r="Z745" s="198"/>
      <c r="AA745" s="198"/>
      <c r="AB745" s="198"/>
      <c r="AC745" s="198"/>
      <c r="AD745" s="198"/>
      <c r="AE745" s="198"/>
      <c r="AF745" s="198"/>
      <c r="AG745" s="198"/>
      <c r="AH745" s="198"/>
      <c r="AI745" s="198"/>
      <c r="AJ745" s="198"/>
      <c r="AK745" s="198"/>
    </row>
    <row r="746">
      <c r="A746" s="198"/>
      <c r="B746" s="198"/>
      <c r="C746" s="198"/>
      <c r="D746" s="198"/>
      <c r="E746" s="198"/>
      <c r="F746" s="198"/>
      <c r="G746" s="198"/>
      <c r="H746" s="198"/>
      <c r="I746" s="198"/>
      <c r="J746" s="198"/>
      <c r="K746" s="198"/>
      <c r="L746" s="198"/>
      <c r="M746" s="198"/>
      <c r="N746" s="198"/>
      <c r="O746" s="198"/>
      <c r="P746" s="198"/>
      <c r="Q746" s="198"/>
      <c r="R746" s="198"/>
      <c r="S746" s="198"/>
      <c r="T746" s="198"/>
      <c r="U746" s="198"/>
      <c r="V746" s="198"/>
      <c r="W746" s="201"/>
      <c r="X746" s="198"/>
      <c r="Y746" s="198"/>
      <c r="Z746" s="198"/>
      <c r="AA746" s="198"/>
      <c r="AB746" s="198"/>
      <c r="AC746" s="198"/>
      <c r="AD746" s="198"/>
      <c r="AE746" s="198"/>
      <c r="AF746" s="198"/>
      <c r="AG746" s="198"/>
      <c r="AH746" s="198"/>
      <c r="AI746" s="198"/>
      <c r="AJ746" s="198"/>
      <c r="AK746" s="198"/>
    </row>
    <row r="747">
      <c r="A747" s="198"/>
      <c r="B747" s="198"/>
      <c r="C747" s="198"/>
      <c r="D747" s="198"/>
      <c r="E747" s="198"/>
      <c r="F747" s="198"/>
      <c r="G747" s="198"/>
      <c r="H747" s="198"/>
      <c r="I747" s="198"/>
      <c r="J747" s="198"/>
      <c r="K747" s="198"/>
      <c r="L747" s="198"/>
      <c r="M747" s="198"/>
      <c r="N747" s="198"/>
      <c r="O747" s="198"/>
      <c r="P747" s="198"/>
      <c r="Q747" s="198"/>
      <c r="R747" s="198"/>
      <c r="S747" s="198"/>
      <c r="T747" s="198"/>
      <c r="U747" s="198"/>
      <c r="V747" s="198"/>
      <c r="W747" s="201"/>
      <c r="X747" s="198"/>
      <c r="Y747" s="198"/>
      <c r="Z747" s="198"/>
      <c r="AA747" s="198"/>
      <c r="AB747" s="198"/>
      <c r="AC747" s="198"/>
      <c r="AD747" s="198"/>
      <c r="AE747" s="198"/>
      <c r="AF747" s="198"/>
      <c r="AG747" s="198"/>
      <c r="AH747" s="198"/>
      <c r="AI747" s="198"/>
      <c r="AJ747" s="198"/>
      <c r="AK747" s="198"/>
    </row>
    <row r="748">
      <c r="A748" s="198"/>
      <c r="B748" s="198"/>
      <c r="C748" s="198"/>
      <c r="D748" s="198"/>
      <c r="E748" s="198"/>
      <c r="F748" s="198"/>
      <c r="G748" s="198"/>
      <c r="H748" s="198"/>
      <c r="I748" s="198"/>
      <c r="J748" s="198"/>
      <c r="K748" s="198"/>
      <c r="L748" s="198"/>
      <c r="M748" s="198"/>
      <c r="N748" s="198"/>
      <c r="O748" s="198"/>
      <c r="P748" s="198"/>
      <c r="Q748" s="198"/>
      <c r="R748" s="198"/>
      <c r="S748" s="198"/>
      <c r="T748" s="198"/>
      <c r="U748" s="198"/>
      <c r="V748" s="198"/>
      <c r="W748" s="201"/>
      <c r="X748" s="198"/>
      <c r="Y748" s="198"/>
      <c r="Z748" s="198"/>
      <c r="AA748" s="198"/>
      <c r="AB748" s="198"/>
      <c r="AC748" s="198"/>
      <c r="AD748" s="198"/>
      <c r="AE748" s="198"/>
      <c r="AF748" s="198"/>
      <c r="AG748" s="198"/>
      <c r="AH748" s="198"/>
      <c r="AI748" s="198"/>
      <c r="AJ748" s="198"/>
      <c r="AK748" s="198"/>
    </row>
    <row r="749">
      <c r="A749" s="198"/>
      <c r="B749" s="198"/>
      <c r="C749" s="198"/>
      <c r="D749" s="198"/>
      <c r="E749" s="198"/>
      <c r="F749" s="198"/>
      <c r="G749" s="198"/>
      <c r="H749" s="198"/>
      <c r="I749" s="198"/>
      <c r="J749" s="198"/>
      <c r="K749" s="198"/>
      <c r="L749" s="198"/>
      <c r="M749" s="198"/>
      <c r="N749" s="198"/>
      <c r="O749" s="198"/>
      <c r="P749" s="198"/>
      <c r="Q749" s="198"/>
      <c r="R749" s="198"/>
      <c r="S749" s="198"/>
      <c r="T749" s="198"/>
      <c r="U749" s="198"/>
      <c r="V749" s="198"/>
      <c r="W749" s="201"/>
      <c r="X749" s="198"/>
      <c r="Y749" s="198"/>
      <c r="Z749" s="198"/>
      <c r="AA749" s="198"/>
      <c r="AB749" s="198"/>
      <c r="AC749" s="198"/>
      <c r="AD749" s="198"/>
      <c r="AE749" s="198"/>
      <c r="AF749" s="198"/>
      <c r="AG749" s="198"/>
      <c r="AH749" s="198"/>
      <c r="AI749" s="198"/>
      <c r="AJ749" s="198"/>
      <c r="AK749" s="198"/>
    </row>
    <row r="750">
      <c r="A750" s="198"/>
      <c r="B750" s="198"/>
      <c r="C750" s="198"/>
      <c r="D750" s="198"/>
      <c r="E750" s="198"/>
      <c r="F750" s="198"/>
      <c r="G750" s="198"/>
      <c r="H750" s="198"/>
      <c r="I750" s="198"/>
      <c r="J750" s="198"/>
      <c r="K750" s="198"/>
      <c r="L750" s="198"/>
      <c r="M750" s="198"/>
      <c r="N750" s="198"/>
      <c r="O750" s="198"/>
      <c r="P750" s="198"/>
      <c r="Q750" s="198"/>
      <c r="R750" s="198"/>
      <c r="S750" s="198"/>
      <c r="T750" s="198"/>
      <c r="U750" s="198"/>
      <c r="V750" s="198"/>
      <c r="W750" s="201"/>
      <c r="X750" s="198"/>
      <c r="Y750" s="198"/>
      <c r="Z750" s="198"/>
      <c r="AA750" s="198"/>
      <c r="AB750" s="198"/>
      <c r="AC750" s="198"/>
      <c r="AD750" s="198"/>
      <c r="AE750" s="198"/>
      <c r="AF750" s="198"/>
      <c r="AG750" s="198"/>
      <c r="AH750" s="198"/>
      <c r="AI750" s="198"/>
      <c r="AJ750" s="198"/>
      <c r="AK750" s="198"/>
    </row>
    <row r="751">
      <c r="A751" s="198"/>
      <c r="B751" s="198"/>
      <c r="C751" s="198"/>
      <c r="D751" s="198"/>
      <c r="E751" s="198"/>
      <c r="F751" s="198"/>
      <c r="G751" s="198"/>
      <c r="H751" s="198"/>
      <c r="I751" s="198"/>
      <c r="J751" s="198"/>
      <c r="K751" s="198"/>
      <c r="L751" s="198"/>
      <c r="M751" s="198"/>
      <c r="N751" s="198"/>
      <c r="O751" s="198"/>
      <c r="P751" s="198"/>
      <c r="Q751" s="198"/>
      <c r="R751" s="198"/>
      <c r="S751" s="198"/>
      <c r="T751" s="198"/>
      <c r="U751" s="198"/>
      <c r="V751" s="198"/>
      <c r="W751" s="201"/>
      <c r="X751" s="198"/>
      <c r="Y751" s="198"/>
      <c r="Z751" s="198"/>
      <c r="AA751" s="198"/>
      <c r="AB751" s="198"/>
      <c r="AC751" s="198"/>
      <c r="AD751" s="198"/>
      <c r="AE751" s="198"/>
      <c r="AF751" s="198"/>
      <c r="AG751" s="198"/>
      <c r="AH751" s="198"/>
      <c r="AI751" s="198"/>
      <c r="AJ751" s="198"/>
      <c r="AK751" s="198"/>
    </row>
    <row r="752">
      <c r="A752" s="198"/>
      <c r="B752" s="198"/>
      <c r="C752" s="198"/>
      <c r="D752" s="198"/>
      <c r="E752" s="198"/>
      <c r="F752" s="198"/>
      <c r="G752" s="198"/>
      <c r="H752" s="198"/>
      <c r="I752" s="198"/>
      <c r="J752" s="198"/>
      <c r="K752" s="198"/>
      <c r="L752" s="198"/>
      <c r="M752" s="198"/>
      <c r="N752" s="198"/>
      <c r="O752" s="198"/>
      <c r="P752" s="198"/>
      <c r="Q752" s="198"/>
      <c r="R752" s="198"/>
      <c r="S752" s="198"/>
      <c r="T752" s="198"/>
      <c r="U752" s="198"/>
      <c r="V752" s="198"/>
      <c r="W752" s="201"/>
      <c r="X752" s="198"/>
      <c r="Y752" s="198"/>
      <c r="Z752" s="198"/>
      <c r="AA752" s="198"/>
      <c r="AB752" s="198"/>
      <c r="AC752" s="198"/>
      <c r="AD752" s="198"/>
      <c r="AE752" s="198"/>
      <c r="AF752" s="198"/>
      <c r="AG752" s="198"/>
      <c r="AH752" s="198"/>
      <c r="AI752" s="198"/>
      <c r="AJ752" s="198"/>
      <c r="AK752" s="198"/>
    </row>
    <row r="753">
      <c r="A753" s="198"/>
      <c r="B753" s="198"/>
      <c r="C753" s="198"/>
      <c r="D753" s="198"/>
      <c r="E753" s="198"/>
      <c r="F753" s="198"/>
      <c r="G753" s="198"/>
      <c r="H753" s="198"/>
      <c r="I753" s="198"/>
      <c r="J753" s="198"/>
      <c r="K753" s="198"/>
      <c r="L753" s="198"/>
      <c r="M753" s="198"/>
      <c r="N753" s="198"/>
      <c r="O753" s="198"/>
      <c r="P753" s="198"/>
      <c r="Q753" s="198"/>
      <c r="R753" s="198"/>
      <c r="S753" s="198"/>
      <c r="T753" s="198"/>
      <c r="U753" s="198"/>
      <c r="V753" s="198"/>
      <c r="W753" s="201"/>
      <c r="X753" s="198"/>
      <c r="Y753" s="198"/>
      <c r="Z753" s="198"/>
      <c r="AA753" s="198"/>
      <c r="AB753" s="198"/>
      <c r="AC753" s="198"/>
      <c r="AD753" s="198"/>
      <c r="AE753" s="198"/>
      <c r="AF753" s="198"/>
      <c r="AG753" s="198"/>
      <c r="AH753" s="198"/>
      <c r="AI753" s="198"/>
      <c r="AJ753" s="198"/>
      <c r="AK753" s="198"/>
    </row>
    <row r="754">
      <c r="A754" s="198"/>
      <c r="B754" s="198"/>
      <c r="C754" s="198"/>
      <c r="D754" s="198"/>
      <c r="E754" s="198"/>
      <c r="F754" s="198"/>
      <c r="G754" s="198"/>
      <c r="H754" s="198"/>
      <c r="I754" s="198"/>
      <c r="J754" s="198"/>
      <c r="K754" s="198"/>
      <c r="L754" s="198"/>
      <c r="M754" s="198"/>
      <c r="N754" s="198"/>
      <c r="O754" s="198"/>
      <c r="P754" s="198"/>
      <c r="Q754" s="198"/>
      <c r="R754" s="198"/>
      <c r="S754" s="198"/>
      <c r="T754" s="198"/>
      <c r="U754" s="198"/>
      <c r="V754" s="198"/>
      <c r="W754" s="201"/>
      <c r="X754" s="198"/>
      <c r="Y754" s="198"/>
      <c r="Z754" s="198"/>
      <c r="AA754" s="198"/>
      <c r="AB754" s="198"/>
      <c r="AC754" s="198"/>
      <c r="AD754" s="198"/>
      <c r="AE754" s="198"/>
      <c r="AF754" s="198"/>
      <c r="AG754" s="198"/>
      <c r="AH754" s="198"/>
      <c r="AI754" s="198"/>
      <c r="AJ754" s="198"/>
      <c r="AK754" s="198"/>
    </row>
    <row r="755">
      <c r="A755" s="198"/>
      <c r="B755" s="198"/>
      <c r="C755" s="198"/>
      <c r="D755" s="198"/>
      <c r="E755" s="198"/>
      <c r="F755" s="198"/>
      <c r="G755" s="198"/>
      <c r="H755" s="198"/>
      <c r="I755" s="198"/>
      <c r="J755" s="198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201"/>
      <c r="X755" s="198"/>
      <c r="Y755" s="198"/>
      <c r="Z755" s="198"/>
      <c r="AA755" s="198"/>
      <c r="AB755" s="198"/>
      <c r="AC755" s="198"/>
      <c r="AD755" s="198"/>
      <c r="AE755" s="198"/>
      <c r="AF755" s="198"/>
      <c r="AG755" s="198"/>
      <c r="AH755" s="198"/>
      <c r="AI755" s="198"/>
      <c r="AJ755" s="198"/>
      <c r="AK755" s="198"/>
    </row>
    <row r="756">
      <c r="A756" s="198"/>
      <c r="B756" s="198"/>
      <c r="C756" s="198"/>
      <c r="D756" s="198"/>
      <c r="E756" s="198"/>
      <c r="F756" s="198"/>
      <c r="G756" s="198"/>
      <c r="H756" s="198"/>
      <c r="I756" s="198"/>
      <c r="J756" s="198"/>
      <c r="K756" s="198"/>
      <c r="L756" s="198"/>
      <c r="M756" s="198"/>
      <c r="N756" s="198"/>
      <c r="O756" s="198"/>
      <c r="P756" s="198"/>
      <c r="Q756" s="198"/>
      <c r="R756" s="198"/>
      <c r="S756" s="198"/>
      <c r="T756" s="198"/>
      <c r="U756" s="198"/>
      <c r="V756" s="198"/>
      <c r="W756" s="201"/>
      <c r="X756" s="198"/>
      <c r="Y756" s="198"/>
      <c r="Z756" s="198"/>
      <c r="AA756" s="198"/>
      <c r="AB756" s="198"/>
      <c r="AC756" s="198"/>
      <c r="AD756" s="198"/>
      <c r="AE756" s="198"/>
      <c r="AF756" s="198"/>
      <c r="AG756" s="198"/>
      <c r="AH756" s="198"/>
      <c r="AI756" s="198"/>
      <c r="AJ756" s="198"/>
      <c r="AK756" s="198"/>
    </row>
    <row r="757">
      <c r="A757" s="198"/>
      <c r="B757" s="198"/>
      <c r="C757" s="198"/>
      <c r="D757" s="198"/>
      <c r="E757" s="198"/>
      <c r="F757" s="198"/>
      <c r="G757" s="198"/>
      <c r="H757" s="198"/>
      <c r="I757" s="198"/>
      <c r="J757" s="198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201"/>
      <c r="X757" s="198"/>
      <c r="Y757" s="198"/>
      <c r="Z757" s="198"/>
      <c r="AA757" s="198"/>
      <c r="AB757" s="198"/>
      <c r="AC757" s="198"/>
      <c r="AD757" s="198"/>
      <c r="AE757" s="198"/>
      <c r="AF757" s="198"/>
      <c r="AG757" s="198"/>
      <c r="AH757" s="198"/>
      <c r="AI757" s="198"/>
      <c r="AJ757" s="198"/>
      <c r="AK757" s="198"/>
    </row>
    <row r="758">
      <c r="A758" s="198"/>
      <c r="B758" s="198"/>
      <c r="C758" s="198"/>
      <c r="D758" s="198"/>
      <c r="E758" s="198"/>
      <c r="F758" s="198"/>
      <c r="G758" s="198"/>
      <c r="H758" s="198"/>
      <c r="I758" s="198"/>
      <c r="J758" s="198"/>
      <c r="K758" s="198"/>
      <c r="L758" s="198"/>
      <c r="M758" s="198"/>
      <c r="N758" s="198"/>
      <c r="O758" s="198"/>
      <c r="P758" s="198"/>
      <c r="Q758" s="198"/>
      <c r="R758" s="198"/>
      <c r="S758" s="198"/>
      <c r="T758" s="198"/>
      <c r="U758" s="198"/>
      <c r="V758" s="198"/>
      <c r="W758" s="201"/>
      <c r="X758" s="198"/>
      <c r="Y758" s="198"/>
      <c r="Z758" s="198"/>
      <c r="AA758" s="198"/>
      <c r="AB758" s="198"/>
      <c r="AC758" s="198"/>
      <c r="AD758" s="198"/>
      <c r="AE758" s="198"/>
      <c r="AF758" s="198"/>
      <c r="AG758" s="198"/>
      <c r="AH758" s="198"/>
      <c r="AI758" s="198"/>
      <c r="AJ758" s="198"/>
      <c r="AK758" s="198"/>
    </row>
    <row r="759">
      <c r="A759" s="198"/>
      <c r="B759" s="198"/>
      <c r="C759" s="198"/>
      <c r="D759" s="198"/>
      <c r="E759" s="198"/>
      <c r="F759" s="198"/>
      <c r="G759" s="198"/>
      <c r="H759" s="198"/>
      <c r="I759" s="198"/>
      <c r="J759" s="198"/>
      <c r="K759" s="198"/>
      <c r="L759" s="198"/>
      <c r="M759" s="198"/>
      <c r="N759" s="198"/>
      <c r="O759" s="198"/>
      <c r="P759" s="198"/>
      <c r="Q759" s="198"/>
      <c r="R759" s="198"/>
      <c r="S759" s="198"/>
      <c r="T759" s="198"/>
      <c r="U759" s="198"/>
      <c r="V759" s="198"/>
      <c r="W759" s="201"/>
      <c r="X759" s="198"/>
      <c r="Y759" s="198"/>
      <c r="Z759" s="198"/>
      <c r="AA759" s="198"/>
      <c r="AB759" s="198"/>
      <c r="AC759" s="198"/>
      <c r="AD759" s="198"/>
      <c r="AE759" s="198"/>
      <c r="AF759" s="198"/>
      <c r="AG759" s="198"/>
      <c r="AH759" s="198"/>
      <c r="AI759" s="198"/>
      <c r="AJ759" s="198"/>
      <c r="AK759" s="198"/>
    </row>
    <row r="760">
      <c r="A760" s="198"/>
      <c r="B760" s="198"/>
      <c r="C760" s="198"/>
      <c r="D760" s="198"/>
      <c r="E760" s="198"/>
      <c r="F760" s="198"/>
      <c r="G760" s="198"/>
      <c r="H760" s="198"/>
      <c r="I760" s="198"/>
      <c r="J760" s="198"/>
      <c r="K760" s="198"/>
      <c r="L760" s="198"/>
      <c r="M760" s="198"/>
      <c r="N760" s="198"/>
      <c r="O760" s="198"/>
      <c r="P760" s="198"/>
      <c r="Q760" s="198"/>
      <c r="R760" s="198"/>
      <c r="S760" s="198"/>
      <c r="T760" s="198"/>
      <c r="U760" s="198"/>
      <c r="V760" s="198"/>
      <c r="W760" s="201"/>
      <c r="X760" s="198"/>
      <c r="Y760" s="198"/>
      <c r="Z760" s="198"/>
      <c r="AA760" s="198"/>
      <c r="AB760" s="198"/>
      <c r="AC760" s="198"/>
      <c r="AD760" s="198"/>
      <c r="AE760" s="198"/>
      <c r="AF760" s="198"/>
      <c r="AG760" s="198"/>
      <c r="AH760" s="198"/>
      <c r="AI760" s="198"/>
      <c r="AJ760" s="198"/>
      <c r="AK760" s="198"/>
    </row>
    <row r="761">
      <c r="A761" s="198"/>
      <c r="B761" s="198"/>
      <c r="C761" s="198"/>
      <c r="D761" s="198"/>
      <c r="E761" s="198"/>
      <c r="F761" s="198"/>
      <c r="G761" s="198"/>
      <c r="H761" s="198"/>
      <c r="I761" s="198"/>
      <c r="J761" s="198"/>
      <c r="K761" s="198"/>
      <c r="L761" s="198"/>
      <c r="M761" s="198"/>
      <c r="N761" s="198"/>
      <c r="O761" s="198"/>
      <c r="P761" s="198"/>
      <c r="Q761" s="198"/>
      <c r="R761" s="198"/>
      <c r="S761" s="198"/>
      <c r="T761" s="198"/>
      <c r="U761" s="198"/>
      <c r="V761" s="198"/>
      <c r="W761" s="201"/>
      <c r="X761" s="198"/>
      <c r="Y761" s="198"/>
      <c r="Z761" s="198"/>
      <c r="AA761" s="198"/>
      <c r="AB761" s="198"/>
      <c r="AC761" s="198"/>
      <c r="AD761" s="198"/>
      <c r="AE761" s="198"/>
      <c r="AF761" s="198"/>
      <c r="AG761" s="198"/>
      <c r="AH761" s="198"/>
      <c r="AI761" s="198"/>
      <c r="AJ761" s="198"/>
      <c r="AK761" s="198"/>
    </row>
    <row r="762">
      <c r="A762" s="198"/>
      <c r="B762" s="198"/>
      <c r="C762" s="198"/>
      <c r="D762" s="198"/>
      <c r="E762" s="198"/>
      <c r="F762" s="198"/>
      <c r="G762" s="198"/>
      <c r="H762" s="198"/>
      <c r="I762" s="198"/>
      <c r="J762" s="198"/>
      <c r="K762" s="198"/>
      <c r="L762" s="198"/>
      <c r="M762" s="198"/>
      <c r="N762" s="198"/>
      <c r="O762" s="198"/>
      <c r="P762" s="198"/>
      <c r="Q762" s="198"/>
      <c r="R762" s="198"/>
      <c r="S762" s="198"/>
      <c r="T762" s="198"/>
      <c r="U762" s="198"/>
      <c r="V762" s="198"/>
      <c r="W762" s="201"/>
      <c r="X762" s="198"/>
      <c r="Y762" s="198"/>
      <c r="Z762" s="198"/>
      <c r="AA762" s="198"/>
      <c r="AB762" s="198"/>
      <c r="AC762" s="198"/>
      <c r="AD762" s="198"/>
      <c r="AE762" s="198"/>
      <c r="AF762" s="198"/>
      <c r="AG762" s="198"/>
      <c r="AH762" s="198"/>
      <c r="AI762" s="198"/>
      <c r="AJ762" s="198"/>
      <c r="AK762" s="198"/>
    </row>
    <row r="763">
      <c r="A763" s="198"/>
      <c r="B763" s="198"/>
      <c r="C763" s="198"/>
      <c r="D763" s="198"/>
      <c r="E763" s="198"/>
      <c r="F763" s="198"/>
      <c r="G763" s="198"/>
      <c r="H763" s="198"/>
      <c r="I763" s="198"/>
      <c r="J763" s="198"/>
      <c r="K763" s="198"/>
      <c r="L763" s="198"/>
      <c r="M763" s="198"/>
      <c r="N763" s="198"/>
      <c r="O763" s="198"/>
      <c r="P763" s="198"/>
      <c r="Q763" s="198"/>
      <c r="R763" s="198"/>
      <c r="S763" s="198"/>
      <c r="T763" s="198"/>
      <c r="U763" s="198"/>
      <c r="V763" s="198"/>
      <c r="W763" s="201"/>
      <c r="X763" s="198"/>
      <c r="Y763" s="198"/>
      <c r="Z763" s="198"/>
      <c r="AA763" s="198"/>
      <c r="AB763" s="198"/>
      <c r="AC763" s="198"/>
      <c r="AD763" s="198"/>
      <c r="AE763" s="198"/>
      <c r="AF763" s="198"/>
      <c r="AG763" s="198"/>
      <c r="AH763" s="198"/>
      <c r="AI763" s="198"/>
      <c r="AJ763" s="198"/>
      <c r="AK763" s="198"/>
    </row>
    <row r="764">
      <c r="A764" s="198"/>
      <c r="B764" s="198"/>
      <c r="C764" s="198"/>
      <c r="D764" s="198"/>
      <c r="E764" s="198"/>
      <c r="F764" s="198"/>
      <c r="G764" s="198"/>
      <c r="H764" s="198"/>
      <c r="I764" s="198"/>
      <c r="J764" s="198"/>
      <c r="K764" s="198"/>
      <c r="L764" s="198"/>
      <c r="M764" s="198"/>
      <c r="N764" s="198"/>
      <c r="O764" s="198"/>
      <c r="P764" s="198"/>
      <c r="Q764" s="198"/>
      <c r="R764" s="198"/>
      <c r="S764" s="198"/>
      <c r="T764" s="198"/>
      <c r="U764" s="198"/>
      <c r="V764" s="198"/>
      <c r="W764" s="201"/>
      <c r="X764" s="198"/>
      <c r="Y764" s="198"/>
      <c r="Z764" s="198"/>
      <c r="AA764" s="198"/>
      <c r="AB764" s="198"/>
      <c r="AC764" s="198"/>
      <c r="AD764" s="198"/>
      <c r="AE764" s="198"/>
      <c r="AF764" s="198"/>
      <c r="AG764" s="198"/>
      <c r="AH764" s="198"/>
      <c r="AI764" s="198"/>
      <c r="AJ764" s="198"/>
      <c r="AK764" s="198"/>
    </row>
    <row r="765">
      <c r="A765" s="198"/>
      <c r="B765" s="198"/>
      <c r="C765" s="198"/>
      <c r="D765" s="198"/>
      <c r="E765" s="198"/>
      <c r="F765" s="198"/>
      <c r="G765" s="198"/>
      <c r="H765" s="198"/>
      <c r="I765" s="198"/>
      <c r="J765" s="198"/>
      <c r="K765" s="198"/>
      <c r="L765" s="198"/>
      <c r="M765" s="198"/>
      <c r="N765" s="198"/>
      <c r="O765" s="198"/>
      <c r="P765" s="198"/>
      <c r="Q765" s="198"/>
      <c r="R765" s="198"/>
      <c r="S765" s="198"/>
      <c r="T765" s="198"/>
      <c r="U765" s="198"/>
      <c r="V765" s="198"/>
      <c r="W765" s="201"/>
      <c r="X765" s="198"/>
      <c r="Y765" s="198"/>
      <c r="Z765" s="198"/>
      <c r="AA765" s="198"/>
      <c r="AB765" s="198"/>
      <c r="AC765" s="198"/>
      <c r="AD765" s="198"/>
      <c r="AE765" s="198"/>
      <c r="AF765" s="198"/>
      <c r="AG765" s="198"/>
      <c r="AH765" s="198"/>
      <c r="AI765" s="198"/>
      <c r="AJ765" s="198"/>
      <c r="AK765" s="198"/>
    </row>
    <row r="766">
      <c r="A766" s="198"/>
      <c r="B766" s="198"/>
      <c r="C766" s="198"/>
      <c r="D766" s="198"/>
      <c r="E766" s="198"/>
      <c r="F766" s="198"/>
      <c r="G766" s="198"/>
      <c r="H766" s="198"/>
      <c r="I766" s="198"/>
      <c r="J766" s="198"/>
      <c r="K766" s="198"/>
      <c r="L766" s="198"/>
      <c r="M766" s="198"/>
      <c r="N766" s="198"/>
      <c r="O766" s="198"/>
      <c r="P766" s="198"/>
      <c r="Q766" s="198"/>
      <c r="R766" s="198"/>
      <c r="S766" s="198"/>
      <c r="T766" s="198"/>
      <c r="U766" s="198"/>
      <c r="V766" s="198"/>
      <c r="W766" s="201"/>
      <c r="X766" s="198"/>
      <c r="Y766" s="198"/>
      <c r="Z766" s="198"/>
      <c r="AA766" s="198"/>
      <c r="AB766" s="198"/>
      <c r="AC766" s="198"/>
      <c r="AD766" s="198"/>
      <c r="AE766" s="198"/>
      <c r="AF766" s="198"/>
      <c r="AG766" s="198"/>
      <c r="AH766" s="198"/>
      <c r="AI766" s="198"/>
      <c r="AJ766" s="198"/>
      <c r="AK766" s="198"/>
    </row>
    <row r="767">
      <c r="A767" s="198"/>
      <c r="B767" s="198"/>
      <c r="C767" s="198"/>
      <c r="D767" s="198"/>
      <c r="E767" s="198"/>
      <c r="F767" s="198"/>
      <c r="G767" s="198"/>
      <c r="H767" s="198"/>
      <c r="I767" s="198"/>
      <c r="J767" s="198"/>
      <c r="K767" s="198"/>
      <c r="L767" s="198"/>
      <c r="M767" s="198"/>
      <c r="N767" s="198"/>
      <c r="O767" s="198"/>
      <c r="P767" s="198"/>
      <c r="Q767" s="198"/>
      <c r="R767" s="198"/>
      <c r="S767" s="198"/>
      <c r="T767" s="198"/>
      <c r="U767" s="198"/>
      <c r="V767" s="198"/>
      <c r="W767" s="201"/>
      <c r="X767" s="198"/>
      <c r="Y767" s="198"/>
      <c r="Z767" s="198"/>
      <c r="AA767" s="198"/>
      <c r="AB767" s="198"/>
      <c r="AC767" s="198"/>
      <c r="AD767" s="198"/>
      <c r="AE767" s="198"/>
      <c r="AF767" s="198"/>
      <c r="AG767" s="198"/>
      <c r="AH767" s="198"/>
      <c r="AI767" s="198"/>
      <c r="AJ767" s="198"/>
      <c r="AK767" s="198"/>
    </row>
    <row r="768">
      <c r="A768" s="198"/>
      <c r="B768" s="198"/>
      <c r="C768" s="198"/>
      <c r="D768" s="198"/>
      <c r="E768" s="198"/>
      <c r="F768" s="198"/>
      <c r="G768" s="198"/>
      <c r="H768" s="198"/>
      <c r="I768" s="198"/>
      <c r="J768" s="198"/>
      <c r="K768" s="198"/>
      <c r="L768" s="198"/>
      <c r="M768" s="198"/>
      <c r="N768" s="198"/>
      <c r="O768" s="198"/>
      <c r="P768" s="198"/>
      <c r="Q768" s="198"/>
      <c r="R768" s="198"/>
      <c r="S768" s="198"/>
      <c r="T768" s="198"/>
      <c r="U768" s="198"/>
      <c r="V768" s="198"/>
      <c r="W768" s="201"/>
      <c r="X768" s="198"/>
      <c r="Y768" s="198"/>
      <c r="Z768" s="198"/>
      <c r="AA768" s="198"/>
      <c r="AB768" s="198"/>
      <c r="AC768" s="198"/>
      <c r="AD768" s="198"/>
      <c r="AE768" s="198"/>
      <c r="AF768" s="198"/>
      <c r="AG768" s="198"/>
      <c r="AH768" s="198"/>
      <c r="AI768" s="198"/>
      <c r="AJ768" s="198"/>
      <c r="AK768" s="198"/>
    </row>
    <row r="769">
      <c r="A769" s="198"/>
      <c r="B769" s="198"/>
      <c r="C769" s="198"/>
      <c r="D769" s="198"/>
      <c r="E769" s="198"/>
      <c r="F769" s="198"/>
      <c r="G769" s="198"/>
      <c r="H769" s="198"/>
      <c r="I769" s="198"/>
      <c r="J769" s="198"/>
      <c r="K769" s="198"/>
      <c r="L769" s="198"/>
      <c r="M769" s="198"/>
      <c r="N769" s="198"/>
      <c r="O769" s="198"/>
      <c r="P769" s="198"/>
      <c r="Q769" s="198"/>
      <c r="R769" s="198"/>
      <c r="S769" s="198"/>
      <c r="T769" s="198"/>
      <c r="U769" s="198"/>
      <c r="V769" s="198"/>
      <c r="W769" s="201"/>
      <c r="X769" s="198"/>
      <c r="Y769" s="198"/>
      <c r="Z769" s="198"/>
      <c r="AA769" s="198"/>
      <c r="AB769" s="198"/>
      <c r="AC769" s="198"/>
      <c r="AD769" s="198"/>
      <c r="AE769" s="198"/>
      <c r="AF769" s="198"/>
      <c r="AG769" s="198"/>
      <c r="AH769" s="198"/>
      <c r="AI769" s="198"/>
      <c r="AJ769" s="198"/>
      <c r="AK769" s="198"/>
    </row>
    <row r="770">
      <c r="A770" s="198"/>
      <c r="B770" s="198"/>
      <c r="C770" s="198"/>
      <c r="D770" s="198"/>
      <c r="E770" s="198"/>
      <c r="F770" s="198"/>
      <c r="G770" s="198"/>
      <c r="H770" s="198"/>
      <c r="I770" s="198"/>
      <c r="J770" s="198"/>
      <c r="K770" s="198"/>
      <c r="L770" s="198"/>
      <c r="M770" s="198"/>
      <c r="N770" s="198"/>
      <c r="O770" s="198"/>
      <c r="P770" s="198"/>
      <c r="Q770" s="198"/>
      <c r="R770" s="198"/>
      <c r="S770" s="198"/>
      <c r="T770" s="198"/>
      <c r="U770" s="198"/>
      <c r="V770" s="198"/>
      <c r="W770" s="201"/>
      <c r="X770" s="198"/>
      <c r="Y770" s="198"/>
      <c r="Z770" s="198"/>
      <c r="AA770" s="198"/>
      <c r="AB770" s="198"/>
      <c r="AC770" s="198"/>
      <c r="AD770" s="198"/>
      <c r="AE770" s="198"/>
      <c r="AF770" s="198"/>
      <c r="AG770" s="198"/>
      <c r="AH770" s="198"/>
      <c r="AI770" s="198"/>
      <c r="AJ770" s="198"/>
      <c r="AK770" s="198"/>
    </row>
    <row r="771">
      <c r="A771" s="198"/>
      <c r="B771" s="198"/>
      <c r="C771" s="198"/>
      <c r="D771" s="198"/>
      <c r="E771" s="198"/>
      <c r="F771" s="198"/>
      <c r="G771" s="198"/>
      <c r="H771" s="198"/>
      <c r="I771" s="198"/>
      <c r="J771" s="198"/>
      <c r="K771" s="198"/>
      <c r="L771" s="198"/>
      <c r="M771" s="198"/>
      <c r="N771" s="198"/>
      <c r="O771" s="198"/>
      <c r="P771" s="198"/>
      <c r="Q771" s="198"/>
      <c r="R771" s="198"/>
      <c r="S771" s="198"/>
      <c r="T771" s="198"/>
      <c r="U771" s="198"/>
      <c r="V771" s="198"/>
      <c r="W771" s="201"/>
      <c r="X771" s="198"/>
      <c r="Y771" s="198"/>
      <c r="Z771" s="198"/>
      <c r="AA771" s="198"/>
      <c r="AB771" s="198"/>
      <c r="AC771" s="198"/>
      <c r="AD771" s="198"/>
      <c r="AE771" s="198"/>
      <c r="AF771" s="198"/>
      <c r="AG771" s="198"/>
      <c r="AH771" s="198"/>
      <c r="AI771" s="198"/>
      <c r="AJ771" s="198"/>
      <c r="AK771" s="198"/>
    </row>
    <row r="772">
      <c r="A772" s="198"/>
      <c r="B772" s="198"/>
      <c r="C772" s="198"/>
      <c r="D772" s="198"/>
      <c r="E772" s="198"/>
      <c r="F772" s="198"/>
      <c r="G772" s="198"/>
      <c r="H772" s="198"/>
      <c r="I772" s="198"/>
      <c r="J772" s="198"/>
      <c r="K772" s="198"/>
      <c r="L772" s="198"/>
      <c r="M772" s="198"/>
      <c r="N772" s="198"/>
      <c r="O772" s="198"/>
      <c r="P772" s="198"/>
      <c r="Q772" s="198"/>
      <c r="R772" s="198"/>
      <c r="S772" s="198"/>
      <c r="T772" s="198"/>
      <c r="U772" s="198"/>
      <c r="V772" s="198"/>
      <c r="W772" s="201"/>
      <c r="X772" s="198"/>
      <c r="Y772" s="198"/>
      <c r="Z772" s="198"/>
      <c r="AA772" s="198"/>
      <c r="AB772" s="198"/>
      <c r="AC772" s="198"/>
      <c r="AD772" s="198"/>
      <c r="AE772" s="198"/>
      <c r="AF772" s="198"/>
      <c r="AG772" s="198"/>
      <c r="AH772" s="198"/>
      <c r="AI772" s="198"/>
      <c r="AJ772" s="198"/>
      <c r="AK772" s="198"/>
    </row>
    <row r="773">
      <c r="A773" s="198"/>
      <c r="B773" s="198"/>
      <c r="C773" s="198"/>
      <c r="D773" s="198"/>
      <c r="E773" s="198"/>
      <c r="F773" s="198"/>
      <c r="G773" s="198"/>
      <c r="H773" s="198"/>
      <c r="I773" s="198"/>
      <c r="J773" s="198"/>
      <c r="K773" s="198"/>
      <c r="L773" s="198"/>
      <c r="M773" s="198"/>
      <c r="N773" s="198"/>
      <c r="O773" s="198"/>
      <c r="P773" s="198"/>
      <c r="Q773" s="198"/>
      <c r="R773" s="198"/>
      <c r="S773" s="198"/>
      <c r="T773" s="198"/>
      <c r="U773" s="198"/>
      <c r="V773" s="198"/>
      <c r="W773" s="201"/>
      <c r="X773" s="198"/>
      <c r="Y773" s="198"/>
      <c r="Z773" s="198"/>
      <c r="AA773" s="198"/>
      <c r="AB773" s="198"/>
      <c r="AC773" s="198"/>
      <c r="AD773" s="198"/>
      <c r="AE773" s="198"/>
      <c r="AF773" s="198"/>
      <c r="AG773" s="198"/>
      <c r="AH773" s="198"/>
      <c r="AI773" s="198"/>
      <c r="AJ773" s="198"/>
      <c r="AK773" s="198"/>
    </row>
    <row r="774">
      <c r="A774" s="198"/>
      <c r="B774" s="198"/>
      <c r="C774" s="198"/>
      <c r="D774" s="198"/>
      <c r="E774" s="198"/>
      <c r="F774" s="198"/>
      <c r="G774" s="198"/>
      <c r="H774" s="198"/>
      <c r="I774" s="198"/>
      <c r="J774" s="198"/>
      <c r="K774" s="198"/>
      <c r="L774" s="198"/>
      <c r="M774" s="198"/>
      <c r="N774" s="198"/>
      <c r="O774" s="198"/>
      <c r="P774" s="198"/>
      <c r="Q774" s="198"/>
      <c r="R774" s="198"/>
      <c r="S774" s="198"/>
      <c r="T774" s="198"/>
      <c r="U774" s="198"/>
      <c r="V774" s="198"/>
      <c r="W774" s="201"/>
      <c r="X774" s="198"/>
      <c r="Y774" s="198"/>
      <c r="Z774" s="198"/>
      <c r="AA774" s="198"/>
      <c r="AB774" s="198"/>
      <c r="AC774" s="198"/>
      <c r="AD774" s="198"/>
      <c r="AE774" s="198"/>
      <c r="AF774" s="198"/>
      <c r="AG774" s="198"/>
      <c r="AH774" s="198"/>
      <c r="AI774" s="198"/>
      <c r="AJ774" s="198"/>
      <c r="AK774" s="198"/>
    </row>
    <row r="775">
      <c r="A775" s="198"/>
      <c r="B775" s="198"/>
      <c r="C775" s="198"/>
      <c r="D775" s="198"/>
      <c r="E775" s="198"/>
      <c r="F775" s="198"/>
      <c r="G775" s="198"/>
      <c r="H775" s="198"/>
      <c r="I775" s="198"/>
      <c r="J775" s="198"/>
      <c r="K775" s="198"/>
      <c r="L775" s="198"/>
      <c r="M775" s="198"/>
      <c r="N775" s="198"/>
      <c r="O775" s="198"/>
      <c r="P775" s="198"/>
      <c r="Q775" s="198"/>
      <c r="R775" s="198"/>
      <c r="S775" s="198"/>
      <c r="T775" s="198"/>
      <c r="U775" s="198"/>
      <c r="V775" s="198"/>
      <c r="W775" s="201"/>
      <c r="X775" s="198"/>
      <c r="Y775" s="198"/>
      <c r="Z775" s="198"/>
      <c r="AA775" s="198"/>
      <c r="AB775" s="198"/>
      <c r="AC775" s="198"/>
      <c r="AD775" s="198"/>
      <c r="AE775" s="198"/>
      <c r="AF775" s="198"/>
      <c r="AG775" s="198"/>
      <c r="AH775" s="198"/>
      <c r="AI775" s="198"/>
      <c r="AJ775" s="198"/>
      <c r="AK775" s="198"/>
    </row>
    <row r="776">
      <c r="A776" s="198"/>
      <c r="B776" s="198"/>
      <c r="C776" s="198"/>
      <c r="D776" s="198"/>
      <c r="E776" s="198"/>
      <c r="F776" s="198"/>
      <c r="G776" s="198"/>
      <c r="H776" s="198"/>
      <c r="I776" s="198"/>
      <c r="J776" s="198"/>
      <c r="K776" s="198"/>
      <c r="L776" s="198"/>
      <c r="M776" s="198"/>
      <c r="N776" s="198"/>
      <c r="O776" s="198"/>
      <c r="P776" s="198"/>
      <c r="Q776" s="198"/>
      <c r="R776" s="198"/>
      <c r="S776" s="198"/>
      <c r="T776" s="198"/>
      <c r="U776" s="198"/>
      <c r="V776" s="198"/>
      <c r="W776" s="201"/>
      <c r="X776" s="198"/>
      <c r="Y776" s="198"/>
      <c r="Z776" s="198"/>
      <c r="AA776" s="198"/>
      <c r="AB776" s="198"/>
      <c r="AC776" s="198"/>
      <c r="AD776" s="198"/>
      <c r="AE776" s="198"/>
      <c r="AF776" s="198"/>
      <c r="AG776" s="198"/>
      <c r="AH776" s="198"/>
      <c r="AI776" s="198"/>
      <c r="AJ776" s="198"/>
      <c r="AK776" s="198"/>
    </row>
    <row r="777">
      <c r="A777" s="198"/>
      <c r="B777" s="198"/>
      <c r="C777" s="198"/>
      <c r="D777" s="198"/>
      <c r="E777" s="198"/>
      <c r="F777" s="198"/>
      <c r="G777" s="198"/>
      <c r="H777" s="198"/>
      <c r="I777" s="198"/>
      <c r="J777" s="198"/>
      <c r="K777" s="198"/>
      <c r="L777" s="198"/>
      <c r="M777" s="198"/>
      <c r="N777" s="198"/>
      <c r="O777" s="198"/>
      <c r="P777" s="198"/>
      <c r="Q777" s="198"/>
      <c r="R777" s="198"/>
      <c r="S777" s="198"/>
      <c r="T777" s="198"/>
      <c r="U777" s="198"/>
      <c r="V777" s="198"/>
      <c r="W777" s="201"/>
      <c r="X777" s="198"/>
      <c r="Y777" s="198"/>
      <c r="Z777" s="198"/>
      <c r="AA777" s="198"/>
      <c r="AB777" s="198"/>
      <c r="AC777" s="198"/>
      <c r="AD777" s="198"/>
      <c r="AE777" s="198"/>
      <c r="AF777" s="198"/>
      <c r="AG777" s="198"/>
      <c r="AH777" s="198"/>
      <c r="AI777" s="198"/>
      <c r="AJ777" s="198"/>
      <c r="AK777" s="198"/>
    </row>
    <row r="778">
      <c r="A778" s="198"/>
      <c r="B778" s="198"/>
      <c r="C778" s="198"/>
      <c r="D778" s="198"/>
      <c r="E778" s="198"/>
      <c r="F778" s="198"/>
      <c r="G778" s="198"/>
      <c r="H778" s="198"/>
      <c r="I778" s="198"/>
      <c r="J778" s="198"/>
      <c r="K778" s="198"/>
      <c r="L778" s="198"/>
      <c r="M778" s="198"/>
      <c r="N778" s="198"/>
      <c r="O778" s="198"/>
      <c r="P778" s="198"/>
      <c r="Q778" s="198"/>
      <c r="R778" s="198"/>
      <c r="S778" s="198"/>
      <c r="T778" s="198"/>
      <c r="U778" s="198"/>
      <c r="V778" s="198"/>
      <c r="W778" s="201"/>
      <c r="X778" s="198"/>
      <c r="Y778" s="198"/>
      <c r="Z778" s="198"/>
      <c r="AA778" s="198"/>
      <c r="AB778" s="198"/>
      <c r="AC778" s="198"/>
      <c r="AD778" s="198"/>
      <c r="AE778" s="198"/>
      <c r="AF778" s="198"/>
      <c r="AG778" s="198"/>
      <c r="AH778" s="198"/>
      <c r="AI778" s="198"/>
      <c r="AJ778" s="198"/>
      <c r="AK778" s="198"/>
    </row>
    <row r="779">
      <c r="A779" s="198"/>
      <c r="B779" s="198"/>
      <c r="C779" s="198"/>
      <c r="D779" s="198"/>
      <c r="E779" s="198"/>
      <c r="F779" s="198"/>
      <c r="G779" s="198"/>
      <c r="H779" s="198"/>
      <c r="I779" s="198"/>
      <c r="J779" s="198"/>
      <c r="K779" s="198"/>
      <c r="L779" s="198"/>
      <c r="M779" s="198"/>
      <c r="N779" s="198"/>
      <c r="O779" s="198"/>
      <c r="P779" s="198"/>
      <c r="Q779" s="198"/>
      <c r="R779" s="198"/>
      <c r="S779" s="198"/>
      <c r="T779" s="198"/>
      <c r="U779" s="198"/>
      <c r="V779" s="198"/>
      <c r="W779" s="201"/>
      <c r="X779" s="198"/>
      <c r="Y779" s="198"/>
      <c r="Z779" s="198"/>
      <c r="AA779" s="198"/>
      <c r="AB779" s="198"/>
      <c r="AC779" s="198"/>
      <c r="AD779" s="198"/>
      <c r="AE779" s="198"/>
      <c r="AF779" s="198"/>
      <c r="AG779" s="198"/>
      <c r="AH779" s="198"/>
      <c r="AI779" s="198"/>
      <c r="AJ779" s="198"/>
      <c r="AK779" s="198"/>
    </row>
    <row r="780">
      <c r="A780" s="198"/>
      <c r="B780" s="198"/>
      <c r="C780" s="198"/>
      <c r="D780" s="198"/>
      <c r="E780" s="198"/>
      <c r="F780" s="198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198"/>
      <c r="U780" s="198"/>
      <c r="V780" s="198"/>
      <c r="W780" s="201"/>
      <c r="X780" s="198"/>
      <c r="Y780" s="198"/>
      <c r="Z780" s="198"/>
      <c r="AA780" s="198"/>
      <c r="AB780" s="198"/>
      <c r="AC780" s="198"/>
      <c r="AD780" s="198"/>
      <c r="AE780" s="198"/>
      <c r="AF780" s="198"/>
      <c r="AG780" s="198"/>
      <c r="AH780" s="198"/>
      <c r="AI780" s="198"/>
      <c r="AJ780" s="198"/>
      <c r="AK780" s="198"/>
    </row>
    <row r="781">
      <c r="A781" s="198"/>
      <c r="B781" s="198"/>
      <c r="C781" s="198"/>
      <c r="D781" s="198"/>
      <c r="E781" s="198"/>
      <c r="F781" s="198"/>
      <c r="G781" s="198"/>
      <c r="H781" s="198"/>
      <c r="I781" s="198"/>
      <c r="J781" s="198"/>
      <c r="K781" s="198"/>
      <c r="L781" s="198"/>
      <c r="M781" s="198"/>
      <c r="N781" s="198"/>
      <c r="O781" s="198"/>
      <c r="P781" s="198"/>
      <c r="Q781" s="198"/>
      <c r="R781" s="198"/>
      <c r="S781" s="198"/>
      <c r="T781" s="198"/>
      <c r="U781" s="198"/>
      <c r="V781" s="198"/>
      <c r="W781" s="201"/>
      <c r="X781" s="198"/>
      <c r="Y781" s="198"/>
      <c r="Z781" s="198"/>
      <c r="AA781" s="198"/>
      <c r="AB781" s="198"/>
      <c r="AC781" s="198"/>
      <c r="AD781" s="198"/>
      <c r="AE781" s="198"/>
      <c r="AF781" s="198"/>
      <c r="AG781" s="198"/>
      <c r="AH781" s="198"/>
      <c r="AI781" s="198"/>
      <c r="AJ781" s="198"/>
      <c r="AK781" s="198"/>
    </row>
    <row r="782">
      <c r="A782" s="198"/>
      <c r="B782" s="198"/>
      <c r="C782" s="198"/>
      <c r="D782" s="198"/>
      <c r="E782" s="198"/>
      <c r="F782" s="198"/>
      <c r="G782" s="198"/>
      <c r="H782" s="198"/>
      <c r="I782" s="198"/>
      <c r="J782" s="198"/>
      <c r="K782" s="198"/>
      <c r="L782" s="198"/>
      <c r="M782" s="198"/>
      <c r="N782" s="198"/>
      <c r="O782" s="198"/>
      <c r="P782" s="198"/>
      <c r="Q782" s="198"/>
      <c r="R782" s="198"/>
      <c r="S782" s="198"/>
      <c r="T782" s="198"/>
      <c r="U782" s="198"/>
      <c r="V782" s="198"/>
      <c r="W782" s="201"/>
      <c r="X782" s="198"/>
      <c r="Y782" s="198"/>
      <c r="Z782" s="198"/>
      <c r="AA782" s="198"/>
      <c r="AB782" s="198"/>
      <c r="AC782" s="198"/>
      <c r="AD782" s="198"/>
      <c r="AE782" s="198"/>
      <c r="AF782" s="198"/>
      <c r="AG782" s="198"/>
      <c r="AH782" s="198"/>
      <c r="AI782" s="198"/>
      <c r="AJ782" s="198"/>
      <c r="AK782" s="198"/>
    </row>
    <row r="783">
      <c r="A783" s="198"/>
      <c r="B783" s="198"/>
      <c r="C783" s="198"/>
      <c r="D783" s="198"/>
      <c r="E783" s="198"/>
      <c r="F783" s="198"/>
      <c r="G783" s="198"/>
      <c r="H783" s="198"/>
      <c r="I783" s="198"/>
      <c r="J783" s="198"/>
      <c r="K783" s="198"/>
      <c r="L783" s="198"/>
      <c r="M783" s="198"/>
      <c r="N783" s="198"/>
      <c r="O783" s="198"/>
      <c r="P783" s="198"/>
      <c r="Q783" s="198"/>
      <c r="R783" s="198"/>
      <c r="S783" s="198"/>
      <c r="T783" s="198"/>
      <c r="U783" s="198"/>
      <c r="V783" s="198"/>
      <c r="W783" s="201"/>
      <c r="X783" s="198"/>
      <c r="Y783" s="198"/>
      <c r="Z783" s="198"/>
      <c r="AA783" s="198"/>
      <c r="AB783" s="198"/>
      <c r="AC783" s="198"/>
      <c r="AD783" s="198"/>
      <c r="AE783" s="198"/>
      <c r="AF783" s="198"/>
      <c r="AG783" s="198"/>
      <c r="AH783" s="198"/>
      <c r="AI783" s="198"/>
      <c r="AJ783" s="198"/>
      <c r="AK783" s="198"/>
    </row>
    <row r="784">
      <c r="A784" s="198"/>
      <c r="B784" s="198"/>
      <c r="C784" s="198"/>
      <c r="D784" s="198"/>
      <c r="E784" s="198"/>
      <c r="F784" s="198"/>
      <c r="G784" s="198"/>
      <c r="H784" s="198"/>
      <c r="I784" s="198"/>
      <c r="J784" s="198"/>
      <c r="K784" s="198"/>
      <c r="L784" s="198"/>
      <c r="M784" s="198"/>
      <c r="N784" s="198"/>
      <c r="O784" s="198"/>
      <c r="P784" s="198"/>
      <c r="Q784" s="198"/>
      <c r="R784" s="198"/>
      <c r="S784" s="198"/>
      <c r="T784" s="198"/>
      <c r="U784" s="198"/>
      <c r="V784" s="198"/>
      <c r="W784" s="201"/>
      <c r="X784" s="198"/>
      <c r="Y784" s="198"/>
      <c r="Z784" s="198"/>
      <c r="AA784" s="198"/>
      <c r="AB784" s="198"/>
      <c r="AC784" s="198"/>
      <c r="AD784" s="198"/>
      <c r="AE784" s="198"/>
      <c r="AF784" s="198"/>
      <c r="AG784" s="198"/>
      <c r="AH784" s="198"/>
      <c r="AI784" s="198"/>
      <c r="AJ784" s="198"/>
      <c r="AK784" s="198"/>
    </row>
    <row r="785">
      <c r="A785" s="198"/>
      <c r="B785" s="198"/>
      <c r="C785" s="198"/>
      <c r="D785" s="198"/>
      <c r="E785" s="198"/>
      <c r="F785" s="198"/>
      <c r="G785" s="198"/>
      <c r="H785" s="198"/>
      <c r="I785" s="198"/>
      <c r="J785" s="198"/>
      <c r="K785" s="198"/>
      <c r="L785" s="198"/>
      <c r="M785" s="198"/>
      <c r="N785" s="198"/>
      <c r="O785" s="198"/>
      <c r="P785" s="198"/>
      <c r="Q785" s="198"/>
      <c r="R785" s="198"/>
      <c r="S785" s="198"/>
      <c r="T785" s="198"/>
      <c r="U785" s="198"/>
      <c r="V785" s="198"/>
      <c r="W785" s="201"/>
      <c r="X785" s="198"/>
      <c r="Y785" s="198"/>
      <c r="Z785" s="198"/>
      <c r="AA785" s="198"/>
      <c r="AB785" s="198"/>
      <c r="AC785" s="198"/>
      <c r="AD785" s="198"/>
      <c r="AE785" s="198"/>
      <c r="AF785" s="198"/>
      <c r="AG785" s="198"/>
      <c r="AH785" s="198"/>
      <c r="AI785" s="198"/>
      <c r="AJ785" s="198"/>
      <c r="AK785" s="198"/>
    </row>
    <row r="786">
      <c r="A786" s="198"/>
      <c r="B786" s="198"/>
      <c r="C786" s="198"/>
      <c r="D786" s="198"/>
      <c r="E786" s="198"/>
      <c r="F786" s="198"/>
      <c r="G786" s="198"/>
      <c r="H786" s="198"/>
      <c r="I786" s="198"/>
      <c r="J786" s="198"/>
      <c r="K786" s="198"/>
      <c r="L786" s="198"/>
      <c r="M786" s="198"/>
      <c r="N786" s="198"/>
      <c r="O786" s="198"/>
      <c r="P786" s="198"/>
      <c r="Q786" s="198"/>
      <c r="R786" s="198"/>
      <c r="S786" s="198"/>
      <c r="T786" s="198"/>
      <c r="U786" s="198"/>
      <c r="V786" s="198"/>
      <c r="W786" s="201"/>
      <c r="X786" s="198"/>
      <c r="Y786" s="198"/>
      <c r="Z786" s="198"/>
      <c r="AA786" s="198"/>
      <c r="AB786" s="198"/>
      <c r="AC786" s="198"/>
      <c r="AD786" s="198"/>
      <c r="AE786" s="198"/>
      <c r="AF786" s="198"/>
      <c r="AG786" s="198"/>
      <c r="AH786" s="198"/>
      <c r="AI786" s="198"/>
      <c r="AJ786" s="198"/>
      <c r="AK786" s="198"/>
    </row>
    <row r="787">
      <c r="A787" s="198"/>
      <c r="B787" s="198"/>
      <c r="C787" s="198"/>
      <c r="D787" s="198"/>
      <c r="E787" s="198"/>
      <c r="F787" s="198"/>
      <c r="G787" s="198"/>
      <c r="H787" s="198"/>
      <c r="I787" s="198"/>
      <c r="J787" s="198"/>
      <c r="K787" s="198"/>
      <c r="L787" s="198"/>
      <c r="M787" s="198"/>
      <c r="N787" s="198"/>
      <c r="O787" s="198"/>
      <c r="P787" s="198"/>
      <c r="Q787" s="198"/>
      <c r="R787" s="198"/>
      <c r="S787" s="198"/>
      <c r="T787" s="198"/>
      <c r="U787" s="198"/>
      <c r="V787" s="198"/>
      <c r="W787" s="201"/>
      <c r="X787" s="198"/>
      <c r="Y787" s="198"/>
      <c r="Z787" s="198"/>
      <c r="AA787" s="198"/>
      <c r="AB787" s="198"/>
      <c r="AC787" s="198"/>
      <c r="AD787" s="198"/>
      <c r="AE787" s="198"/>
      <c r="AF787" s="198"/>
      <c r="AG787" s="198"/>
      <c r="AH787" s="198"/>
      <c r="AI787" s="198"/>
      <c r="AJ787" s="198"/>
      <c r="AK787" s="198"/>
    </row>
    <row r="788">
      <c r="A788" s="198"/>
      <c r="B788" s="198"/>
      <c r="C788" s="198"/>
      <c r="D788" s="198"/>
      <c r="E788" s="198"/>
      <c r="F788" s="198"/>
      <c r="G788" s="198"/>
      <c r="H788" s="198"/>
      <c r="I788" s="198"/>
      <c r="J788" s="198"/>
      <c r="K788" s="198"/>
      <c r="L788" s="198"/>
      <c r="M788" s="198"/>
      <c r="N788" s="198"/>
      <c r="O788" s="198"/>
      <c r="P788" s="198"/>
      <c r="Q788" s="198"/>
      <c r="R788" s="198"/>
      <c r="S788" s="198"/>
      <c r="T788" s="198"/>
      <c r="U788" s="198"/>
      <c r="V788" s="198"/>
      <c r="W788" s="201"/>
      <c r="X788" s="198"/>
      <c r="Y788" s="198"/>
      <c r="Z788" s="198"/>
      <c r="AA788" s="198"/>
      <c r="AB788" s="198"/>
      <c r="AC788" s="198"/>
      <c r="AD788" s="198"/>
      <c r="AE788" s="198"/>
      <c r="AF788" s="198"/>
      <c r="AG788" s="198"/>
      <c r="AH788" s="198"/>
      <c r="AI788" s="198"/>
      <c r="AJ788" s="198"/>
      <c r="AK788" s="198"/>
    </row>
    <row r="789">
      <c r="A789" s="198"/>
      <c r="B789" s="198"/>
      <c r="C789" s="198"/>
      <c r="D789" s="198"/>
      <c r="E789" s="198"/>
      <c r="F789" s="198"/>
      <c r="G789" s="198"/>
      <c r="H789" s="198"/>
      <c r="I789" s="198"/>
      <c r="J789" s="198"/>
      <c r="K789" s="198"/>
      <c r="L789" s="198"/>
      <c r="M789" s="198"/>
      <c r="N789" s="198"/>
      <c r="O789" s="198"/>
      <c r="P789" s="198"/>
      <c r="Q789" s="198"/>
      <c r="R789" s="198"/>
      <c r="S789" s="198"/>
      <c r="T789" s="198"/>
      <c r="U789" s="198"/>
      <c r="V789" s="198"/>
      <c r="W789" s="201"/>
      <c r="X789" s="198"/>
      <c r="Y789" s="198"/>
      <c r="Z789" s="198"/>
      <c r="AA789" s="198"/>
      <c r="AB789" s="198"/>
      <c r="AC789" s="198"/>
      <c r="AD789" s="198"/>
      <c r="AE789" s="198"/>
      <c r="AF789" s="198"/>
      <c r="AG789" s="198"/>
      <c r="AH789" s="198"/>
      <c r="AI789" s="198"/>
      <c r="AJ789" s="198"/>
      <c r="AK789" s="198"/>
    </row>
    <row r="790">
      <c r="A790" s="198"/>
      <c r="B790" s="198"/>
      <c r="C790" s="198"/>
      <c r="D790" s="198"/>
      <c r="E790" s="198"/>
      <c r="F790" s="198"/>
      <c r="G790" s="198"/>
      <c r="H790" s="198"/>
      <c r="I790" s="198"/>
      <c r="J790" s="198"/>
      <c r="K790" s="198"/>
      <c r="L790" s="198"/>
      <c r="M790" s="198"/>
      <c r="N790" s="198"/>
      <c r="O790" s="198"/>
      <c r="P790" s="198"/>
      <c r="Q790" s="198"/>
      <c r="R790" s="198"/>
      <c r="S790" s="198"/>
      <c r="T790" s="198"/>
      <c r="U790" s="198"/>
      <c r="V790" s="198"/>
      <c r="W790" s="201"/>
      <c r="X790" s="198"/>
      <c r="Y790" s="198"/>
      <c r="Z790" s="198"/>
      <c r="AA790" s="198"/>
      <c r="AB790" s="198"/>
      <c r="AC790" s="198"/>
      <c r="AD790" s="198"/>
      <c r="AE790" s="198"/>
      <c r="AF790" s="198"/>
      <c r="AG790" s="198"/>
      <c r="AH790" s="198"/>
      <c r="AI790" s="198"/>
      <c r="AJ790" s="198"/>
      <c r="AK790" s="198"/>
    </row>
    <row r="791">
      <c r="A791" s="198"/>
      <c r="B791" s="198"/>
      <c r="C791" s="198"/>
      <c r="D791" s="198"/>
      <c r="E791" s="198"/>
      <c r="F791" s="198"/>
      <c r="G791" s="198"/>
      <c r="H791" s="198"/>
      <c r="I791" s="198"/>
      <c r="J791" s="198"/>
      <c r="K791" s="198"/>
      <c r="L791" s="198"/>
      <c r="M791" s="198"/>
      <c r="N791" s="198"/>
      <c r="O791" s="198"/>
      <c r="P791" s="198"/>
      <c r="Q791" s="198"/>
      <c r="R791" s="198"/>
      <c r="S791" s="198"/>
      <c r="T791" s="198"/>
      <c r="U791" s="198"/>
      <c r="V791" s="198"/>
      <c r="W791" s="201"/>
      <c r="X791" s="198"/>
      <c r="Y791" s="198"/>
      <c r="Z791" s="198"/>
      <c r="AA791" s="198"/>
      <c r="AB791" s="198"/>
      <c r="AC791" s="198"/>
      <c r="AD791" s="198"/>
      <c r="AE791" s="198"/>
      <c r="AF791" s="198"/>
      <c r="AG791" s="198"/>
      <c r="AH791" s="198"/>
      <c r="AI791" s="198"/>
      <c r="AJ791" s="198"/>
      <c r="AK791" s="198"/>
    </row>
    <row r="792">
      <c r="A792" s="198"/>
      <c r="B792" s="198"/>
      <c r="C792" s="198"/>
      <c r="D792" s="198"/>
      <c r="E792" s="198"/>
      <c r="F792" s="198"/>
      <c r="G792" s="198"/>
      <c r="H792" s="198"/>
      <c r="I792" s="198"/>
      <c r="J792" s="198"/>
      <c r="K792" s="198"/>
      <c r="L792" s="198"/>
      <c r="M792" s="198"/>
      <c r="N792" s="198"/>
      <c r="O792" s="198"/>
      <c r="P792" s="198"/>
      <c r="Q792" s="198"/>
      <c r="R792" s="198"/>
      <c r="S792" s="198"/>
      <c r="T792" s="198"/>
      <c r="U792" s="198"/>
      <c r="V792" s="198"/>
      <c r="W792" s="201"/>
      <c r="X792" s="198"/>
      <c r="Y792" s="198"/>
      <c r="Z792" s="198"/>
      <c r="AA792" s="198"/>
      <c r="AB792" s="198"/>
      <c r="AC792" s="198"/>
      <c r="AD792" s="198"/>
      <c r="AE792" s="198"/>
      <c r="AF792" s="198"/>
      <c r="AG792" s="198"/>
      <c r="AH792" s="198"/>
      <c r="AI792" s="198"/>
      <c r="AJ792" s="198"/>
      <c r="AK792" s="198"/>
    </row>
    <row r="793">
      <c r="A793" s="198"/>
      <c r="B793" s="198"/>
      <c r="C793" s="198"/>
      <c r="D793" s="198"/>
      <c r="E793" s="198"/>
      <c r="F793" s="198"/>
      <c r="G793" s="198"/>
      <c r="H793" s="198"/>
      <c r="I793" s="198"/>
      <c r="J793" s="198"/>
      <c r="K793" s="198"/>
      <c r="L793" s="198"/>
      <c r="M793" s="198"/>
      <c r="N793" s="198"/>
      <c r="O793" s="198"/>
      <c r="P793" s="198"/>
      <c r="Q793" s="198"/>
      <c r="R793" s="198"/>
      <c r="S793" s="198"/>
      <c r="T793" s="198"/>
      <c r="U793" s="198"/>
      <c r="V793" s="198"/>
      <c r="W793" s="201"/>
      <c r="X793" s="198"/>
      <c r="Y793" s="198"/>
      <c r="Z793" s="198"/>
      <c r="AA793" s="198"/>
      <c r="AB793" s="198"/>
      <c r="AC793" s="198"/>
      <c r="AD793" s="198"/>
      <c r="AE793" s="198"/>
      <c r="AF793" s="198"/>
      <c r="AG793" s="198"/>
      <c r="AH793" s="198"/>
      <c r="AI793" s="198"/>
      <c r="AJ793" s="198"/>
      <c r="AK793" s="198"/>
    </row>
    <row r="794">
      <c r="A794" s="198"/>
      <c r="B794" s="198"/>
      <c r="C794" s="198"/>
      <c r="D794" s="198"/>
      <c r="E794" s="198"/>
      <c r="F794" s="198"/>
      <c r="G794" s="198"/>
      <c r="H794" s="198"/>
      <c r="I794" s="198"/>
      <c r="J794" s="198"/>
      <c r="K794" s="198"/>
      <c r="L794" s="198"/>
      <c r="M794" s="198"/>
      <c r="N794" s="198"/>
      <c r="O794" s="198"/>
      <c r="P794" s="198"/>
      <c r="Q794" s="198"/>
      <c r="R794" s="198"/>
      <c r="S794" s="198"/>
      <c r="T794" s="198"/>
      <c r="U794" s="198"/>
      <c r="V794" s="198"/>
      <c r="W794" s="201"/>
      <c r="X794" s="198"/>
      <c r="Y794" s="198"/>
      <c r="Z794" s="198"/>
      <c r="AA794" s="198"/>
      <c r="AB794" s="198"/>
      <c r="AC794" s="198"/>
      <c r="AD794" s="198"/>
      <c r="AE794" s="198"/>
      <c r="AF794" s="198"/>
      <c r="AG794" s="198"/>
      <c r="AH794" s="198"/>
      <c r="AI794" s="198"/>
      <c r="AJ794" s="198"/>
      <c r="AK794" s="198"/>
    </row>
    <row r="795">
      <c r="A795" s="198"/>
      <c r="B795" s="198"/>
      <c r="C795" s="198"/>
      <c r="D795" s="198"/>
      <c r="E795" s="198"/>
      <c r="F795" s="198"/>
      <c r="G795" s="198"/>
      <c r="H795" s="198"/>
      <c r="I795" s="198"/>
      <c r="J795" s="198"/>
      <c r="K795" s="198"/>
      <c r="L795" s="198"/>
      <c r="M795" s="198"/>
      <c r="N795" s="198"/>
      <c r="O795" s="198"/>
      <c r="P795" s="198"/>
      <c r="Q795" s="198"/>
      <c r="R795" s="198"/>
      <c r="S795" s="198"/>
      <c r="T795" s="198"/>
      <c r="U795" s="198"/>
      <c r="V795" s="198"/>
      <c r="W795" s="201"/>
      <c r="X795" s="198"/>
      <c r="Y795" s="198"/>
      <c r="Z795" s="198"/>
      <c r="AA795" s="198"/>
      <c r="AB795" s="198"/>
      <c r="AC795" s="198"/>
      <c r="AD795" s="198"/>
      <c r="AE795" s="198"/>
      <c r="AF795" s="198"/>
      <c r="AG795" s="198"/>
      <c r="AH795" s="198"/>
      <c r="AI795" s="198"/>
      <c r="AJ795" s="198"/>
      <c r="AK795" s="198"/>
    </row>
    <row r="796">
      <c r="A796" s="198"/>
      <c r="B796" s="198"/>
      <c r="C796" s="198"/>
      <c r="D796" s="198"/>
      <c r="E796" s="198"/>
      <c r="F796" s="198"/>
      <c r="G796" s="198"/>
      <c r="H796" s="198"/>
      <c r="I796" s="198"/>
      <c r="J796" s="198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201"/>
      <c r="X796" s="198"/>
      <c r="Y796" s="198"/>
      <c r="Z796" s="198"/>
      <c r="AA796" s="198"/>
      <c r="AB796" s="198"/>
      <c r="AC796" s="198"/>
      <c r="AD796" s="198"/>
      <c r="AE796" s="198"/>
      <c r="AF796" s="198"/>
      <c r="AG796" s="198"/>
      <c r="AH796" s="198"/>
      <c r="AI796" s="198"/>
      <c r="AJ796" s="198"/>
      <c r="AK796" s="198"/>
    </row>
    <row r="797">
      <c r="A797" s="198"/>
      <c r="B797" s="198"/>
      <c r="C797" s="198"/>
      <c r="D797" s="198"/>
      <c r="E797" s="198"/>
      <c r="F797" s="198"/>
      <c r="G797" s="198"/>
      <c r="H797" s="198"/>
      <c r="I797" s="198"/>
      <c r="J797" s="198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201"/>
      <c r="X797" s="198"/>
      <c r="Y797" s="198"/>
      <c r="Z797" s="198"/>
      <c r="AA797" s="198"/>
      <c r="AB797" s="198"/>
      <c r="AC797" s="198"/>
      <c r="AD797" s="198"/>
      <c r="AE797" s="198"/>
      <c r="AF797" s="198"/>
      <c r="AG797" s="198"/>
      <c r="AH797" s="198"/>
      <c r="AI797" s="198"/>
      <c r="AJ797" s="198"/>
      <c r="AK797" s="198"/>
    </row>
    <row r="798">
      <c r="A798" s="198"/>
      <c r="B798" s="198"/>
      <c r="C798" s="198"/>
      <c r="D798" s="198"/>
      <c r="E798" s="198"/>
      <c r="F798" s="198"/>
      <c r="G798" s="198"/>
      <c r="H798" s="198"/>
      <c r="I798" s="198"/>
      <c r="J798" s="198"/>
      <c r="K798" s="198"/>
      <c r="L798" s="198"/>
      <c r="M798" s="198"/>
      <c r="N798" s="198"/>
      <c r="O798" s="198"/>
      <c r="P798" s="198"/>
      <c r="Q798" s="198"/>
      <c r="R798" s="198"/>
      <c r="S798" s="198"/>
      <c r="T798" s="198"/>
      <c r="U798" s="198"/>
      <c r="V798" s="198"/>
      <c r="W798" s="201"/>
      <c r="X798" s="198"/>
      <c r="Y798" s="198"/>
      <c r="Z798" s="198"/>
      <c r="AA798" s="198"/>
      <c r="AB798" s="198"/>
      <c r="AC798" s="198"/>
      <c r="AD798" s="198"/>
      <c r="AE798" s="198"/>
      <c r="AF798" s="198"/>
      <c r="AG798" s="198"/>
      <c r="AH798" s="198"/>
      <c r="AI798" s="198"/>
      <c r="AJ798" s="198"/>
      <c r="AK798" s="198"/>
    </row>
    <row r="799">
      <c r="A799" s="198"/>
      <c r="B799" s="198"/>
      <c r="C799" s="198"/>
      <c r="D799" s="198"/>
      <c r="E799" s="198"/>
      <c r="F799" s="198"/>
      <c r="G799" s="198"/>
      <c r="H799" s="198"/>
      <c r="I799" s="198"/>
      <c r="J799" s="198"/>
      <c r="K799" s="198"/>
      <c r="L799" s="198"/>
      <c r="M799" s="198"/>
      <c r="N799" s="198"/>
      <c r="O799" s="198"/>
      <c r="P799" s="198"/>
      <c r="Q799" s="198"/>
      <c r="R799" s="198"/>
      <c r="S799" s="198"/>
      <c r="T799" s="198"/>
      <c r="U799" s="198"/>
      <c r="V799" s="198"/>
      <c r="W799" s="201"/>
      <c r="X799" s="198"/>
      <c r="Y799" s="198"/>
      <c r="Z799" s="198"/>
      <c r="AA799" s="198"/>
      <c r="AB799" s="198"/>
      <c r="AC799" s="198"/>
      <c r="AD799" s="198"/>
      <c r="AE799" s="198"/>
      <c r="AF799" s="198"/>
      <c r="AG799" s="198"/>
      <c r="AH799" s="198"/>
      <c r="AI799" s="198"/>
      <c r="AJ799" s="198"/>
      <c r="AK799" s="198"/>
    </row>
    <row r="800">
      <c r="A800" s="198"/>
      <c r="B800" s="198"/>
      <c r="C800" s="198"/>
      <c r="D800" s="198"/>
      <c r="E800" s="198"/>
      <c r="F800" s="198"/>
      <c r="G800" s="198"/>
      <c r="H800" s="198"/>
      <c r="I800" s="198"/>
      <c r="J800" s="198"/>
      <c r="K800" s="198"/>
      <c r="L800" s="198"/>
      <c r="M800" s="198"/>
      <c r="N800" s="198"/>
      <c r="O800" s="198"/>
      <c r="P800" s="198"/>
      <c r="Q800" s="198"/>
      <c r="R800" s="198"/>
      <c r="S800" s="198"/>
      <c r="T800" s="198"/>
      <c r="U800" s="198"/>
      <c r="V800" s="198"/>
      <c r="W800" s="201"/>
      <c r="X800" s="198"/>
      <c r="Y800" s="198"/>
      <c r="Z800" s="198"/>
      <c r="AA800" s="198"/>
      <c r="AB800" s="198"/>
      <c r="AC800" s="198"/>
      <c r="AD800" s="198"/>
      <c r="AE800" s="198"/>
      <c r="AF800" s="198"/>
      <c r="AG800" s="198"/>
      <c r="AH800" s="198"/>
      <c r="AI800" s="198"/>
      <c r="AJ800" s="198"/>
      <c r="AK800" s="198"/>
    </row>
    <row r="801">
      <c r="A801" s="198"/>
      <c r="B801" s="198"/>
      <c r="C801" s="198"/>
      <c r="D801" s="198"/>
      <c r="E801" s="198"/>
      <c r="F801" s="198"/>
      <c r="G801" s="198"/>
      <c r="H801" s="198"/>
      <c r="I801" s="198"/>
      <c r="J801" s="198"/>
      <c r="K801" s="198"/>
      <c r="L801" s="198"/>
      <c r="M801" s="198"/>
      <c r="N801" s="198"/>
      <c r="O801" s="198"/>
      <c r="P801" s="198"/>
      <c r="Q801" s="198"/>
      <c r="R801" s="198"/>
      <c r="S801" s="198"/>
      <c r="T801" s="198"/>
      <c r="U801" s="198"/>
      <c r="V801" s="198"/>
      <c r="W801" s="201"/>
      <c r="X801" s="198"/>
      <c r="Y801" s="198"/>
      <c r="Z801" s="198"/>
      <c r="AA801" s="198"/>
      <c r="AB801" s="198"/>
      <c r="AC801" s="198"/>
      <c r="AD801" s="198"/>
      <c r="AE801" s="198"/>
      <c r="AF801" s="198"/>
      <c r="AG801" s="198"/>
      <c r="AH801" s="198"/>
      <c r="AI801" s="198"/>
      <c r="AJ801" s="198"/>
      <c r="AK801" s="198"/>
    </row>
    <row r="802">
      <c r="A802" s="198"/>
      <c r="B802" s="198"/>
      <c r="C802" s="198"/>
      <c r="D802" s="198"/>
      <c r="E802" s="198"/>
      <c r="F802" s="198"/>
      <c r="G802" s="198"/>
      <c r="H802" s="198"/>
      <c r="I802" s="198"/>
      <c r="J802" s="198"/>
      <c r="K802" s="198"/>
      <c r="L802" s="198"/>
      <c r="M802" s="198"/>
      <c r="N802" s="198"/>
      <c r="O802" s="198"/>
      <c r="P802" s="198"/>
      <c r="Q802" s="198"/>
      <c r="R802" s="198"/>
      <c r="S802" s="198"/>
      <c r="T802" s="198"/>
      <c r="U802" s="198"/>
      <c r="V802" s="198"/>
      <c r="W802" s="201"/>
      <c r="X802" s="198"/>
      <c r="Y802" s="198"/>
      <c r="Z802" s="198"/>
      <c r="AA802" s="198"/>
      <c r="AB802" s="198"/>
      <c r="AC802" s="198"/>
      <c r="AD802" s="198"/>
      <c r="AE802" s="198"/>
      <c r="AF802" s="198"/>
      <c r="AG802" s="198"/>
      <c r="AH802" s="198"/>
      <c r="AI802" s="198"/>
      <c r="AJ802" s="198"/>
      <c r="AK802" s="198"/>
    </row>
    <row r="803">
      <c r="A803" s="198"/>
      <c r="B803" s="198"/>
      <c r="C803" s="198"/>
      <c r="D803" s="198"/>
      <c r="E803" s="198"/>
      <c r="F803" s="198"/>
      <c r="G803" s="198"/>
      <c r="H803" s="198"/>
      <c r="I803" s="198"/>
      <c r="J803" s="198"/>
      <c r="K803" s="198"/>
      <c r="L803" s="198"/>
      <c r="M803" s="198"/>
      <c r="N803" s="198"/>
      <c r="O803" s="198"/>
      <c r="P803" s="198"/>
      <c r="Q803" s="198"/>
      <c r="R803" s="198"/>
      <c r="S803" s="198"/>
      <c r="T803" s="198"/>
      <c r="U803" s="198"/>
      <c r="V803" s="198"/>
      <c r="W803" s="201"/>
      <c r="X803" s="198"/>
      <c r="Y803" s="198"/>
      <c r="Z803" s="198"/>
      <c r="AA803" s="198"/>
      <c r="AB803" s="198"/>
      <c r="AC803" s="198"/>
      <c r="AD803" s="198"/>
      <c r="AE803" s="198"/>
      <c r="AF803" s="198"/>
      <c r="AG803" s="198"/>
      <c r="AH803" s="198"/>
      <c r="AI803" s="198"/>
      <c r="AJ803" s="198"/>
      <c r="AK803" s="198"/>
    </row>
    <row r="804">
      <c r="A804" s="198"/>
      <c r="B804" s="198"/>
      <c r="C804" s="198"/>
      <c r="D804" s="198"/>
      <c r="E804" s="198"/>
      <c r="F804" s="198"/>
      <c r="G804" s="198"/>
      <c r="H804" s="198"/>
      <c r="I804" s="198"/>
      <c r="J804" s="198"/>
      <c r="K804" s="198"/>
      <c r="L804" s="198"/>
      <c r="M804" s="198"/>
      <c r="N804" s="198"/>
      <c r="O804" s="198"/>
      <c r="P804" s="198"/>
      <c r="Q804" s="198"/>
      <c r="R804" s="198"/>
      <c r="S804" s="198"/>
      <c r="T804" s="198"/>
      <c r="U804" s="198"/>
      <c r="V804" s="198"/>
      <c r="W804" s="201"/>
      <c r="X804" s="198"/>
      <c r="Y804" s="198"/>
      <c r="Z804" s="198"/>
      <c r="AA804" s="198"/>
      <c r="AB804" s="198"/>
      <c r="AC804" s="198"/>
      <c r="AD804" s="198"/>
      <c r="AE804" s="198"/>
      <c r="AF804" s="198"/>
      <c r="AG804" s="198"/>
      <c r="AH804" s="198"/>
      <c r="AI804" s="198"/>
      <c r="AJ804" s="198"/>
      <c r="AK804" s="198"/>
    </row>
    <row r="805">
      <c r="A805" s="198"/>
      <c r="B805" s="198"/>
      <c r="C805" s="198"/>
      <c r="D805" s="198"/>
      <c r="E805" s="198"/>
      <c r="F805" s="198"/>
      <c r="G805" s="198"/>
      <c r="H805" s="198"/>
      <c r="I805" s="198"/>
      <c r="J805" s="198"/>
      <c r="K805" s="198"/>
      <c r="L805" s="198"/>
      <c r="M805" s="198"/>
      <c r="N805" s="198"/>
      <c r="O805" s="198"/>
      <c r="P805" s="198"/>
      <c r="Q805" s="198"/>
      <c r="R805" s="198"/>
      <c r="S805" s="198"/>
      <c r="T805" s="198"/>
      <c r="U805" s="198"/>
      <c r="V805" s="198"/>
      <c r="W805" s="201"/>
      <c r="X805" s="198"/>
      <c r="Y805" s="198"/>
      <c r="Z805" s="198"/>
      <c r="AA805" s="198"/>
      <c r="AB805" s="198"/>
      <c r="AC805" s="198"/>
      <c r="AD805" s="198"/>
      <c r="AE805" s="198"/>
      <c r="AF805" s="198"/>
      <c r="AG805" s="198"/>
      <c r="AH805" s="198"/>
      <c r="AI805" s="198"/>
      <c r="AJ805" s="198"/>
      <c r="AK805" s="198"/>
    </row>
    <row r="806">
      <c r="A806" s="198"/>
      <c r="B806" s="198"/>
      <c r="C806" s="198"/>
      <c r="D806" s="198"/>
      <c r="E806" s="198"/>
      <c r="F806" s="198"/>
      <c r="G806" s="198"/>
      <c r="H806" s="198"/>
      <c r="I806" s="198"/>
      <c r="J806" s="198"/>
      <c r="K806" s="198"/>
      <c r="L806" s="198"/>
      <c r="M806" s="198"/>
      <c r="N806" s="198"/>
      <c r="O806" s="198"/>
      <c r="P806" s="198"/>
      <c r="Q806" s="198"/>
      <c r="R806" s="198"/>
      <c r="S806" s="198"/>
      <c r="T806" s="198"/>
      <c r="U806" s="198"/>
      <c r="V806" s="198"/>
      <c r="W806" s="201"/>
      <c r="X806" s="198"/>
      <c r="Y806" s="198"/>
      <c r="Z806" s="198"/>
      <c r="AA806" s="198"/>
      <c r="AB806" s="198"/>
      <c r="AC806" s="198"/>
      <c r="AD806" s="198"/>
      <c r="AE806" s="198"/>
      <c r="AF806" s="198"/>
      <c r="AG806" s="198"/>
      <c r="AH806" s="198"/>
      <c r="AI806" s="198"/>
      <c r="AJ806" s="198"/>
      <c r="AK806" s="198"/>
    </row>
    <row r="807">
      <c r="A807" s="198"/>
      <c r="B807" s="198"/>
      <c r="C807" s="198"/>
      <c r="D807" s="198"/>
      <c r="E807" s="198"/>
      <c r="F807" s="198"/>
      <c r="G807" s="198"/>
      <c r="H807" s="198"/>
      <c r="I807" s="198"/>
      <c r="J807" s="198"/>
      <c r="K807" s="198"/>
      <c r="L807" s="198"/>
      <c r="M807" s="198"/>
      <c r="N807" s="198"/>
      <c r="O807" s="198"/>
      <c r="P807" s="198"/>
      <c r="Q807" s="198"/>
      <c r="R807" s="198"/>
      <c r="S807" s="198"/>
      <c r="T807" s="198"/>
      <c r="U807" s="198"/>
      <c r="V807" s="198"/>
      <c r="W807" s="201"/>
      <c r="X807" s="198"/>
      <c r="Y807" s="198"/>
      <c r="Z807" s="198"/>
      <c r="AA807" s="198"/>
      <c r="AB807" s="198"/>
      <c r="AC807" s="198"/>
      <c r="AD807" s="198"/>
      <c r="AE807" s="198"/>
      <c r="AF807" s="198"/>
      <c r="AG807" s="198"/>
      <c r="AH807" s="198"/>
      <c r="AI807" s="198"/>
      <c r="AJ807" s="198"/>
      <c r="AK807" s="198"/>
    </row>
    <row r="808">
      <c r="A808" s="198"/>
      <c r="B808" s="198"/>
      <c r="C808" s="198"/>
      <c r="D808" s="198"/>
      <c r="E808" s="198"/>
      <c r="F808" s="198"/>
      <c r="G808" s="198"/>
      <c r="H808" s="198"/>
      <c r="I808" s="198"/>
      <c r="J808" s="198"/>
      <c r="K808" s="198"/>
      <c r="L808" s="198"/>
      <c r="M808" s="198"/>
      <c r="N808" s="198"/>
      <c r="O808" s="198"/>
      <c r="P808" s="198"/>
      <c r="Q808" s="198"/>
      <c r="R808" s="198"/>
      <c r="S808" s="198"/>
      <c r="T808" s="198"/>
      <c r="U808" s="198"/>
      <c r="V808" s="198"/>
      <c r="W808" s="201"/>
      <c r="X808" s="198"/>
      <c r="Y808" s="198"/>
      <c r="Z808" s="198"/>
      <c r="AA808" s="198"/>
      <c r="AB808" s="198"/>
      <c r="AC808" s="198"/>
      <c r="AD808" s="198"/>
      <c r="AE808" s="198"/>
      <c r="AF808" s="198"/>
      <c r="AG808" s="198"/>
      <c r="AH808" s="198"/>
      <c r="AI808" s="198"/>
      <c r="AJ808" s="198"/>
      <c r="AK808" s="198"/>
    </row>
    <row r="809">
      <c r="A809" s="198"/>
      <c r="B809" s="198"/>
      <c r="C809" s="198"/>
      <c r="D809" s="198"/>
      <c r="E809" s="198"/>
      <c r="F809" s="198"/>
      <c r="G809" s="198"/>
      <c r="H809" s="198"/>
      <c r="I809" s="198"/>
      <c r="J809" s="198"/>
      <c r="K809" s="198"/>
      <c r="L809" s="198"/>
      <c r="M809" s="198"/>
      <c r="N809" s="198"/>
      <c r="O809" s="198"/>
      <c r="P809" s="198"/>
      <c r="Q809" s="198"/>
      <c r="R809" s="198"/>
      <c r="S809" s="198"/>
      <c r="T809" s="198"/>
      <c r="U809" s="198"/>
      <c r="V809" s="198"/>
      <c r="W809" s="201"/>
      <c r="X809" s="198"/>
      <c r="Y809" s="198"/>
      <c r="Z809" s="198"/>
      <c r="AA809" s="198"/>
      <c r="AB809" s="198"/>
      <c r="AC809" s="198"/>
      <c r="AD809" s="198"/>
      <c r="AE809" s="198"/>
      <c r="AF809" s="198"/>
      <c r="AG809" s="198"/>
      <c r="AH809" s="198"/>
      <c r="AI809" s="198"/>
      <c r="AJ809" s="198"/>
      <c r="AK809" s="198"/>
    </row>
    <row r="810">
      <c r="A810" s="198"/>
      <c r="B810" s="198"/>
      <c r="C810" s="198"/>
      <c r="D810" s="198"/>
      <c r="E810" s="198"/>
      <c r="F810" s="198"/>
      <c r="G810" s="198"/>
      <c r="H810" s="198"/>
      <c r="I810" s="198"/>
      <c r="J810" s="198"/>
      <c r="K810" s="198"/>
      <c r="L810" s="198"/>
      <c r="M810" s="198"/>
      <c r="N810" s="198"/>
      <c r="O810" s="198"/>
      <c r="P810" s="198"/>
      <c r="Q810" s="198"/>
      <c r="R810" s="198"/>
      <c r="S810" s="198"/>
      <c r="T810" s="198"/>
      <c r="U810" s="198"/>
      <c r="V810" s="198"/>
      <c r="W810" s="201"/>
      <c r="X810" s="198"/>
      <c r="Y810" s="198"/>
      <c r="Z810" s="198"/>
      <c r="AA810" s="198"/>
      <c r="AB810" s="198"/>
      <c r="AC810" s="198"/>
      <c r="AD810" s="198"/>
      <c r="AE810" s="198"/>
      <c r="AF810" s="198"/>
      <c r="AG810" s="198"/>
      <c r="AH810" s="198"/>
      <c r="AI810" s="198"/>
      <c r="AJ810" s="198"/>
      <c r="AK810" s="198"/>
    </row>
    <row r="811">
      <c r="A811" s="198"/>
      <c r="B811" s="198"/>
      <c r="C811" s="198"/>
      <c r="D811" s="198"/>
      <c r="E811" s="198"/>
      <c r="F811" s="198"/>
      <c r="G811" s="198"/>
      <c r="H811" s="198"/>
      <c r="I811" s="198"/>
      <c r="J811" s="198"/>
      <c r="K811" s="198"/>
      <c r="L811" s="198"/>
      <c r="M811" s="198"/>
      <c r="N811" s="198"/>
      <c r="O811" s="198"/>
      <c r="P811" s="198"/>
      <c r="Q811" s="198"/>
      <c r="R811" s="198"/>
      <c r="S811" s="198"/>
      <c r="T811" s="198"/>
      <c r="U811" s="198"/>
      <c r="V811" s="198"/>
      <c r="W811" s="201"/>
      <c r="X811" s="198"/>
      <c r="Y811" s="198"/>
      <c r="Z811" s="198"/>
      <c r="AA811" s="198"/>
      <c r="AB811" s="198"/>
      <c r="AC811" s="198"/>
      <c r="AD811" s="198"/>
      <c r="AE811" s="198"/>
      <c r="AF811" s="198"/>
      <c r="AG811" s="198"/>
      <c r="AH811" s="198"/>
      <c r="AI811" s="198"/>
      <c r="AJ811" s="198"/>
      <c r="AK811" s="198"/>
    </row>
    <row r="812">
      <c r="A812" s="198"/>
      <c r="B812" s="198"/>
      <c r="C812" s="198"/>
      <c r="D812" s="198"/>
      <c r="E812" s="198"/>
      <c r="F812" s="198"/>
      <c r="G812" s="198"/>
      <c r="H812" s="198"/>
      <c r="I812" s="198"/>
      <c r="J812" s="198"/>
      <c r="K812" s="198"/>
      <c r="L812" s="198"/>
      <c r="M812" s="198"/>
      <c r="N812" s="198"/>
      <c r="O812" s="198"/>
      <c r="P812" s="198"/>
      <c r="Q812" s="198"/>
      <c r="R812" s="198"/>
      <c r="S812" s="198"/>
      <c r="T812" s="198"/>
      <c r="U812" s="198"/>
      <c r="V812" s="198"/>
      <c r="W812" s="201"/>
      <c r="X812" s="198"/>
      <c r="Y812" s="198"/>
      <c r="Z812" s="198"/>
      <c r="AA812" s="198"/>
      <c r="AB812" s="198"/>
      <c r="AC812" s="198"/>
      <c r="AD812" s="198"/>
      <c r="AE812" s="198"/>
      <c r="AF812" s="198"/>
      <c r="AG812" s="198"/>
      <c r="AH812" s="198"/>
      <c r="AI812" s="198"/>
      <c r="AJ812" s="198"/>
      <c r="AK812" s="198"/>
    </row>
    <row r="813">
      <c r="A813" s="198"/>
      <c r="B813" s="198"/>
      <c r="C813" s="198"/>
      <c r="D813" s="198"/>
      <c r="E813" s="198"/>
      <c r="F813" s="198"/>
      <c r="G813" s="198"/>
      <c r="H813" s="198"/>
      <c r="I813" s="198"/>
      <c r="J813" s="198"/>
      <c r="K813" s="198"/>
      <c r="L813" s="198"/>
      <c r="M813" s="198"/>
      <c r="N813" s="198"/>
      <c r="O813" s="198"/>
      <c r="P813" s="198"/>
      <c r="Q813" s="198"/>
      <c r="R813" s="198"/>
      <c r="S813" s="198"/>
      <c r="T813" s="198"/>
      <c r="U813" s="198"/>
      <c r="V813" s="198"/>
      <c r="W813" s="201"/>
      <c r="X813" s="198"/>
      <c r="Y813" s="198"/>
      <c r="Z813" s="198"/>
      <c r="AA813" s="198"/>
      <c r="AB813" s="198"/>
      <c r="AC813" s="198"/>
      <c r="AD813" s="198"/>
      <c r="AE813" s="198"/>
      <c r="AF813" s="198"/>
      <c r="AG813" s="198"/>
      <c r="AH813" s="198"/>
      <c r="AI813" s="198"/>
      <c r="AJ813" s="198"/>
      <c r="AK813" s="198"/>
    </row>
    <row r="814">
      <c r="A814" s="198"/>
      <c r="B814" s="198"/>
      <c r="C814" s="198"/>
      <c r="D814" s="198"/>
      <c r="E814" s="198"/>
      <c r="F814" s="198"/>
      <c r="G814" s="198"/>
      <c r="H814" s="198"/>
      <c r="I814" s="198"/>
      <c r="J814" s="198"/>
      <c r="K814" s="198"/>
      <c r="L814" s="198"/>
      <c r="M814" s="198"/>
      <c r="N814" s="198"/>
      <c r="O814" s="198"/>
      <c r="P814" s="198"/>
      <c r="Q814" s="198"/>
      <c r="R814" s="198"/>
      <c r="S814" s="198"/>
      <c r="T814" s="198"/>
      <c r="U814" s="198"/>
      <c r="V814" s="198"/>
      <c r="W814" s="201"/>
      <c r="X814" s="198"/>
      <c r="Y814" s="198"/>
      <c r="Z814" s="198"/>
      <c r="AA814" s="198"/>
      <c r="AB814" s="198"/>
      <c r="AC814" s="198"/>
      <c r="AD814" s="198"/>
      <c r="AE814" s="198"/>
      <c r="AF814" s="198"/>
      <c r="AG814" s="198"/>
      <c r="AH814" s="198"/>
      <c r="AI814" s="198"/>
      <c r="AJ814" s="198"/>
      <c r="AK814" s="198"/>
    </row>
    <row r="815">
      <c r="A815" s="198"/>
      <c r="B815" s="198"/>
      <c r="C815" s="198"/>
      <c r="D815" s="198"/>
      <c r="E815" s="198"/>
      <c r="F815" s="198"/>
      <c r="G815" s="198"/>
      <c r="H815" s="198"/>
      <c r="I815" s="198"/>
      <c r="J815" s="198"/>
      <c r="K815" s="198"/>
      <c r="L815" s="198"/>
      <c r="M815" s="198"/>
      <c r="N815" s="198"/>
      <c r="O815" s="198"/>
      <c r="P815" s="198"/>
      <c r="Q815" s="198"/>
      <c r="R815" s="198"/>
      <c r="S815" s="198"/>
      <c r="T815" s="198"/>
      <c r="U815" s="198"/>
      <c r="V815" s="198"/>
      <c r="W815" s="201"/>
      <c r="X815" s="198"/>
      <c r="Y815" s="198"/>
      <c r="Z815" s="198"/>
      <c r="AA815" s="198"/>
      <c r="AB815" s="198"/>
      <c r="AC815" s="198"/>
      <c r="AD815" s="198"/>
      <c r="AE815" s="198"/>
      <c r="AF815" s="198"/>
      <c r="AG815" s="198"/>
      <c r="AH815" s="198"/>
      <c r="AI815" s="198"/>
      <c r="AJ815" s="198"/>
      <c r="AK815" s="198"/>
    </row>
    <row r="816">
      <c r="A816" s="198"/>
      <c r="B816" s="198"/>
      <c r="C816" s="198"/>
      <c r="D816" s="198"/>
      <c r="E816" s="198"/>
      <c r="F816" s="198"/>
      <c r="G816" s="198"/>
      <c r="H816" s="198"/>
      <c r="I816" s="198"/>
      <c r="J816" s="198"/>
      <c r="K816" s="198"/>
      <c r="L816" s="198"/>
      <c r="M816" s="198"/>
      <c r="N816" s="198"/>
      <c r="O816" s="198"/>
      <c r="P816" s="198"/>
      <c r="Q816" s="198"/>
      <c r="R816" s="198"/>
      <c r="S816" s="198"/>
      <c r="T816" s="198"/>
      <c r="U816" s="198"/>
      <c r="V816" s="198"/>
      <c r="W816" s="201"/>
      <c r="X816" s="198"/>
      <c r="Y816" s="198"/>
      <c r="Z816" s="198"/>
      <c r="AA816" s="198"/>
      <c r="AB816" s="198"/>
      <c r="AC816" s="198"/>
      <c r="AD816" s="198"/>
      <c r="AE816" s="198"/>
      <c r="AF816" s="198"/>
      <c r="AG816" s="198"/>
      <c r="AH816" s="198"/>
      <c r="AI816" s="198"/>
      <c r="AJ816" s="198"/>
      <c r="AK816" s="198"/>
    </row>
    <row r="817">
      <c r="A817" s="198"/>
      <c r="B817" s="198"/>
      <c r="C817" s="198"/>
      <c r="D817" s="198"/>
      <c r="E817" s="198"/>
      <c r="F817" s="198"/>
      <c r="G817" s="198"/>
      <c r="H817" s="198"/>
      <c r="I817" s="198"/>
      <c r="J817" s="198"/>
      <c r="K817" s="198"/>
      <c r="L817" s="198"/>
      <c r="M817" s="198"/>
      <c r="N817" s="198"/>
      <c r="O817" s="198"/>
      <c r="P817" s="198"/>
      <c r="Q817" s="198"/>
      <c r="R817" s="198"/>
      <c r="S817" s="198"/>
      <c r="T817" s="198"/>
      <c r="U817" s="198"/>
      <c r="V817" s="198"/>
      <c r="W817" s="201"/>
      <c r="X817" s="198"/>
      <c r="Y817" s="198"/>
      <c r="Z817" s="198"/>
      <c r="AA817" s="198"/>
      <c r="AB817" s="198"/>
      <c r="AC817" s="198"/>
      <c r="AD817" s="198"/>
      <c r="AE817" s="198"/>
      <c r="AF817" s="198"/>
      <c r="AG817" s="198"/>
      <c r="AH817" s="198"/>
      <c r="AI817" s="198"/>
      <c r="AJ817" s="198"/>
      <c r="AK817" s="198"/>
    </row>
    <row r="818">
      <c r="A818" s="198"/>
      <c r="B818" s="198"/>
      <c r="C818" s="198"/>
      <c r="D818" s="198"/>
      <c r="E818" s="198"/>
      <c r="F818" s="198"/>
      <c r="G818" s="198"/>
      <c r="H818" s="198"/>
      <c r="I818" s="198"/>
      <c r="J818" s="198"/>
      <c r="K818" s="198"/>
      <c r="L818" s="198"/>
      <c r="M818" s="198"/>
      <c r="N818" s="198"/>
      <c r="O818" s="198"/>
      <c r="P818" s="198"/>
      <c r="Q818" s="198"/>
      <c r="R818" s="198"/>
      <c r="S818" s="198"/>
      <c r="T818" s="198"/>
      <c r="U818" s="198"/>
      <c r="V818" s="198"/>
      <c r="W818" s="201"/>
      <c r="X818" s="198"/>
      <c r="Y818" s="198"/>
      <c r="Z818" s="198"/>
      <c r="AA818" s="198"/>
      <c r="AB818" s="198"/>
      <c r="AC818" s="198"/>
      <c r="AD818" s="198"/>
      <c r="AE818" s="198"/>
      <c r="AF818" s="198"/>
      <c r="AG818" s="198"/>
      <c r="AH818" s="198"/>
      <c r="AI818" s="198"/>
      <c r="AJ818" s="198"/>
      <c r="AK818" s="198"/>
    </row>
    <row r="819">
      <c r="A819" s="198"/>
      <c r="B819" s="198"/>
      <c r="C819" s="198"/>
      <c r="D819" s="198"/>
      <c r="E819" s="198"/>
      <c r="F819" s="198"/>
      <c r="G819" s="198"/>
      <c r="H819" s="198"/>
      <c r="I819" s="198"/>
      <c r="J819" s="198"/>
      <c r="K819" s="198"/>
      <c r="L819" s="198"/>
      <c r="M819" s="198"/>
      <c r="N819" s="198"/>
      <c r="O819" s="198"/>
      <c r="P819" s="198"/>
      <c r="Q819" s="198"/>
      <c r="R819" s="198"/>
      <c r="S819" s="198"/>
      <c r="T819" s="198"/>
      <c r="U819" s="198"/>
      <c r="V819" s="198"/>
      <c r="W819" s="201"/>
      <c r="X819" s="198"/>
      <c r="Y819" s="198"/>
      <c r="Z819" s="198"/>
      <c r="AA819" s="198"/>
      <c r="AB819" s="198"/>
      <c r="AC819" s="198"/>
      <c r="AD819" s="198"/>
      <c r="AE819" s="198"/>
      <c r="AF819" s="198"/>
      <c r="AG819" s="198"/>
      <c r="AH819" s="198"/>
      <c r="AI819" s="198"/>
      <c r="AJ819" s="198"/>
      <c r="AK819" s="198"/>
    </row>
    <row r="820">
      <c r="A820" s="198"/>
      <c r="B820" s="198"/>
      <c r="C820" s="198"/>
      <c r="D820" s="198"/>
      <c r="E820" s="198"/>
      <c r="F820" s="198"/>
      <c r="G820" s="198"/>
      <c r="H820" s="198"/>
      <c r="I820" s="198"/>
      <c r="J820" s="198"/>
      <c r="K820" s="198"/>
      <c r="L820" s="198"/>
      <c r="M820" s="198"/>
      <c r="N820" s="198"/>
      <c r="O820" s="198"/>
      <c r="P820" s="198"/>
      <c r="Q820" s="198"/>
      <c r="R820" s="198"/>
      <c r="S820" s="198"/>
      <c r="T820" s="198"/>
      <c r="U820" s="198"/>
      <c r="V820" s="198"/>
      <c r="W820" s="201"/>
      <c r="X820" s="198"/>
      <c r="Y820" s="198"/>
      <c r="Z820" s="198"/>
      <c r="AA820" s="198"/>
      <c r="AB820" s="198"/>
      <c r="AC820" s="198"/>
      <c r="AD820" s="198"/>
      <c r="AE820" s="198"/>
      <c r="AF820" s="198"/>
      <c r="AG820" s="198"/>
      <c r="AH820" s="198"/>
      <c r="AI820" s="198"/>
      <c r="AJ820" s="198"/>
      <c r="AK820" s="198"/>
    </row>
    <row r="821">
      <c r="A821" s="198"/>
      <c r="B821" s="198"/>
      <c r="C821" s="198"/>
      <c r="D821" s="198"/>
      <c r="E821" s="198"/>
      <c r="F821" s="198"/>
      <c r="G821" s="198"/>
      <c r="H821" s="198"/>
      <c r="I821" s="198"/>
      <c r="J821" s="198"/>
      <c r="K821" s="198"/>
      <c r="L821" s="198"/>
      <c r="M821" s="198"/>
      <c r="N821" s="198"/>
      <c r="O821" s="198"/>
      <c r="P821" s="198"/>
      <c r="Q821" s="198"/>
      <c r="R821" s="198"/>
      <c r="S821" s="198"/>
      <c r="T821" s="198"/>
      <c r="U821" s="198"/>
      <c r="V821" s="198"/>
      <c r="W821" s="201"/>
      <c r="X821" s="198"/>
      <c r="Y821" s="198"/>
      <c r="Z821" s="198"/>
      <c r="AA821" s="198"/>
      <c r="AB821" s="198"/>
      <c r="AC821" s="198"/>
      <c r="AD821" s="198"/>
      <c r="AE821" s="198"/>
      <c r="AF821" s="198"/>
      <c r="AG821" s="198"/>
      <c r="AH821" s="198"/>
      <c r="AI821" s="198"/>
      <c r="AJ821" s="198"/>
      <c r="AK821" s="198"/>
    </row>
    <row r="822">
      <c r="A822" s="198"/>
      <c r="B822" s="198"/>
      <c r="C822" s="198"/>
      <c r="D822" s="198"/>
      <c r="E822" s="198"/>
      <c r="F822" s="198"/>
      <c r="G822" s="198"/>
      <c r="H822" s="198"/>
      <c r="I822" s="198"/>
      <c r="J822" s="198"/>
      <c r="K822" s="198"/>
      <c r="L822" s="198"/>
      <c r="M822" s="198"/>
      <c r="N822" s="198"/>
      <c r="O822" s="198"/>
      <c r="P822" s="198"/>
      <c r="Q822" s="198"/>
      <c r="R822" s="198"/>
      <c r="S822" s="198"/>
      <c r="T822" s="198"/>
      <c r="U822" s="198"/>
      <c r="V822" s="198"/>
      <c r="W822" s="201"/>
      <c r="X822" s="198"/>
      <c r="Y822" s="198"/>
      <c r="Z822" s="198"/>
      <c r="AA822" s="198"/>
      <c r="AB822" s="198"/>
      <c r="AC822" s="198"/>
      <c r="AD822" s="198"/>
      <c r="AE822" s="198"/>
      <c r="AF822" s="198"/>
      <c r="AG822" s="198"/>
      <c r="AH822" s="198"/>
      <c r="AI822" s="198"/>
      <c r="AJ822" s="198"/>
      <c r="AK822" s="198"/>
    </row>
    <row r="823">
      <c r="A823" s="198"/>
      <c r="B823" s="198"/>
      <c r="C823" s="198"/>
      <c r="D823" s="198"/>
      <c r="E823" s="198"/>
      <c r="F823" s="198"/>
      <c r="G823" s="198"/>
      <c r="H823" s="198"/>
      <c r="I823" s="198"/>
      <c r="J823" s="198"/>
      <c r="K823" s="198"/>
      <c r="L823" s="198"/>
      <c r="M823" s="198"/>
      <c r="N823" s="198"/>
      <c r="O823" s="198"/>
      <c r="P823" s="198"/>
      <c r="Q823" s="198"/>
      <c r="R823" s="198"/>
      <c r="S823" s="198"/>
      <c r="T823" s="198"/>
      <c r="U823" s="198"/>
      <c r="V823" s="198"/>
      <c r="W823" s="201"/>
      <c r="X823" s="198"/>
      <c r="Y823" s="198"/>
      <c r="Z823" s="198"/>
      <c r="AA823" s="198"/>
      <c r="AB823" s="198"/>
      <c r="AC823" s="198"/>
      <c r="AD823" s="198"/>
      <c r="AE823" s="198"/>
      <c r="AF823" s="198"/>
      <c r="AG823" s="198"/>
      <c r="AH823" s="198"/>
      <c r="AI823" s="198"/>
      <c r="AJ823" s="198"/>
      <c r="AK823" s="198"/>
    </row>
    <row r="824">
      <c r="A824" s="198"/>
      <c r="B824" s="198"/>
      <c r="C824" s="198"/>
      <c r="D824" s="198"/>
      <c r="E824" s="198"/>
      <c r="F824" s="198"/>
      <c r="G824" s="198"/>
      <c r="H824" s="198"/>
      <c r="I824" s="198"/>
      <c r="J824" s="198"/>
      <c r="K824" s="198"/>
      <c r="L824" s="198"/>
      <c r="M824" s="198"/>
      <c r="N824" s="198"/>
      <c r="O824" s="198"/>
      <c r="P824" s="198"/>
      <c r="Q824" s="198"/>
      <c r="R824" s="198"/>
      <c r="S824" s="198"/>
      <c r="T824" s="198"/>
      <c r="U824" s="198"/>
      <c r="V824" s="198"/>
      <c r="W824" s="201"/>
      <c r="X824" s="198"/>
      <c r="Y824" s="198"/>
      <c r="Z824" s="198"/>
      <c r="AA824" s="198"/>
      <c r="AB824" s="198"/>
      <c r="AC824" s="198"/>
      <c r="AD824" s="198"/>
      <c r="AE824" s="198"/>
      <c r="AF824" s="198"/>
      <c r="AG824" s="198"/>
      <c r="AH824" s="198"/>
      <c r="AI824" s="198"/>
      <c r="AJ824" s="198"/>
      <c r="AK824" s="198"/>
    </row>
    <row r="825">
      <c r="A825" s="198"/>
      <c r="B825" s="198"/>
      <c r="C825" s="198"/>
      <c r="D825" s="198"/>
      <c r="E825" s="198"/>
      <c r="F825" s="198"/>
      <c r="G825" s="198"/>
      <c r="H825" s="198"/>
      <c r="I825" s="198"/>
      <c r="J825" s="198"/>
      <c r="K825" s="198"/>
      <c r="L825" s="198"/>
      <c r="M825" s="198"/>
      <c r="N825" s="198"/>
      <c r="O825" s="198"/>
      <c r="P825" s="198"/>
      <c r="Q825" s="198"/>
      <c r="R825" s="198"/>
      <c r="S825" s="198"/>
      <c r="T825" s="198"/>
      <c r="U825" s="198"/>
      <c r="V825" s="198"/>
      <c r="W825" s="201"/>
      <c r="X825" s="198"/>
      <c r="Y825" s="198"/>
      <c r="Z825" s="198"/>
      <c r="AA825" s="198"/>
      <c r="AB825" s="198"/>
      <c r="AC825" s="198"/>
      <c r="AD825" s="198"/>
      <c r="AE825" s="198"/>
      <c r="AF825" s="198"/>
      <c r="AG825" s="198"/>
      <c r="AH825" s="198"/>
      <c r="AI825" s="198"/>
      <c r="AJ825" s="198"/>
      <c r="AK825" s="198"/>
    </row>
    <row r="826">
      <c r="A826" s="198"/>
      <c r="B826" s="198"/>
      <c r="C826" s="198"/>
      <c r="D826" s="198"/>
      <c r="E826" s="198"/>
      <c r="F826" s="198"/>
      <c r="G826" s="198"/>
      <c r="H826" s="198"/>
      <c r="I826" s="198"/>
      <c r="J826" s="198"/>
      <c r="K826" s="198"/>
      <c r="L826" s="198"/>
      <c r="M826" s="198"/>
      <c r="N826" s="198"/>
      <c r="O826" s="198"/>
      <c r="P826" s="198"/>
      <c r="Q826" s="198"/>
      <c r="R826" s="198"/>
      <c r="S826" s="198"/>
      <c r="T826" s="198"/>
      <c r="U826" s="198"/>
      <c r="V826" s="198"/>
      <c r="W826" s="201"/>
      <c r="X826" s="198"/>
      <c r="Y826" s="198"/>
      <c r="Z826" s="198"/>
      <c r="AA826" s="198"/>
      <c r="AB826" s="198"/>
      <c r="AC826" s="198"/>
      <c r="AD826" s="198"/>
      <c r="AE826" s="198"/>
      <c r="AF826" s="198"/>
      <c r="AG826" s="198"/>
      <c r="AH826" s="198"/>
      <c r="AI826" s="198"/>
      <c r="AJ826" s="198"/>
      <c r="AK826" s="198"/>
    </row>
    <row r="827">
      <c r="A827" s="198"/>
      <c r="B827" s="198"/>
      <c r="C827" s="198"/>
      <c r="D827" s="198"/>
      <c r="E827" s="198"/>
      <c r="F827" s="198"/>
      <c r="G827" s="198"/>
      <c r="H827" s="198"/>
      <c r="I827" s="198"/>
      <c r="J827" s="198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201"/>
      <c r="X827" s="198"/>
      <c r="Y827" s="198"/>
      <c r="Z827" s="198"/>
      <c r="AA827" s="198"/>
      <c r="AB827" s="198"/>
      <c r="AC827" s="198"/>
      <c r="AD827" s="198"/>
      <c r="AE827" s="198"/>
      <c r="AF827" s="198"/>
      <c r="AG827" s="198"/>
      <c r="AH827" s="198"/>
      <c r="AI827" s="198"/>
      <c r="AJ827" s="198"/>
      <c r="AK827" s="198"/>
    </row>
    <row r="828">
      <c r="A828" s="198"/>
      <c r="B828" s="198"/>
      <c r="C828" s="198"/>
      <c r="D828" s="198"/>
      <c r="E828" s="198"/>
      <c r="F828" s="198"/>
      <c r="G828" s="198"/>
      <c r="H828" s="198"/>
      <c r="I828" s="198"/>
      <c r="J828" s="198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201"/>
      <c r="X828" s="198"/>
      <c r="Y828" s="198"/>
      <c r="Z828" s="198"/>
      <c r="AA828" s="198"/>
      <c r="AB828" s="198"/>
      <c r="AC828" s="198"/>
      <c r="AD828" s="198"/>
      <c r="AE828" s="198"/>
      <c r="AF828" s="198"/>
      <c r="AG828" s="198"/>
      <c r="AH828" s="198"/>
      <c r="AI828" s="198"/>
      <c r="AJ828" s="198"/>
      <c r="AK828" s="198"/>
    </row>
    <row r="829">
      <c r="A829" s="198"/>
      <c r="B829" s="198"/>
      <c r="C829" s="198"/>
      <c r="D829" s="198"/>
      <c r="E829" s="198"/>
      <c r="F829" s="198"/>
      <c r="G829" s="198"/>
      <c r="H829" s="198"/>
      <c r="I829" s="198"/>
      <c r="J829" s="198"/>
      <c r="K829" s="198"/>
      <c r="L829" s="198"/>
      <c r="M829" s="198"/>
      <c r="N829" s="198"/>
      <c r="O829" s="198"/>
      <c r="P829" s="198"/>
      <c r="Q829" s="198"/>
      <c r="R829" s="198"/>
      <c r="S829" s="198"/>
      <c r="T829" s="198"/>
      <c r="U829" s="198"/>
      <c r="V829" s="198"/>
      <c r="W829" s="201"/>
      <c r="X829" s="198"/>
      <c r="Y829" s="198"/>
      <c r="Z829" s="198"/>
      <c r="AA829" s="198"/>
      <c r="AB829" s="198"/>
      <c r="AC829" s="198"/>
      <c r="AD829" s="198"/>
      <c r="AE829" s="198"/>
      <c r="AF829" s="198"/>
      <c r="AG829" s="198"/>
      <c r="AH829" s="198"/>
      <c r="AI829" s="198"/>
      <c r="AJ829" s="198"/>
      <c r="AK829" s="198"/>
    </row>
    <row r="830">
      <c r="A830" s="198"/>
      <c r="B830" s="198"/>
      <c r="C830" s="198"/>
      <c r="D830" s="198"/>
      <c r="E830" s="198"/>
      <c r="F830" s="198"/>
      <c r="G830" s="198"/>
      <c r="H830" s="198"/>
      <c r="I830" s="198"/>
      <c r="J830" s="198"/>
      <c r="K830" s="198"/>
      <c r="L830" s="198"/>
      <c r="M830" s="198"/>
      <c r="N830" s="198"/>
      <c r="O830" s="198"/>
      <c r="P830" s="198"/>
      <c r="Q830" s="198"/>
      <c r="R830" s="198"/>
      <c r="S830" s="198"/>
      <c r="T830" s="198"/>
      <c r="U830" s="198"/>
      <c r="V830" s="198"/>
      <c r="W830" s="201"/>
      <c r="X830" s="198"/>
      <c r="Y830" s="198"/>
      <c r="Z830" s="198"/>
      <c r="AA830" s="198"/>
      <c r="AB830" s="198"/>
      <c r="AC830" s="198"/>
      <c r="AD830" s="198"/>
      <c r="AE830" s="198"/>
      <c r="AF830" s="198"/>
      <c r="AG830" s="198"/>
      <c r="AH830" s="198"/>
      <c r="AI830" s="198"/>
      <c r="AJ830" s="198"/>
      <c r="AK830" s="198"/>
    </row>
    <row r="831">
      <c r="A831" s="198"/>
      <c r="B831" s="198"/>
      <c r="C831" s="198"/>
      <c r="D831" s="198"/>
      <c r="E831" s="198"/>
      <c r="F831" s="198"/>
      <c r="G831" s="198"/>
      <c r="H831" s="198"/>
      <c r="I831" s="198"/>
      <c r="J831" s="198"/>
      <c r="K831" s="198"/>
      <c r="L831" s="198"/>
      <c r="M831" s="198"/>
      <c r="N831" s="198"/>
      <c r="O831" s="198"/>
      <c r="P831" s="198"/>
      <c r="Q831" s="198"/>
      <c r="R831" s="198"/>
      <c r="S831" s="198"/>
      <c r="T831" s="198"/>
      <c r="U831" s="198"/>
      <c r="V831" s="198"/>
      <c r="W831" s="201"/>
      <c r="X831" s="198"/>
      <c r="Y831" s="198"/>
      <c r="Z831" s="198"/>
      <c r="AA831" s="198"/>
      <c r="AB831" s="198"/>
      <c r="AC831" s="198"/>
      <c r="AD831" s="198"/>
      <c r="AE831" s="198"/>
      <c r="AF831" s="198"/>
      <c r="AG831" s="198"/>
      <c r="AH831" s="198"/>
      <c r="AI831" s="198"/>
      <c r="AJ831" s="198"/>
      <c r="AK831" s="198"/>
    </row>
    <row r="832">
      <c r="A832" s="198"/>
      <c r="B832" s="198"/>
      <c r="C832" s="198"/>
      <c r="D832" s="198"/>
      <c r="E832" s="198"/>
      <c r="F832" s="198"/>
      <c r="G832" s="198"/>
      <c r="H832" s="198"/>
      <c r="I832" s="198"/>
      <c r="J832" s="198"/>
      <c r="K832" s="198"/>
      <c r="L832" s="198"/>
      <c r="M832" s="198"/>
      <c r="N832" s="198"/>
      <c r="O832" s="198"/>
      <c r="P832" s="198"/>
      <c r="Q832" s="198"/>
      <c r="R832" s="198"/>
      <c r="S832" s="198"/>
      <c r="T832" s="198"/>
      <c r="U832" s="198"/>
      <c r="V832" s="198"/>
      <c r="W832" s="201"/>
      <c r="X832" s="198"/>
      <c r="Y832" s="198"/>
      <c r="Z832" s="198"/>
      <c r="AA832" s="198"/>
      <c r="AB832" s="198"/>
      <c r="AC832" s="198"/>
      <c r="AD832" s="198"/>
      <c r="AE832" s="198"/>
      <c r="AF832" s="198"/>
      <c r="AG832" s="198"/>
      <c r="AH832" s="198"/>
      <c r="AI832" s="198"/>
      <c r="AJ832" s="198"/>
      <c r="AK832" s="198"/>
    </row>
    <row r="833">
      <c r="A833" s="198"/>
      <c r="B833" s="198"/>
      <c r="C833" s="198"/>
      <c r="D833" s="198"/>
      <c r="E833" s="198"/>
      <c r="F833" s="198"/>
      <c r="G833" s="198"/>
      <c r="H833" s="198"/>
      <c r="I833" s="198"/>
      <c r="J833" s="198"/>
      <c r="K833" s="198"/>
      <c r="L833" s="198"/>
      <c r="M833" s="198"/>
      <c r="N833" s="198"/>
      <c r="O833" s="198"/>
      <c r="P833" s="198"/>
      <c r="Q833" s="198"/>
      <c r="R833" s="198"/>
      <c r="S833" s="198"/>
      <c r="T833" s="198"/>
      <c r="U833" s="198"/>
      <c r="V833" s="198"/>
      <c r="W833" s="201"/>
      <c r="X833" s="198"/>
      <c r="Y833" s="198"/>
      <c r="Z833" s="198"/>
      <c r="AA833" s="198"/>
      <c r="AB833" s="198"/>
      <c r="AC833" s="198"/>
      <c r="AD833" s="198"/>
      <c r="AE833" s="198"/>
      <c r="AF833" s="198"/>
      <c r="AG833" s="198"/>
      <c r="AH833" s="198"/>
      <c r="AI833" s="198"/>
      <c r="AJ833" s="198"/>
      <c r="AK833" s="198"/>
    </row>
    <row r="834">
      <c r="A834" s="198"/>
      <c r="B834" s="198"/>
      <c r="C834" s="198"/>
      <c r="D834" s="198"/>
      <c r="E834" s="198"/>
      <c r="F834" s="198"/>
      <c r="G834" s="198"/>
      <c r="H834" s="198"/>
      <c r="I834" s="198"/>
      <c r="J834" s="198"/>
      <c r="K834" s="198"/>
      <c r="L834" s="198"/>
      <c r="M834" s="198"/>
      <c r="N834" s="198"/>
      <c r="O834" s="198"/>
      <c r="P834" s="198"/>
      <c r="Q834" s="198"/>
      <c r="R834" s="198"/>
      <c r="S834" s="198"/>
      <c r="T834" s="198"/>
      <c r="U834" s="198"/>
      <c r="V834" s="198"/>
      <c r="W834" s="201"/>
      <c r="X834" s="198"/>
      <c r="Y834" s="198"/>
      <c r="Z834" s="198"/>
      <c r="AA834" s="198"/>
      <c r="AB834" s="198"/>
      <c r="AC834" s="198"/>
      <c r="AD834" s="198"/>
      <c r="AE834" s="198"/>
      <c r="AF834" s="198"/>
      <c r="AG834" s="198"/>
      <c r="AH834" s="198"/>
      <c r="AI834" s="198"/>
      <c r="AJ834" s="198"/>
      <c r="AK834" s="198"/>
    </row>
    <row r="835">
      <c r="A835" s="198"/>
      <c r="B835" s="198"/>
      <c r="C835" s="198"/>
      <c r="D835" s="198"/>
      <c r="E835" s="198"/>
      <c r="F835" s="198"/>
      <c r="G835" s="198"/>
      <c r="H835" s="198"/>
      <c r="I835" s="198"/>
      <c r="J835" s="198"/>
      <c r="K835" s="198"/>
      <c r="L835" s="198"/>
      <c r="M835" s="198"/>
      <c r="N835" s="198"/>
      <c r="O835" s="198"/>
      <c r="P835" s="198"/>
      <c r="Q835" s="198"/>
      <c r="R835" s="198"/>
      <c r="S835" s="198"/>
      <c r="T835" s="198"/>
      <c r="U835" s="198"/>
      <c r="V835" s="198"/>
      <c r="W835" s="201"/>
      <c r="X835" s="198"/>
      <c r="Y835" s="198"/>
      <c r="Z835" s="198"/>
      <c r="AA835" s="198"/>
      <c r="AB835" s="198"/>
      <c r="AC835" s="198"/>
      <c r="AD835" s="198"/>
      <c r="AE835" s="198"/>
      <c r="AF835" s="198"/>
      <c r="AG835" s="198"/>
      <c r="AH835" s="198"/>
      <c r="AI835" s="198"/>
      <c r="AJ835" s="198"/>
      <c r="AK835" s="198"/>
    </row>
    <row r="836">
      <c r="A836" s="198"/>
      <c r="B836" s="198"/>
      <c r="C836" s="198"/>
      <c r="D836" s="198"/>
      <c r="E836" s="198"/>
      <c r="F836" s="198"/>
      <c r="G836" s="198"/>
      <c r="H836" s="198"/>
      <c r="I836" s="198"/>
      <c r="J836" s="198"/>
      <c r="K836" s="198"/>
      <c r="L836" s="198"/>
      <c r="M836" s="198"/>
      <c r="N836" s="198"/>
      <c r="O836" s="198"/>
      <c r="P836" s="198"/>
      <c r="Q836" s="198"/>
      <c r="R836" s="198"/>
      <c r="S836" s="198"/>
      <c r="T836" s="198"/>
      <c r="U836" s="198"/>
      <c r="V836" s="198"/>
      <c r="W836" s="201"/>
      <c r="X836" s="198"/>
      <c r="Y836" s="198"/>
      <c r="Z836" s="198"/>
      <c r="AA836" s="198"/>
      <c r="AB836" s="198"/>
      <c r="AC836" s="198"/>
      <c r="AD836" s="198"/>
      <c r="AE836" s="198"/>
      <c r="AF836" s="198"/>
      <c r="AG836" s="198"/>
      <c r="AH836" s="198"/>
      <c r="AI836" s="198"/>
      <c r="AJ836" s="198"/>
      <c r="AK836" s="198"/>
    </row>
    <row r="837">
      <c r="A837" s="198"/>
      <c r="B837" s="198"/>
      <c r="C837" s="198"/>
      <c r="D837" s="198"/>
      <c r="E837" s="198"/>
      <c r="F837" s="198"/>
      <c r="G837" s="198"/>
      <c r="H837" s="198"/>
      <c r="I837" s="198"/>
      <c r="J837" s="198"/>
      <c r="K837" s="198"/>
      <c r="L837" s="198"/>
      <c r="M837" s="198"/>
      <c r="N837" s="198"/>
      <c r="O837" s="198"/>
      <c r="P837" s="198"/>
      <c r="Q837" s="198"/>
      <c r="R837" s="198"/>
      <c r="S837" s="198"/>
      <c r="T837" s="198"/>
      <c r="U837" s="198"/>
      <c r="V837" s="198"/>
      <c r="W837" s="201"/>
      <c r="X837" s="198"/>
      <c r="Y837" s="198"/>
      <c r="Z837" s="198"/>
      <c r="AA837" s="198"/>
      <c r="AB837" s="198"/>
      <c r="AC837" s="198"/>
      <c r="AD837" s="198"/>
      <c r="AE837" s="198"/>
      <c r="AF837" s="198"/>
      <c r="AG837" s="198"/>
      <c r="AH837" s="198"/>
      <c r="AI837" s="198"/>
      <c r="AJ837" s="198"/>
      <c r="AK837" s="198"/>
    </row>
    <row r="838">
      <c r="A838" s="198"/>
      <c r="B838" s="198"/>
      <c r="C838" s="198"/>
      <c r="D838" s="198"/>
      <c r="E838" s="198"/>
      <c r="F838" s="198"/>
      <c r="G838" s="198"/>
      <c r="H838" s="198"/>
      <c r="I838" s="198"/>
      <c r="J838" s="198"/>
      <c r="K838" s="198"/>
      <c r="L838" s="198"/>
      <c r="M838" s="198"/>
      <c r="N838" s="198"/>
      <c r="O838" s="198"/>
      <c r="P838" s="198"/>
      <c r="Q838" s="198"/>
      <c r="R838" s="198"/>
      <c r="S838" s="198"/>
      <c r="T838" s="198"/>
      <c r="U838" s="198"/>
      <c r="V838" s="198"/>
      <c r="W838" s="201"/>
      <c r="X838" s="198"/>
      <c r="Y838" s="198"/>
      <c r="Z838" s="198"/>
      <c r="AA838" s="198"/>
      <c r="AB838" s="198"/>
      <c r="AC838" s="198"/>
      <c r="AD838" s="198"/>
      <c r="AE838" s="198"/>
      <c r="AF838" s="198"/>
      <c r="AG838" s="198"/>
      <c r="AH838" s="198"/>
      <c r="AI838" s="198"/>
      <c r="AJ838" s="198"/>
      <c r="AK838" s="198"/>
    </row>
    <row r="839">
      <c r="A839" s="198"/>
      <c r="B839" s="198"/>
      <c r="C839" s="198"/>
      <c r="D839" s="198"/>
      <c r="E839" s="198"/>
      <c r="F839" s="198"/>
      <c r="G839" s="198"/>
      <c r="H839" s="198"/>
      <c r="I839" s="198"/>
      <c r="J839" s="198"/>
      <c r="K839" s="198"/>
      <c r="L839" s="198"/>
      <c r="M839" s="198"/>
      <c r="N839" s="198"/>
      <c r="O839" s="198"/>
      <c r="P839" s="198"/>
      <c r="Q839" s="198"/>
      <c r="R839" s="198"/>
      <c r="S839" s="198"/>
      <c r="T839" s="198"/>
      <c r="U839" s="198"/>
      <c r="V839" s="198"/>
      <c r="W839" s="201"/>
      <c r="X839" s="198"/>
      <c r="Y839" s="198"/>
      <c r="Z839" s="198"/>
      <c r="AA839" s="198"/>
      <c r="AB839" s="198"/>
      <c r="AC839" s="198"/>
      <c r="AD839" s="198"/>
      <c r="AE839" s="198"/>
      <c r="AF839" s="198"/>
      <c r="AG839" s="198"/>
      <c r="AH839" s="198"/>
      <c r="AI839" s="198"/>
      <c r="AJ839" s="198"/>
      <c r="AK839" s="198"/>
    </row>
    <row r="840">
      <c r="A840" s="198"/>
      <c r="B840" s="198"/>
      <c r="C840" s="198"/>
      <c r="D840" s="198"/>
      <c r="E840" s="198"/>
      <c r="F840" s="198"/>
      <c r="G840" s="198"/>
      <c r="H840" s="198"/>
      <c r="I840" s="198"/>
      <c r="J840" s="198"/>
      <c r="K840" s="198"/>
      <c r="L840" s="198"/>
      <c r="M840" s="198"/>
      <c r="N840" s="198"/>
      <c r="O840" s="198"/>
      <c r="P840" s="198"/>
      <c r="Q840" s="198"/>
      <c r="R840" s="198"/>
      <c r="S840" s="198"/>
      <c r="T840" s="198"/>
      <c r="U840" s="198"/>
      <c r="V840" s="198"/>
      <c r="W840" s="201"/>
      <c r="X840" s="198"/>
      <c r="Y840" s="198"/>
      <c r="Z840" s="198"/>
      <c r="AA840" s="198"/>
      <c r="AB840" s="198"/>
      <c r="AC840" s="198"/>
      <c r="AD840" s="198"/>
      <c r="AE840" s="198"/>
      <c r="AF840" s="198"/>
      <c r="AG840" s="198"/>
      <c r="AH840" s="198"/>
      <c r="AI840" s="198"/>
      <c r="AJ840" s="198"/>
      <c r="AK840" s="198"/>
    </row>
    <row r="841">
      <c r="A841" s="198"/>
      <c r="B841" s="198"/>
      <c r="C841" s="198"/>
      <c r="D841" s="198"/>
      <c r="E841" s="198"/>
      <c r="F841" s="198"/>
      <c r="G841" s="198"/>
      <c r="H841" s="198"/>
      <c r="I841" s="198"/>
      <c r="J841" s="198"/>
      <c r="K841" s="198"/>
      <c r="L841" s="198"/>
      <c r="M841" s="198"/>
      <c r="N841" s="198"/>
      <c r="O841" s="198"/>
      <c r="P841" s="198"/>
      <c r="Q841" s="198"/>
      <c r="R841" s="198"/>
      <c r="S841" s="198"/>
      <c r="T841" s="198"/>
      <c r="U841" s="198"/>
      <c r="V841" s="198"/>
      <c r="W841" s="201"/>
      <c r="X841" s="198"/>
      <c r="Y841" s="198"/>
      <c r="Z841" s="198"/>
      <c r="AA841" s="198"/>
      <c r="AB841" s="198"/>
      <c r="AC841" s="198"/>
      <c r="AD841" s="198"/>
      <c r="AE841" s="198"/>
      <c r="AF841" s="198"/>
      <c r="AG841" s="198"/>
      <c r="AH841" s="198"/>
      <c r="AI841" s="198"/>
      <c r="AJ841" s="198"/>
      <c r="AK841" s="198"/>
    </row>
    <row r="842">
      <c r="A842" s="198"/>
      <c r="B842" s="198"/>
      <c r="C842" s="198"/>
      <c r="D842" s="198"/>
      <c r="E842" s="198"/>
      <c r="F842" s="198"/>
      <c r="G842" s="198"/>
      <c r="H842" s="198"/>
      <c r="I842" s="198"/>
      <c r="J842" s="198"/>
      <c r="K842" s="198"/>
      <c r="L842" s="198"/>
      <c r="M842" s="198"/>
      <c r="N842" s="198"/>
      <c r="O842" s="198"/>
      <c r="P842" s="198"/>
      <c r="Q842" s="198"/>
      <c r="R842" s="198"/>
      <c r="S842" s="198"/>
      <c r="T842" s="198"/>
      <c r="U842" s="198"/>
      <c r="V842" s="198"/>
      <c r="W842" s="201"/>
      <c r="X842" s="198"/>
      <c r="Y842" s="198"/>
      <c r="Z842" s="198"/>
      <c r="AA842" s="198"/>
      <c r="AB842" s="198"/>
      <c r="AC842" s="198"/>
      <c r="AD842" s="198"/>
      <c r="AE842" s="198"/>
      <c r="AF842" s="198"/>
      <c r="AG842" s="198"/>
      <c r="AH842" s="198"/>
      <c r="AI842" s="198"/>
      <c r="AJ842" s="198"/>
      <c r="AK842" s="198"/>
    </row>
    <row r="843">
      <c r="A843" s="198"/>
      <c r="B843" s="198"/>
      <c r="C843" s="198"/>
      <c r="D843" s="198"/>
      <c r="E843" s="198"/>
      <c r="F843" s="198"/>
      <c r="G843" s="198"/>
      <c r="H843" s="198"/>
      <c r="I843" s="198"/>
      <c r="J843" s="198"/>
      <c r="K843" s="198"/>
      <c r="L843" s="198"/>
      <c r="M843" s="198"/>
      <c r="N843" s="198"/>
      <c r="O843" s="198"/>
      <c r="P843" s="198"/>
      <c r="Q843" s="198"/>
      <c r="R843" s="198"/>
      <c r="S843" s="198"/>
      <c r="T843" s="198"/>
      <c r="U843" s="198"/>
      <c r="V843" s="198"/>
      <c r="W843" s="201"/>
      <c r="X843" s="198"/>
      <c r="Y843" s="198"/>
      <c r="Z843" s="198"/>
      <c r="AA843" s="198"/>
      <c r="AB843" s="198"/>
      <c r="AC843" s="198"/>
      <c r="AD843" s="198"/>
      <c r="AE843" s="198"/>
      <c r="AF843" s="198"/>
      <c r="AG843" s="198"/>
      <c r="AH843" s="198"/>
      <c r="AI843" s="198"/>
      <c r="AJ843" s="198"/>
      <c r="AK843" s="198"/>
    </row>
    <row r="844">
      <c r="A844" s="198"/>
      <c r="B844" s="198"/>
      <c r="C844" s="198"/>
      <c r="D844" s="198"/>
      <c r="E844" s="198"/>
      <c r="F844" s="198"/>
      <c r="G844" s="198"/>
      <c r="H844" s="198"/>
      <c r="I844" s="198"/>
      <c r="J844" s="198"/>
      <c r="K844" s="198"/>
      <c r="L844" s="198"/>
      <c r="M844" s="198"/>
      <c r="N844" s="198"/>
      <c r="O844" s="198"/>
      <c r="P844" s="198"/>
      <c r="Q844" s="198"/>
      <c r="R844" s="198"/>
      <c r="S844" s="198"/>
      <c r="T844" s="198"/>
      <c r="U844" s="198"/>
      <c r="V844" s="198"/>
      <c r="W844" s="201"/>
      <c r="X844" s="198"/>
      <c r="Y844" s="198"/>
      <c r="Z844" s="198"/>
      <c r="AA844" s="198"/>
      <c r="AB844" s="198"/>
      <c r="AC844" s="198"/>
      <c r="AD844" s="198"/>
      <c r="AE844" s="198"/>
      <c r="AF844" s="198"/>
      <c r="AG844" s="198"/>
      <c r="AH844" s="198"/>
      <c r="AI844" s="198"/>
      <c r="AJ844" s="198"/>
      <c r="AK844" s="198"/>
    </row>
    <row r="845">
      <c r="A845" s="198"/>
      <c r="B845" s="198"/>
      <c r="C845" s="198"/>
      <c r="D845" s="198"/>
      <c r="E845" s="198"/>
      <c r="F845" s="198"/>
      <c r="G845" s="198"/>
      <c r="H845" s="198"/>
      <c r="I845" s="198"/>
      <c r="J845" s="198"/>
      <c r="K845" s="198"/>
      <c r="L845" s="198"/>
      <c r="M845" s="198"/>
      <c r="N845" s="198"/>
      <c r="O845" s="198"/>
      <c r="P845" s="198"/>
      <c r="Q845" s="198"/>
      <c r="R845" s="198"/>
      <c r="S845" s="198"/>
      <c r="T845" s="198"/>
      <c r="U845" s="198"/>
      <c r="V845" s="198"/>
      <c r="W845" s="201"/>
      <c r="X845" s="198"/>
      <c r="Y845" s="198"/>
      <c r="Z845" s="198"/>
      <c r="AA845" s="198"/>
      <c r="AB845" s="198"/>
      <c r="AC845" s="198"/>
      <c r="AD845" s="198"/>
      <c r="AE845" s="198"/>
      <c r="AF845" s="198"/>
      <c r="AG845" s="198"/>
      <c r="AH845" s="198"/>
      <c r="AI845" s="198"/>
      <c r="AJ845" s="198"/>
      <c r="AK845" s="198"/>
    </row>
    <row r="846">
      <c r="A846" s="198"/>
      <c r="B846" s="198"/>
      <c r="C846" s="198"/>
      <c r="D846" s="198"/>
      <c r="E846" s="198"/>
      <c r="F846" s="198"/>
      <c r="G846" s="198"/>
      <c r="H846" s="198"/>
      <c r="I846" s="198"/>
      <c r="J846" s="198"/>
      <c r="K846" s="198"/>
      <c r="L846" s="198"/>
      <c r="M846" s="198"/>
      <c r="N846" s="198"/>
      <c r="O846" s="198"/>
      <c r="P846" s="198"/>
      <c r="Q846" s="198"/>
      <c r="R846" s="198"/>
      <c r="S846" s="198"/>
      <c r="T846" s="198"/>
      <c r="U846" s="198"/>
      <c r="V846" s="198"/>
      <c r="W846" s="201"/>
      <c r="X846" s="198"/>
      <c r="Y846" s="198"/>
      <c r="Z846" s="198"/>
      <c r="AA846" s="198"/>
      <c r="AB846" s="198"/>
      <c r="AC846" s="198"/>
      <c r="AD846" s="198"/>
      <c r="AE846" s="198"/>
      <c r="AF846" s="198"/>
      <c r="AG846" s="198"/>
      <c r="AH846" s="198"/>
      <c r="AI846" s="198"/>
      <c r="AJ846" s="198"/>
      <c r="AK846" s="198"/>
    </row>
    <row r="847">
      <c r="A847" s="198"/>
      <c r="B847" s="198"/>
      <c r="C847" s="198"/>
      <c r="D847" s="198"/>
      <c r="E847" s="198"/>
      <c r="F847" s="198"/>
      <c r="G847" s="198"/>
      <c r="H847" s="198"/>
      <c r="I847" s="198"/>
      <c r="J847" s="198"/>
      <c r="K847" s="198"/>
      <c r="L847" s="198"/>
      <c r="M847" s="198"/>
      <c r="N847" s="198"/>
      <c r="O847" s="198"/>
      <c r="P847" s="198"/>
      <c r="Q847" s="198"/>
      <c r="R847" s="198"/>
      <c r="S847" s="198"/>
      <c r="T847" s="198"/>
      <c r="U847" s="198"/>
      <c r="V847" s="198"/>
      <c r="W847" s="201"/>
      <c r="X847" s="198"/>
      <c r="Y847" s="198"/>
      <c r="Z847" s="198"/>
      <c r="AA847" s="198"/>
      <c r="AB847" s="198"/>
      <c r="AC847" s="198"/>
      <c r="AD847" s="198"/>
      <c r="AE847" s="198"/>
      <c r="AF847" s="198"/>
      <c r="AG847" s="198"/>
      <c r="AH847" s="198"/>
      <c r="AI847" s="198"/>
      <c r="AJ847" s="198"/>
      <c r="AK847" s="198"/>
    </row>
    <row r="848">
      <c r="A848" s="198"/>
      <c r="B848" s="198"/>
      <c r="C848" s="198"/>
      <c r="D848" s="198"/>
      <c r="E848" s="198"/>
      <c r="F848" s="198"/>
      <c r="G848" s="198"/>
      <c r="H848" s="198"/>
      <c r="I848" s="198"/>
      <c r="J848" s="198"/>
      <c r="K848" s="198"/>
      <c r="L848" s="198"/>
      <c r="M848" s="198"/>
      <c r="N848" s="198"/>
      <c r="O848" s="198"/>
      <c r="P848" s="198"/>
      <c r="Q848" s="198"/>
      <c r="R848" s="198"/>
      <c r="S848" s="198"/>
      <c r="T848" s="198"/>
      <c r="U848" s="198"/>
      <c r="V848" s="198"/>
      <c r="W848" s="201"/>
      <c r="X848" s="198"/>
      <c r="Y848" s="198"/>
      <c r="Z848" s="198"/>
      <c r="AA848" s="198"/>
      <c r="AB848" s="198"/>
      <c r="AC848" s="198"/>
      <c r="AD848" s="198"/>
      <c r="AE848" s="198"/>
      <c r="AF848" s="198"/>
      <c r="AG848" s="198"/>
      <c r="AH848" s="198"/>
      <c r="AI848" s="198"/>
      <c r="AJ848" s="198"/>
      <c r="AK848" s="198"/>
    </row>
    <row r="849">
      <c r="A849" s="198"/>
      <c r="B849" s="198"/>
      <c r="C849" s="198"/>
      <c r="D849" s="198"/>
      <c r="E849" s="198"/>
      <c r="F849" s="198"/>
      <c r="G849" s="198"/>
      <c r="H849" s="198"/>
      <c r="I849" s="198"/>
      <c r="J849" s="198"/>
      <c r="K849" s="198"/>
      <c r="L849" s="198"/>
      <c r="M849" s="198"/>
      <c r="N849" s="198"/>
      <c r="O849" s="198"/>
      <c r="P849" s="198"/>
      <c r="Q849" s="198"/>
      <c r="R849" s="198"/>
      <c r="S849" s="198"/>
      <c r="T849" s="198"/>
      <c r="U849" s="198"/>
      <c r="V849" s="198"/>
      <c r="W849" s="201"/>
      <c r="X849" s="198"/>
      <c r="Y849" s="198"/>
      <c r="Z849" s="198"/>
      <c r="AA849" s="198"/>
      <c r="AB849" s="198"/>
      <c r="AC849" s="198"/>
      <c r="AD849" s="198"/>
      <c r="AE849" s="198"/>
      <c r="AF849" s="198"/>
      <c r="AG849" s="198"/>
      <c r="AH849" s="198"/>
      <c r="AI849" s="198"/>
      <c r="AJ849" s="198"/>
      <c r="AK849" s="198"/>
    </row>
    <row r="850">
      <c r="A850" s="198"/>
      <c r="B850" s="198"/>
      <c r="C850" s="198"/>
      <c r="D850" s="198"/>
      <c r="E850" s="198"/>
      <c r="F850" s="198"/>
      <c r="G850" s="198"/>
      <c r="H850" s="198"/>
      <c r="I850" s="198"/>
      <c r="J850" s="198"/>
      <c r="K850" s="198"/>
      <c r="L850" s="198"/>
      <c r="M850" s="198"/>
      <c r="N850" s="198"/>
      <c r="O850" s="198"/>
      <c r="P850" s="198"/>
      <c r="Q850" s="198"/>
      <c r="R850" s="198"/>
      <c r="S850" s="198"/>
      <c r="T850" s="198"/>
      <c r="U850" s="198"/>
      <c r="V850" s="198"/>
      <c r="W850" s="201"/>
      <c r="X850" s="198"/>
      <c r="Y850" s="198"/>
      <c r="Z850" s="198"/>
      <c r="AA850" s="198"/>
      <c r="AB850" s="198"/>
      <c r="AC850" s="198"/>
      <c r="AD850" s="198"/>
      <c r="AE850" s="198"/>
      <c r="AF850" s="198"/>
      <c r="AG850" s="198"/>
      <c r="AH850" s="198"/>
      <c r="AI850" s="198"/>
      <c r="AJ850" s="198"/>
      <c r="AK850" s="198"/>
    </row>
    <row r="851">
      <c r="A851" s="198"/>
      <c r="B851" s="198"/>
      <c r="C851" s="198"/>
      <c r="D851" s="198"/>
      <c r="E851" s="198"/>
      <c r="F851" s="198"/>
      <c r="G851" s="198"/>
      <c r="H851" s="198"/>
      <c r="I851" s="198"/>
      <c r="J851" s="198"/>
      <c r="K851" s="198"/>
      <c r="L851" s="198"/>
      <c r="M851" s="198"/>
      <c r="N851" s="198"/>
      <c r="O851" s="198"/>
      <c r="P851" s="198"/>
      <c r="Q851" s="198"/>
      <c r="R851" s="198"/>
      <c r="S851" s="198"/>
      <c r="T851" s="198"/>
      <c r="U851" s="198"/>
      <c r="V851" s="198"/>
      <c r="W851" s="201"/>
      <c r="X851" s="198"/>
      <c r="Y851" s="198"/>
      <c r="Z851" s="198"/>
      <c r="AA851" s="198"/>
      <c r="AB851" s="198"/>
      <c r="AC851" s="198"/>
      <c r="AD851" s="198"/>
      <c r="AE851" s="198"/>
      <c r="AF851" s="198"/>
      <c r="AG851" s="198"/>
      <c r="AH851" s="198"/>
      <c r="AI851" s="198"/>
      <c r="AJ851" s="198"/>
      <c r="AK851" s="198"/>
    </row>
    <row r="852">
      <c r="A852" s="198"/>
      <c r="B852" s="198"/>
      <c r="C852" s="198"/>
      <c r="D852" s="198"/>
      <c r="E852" s="198"/>
      <c r="F852" s="198"/>
      <c r="G852" s="198"/>
      <c r="H852" s="198"/>
      <c r="I852" s="198"/>
      <c r="J852" s="198"/>
      <c r="K852" s="198"/>
      <c r="L852" s="198"/>
      <c r="M852" s="198"/>
      <c r="N852" s="198"/>
      <c r="O852" s="198"/>
      <c r="P852" s="198"/>
      <c r="Q852" s="198"/>
      <c r="R852" s="198"/>
      <c r="S852" s="198"/>
      <c r="T852" s="198"/>
      <c r="U852" s="198"/>
      <c r="V852" s="198"/>
      <c r="W852" s="201"/>
      <c r="X852" s="198"/>
      <c r="Y852" s="198"/>
      <c r="Z852" s="198"/>
      <c r="AA852" s="198"/>
      <c r="AB852" s="198"/>
      <c r="AC852" s="198"/>
      <c r="AD852" s="198"/>
      <c r="AE852" s="198"/>
      <c r="AF852" s="198"/>
      <c r="AG852" s="198"/>
      <c r="AH852" s="198"/>
      <c r="AI852" s="198"/>
      <c r="AJ852" s="198"/>
      <c r="AK852" s="198"/>
    </row>
    <row r="853">
      <c r="A853" s="198"/>
      <c r="B853" s="198"/>
      <c r="C853" s="198"/>
      <c r="D853" s="198"/>
      <c r="E853" s="198"/>
      <c r="F853" s="198"/>
      <c r="G853" s="198"/>
      <c r="H853" s="198"/>
      <c r="I853" s="198"/>
      <c r="J853" s="198"/>
      <c r="K853" s="198"/>
      <c r="L853" s="198"/>
      <c r="M853" s="198"/>
      <c r="N853" s="198"/>
      <c r="O853" s="198"/>
      <c r="P853" s="198"/>
      <c r="Q853" s="198"/>
      <c r="R853" s="198"/>
      <c r="S853" s="198"/>
      <c r="T853" s="198"/>
      <c r="U853" s="198"/>
      <c r="V853" s="198"/>
      <c r="W853" s="201"/>
      <c r="X853" s="198"/>
      <c r="Y853" s="198"/>
      <c r="Z853" s="198"/>
      <c r="AA853" s="198"/>
      <c r="AB853" s="198"/>
      <c r="AC853" s="198"/>
      <c r="AD853" s="198"/>
      <c r="AE853" s="198"/>
      <c r="AF853" s="198"/>
      <c r="AG853" s="198"/>
      <c r="AH853" s="198"/>
      <c r="AI853" s="198"/>
      <c r="AJ853" s="198"/>
      <c r="AK853" s="198"/>
    </row>
    <row r="854">
      <c r="A854" s="198"/>
      <c r="B854" s="198"/>
      <c r="C854" s="198"/>
      <c r="D854" s="198"/>
      <c r="E854" s="198"/>
      <c r="F854" s="198"/>
      <c r="G854" s="198"/>
      <c r="H854" s="198"/>
      <c r="I854" s="198"/>
      <c r="J854" s="198"/>
      <c r="K854" s="198"/>
      <c r="L854" s="198"/>
      <c r="M854" s="198"/>
      <c r="N854" s="198"/>
      <c r="O854" s="198"/>
      <c r="P854" s="198"/>
      <c r="Q854" s="198"/>
      <c r="R854" s="198"/>
      <c r="S854" s="198"/>
      <c r="T854" s="198"/>
      <c r="U854" s="198"/>
      <c r="V854" s="198"/>
      <c r="W854" s="201"/>
      <c r="X854" s="198"/>
      <c r="Y854" s="198"/>
      <c r="Z854" s="198"/>
      <c r="AA854" s="198"/>
      <c r="AB854" s="198"/>
      <c r="AC854" s="198"/>
      <c r="AD854" s="198"/>
      <c r="AE854" s="198"/>
      <c r="AF854" s="198"/>
      <c r="AG854" s="198"/>
      <c r="AH854" s="198"/>
      <c r="AI854" s="198"/>
      <c r="AJ854" s="198"/>
      <c r="AK854" s="198"/>
    </row>
    <row r="855">
      <c r="A855" s="198"/>
      <c r="B855" s="198"/>
      <c r="C855" s="198"/>
      <c r="D855" s="198"/>
      <c r="E855" s="198"/>
      <c r="F855" s="198"/>
      <c r="G855" s="198"/>
      <c r="H855" s="198"/>
      <c r="I855" s="198"/>
      <c r="J855" s="198"/>
      <c r="K855" s="198"/>
      <c r="L855" s="198"/>
      <c r="M855" s="198"/>
      <c r="N855" s="198"/>
      <c r="O855" s="198"/>
      <c r="P855" s="198"/>
      <c r="Q855" s="198"/>
      <c r="R855" s="198"/>
      <c r="S855" s="198"/>
      <c r="T855" s="198"/>
      <c r="U855" s="198"/>
      <c r="V855" s="198"/>
      <c r="W855" s="201"/>
      <c r="X855" s="198"/>
      <c r="Y855" s="198"/>
      <c r="Z855" s="198"/>
      <c r="AA855" s="198"/>
      <c r="AB855" s="198"/>
      <c r="AC855" s="198"/>
      <c r="AD855" s="198"/>
      <c r="AE855" s="198"/>
      <c r="AF855" s="198"/>
      <c r="AG855" s="198"/>
      <c r="AH855" s="198"/>
      <c r="AI855" s="198"/>
      <c r="AJ855" s="198"/>
      <c r="AK855" s="198"/>
    </row>
    <row r="856">
      <c r="A856" s="198"/>
      <c r="B856" s="198"/>
      <c r="C856" s="198"/>
      <c r="D856" s="198"/>
      <c r="E856" s="198"/>
      <c r="F856" s="198"/>
      <c r="G856" s="198"/>
      <c r="H856" s="198"/>
      <c r="I856" s="198"/>
      <c r="J856" s="198"/>
      <c r="K856" s="198"/>
      <c r="L856" s="198"/>
      <c r="M856" s="198"/>
      <c r="N856" s="198"/>
      <c r="O856" s="198"/>
      <c r="P856" s="198"/>
      <c r="Q856" s="198"/>
      <c r="R856" s="198"/>
      <c r="S856" s="198"/>
      <c r="T856" s="198"/>
      <c r="U856" s="198"/>
      <c r="V856" s="198"/>
      <c r="W856" s="201"/>
      <c r="X856" s="198"/>
      <c r="Y856" s="198"/>
      <c r="Z856" s="198"/>
      <c r="AA856" s="198"/>
      <c r="AB856" s="198"/>
      <c r="AC856" s="198"/>
      <c r="AD856" s="198"/>
      <c r="AE856" s="198"/>
      <c r="AF856" s="198"/>
      <c r="AG856" s="198"/>
      <c r="AH856" s="198"/>
      <c r="AI856" s="198"/>
      <c r="AJ856" s="198"/>
      <c r="AK856" s="198"/>
    </row>
    <row r="857">
      <c r="A857" s="198"/>
      <c r="B857" s="198"/>
      <c r="C857" s="198"/>
      <c r="D857" s="198"/>
      <c r="E857" s="198"/>
      <c r="F857" s="198"/>
      <c r="G857" s="198"/>
      <c r="H857" s="198"/>
      <c r="I857" s="198"/>
      <c r="J857" s="198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201"/>
      <c r="X857" s="198"/>
      <c r="Y857" s="198"/>
      <c r="Z857" s="198"/>
      <c r="AA857" s="198"/>
      <c r="AB857" s="198"/>
      <c r="AC857" s="198"/>
      <c r="AD857" s="198"/>
      <c r="AE857" s="198"/>
      <c r="AF857" s="198"/>
      <c r="AG857" s="198"/>
      <c r="AH857" s="198"/>
      <c r="AI857" s="198"/>
      <c r="AJ857" s="198"/>
      <c r="AK857" s="198"/>
    </row>
    <row r="858">
      <c r="A858" s="198"/>
      <c r="B858" s="198"/>
      <c r="C858" s="198"/>
      <c r="D858" s="198"/>
      <c r="E858" s="198"/>
      <c r="F858" s="198"/>
      <c r="G858" s="198"/>
      <c r="H858" s="198"/>
      <c r="I858" s="198"/>
      <c r="J858" s="198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201"/>
      <c r="X858" s="198"/>
      <c r="Y858" s="198"/>
      <c r="Z858" s="198"/>
      <c r="AA858" s="198"/>
      <c r="AB858" s="198"/>
      <c r="AC858" s="198"/>
      <c r="AD858" s="198"/>
      <c r="AE858" s="198"/>
      <c r="AF858" s="198"/>
      <c r="AG858" s="198"/>
      <c r="AH858" s="198"/>
      <c r="AI858" s="198"/>
      <c r="AJ858" s="198"/>
      <c r="AK858" s="198"/>
    </row>
    <row r="859">
      <c r="A859" s="198"/>
      <c r="B859" s="198"/>
      <c r="C859" s="198"/>
      <c r="D859" s="198"/>
      <c r="E859" s="198"/>
      <c r="F859" s="198"/>
      <c r="G859" s="198"/>
      <c r="H859" s="198"/>
      <c r="I859" s="198"/>
      <c r="J859" s="198"/>
      <c r="K859" s="198"/>
      <c r="L859" s="198"/>
      <c r="M859" s="198"/>
      <c r="N859" s="198"/>
      <c r="O859" s="198"/>
      <c r="P859" s="198"/>
      <c r="Q859" s="198"/>
      <c r="R859" s="198"/>
      <c r="S859" s="198"/>
      <c r="T859" s="198"/>
      <c r="U859" s="198"/>
      <c r="V859" s="198"/>
      <c r="W859" s="201"/>
      <c r="X859" s="198"/>
      <c r="Y859" s="198"/>
      <c r="Z859" s="198"/>
      <c r="AA859" s="198"/>
      <c r="AB859" s="198"/>
      <c r="AC859" s="198"/>
      <c r="AD859" s="198"/>
      <c r="AE859" s="198"/>
      <c r="AF859" s="198"/>
      <c r="AG859" s="198"/>
      <c r="AH859" s="198"/>
      <c r="AI859" s="198"/>
      <c r="AJ859" s="198"/>
      <c r="AK859" s="198"/>
    </row>
    <row r="860">
      <c r="A860" s="198"/>
      <c r="B860" s="198"/>
      <c r="C860" s="198"/>
      <c r="D860" s="198"/>
      <c r="E860" s="198"/>
      <c r="F860" s="198"/>
      <c r="G860" s="198"/>
      <c r="H860" s="198"/>
      <c r="I860" s="198"/>
      <c r="J860" s="198"/>
      <c r="K860" s="198"/>
      <c r="L860" s="198"/>
      <c r="M860" s="198"/>
      <c r="N860" s="198"/>
      <c r="O860" s="198"/>
      <c r="P860" s="198"/>
      <c r="Q860" s="198"/>
      <c r="R860" s="198"/>
      <c r="S860" s="198"/>
      <c r="T860" s="198"/>
      <c r="U860" s="198"/>
      <c r="V860" s="198"/>
      <c r="W860" s="201"/>
      <c r="X860" s="198"/>
      <c r="Y860" s="198"/>
      <c r="Z860" s="198"/>
      <c r="AA860" s="198"/>
      <c r="AB860" s="198"/>
      <c r="AC860" s="198"/>
      <c r="AD860" s="198"/>
      <c r="AE860" s="198"/>
      <c r="AF860" s="198"/>
      <c r="AG860" s="198"/>
      <c r="AH860" s="198"/>
      <c r="AI860" s="198"/>
      <c r="AJ860" s="198"/>
      <c r="AK860" s="198"/>
    </row>
    <row r="861">
      <c r="A861" s="198"/>
      <c r="B861" s="198"/>
      <c r="C861" s="198"/>
      <c r="D861" s="198"/>
      <c r="E861" s="198"/>
      <c r="F861" s="198"/>
      <c r="G861" s="198"/>
      <c r="H861" s="198"/>
      <c r="I861" s="198"/>
      <c r="J861" s="198"/>
      <c r="K861" s="198"/>
      <c r="L861" s="198"/>
      <c r="M861" s="198"/>
      <c r="N861" s="198"/>
      <c r="O861" s="198"/>
      <c r="P861" s="198"/>
      <c r="Q861" s="198"/>
      <c r="R861" s="198"/>
      <c r="S861" s="198"/>
      <c r="T861" s="198"/>
      <c r="U861" s="198"/>
      <c r="V861" s="198"/>
      <c r="W861" s="201"/>
      <c r="X861" s="198"/>
      <c r="Y861" s="198"/>
      <c r="Z861" s="198"/>
      <c r="AA861" s="198"/>
      <c r="AB861" s="198"/>
      <c r="AC861" s="198"/>
      <c r="AD861" s="198"/>
      <c r="AE861" s="198"/>
      <c r="AF861" s="198"/>
      <c r="AG861" s="198"/>
      <c r="AH861" s="198"/>
      <c r="AI861" s="198"/>
      <c r="AJ861" s="198"/>
      <c r="AK861" s="198"/>
    </row>
    <row r="862">
      <c r="A862" s="198"/>
      <c r="B862" s="198"/>
      <c r="C862" s="198"/>
      <c r="D862" s="198"/>
      <c r="E862" s="198"/>
      <c r="F862" s="198"/>
      <c r="G862" s="198"/>
      <c r="H862" s="198"/>
      <c r="I862" s="198"/>
      <c r="J862" s="198"/>
      <c r="K862" s="198"/>
      <c r="L862" s="198"/>
      <c r="M862" s="198"/>
      <c r="N862" s="198"/>
      <c r="O862" s="198"/>
      <c r="P862" s="198"/>
      <c r="Q862" s="198"/>
      <c r="R862" s="198"/>
      <c r="S862" s="198"/>
      <c r="T862" s="198"/>
      <c r="U862" s="198"/>
      <c r="V862" s="198"/>
      <c r="W862" s="201"/>
      <c r="X862" s="198"/>
      <c r="Y862" s="198"/>
      <c r="Z862" s="198"/>
      <c r="AA862" s="198"/>
      <c r="AB862" s="198"/>
      <c r="AC862" s="198"/>
      <c r="AD862" s="198"/>
      <c r="AE862" s="198"/>
      <c r="AF862" s="198"/>
      <c r="AG862" s="198"/>
      <c r="AH862" s="198"/>
      <c r="AI862" s="198"/>
      <c r="AJ862" s="198"/>
      <c r="AK862" s="198"/>
    </row>
    <row r="863">
      <c r="A863" s="198"/>
      <c r="B863" s="198"/>
      <c r="C863" s="198"/>
      <c r="D863" s="198"/>
      <c r="E863" s="198"/>
      <c r="F863" s="198"/>
      <c r="G863" s="198"/>
      <c r="H863" s="198"/>
      <c r="I863" s="198"/>
      <c r="J863" s="198"/>
      <c r="K863" s="198"/>
      <c r="L863" s="198"/>
      <c r="M863" s="198"/>
      <c r="N863" s="198"/>
      <c r="O863" s="198"/>
      <c r="P863" s="198"/>
      <c r="Q863" s="198"/>
      <c r="R863" s="198"/>
      <c r="S863" s="198"/>
      <c r="T863" s="198"/>
      <c r="U863" s="198"/>
      <c r="V863" s="198"/>
      <c r="W863" s="201"/>
      <c r="X863" s="198"/>
      <c r="Y863" s="198"/>
      <c r="Z863" s="198"/>
      <c r="AA863" s="198"/>
      <c r="AB863" s="198"/>
      <c r="AC863" s="198"/>
      <c r="AD863" s="198"/>
      <c r="AE863" s="198"/>
      <c r="AF863" s="198"/>
      <c r="AG863" s="198"/>
      <c r="AH863" s="198"/>
      <c r="AI863" s="198"/>
      <c r="AJ863" s="198"/>
      <c r="AK863" s="198"/>
    </row>
    <row r="864">
      <c r="A864" s="198"/>
      <c r="B864" s="198"/>
      <c r="C864" s="198"/>
      <c r="D864" s="198"/>
      <c r="E864" s="198"/>
      <c r="F864" s="198"/>
      <c r="G864" s="198"/>
      <c r="H864" s="198"/>
      <c r="I864" s="198"/>
      <c r="J864" s="198"/>
      <c r="K864" s="198"/>
      <c r="L864" s="198"/>
      <c r="M864" s="198"/>
      <c r="N864" s="198"/>
      <c r="O864" s="198"/>
      <c r="P864" s="198"/>
      <c r="Q864" s="198"/>
      <c r="R864" s="198"/>
      <c r="S864" s="198"/>
      <c r="T864" s="198"/>
      <c r="U864" s="198"/>
      <c r="V864" s="198"/>
      <c r="W864" s="201"/>
      <c r="X864" s="198"/>
      <c r="Y864" s="198"/>
      <c r="Z864" s="198"/>
      <c r="AA864" s="198"/>
      <c r="AB864" s="198"/>
      <c r="AC864" s="198"/>
      <c r="AD864" s="198"/>
      <c r="AE864" s="198"/>
      <c r="AF864" s="198"/>
      <c r="AG864" s="198"/>
      <c r="AH864" s="198"/>
      <c r="AI864" s="198"/>
      <c r="AJ864" s="198"/>
      <c r="AK864" s="198"/>
    </row>
    <row r="865">
      <c r="A865" s="198"/>
      <c r="B865" s="198"/>
      <c r="C865" s="198"/>
      <c r="D865" s="198"/>
      <c r="E865" s="198"/>
      <c r="F865" s="198"/>
      <c r="G865" s="198"/>
      <c r="H865" s="198"/>
      <c r="I865" s="198"/>
      <c r="J865" s="198"/>
      <c r="K865" s="198"/>
      <c r="L865" s="198"/>
      <c r="M865" s="198"/>
      <c r="N865" s="198"/>
      <c r="O865" s="198"/>
      <c r="P865" s="198"/>
      <c r="Q865" s="198"/>
      <c r="R865" s="198"/>
      <c r="S865" s="198"/>
      <c r="T865" s="198"/>
      <c r="U865" s="198"/>
      <c r="V865" s="198"/>
      <c r="W865" s="201"/>
      <c r="X865" s="198"/>
      <c r="Y865" s="198"/>
      <c r="Z865" s="198"/>
      <c r="AA865" s="198"/>
      <c r="AB865" s="198"/>
      <c r="AC865" s="198"/>
      <c r="AD865" s="198"/>
      <c r="AE865" s="198"/>
      <c r="AF865" s="198"/>
      <c r="AG865" s="198"/>
      <c r="AH865" s="198"/>
      <c r="AI865" s="198"/>
      <c r="AJ865" s="198"/>
      <c r="AK865" s="198"/>
    </row>
    <row r="866">
      <c r="A866" s="198"/>
      <c r="B866" s="198"/>
      <c r="C866" s="198"/>
      <c r="D866" s="198"/>
      <c r="E866" s="198"/>
      <c r="F866" s="198"/>
      <c r="G866" s="198"/>
      <c r="H866" s="198"/>
      <c r="I866" s="198"/>
      <c r="J866" s="198"/>
      <c r="K866" s="198"/>
      <c r="L866" s="198"/>
      <c r="M866" s="198"/>
      <c r="N866" s="198"/>
      <c r="O866" s="198"/>
      <c r="P866" s="198"/>
      <c r="Q866" s="198"/>
      <c r="R866" s="198"/>
      <c r="S866" s="198"/>
      <c r="T866" s="198"/>
      <c r="U866" s="198"/>
      <c r="V866" s="198"/>
      <c r="W866" s="201"/>
      <c r="X866" s="198"/>
      <c r="Y866" s="198"/>
      <c r="Z866" s="198"/>
      <c r="AA866" s="198"/>
      <c r="AB866" s="198"/>
      <c r="AC866" s="198"/>
      <c r="AD866" s="198"/>
      <c r="AE866" s="198"/>
      <c r="AF866" s="198"/>
      <c r="AG866" s="198"/>
      <c r="AH866" s="198"/>
      <c r="AI866" s="198"/>
      <c r="AJ866" s="198"/>
      <c r="AK866" s="198"/>
    </row>
    <row r="867">
      <c r="A867" s="198"/>
      <c r="B867" s="198"/>
      <c r="C867" s="198"/>
      <c r="D867" s="198"/>
      <c r="E867" s="198"/>
      <c r="F867" s="198"/>
      <c r="G867" s="198"/>
      <c r="H867" s="198"/>
      <c r="I867" s="198"/>
      <c r="J867" s="198"/>
      <c r="K867" s="198"/>
      <c r="L867" s="198"/>
      <c r="M867" s="198"/>
      <c r="N867" s="198"/>
      <c r="O867" s="198"/>
      <c r="P867" s="198"/>
      <c r="Q867" s="198"/>
      <c r="R867" s="198"/>
      <c r="S867" s="198"/>
      <c r="T867" s="198"/>
      <c r="U867" s="198"/>
      <c r="V867" s="198"/>
      <c r="W867" s="201"/>
      <c r="X867" s="198"/>
      <c r="Y867" s="198"/>
      <c r="Z867" s="198"/>
      <c r="AA867" s="198"/>
      <c r="AB867" s="198"/>
      <c r="AC867" s="198"/>
      <c r="AD867" s="198"/>
      <c r="AE867" s="198"/>
      <c r="AF867" s="198"/>
      <c r="AG867" s="198"/>
      <c r="AH867" s="198"/>
      <c r="AI867" s="198"/>
      <c r="AJ867" s="198"/>
      <c r="AK867" s="198"/>
    </row>
    <row r="868">
      <c r="A868" s="198"/>
      <c r="B868" s="198"/>
      <c r="C868" s="198"/>
      <c r="D868" s="198"/>
      <c r="E868" s="198"/>
      <c r="F868" s="198"/>
      <c r="G868" s="198"/>
      <c r="H868" s="198"/>
      <c r="I868" s="198"/>
      <c r="J868" s="198"/>
      <c r="K868" s="198"/>
      <c r="L868" s="198"/>
      <c r="M868" s="198"/>
      <c r="N868" s="198"/>
      <c r="O868" s="198"/>
      <c r="P868" s="198"/>
      <c r="Q868" s="198"/>
      <c r="R868" s="198"/>
      <c r="S868" s="198"/>
      <c r="T868" s="198"/>
      <c r="U868" s="198"/>
      <c r="V868" s="198"/>
      <c r="W868" s="201"/>
      <c r="X868" s="198"/>
      <c r="Y868" s="198"/>
      <c r="Z868" s="198"/>
      <c r="AA868" s="198"/>
      <c r="AB868" s="198"/>
      <c r="AC868" s="198"/>
      <c r="AD868" s="198"/>
      <c r="AE868" s="198"/>
      <c r="AF868" s="198"/>
      <c r="AG868" s="198"/>
      <c r="AH868" s="198"/>
      <c r="AI868" s="198"/>
      <c r="AJ868" s="198"/>
      <c r="AK868" s="198"/>
    </row>
    <row r="869">
      <c r="A869" s="198"/>
      <c r="B869" s="198"/>
      <c r="C869" s="198"/>
      <c r="D869" s="198"/>
      <c r="E869" s="198"/>
      <c r="F869" s="198"/>
      <c r="G869" s="198"/>
      <c r="H869" s="198"/>
      <c r="I869" s="198"/>
      <c r="J869" s="198"/>
      <c r="K869" s="198"/>
      <c r="L869" s="198"/>
      <c r="M869" s="198"/>
      <c r="N869" s="198"/>
      <c r="O869" s="198"/>
      <c r="P869" s="198"/>
      <c r="Q869" s="198"/>
      <c r="R869" s="198"/>
      <c r="S869" s="198"/>
      <c r="T869" s="198"/>
      <c r="U869" s="198"/>
      <c r="V869" s="198"/>
      <c r="W869" s="201"/>
      <c r="X869" s="198"/>
      <c r="Y869" s="198"/>
      <c r="Z869" s="198"/>
      <c r="AA869" s="198"/>
      <c r="AB869" s="198"/>
      <c r="AC869" s="198"/>
      <c r="AD869" s="198"/>
      <c r="AE869" s="198"/>
      <c r="AF869" s="198"/>
      <c r="AG869" s="198"/>
      <c r="AH869" s="198"/>
      <c r="AI869" s="198"/>
      <c r="AJ869" s="198"/>
      <c r="AK869" s="198"/>
    </row>
    <row r="870">
      <c r="A870" s="198"/>
      <c r="B870" s="198"/>
      <c r="C870" s="198"/>
      <c r="D870" s="198"/>
      <c r="E870" s="198"/>
      <c r="F870" s="198"/>
      <c r="G870" s="198"/>
      <c r="H870" s="198"/>
      <c r="I870" s="198"/>
      <c r="J870" s="198"/>
      <c r="K870" s="198"/>
      <c r="L870" s="198"/>
      <c r="M870" s="198"/>
      <c r="N870" s="198"/>
      <c r="O870" s="198"/>
      <c r="P870" s="198"/>
      <c r="Q870" s="198"/>
      <c r="R870" s="198"/>
      <c r="S870" s="198"/>
      <c r="T870" s="198"/>
      <c r="U870" s="198"/>
      <c r="V870" s="198"/>
      <c r="W870" s="201"/>
      <c r="X870" s="198"/>
      <c r="Y870" s="198"/>
      <c r="Z870" s="198"/>
      <c r="AA870" s="198"/>
      <c r="AB870" s="198"/>
      <c r="AC870" s="198"/>
      <c r="AD870" s="198"/>
      <c r="AE870" s="198"/>
      <c r="AF870" s="198"/>
      <c r="AG870" s="198"/>
      <c r="AH870" s="198"/>
      <c r="AI870" s="198"/>
      <c r="AJ870" s="198"/>
      <c r="AK870" s="198"/>
    </row>
    <row r="871">
      <c r="A871" s="198"/>
      <c r="B871" s="198"/>
      <c r="C871" s="198"/>
      <c r="D871" s="198"/>
      <c r="E871" s="198"/>
      <c r="F871" s="198"/>
      <c r="G871" s="198"/>
      <c r="H871" s="198"/>
      <c r="I871" s="198"/>
      <c r="J871" s="198"/>
      <c r="K871" s="198"/>
      <c r="L871" s="198"/>
      <c r="M871" s="198"/>
      <c r="N871" s="198"/>
      <c r="O871" s="198"/>
      <c r="P871" s="198"/>
      <c r="Q871" s="198"/>
      <c r="R871" s="198"/>
      <c r="S871" s="198"/>
      <c r="T871" s="198"/>
      <c r="U871" s="198"/>
      <c r="V871" s="198"/>
      <c r="W871" s="201"/>
      <c r="X871" s="198"/>
      <c r="Y871" s="198"/>
      <c r="Z871" s="198"/>
      <c r="AA871" s="198"/>
      <c r="AB871" s="198"/>
      <c r="AC871" s="198"/>
      <c r="AD871" s="198"/>
      <c r="AE871" s="198"/>
      <c r="AF871" s="198"/>
      <c r="AG871" s="198"/>
      <c r="AH871" s="198"/>
      <c r="AI871" s="198"/>
      <c r="AJ871" s="198"/>
      <c r="AK871" s="198"/>
    </row>
    <row r="872">
      <c r="A872" s="198"/>
      <c r="B872" s="198"/>
      <c r="C872" s="198"/>
      <c r="D872" s="198"/>
      <c r="E872" s="198"/>
      <c r="F872" s="198"/>
      <c r="G872" s="198"/>
      <c r="H872" s="198"/>
      <c r="I872" s="198"/>
      <c r="J872" s="198"/>
      <c r="K872" s="198"/>
      <c r="L872" s="198"/>
      <c r="M872" s="198"/>
      <c r="N872" s="198"/>
      <c r="O872" s="198"/>
      <c r="P872" s="198"/>
      <c r="Q872" s="198"/>
      <c r="R872" s="198"/>
      <c r="S872" s="198"/>
      <c r="T872" s="198"/>
      <c r="U872" s="198"/>
      <c r="V872" s="198"/>
      <c r="W872" s="201"/>
      <c r="X872" s="198"/>
      <c r="Y872" s="198"/>
      <c r="Z872" s="198"/>
      <c r="AA872" s="198"/>
      <c r="AB872" s="198"/>
      <c r="AC872" s="198"/>
      <c r="AD872" s="198"/>
      <c r="AE872" s="198"/>
      <c r="AF872" s="198"/>
      <c r="AG872" s="198"/>
      <c r="AH872" s="198"/>
      <c r="AI872" s="198"/>
      <c r="AJ872" s="198"/>
      <c r="AK872" s="198"/>
    </row>
    <row r="873">
      <c r="A873" s="198"/>
      <c r="B873" s="198"/>
      <c r="C873" s="198"/>
      <c r="D873" s="198"/>
      <c r="E873" s="198"/>
      <c r="F873" s="198"/>
      <c r="G873" s="198"/>
      <c r="H873" s="198"/>
      <c r="I873" s="198"/>
      <c r="J873" s="198"/>
      <c r="K873" s="198"/>
      <c r="L873" s="198"/>
      <c r="M873" s="198"/>
      <c r="N873" s="198"/>
      <c r="O873" s="198"/>
      <c r="P873" s="198"/>
      <c r="Q873" s="198"/>
      <c r="R873" s="198"/>
      <c r="S873" s="198"/>
      <c r="T873" s="198"/>
      <c r="U873" s="198"/>
      <c r="V873" s="198"/>
      <c r="W873" s="201"/>
      <c r="X873" s="198"/>
      <c r="Y873" s="198"/>
      <c r="Z873" s="198"/>
      <c r="AA873" s="198"/>
      <c r="AB873" s="198"/>
      <c r="AC873" s="198"/>
      <c r="AD873" s="198"/>
      <c r="AE873" s="198"/>
      <c r="AF873" s="198"/>
      <c r="AG873" s="198"/>
      <c r="AH873" s="198"/>
      <c r="AI873" s="198"/>
      <c r="AJ873" s="198"/>
      <c r="AK873" s="198"/>
    </row>
    <row r="874">
      <c r="A874" s="198"/>
      <c r="B874" s="198"/>
      <c r="C874" s="198"/>
      <c r="D874" s="198"/>
      <c r="E874" s="198"/>
      <c r="F874" s="198"/>
      <c r="G874" s="198"/>
      <c r="H874" s="198"/>
      <c r="I874" s="198"/>
      <c r="J874" s="198"/>
      <c r="K874" s="198"/>
      <c r="L874" s="198"/>
      <c r="M874" s="198"/>
      <c r="N874" s="198"/>
      <c r="O874" s="198"/>
      <c r="P874" s="198"/>
      <c r="Q874" s="198"/>
      <c r="R874" s="198"/>
      <c r="S874" s="198"/>
      <c r="T874" s="198"/>
      <c r="U874" s="198"/>
      <c r="V874" s="198"/>
      <c r="W874" s="201"/>
      <c r="X874" s="198"/>
      <c r="Y874" s="198"/>
      <c r="Z874" s="198"/>
      <c r="AA874" s="198"/>
      <c r="AB874" s="198"/>
      <c r="AC874" s="198"/>
      <c r="AD874" s="198"/>
      <c r="AE874" s="198"/>
      <c r="AF874" s="198"/>
      <c r="AG874" s="198"/>
      <c r="AH874" s="198"/>
      <c r="AI874" s="198"/>
      <c r="AJ874" s="198"/>
      <c r="AK874" s="198"/>
    </row>
    <row r="875">
      <c r="A875" s="198"/>
      <c r="B875" s="198"/>
      <c r="C875" s="198"/>
      <c r="D875" s="198"/>
      <c r="E875" s="198"/>
      <c r="F875" s="198"/>
      <c r="G875" s="198"/>
      <c r="H875" s="198"/>
      <c r="I875" s="198"/>
      <c r="J875" s="198"/>
      <c r="K875" s="198"/>
      <c r="L875" s="198"/>
      <c r="M875" s="198"/>
      <c r="N875" s="198"/>
      <c r="O875" s="198"/>
      <c r="P875" s="198"/>
      <c r="Q875" s="198"/>
      <c r="R875" s="198"/>
      <c r="S875" s="198"/>
      <c r="T875" s="198"/>
      <c r="U875" s="198"/>
      <c r="V875" s="198"/>
      <c r="W875" s="201"/>
      <c r="X875" s="198"/>
      <c r="Y875" s="198"/>
      <c r="Z875" s="198"/>
      <c r="AA875" s="198"/>
      <c r="AB875" s="198"/>
      <c r="AC875" s="198"/>
      <c r="AD875" s="198"/>
      <c r="AE875" s="198"/>
      <c r="AF875" s="198"/>
      <c r="AG875" s="198"/>
      <c r="AH875" s="198"/>
      <c r="AI875" s="198"/>
      <c r="AJ875" s="198"/>
      <c r="AK875" s="198"/>
    </row>
    <row r="876">
      <c r="A876" s="198"/>
      <c r="B876" s="198"/>
      <c r="C876" s="198"/>
      <c r="D876" s="198"/>
      <c r="E876" s="198"/>
      <c r="F876" s="198"/>
      <c r="G876" s="198"/>
      <c r="H876" s="198"/>
      <c r="I876" s="198"/>
      <c r="J876" s="198"/>
      <c r="K876" s="198"/>
      <c r="L876" s="198"/>
      <c r="M876" s="198"/>
      <c r="N876" s="198"/>
      <c r="O876" s="198"/>
      <c r="P876" s="198"/>
      <c r="Q876" s="198"/>
      <c r="R876" s="198"/>
      <c r="S876" s="198"/>
      <c r="T876" s="198"/>
      <c r="U876" s="198"/>
      <c r="V876" s="198"/>
      <c r="W876" s="201"/>
      <c r="X876" s="198"/>
      <c r="Y876" s="198"/>
      <c r="Z876" s="198"/>
      <c r="AA876" s="198"/>
      <c r="AB876" s="198"/>
      <c r="AC876" s="198"/>
      <c r="AD876" s="198"/>
      <c r="AE876" s="198"/>
      <c r="AF876" s="198"/>
      <c r="AG876" s="198"/>
      <c r="AH876" s="198"/>
      <c r="AI876" s="198"/>
      <c r="AJ876" s="198"/>
      <c r="AK876" s="198"/>
    </row>
    <row r="877">
      <c r="A877" s="198"/>
      <c r="B877" s="198"/>
      <c r="C877" s="198"/>
      <c r="D877" s="198"/>
      <c r="E877" s="198"/>
      <c r="F877" s="198"/>
      <c r="G877" s="198"/>
      <c r="H877" s="198"/>
      <c r="I877" s="198"/>
      <c r="J877" s="198"/>
      <c r="K877" s="198"/>
      <c r="L877" s="198"/>
      <c r="M877" s="198"/>
      <c r="N877" s="198"/>
      <c r="O877" s="198"/>
      <c r="P877" s="198"/>
      <c r="Q877" s="198"/>
      <c r="R877" s="198"/>
      <c r="S877" s="198"/>
      <c r="T877" s="198"/>
      <c r="U877" s="198"/>
      <c r="V877" s="198"/>
      <c r="W877" s="201"/>
      <c r="X877" s="198"/>
      <c r="Y877" s="198"/>
      <c r="Z877" s="198"/>
      <c r="AA877" s="198"/>
      <c r="AB877" s="198"/>
      <c r="AC877" s="198"/>
      <c r="AD877" s="198"/>
      <c r="AE877" s="198"/>
      <c r="AF877" s="198"/>
      <c r="AG877" s="198"/>
      <c r="AH877" s="198"/>
      <c r="AI877" s="198"/>
      <c r="AJ877" s="198"/>
      <c r="AK877" s="198"/>
    </row>
    <row r="878">
      <c r="A878" s="198"/>
      <c r="B878" s="198"/>
      <c r="C878" s="198"/>
      <c r="D878" s="198"/>
      <c r="E878" s="198"/>
      <c r="F878" s="198"/>
      <c r="G878" s="198"/>
      <c r="H878" s="198"/>
      <c r="I878" s="198"/>
      <c r="J878" s="198"/>
      <c r="K878" s="198"/>
      <c r="L878" s="198"/>
      <c r="M878" s="198"/>
      <c r="N878" s="198"/>
      <c r="O878" s="198"/>
      <c r="P878" s="198"/>
      <c r="Q878" s="198"/>
      <c r="R878" s="198"/>
      <c r="S878" s="198"/>
      <c r="T878" s="198"/>
      <c r="U878" s="198"/>
      <c r="V878" s="198"/>
      <c r="W878" s="201"/>
      <c r="X878" s="198"/>
      <c r="Y878" s="198"/>
      <c r="Z878" s="198"/>
      <c r="AA878" s="198"/>
      <c r="AB878" s="198"/>
      <c r="AC878" s="198"/>
      <c r="AD878" s="198"/>
      <c r="AE878" s="198"/>
      <c r="AF878" s="198"/>
      <c r="AG878" s="198"/>
      <c r="AH878" s="198"/>
      <c r="AI878" s="198"/>
      <c r="AJ878" s="198"/>
      <c r="AK878" s="198"/>
    </row>
    <row r="879">
      <c r="A879" s="198"/>
      <c r="B879" s="198"/>
      <c r="C879" s="198"/>
      <c r="D879" s="198"/>
      <c r="E879" s="198"/>
      <c r="F879" s="198"/>
      <c r="G879" s="198"/>
      <c r="H879" s="198"/>
      <c r="I879" s="198"/>
      <c r="J879" s="198"/>
      <c r="K879" s="198"/>
      <c r="L879" s="198"/>
      <c r="M879" s="198"/>
      <c r="N879" s="198"/>
      <c r="O879" s="198"/>
      <c r="P879" s="198"/>
      <c r="Q879" s="198"/>
      <c r="R879" s="198"/>
      <c r="S879" s="198"/>
      <c r="T879" s="198"/>
      <c r="U879" s="198"/>
      <c r="V879" s="198"/>
      <c r="W879" s="201"/>
      <c r="X879" s="198"/>
      <c r="Y879" s="198"/>
      <c r="Z879" s="198"/>
      <c r="AA879" s="198"/>
      <c r="AB879" s="198"/>
      <c r="AC879" s="198"/>
      <c r="AD879" s="198"/>
      <c r="AE879" s="198"/>
      <c r="AF879" s="198"/>
      <c r="AG879" s="198"/>
      <c r="AH879" s="198"/>
      <c r="AI879" s="198"/>
      <c r="AJ879" s="198"/>
      <c r="AK879" s="198"/>
    </row>
    <row r="880">
      <c r="A880" s="198"/>
      <c r="B880" s="198"/>
      <c r="C880" s="198"/>
      <c r="D880" s="198"/>
      <c r="E880" s="198"/>
      <c r="F880" s="198"/>
      <c r="G880" s="198"/>
      <c r="H880" s="198"/>
      <c r="I880" s="198"/>
      <c r="J880" s="198"/>
      <c r="K880" s="198"/>
      <c r="L880" s="198"/>
      <c r="M880" s="198"/>
      <c r="N880" s="198"/>
      <c r="O880" s="198"/>
      <c r="P880" s="198"/>
      <c r="Q880" s="198"/>
      <c r="R880" s="198"/>
      <c r="S880" s="198"/>
      <c r="T880" s="198"/>
      <c r="U880" s="198"/>
      <c r="V880" s="198"/>
      <c r="W880" s="201"/>
      <c r="X880" s="198"/>
      <c r="Y880" s="198"/>
      <c r="Z880" s="198"/>
      <c r="AA880" s="198"/>
      <c r="AB880" s="198"/>
      <c r="AC880" s="198"/>
      <c r="AD880" s="198"/>
      <c r="AE880" s="198"/>
      <c r="AF880" s="198"/>
      <c r="AG880" s="198"/>
      <c r="AH880" s="198"/>
      <c r="AI880" s="198"/>
      <c r="AJ880" s="198"/>
      <c r="AK880" s="198"/>
    </row>
    <row r="881">
      <c r="A881" s="198"/>
      <c r="B881" s="198"/>
      <c r="C881" s="198"/>
      <c r="D881" s="198"/>
      <c r="E881" s="198"/>
      <c r="F881" s="198"/>
      <c r="G881" s="198"/>
      <c r="H881" s="198"/>
      <c r="I881" s="198"/>
      <c r="J881" s="198"/>
      <c r="K881" s="198"/>
      <c r="L881" s="198"/>
      <c r="M881" s="198"/>
      <c r="N881" s="198"/>
      <c r="O881" s="198"/>
      <c r="P881" s="198"/>
      <c r="Q881" s="198"/>
      <c r="R881" s="198"/>
      <c r="S881" s="198"/>
      <c r="T881" s="198"/>
      <c r="U881" s="198"/>
      <c r="V881" s="198"/>
      <c r="W881" s="201"/>
      <c r="X881" s="198"/>
      <c r="Y881" s="198"/>
      <c r="Z881" s="198"/>
      <c r="AA881" s="198"/>
      <c r="AB881" s="198"/>
      <c r="AC881" s="198"/>
      <c r="AD881" s="198"/>
      <c r="AE881" s="198"/>
      <c r="AF881" s="198"/>
      <c r="AG881" s="198"/>
      <c r="AH881" s="198"/>
      <c r="AI881" s="198"/>
      <c r="AJ881" s="198"/>
      <c r="AK881" s="198"/>
    </row>
    <row r="882">
      <c r="A882" s="198"/>
      <c r="B882" s="198"/>
      <c r="C882" s="198"/>
      <c r="D882" s="198"/>
      <c r="E882" s="198"/>
      <c r="F882" s="198"/>
      <c r="G882" s="198"/>
      <c r="H882" s="198"/>
      <c r="I882" s="198"/>
      <c r="J882" s="198"/>
      <c r="K882" s="198"/>
      <c r="L882" s="198"/>
      <c r="M882" s="198"/>
      <c r="N882" s="198"/>
      <c r="O882" s="198"/>
      <c r="P882" s="198"/>
      <c r="Q882" s="198"/>
      <c r="R882" s="198"/>
      <c r="S882" s="198"/>
      <c r="T882" s="198"/>
      <c r="U882" s="198"/>
      <c r="V882" s="198"/>
      <c r="W882" s="201"/>
      <c r="X882" s="198"/>
      <c r="Y882" s="198"/>
      <c r="Z882" s="198"/>
      <c r="AA882" s="198"/>
      <c r="AB882" s="198"/>
      <c r="AC882" s="198"/>
      <c r="AD882" s="198"/>
      <c r="AE882" s="198"/>
      <c r="AF882" s="198"/>
      <c r="AG882" s="198"/>
      <c r="AH882" s="198"/>
      <c r="AI882" s="198"/>
      <c r="AJ882" s="198"/>
      <c r="AK882" s="198"/>
    </row>
    <row r="883">
      <c r="A883" s="198"/>
      <c r="B883" s="198"/>
      <c r="C883" s="198"/>
      <c r="D883" s="198"/>
      <c r="E883" s="198"/>
      <c r="F883" s="198"/>
      <c r="G883" s="198"/>
      <c r="H883" s="198"/>
      <c r="I883" s="198"/>
      <c r="J883" s="198"/>
      <c r="K883" s="198"/>
      <c r="L883" s="198"/>
      <c r="M883" s="198"/>
      <c r="N883" s="198"/>
      <c r="O883" s="198"/>
      <c r="P883" s="198"/>
      <c r="Q883" s="198"/>
      <c r="R883" s="198"/>
      <c r="S883" s="198"/>
      <c r="T883" s="198"/>
      <c r="U883" s="198"/>
      <c r="V883" s="198"/>
      <c r="W883" s="201"/>
      <c r="X883" s="198"/>
      <c r="Y883" s="198"/>
      <c r="Z883" s="198"/>
      <c r="AA883" s="198"/>
      <c r="AB883" s="198"/>
      <c r="AC883" s="198"/>
      <c r="AD883" s="198"/>
      <c r="AE883" s="198"/>
      <c r="AF883" s="198"/>
      <c r="AG883" s="198"/>
      <c r="AH883" s="198"/>
      <c r="AI883" s="198"/>
      <c r="AJ883" s="198"/>
      <c r="AK883" s="198"/>
    </row>
    <row r="884">
      <c r="A884" s="198"/>
      <c r="B884" s="198"/>
      <c r="C884" s="198"/>
      <c r="D884" s="198"/>
      <c r="E884" s="198"/>
      <c r="F884" s="198"/>
      <c r="G884" s="198"/>
      <c r="H884" s="198"/>
      <c r="I884" s="198"/>
      <c r="J884" s="198"/>
      <c r="K884" s="198"/>
      <c r="L884" s="198"/>
      <c r="M884" s="198"/>
      <c r="N884" s="198"/>
      <c r="O884" s="198"/>
      <c r="P884" s="198"/>
      <c r="Q884" s="198"/>
      <c r="R884" s="198"/>
      <c r="S884" s="198"/>
      <c r="T884" s="198"/>
      <c r="U884" s="198"/>
      <c r="V884" s="198"/>
      <c r="W884" s="201"/>
      <c r="X884" s="198"/>
      <c r="Y884" s="198"/>
      <c r="Z884" s="198"/>
      <c r="AA884" s="198"/>
      <c r="AB884" s="198"/>
      <c r="AC884" s="198"/>
      <c r="AD884" s="198"/>
      <c r="AE884" s="198"/>
      <c r="AF884" s="198"/>
      <c r="AG884" s="198"/>
      <c r="AH884" s="198"/>
      <c r="AI884" s="198"/>
      <c r="AJ884" s="198"/>
      <c r="AK884" s="198"/>
    </row>
    <row r="885">
      <c r="A885" s="198"/>
      <c r="B885" s="198"/>
      <c r="C885" s="198"/>
      <c r="D885" s="198"/>
      <c r="E885" s="198"/>
      <c r="F885" s="198"/>
      <c r="G885" s="198"/>
      <c r="H885" s="198"/>
      <c r="I885" s="198"/>
      <c r="J885" s="198"/>
      <c r="K885" s="198"/>
      <c r="L885" s="198"/>
      <c r="M885" s="198"/>
      <c r="N885" s="198"/>
      <c r="O885" s="198"/>
      <c r="P885" s="198"/>
      <c r="Q885" s="198"/>
      <c r="R885" s="198"/>
      <c r="S885" s="198"/>
      <c r="T885" s="198"/>
      <c r="U885" s="198"/>
      <c r="V885" s="198"/>
      <c r="W885" s="201"/>
      <c r="X885" s="198"/>
      <c r="Y885" s="198"/>
      <c r="Z885" s="198"/>
      <c r="AA885" s="198"/>
      <c r="AB885" s="198"/>
      <c r="AC885" s="198"/>
      <c r="AD885" s="198"/>
      <c r="AE885" s="198"/>
      <c r="AF885" s="198"/>
      <c r="AG885" s="198"/>
      <c r="AH885" s="198"/>
      <c r="AI885" s="198"/>
      <c r="AJ885" s="198"/>
      <c r="AK885" s="198"/>
    </row>
    <row r="886">
      <c r="A886" s="198"/>
      <c r="B886" s="198"/>
      <c r="C886" s="198"/>
      <c r="D886" s="198"/>
      <c r="E886" s="198"/>
      <c r="F886" s="198"/>
      <c r="G886" s="198"/>
      <c r="H886" s="198"/>
      <c r="I886" s="198"/>
      <c r="J886" s="198"/>
      <c r="K886" s="198"/>
      <c r="L886" s="198"/>
      <c r="M886" s="198"/>
      <c r="N886" s="198"/>
      <c r="O886" s="198"/>
      <c r="P886" s="198"/>
      <c r="Q886" s="198"/>
      <c r="R886" s="198"/>
      <c r="S886" s="198"/>
      <c r="T886" s="198"/>
      <c r="U886" s="198"/>
      <c r="V886" s="198"/>
      <c r="W886" s="201"/>
      <c r="X886" s="198"/>
      <c r="Y886" s="198"/>
      <c r="Z886" s="198"/>
      <c r="AA886" s="198"/>
      <c r="AB886" s="198"/>
      <c r="AC886" s="198"/>
      <c r="AD886" s="198"/>
      <c r="AE886" s="198"/>
      <c r="AF886" s="198"/>
      <c r="AG886" s="198"/>
      <c r="AH886" s="198"/>
      <c r="AI886" s="198"/>
      <c r="AJ886" s="198"/>
      <c r="AK886" s="198"/>
    </row>
    <row r="887">
      <c r="A887" s="198"/>
      <c r="B887" s="198"/>
      <c r="C887" s="198"/>
      <c r="D887" s="198"/>
      <c r="E887" s="198"/>
      <c r="F887" s="198"/>
      <c r="G887" s="198"/>
      <c r="H887" s="198"/>
      <c r="I887" s="198"/>
      <c r="J887" s="198"/>
      <c r="K887" s="198"/>
      <c r="L887" s="198"/>
      <c r="M887" s="198"/>
      <c r="N887" s="198"/>
      <c r="O887" s="198"/>
      <c r="P887" s="198"/>
      <c r="Q887" s="198"/>
      <c r="R887" s="198"/>
      <c r="S887" s="198"/>
      <c r="T887" s="198"/>
      <c r="U887" s="198"/>
      <c r="V887" s="198"/>
      <c r="W887" s="201"/>
      <c r="X887" s="198"/>
      <c r="Y887" s="198"/>
      <c r="Z887" s="198"/>
      <c r="AA887" s="198"/>
      <c r="AB887" s="198"/>
      <c r="AC887" s="198"/>
      <c r="AD887" s="198"/>
      <c r="AE887" s="198"/>
      <c r="AF887" s="198"/>
      <c r="AG887" s="198"/>
      <c r="AH887" s="198"/>
      <c r="AI887" s="198"/>
      <c r="AJ887" s="198"/>
      <c r="AK887" s="198"/>
    </row>
    <row r="888">
      <c r="A888" s="198"/>
      <c r="B888" s="198"/>
      <c r="C888" s="198"/>
      <c r="D888" s="198"/>
      <c r="E888" s="198"/>
      <c r="F888" s="198"/>
      <c r="G888" s="198"/>
      <c r="H888" s="198"/>
      <c r="I888" s="198"/>
      <c r="J888" s="198"/>
      <c r="K888" s="198"/>
      <c r="L888" s="198"/>
      <c r="M888" s="198"/>
      <c r="N888" s="198"/>
      <c r="O888" s="198"/>
      <c r="P888" s="198"/>
      <c r="Q888" s="198"/>
      <c r="R888" s="198"/>
      <c r="S888" s="198"/>
      <c r="T888" s="198"/>
      <c r="U888" s="198"/>
      <c r="V888" s="198"/>
      <c r="W888" s="201"/>
      <c r="X888" s="198"/>
      <c r="Y888" s="198"/>
      <c r="Z888" s="198"/>
      <c r="AA888" s="198"/>
      <c r="AB888" s="198"/>
      <c r="AC888" s="198"/>
      <c r="AD888" s="198"/>
      <c r="AE888" s="198"/>
      <c r="AF888" s="198"/>
      <c r="AG888" s="198"/>
      <c r="AH888" s="198"/>
      <c r="AI888" s="198"/>
      <c r="AJ888" s="198"/>
      <c r="AK888" s="198"/>
    </row>
    <row r="889">
      <c r="A889" s="198"/>
      <c r="B889" s="198"/>
      <c r="C889" s="198"/>
      <c r="D889" s="198"/>
      <c r="E889" s="198"/>
      <c r="F889" s="198"/>
      <c r="G889" s="198"/>
      <c r="H889" s="198"/>
      <c r="I889" s="198"/>
      <c r="J889" s="198"/>
      <c r="K889" s="198"/>
      <c r="L889" s="198"/>
      <c r="M889" s="198"/>
      <c r="N889" s="198"/>
      <c r="O889" s="198"/>
      <c r="P889" s="198"/>
      <c r="Q889" s="198"/>
      <c r="R889" s="198"/>
      <c r="S889" s="198"/>
      <c r="T889" s="198"/>
      <c r="U889" s="198"/>
      <c r="V889" s="198"/>
      <c r="W889" s="201"/>
      <c r="X889" s="198"/>
      <c r="Y889" s="198"/>
      <c r="Z889" s="198"/>
      <c r="AA889" s="198"/>
      <c r="AB889" s="198"/>
      <c r="AC889" s="198"/>
      <c r="AD889" s="198"/>
      <c r="AE889" s="198"/>
      <c r="AF889" s="198"/>
      <c r="AG889" s="198"/>
      <c r="AH889" s="198"/>
      <c r="AI889" s="198"/>
      <c r="AJ889" s="198"/>
      <c r="AK889" s="198"/>
    </row>
    <row r="890">
      <c r="A890" s="198"/>
      <c r="B890" s="198"/>
      <c r="C890" s="198"/>
      <c r="D890" s="198"/>
      <c r="E890" s="198"/>
      <c r="F890" s="198"/>
      <c r="G890" s="198"/>
      <c r="H890" s="198"/>
      <c r="I890" s="198"/>
      <c r="J890" s="198"/>
      <c r="K890" s="198"/>
      <c r="L890" s="198"/>
      <c r="M890" s="198"/>
      <c r="N890" s="198"/>
      <c r="O890" s="198"/>
      <c r="P890" s="198"/>
      <c r="Q890" s="198"/>
      <c r="R890" s="198"/>
      <c r="S890" s="198"/>
      <c r="T890" s="198"/>
      <c r="U890" s="198"/>
      <c r="V890" s="198"/>
      <c r="W890" s="201"/>
      <c r="X890" s="198"/>
      <c r="Y890" s="198"/>
      <c r="Z890" s="198"/>
      <c r="AA890" s="198"/>
      <c r="AB890" s="198"/>
      <c r="AC890" s="198"/>
      <c r="AD890" s="198"/>
      <c r="AE890" s="198"/>
      <c r="AF890" s="198"/>
      <c r="AG890" s="198"/>
      <c r="AH890" s="198"/>
      <c r="AI890" s="198"/>
      <c r="AJ890" s="198"/>
      <c r="AK890" s="198"/>
    </row>
    <row r="891">
      <c r="A891" s="198"/>
      <c r="B891" s="198"/>
      <c r="C891" s="198"/>
      <c r="D891" s="198"/>
      <c r="E891" s="198"/>
      <c r="F891" s="198"/>
      <c r="G891" s="198"/>
      <c r="H891" s="198"/>
      <c r="I891" s="198"/>
      <c r="J891" s="198"/>
      <c r="K891" s="198"/>
      <c r="L891" s="198"/>
      <c r="M891" s="198"/>
      <c r="N891" s="198"/>
      <c r="O891" s="198"/>
      <c r="P891" s="198"/>
      <c r="Q891" s="198"/>
      <c r="R891" s="198"/>
      <c r="S891" s="198"/>
      <c r="T891" s="198"/>
      <c r="U891" s="198"/>
      <c r="V891" s="198"/>
      <c r="W891" s="201"/>
      <c r="X891" s="198"/>
      <c r="Y891" s="198"/>
      <c r="Z891" s="198"/>
      <c r="AA891" s="198"/>
      <c r="AB891" s="198"/>
      <c r="AC891" s="198"/>
      <c r="AD891" s="198"/>
      <c r="AE891" s="198"/>
      <c r="AF891" s="198"/>
      <c r="AG891" s="198"/>
      <c r="AH891" s="198"/>
      <c r="AI891" s="198"/>
      <c r="AJ891" s="198"/>
      <c r="AK891" s="198"/>
    </row>
    <row r="892">
      <c r="A892" s="198"/>
      <c r="B892" s="198"/>
      <c r="C892" s="198"/>
      <c r="D892" s="198"/>
      <c r="E892" s="198"/>
      <c r="F892" s="198"/>
      <c r="G892" s="198"/>
      <c r="H892" s="198"/>
      <c r="I892" s="198"/>
      <c r="J892" s="198"/>
      <c r="K892" s="198"/>
      <c r="L892" s="198"/>
      <c r="M892" s="198"/>
      <c r="N892" s="198"/>
      <c r="O892" s="198"/>
      <c r="P892" s="198"/>
      <c r="Q892" s="198"/>
      <c r="R892" s="198"/>
      <c r="S892" s="198"/>
      <c r="T892" s="198"/>
      <c r="U892" s="198"/>
      <c r="V892" s="198"/>
      <c r="W892" s="201"/>
      <c r="X892" s="198"/>
      <c r="Y892" s="198"/>
      <c r="Z892" s="198"/>
      <c r="AA892" s="198"/>
      <c r="AB892" s="198"/>
      <c r="AC892" s="198"/>
      <c r="AD892" s="198"/>
      <c r="AE892" s="198"/>
      <c r="AF892" s="198"/>
      <c r="AG892" s="198"/>
      <c r="AH892" s="198"/>
      <c r="AI892" s="198"/>
      <c r="AJ892" s="198"/>
      <c r="AK892" s="198"/>
    </row>
    <row r="893">
      <c r="A893" s="198"/>
      <c r="B893" s="198"/>
      <c r="C893" s="198"/>
      <c r="D893" s="198"/>
      <c r="E893" s="198"/>
      <c r="F893" s="198"/>
      <c r="G893" s="198"/>
      <c r="H893" s="198"/>
      <c r="I893" s="198"/>
      <c r="J893" s="198"/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201"/>
      <c r="X893" s="198"/>
      <c r="Y893" s="198"/>
      <c r="Z893" s="198"/>
      <c r="AA893" s="198"/>
      <c r="AB893" s="198"/>
      <c r="AC893" s="198"/>
      <c r="AD893" s="198"/>
      <c r="AE893" s="198"/>
      <c r="AF893" s="198"/>
      <c r="AG893" s="198"/>
      <c r="AH893" s="198"/>
      <c r="AI893" s="198"/>
      <c r="AJ893" s="198"/>
      <c r="AK893" s="198"/>
    </row>
    <row r="894">
      <c r="A894" s="198"/>
      <c r="B894" s="198"/>
      <c r="C894" s="198"/>
      <c r="D894" s="198"/>
      <c r="E894" s="198"/>
      <c r="F894" s="198"/>
      <c r="G894" s="198"/>
      <c r="H894" s="198"/>
      <c r="I894" s="198"/>
      <c r="J894" s="198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201"/>
      <c r="X894" s="198"/>
      <c r="Y894" s="198"/>
      <c r="Z894" s="198"/>
      <c r="AA894" s="198"/>
      <c r="AB894" s="198"/>
      <c r="AC894" s="198"/>
      <c r="AD894" s="198"/>
      <c r="AE894" s="198"/>
      <c r="AF894" s="198"/>
      <c r="AG894" s="198"/>
      <c r="AH894" s="198"/>
      <c r="AI894" s="198"/>
      <c r="AJ894" s="198"/>
      <c r="AK894" s="198"/>
    </row>
    <row r="895">
      <c r="A895" s="198"/>
      <c r="B895" s="198"/>
      <c r="C895" s="198"/>
      <c r="D895" s="198"/>
      <c r="E895" s="198"/>
      <c r="F895" s="198"/>
      <c r="G895" s="198"/>
      <c r="H895" s="198"/>
      <c r="I895" s="198"/>
      <c r="J895" s="198"/>
      <c r="K895" s="198"/>
      <c r="L895" s="198"/>
      <c r="M895" s="198"/>
      <c r="N895" s="198"/>
      <c r="O895" s="198"/>
      <c r="P895" s="198"/>
      <c r="Q895" s="198"/>
      <c r="R895" s="198"/>
      <c r="S895" s="198"/>
      <c r="T895" s="198"/>
      <c r="U895" s="198"/>
      <c r="V895" s="198"/>
      <c r="W895" s="201"/>
      <c r="X895" s="198"/>
      <c r="Y895" s="198"/>
      <c r="Z895" s="198"/>
      <c r="AA895" s="198"/>
      <c r="AB895" s="198"/>
      <c r="AC895" s="198"/>
      <c r="AD895" s="198"/>
      <c r="AE895" s="198"/>
      <c r="AF895" s="198"/>
      <c r="AG895" s="198"/>
      <c r="AH895" s="198"/>
      <c r="AI895" s="198"/>
      <c r="AJ895" s="198"/>
      <c r="AK895" s="198"/>
    </row>
    <row r="896">
      <c r="A896" s="198"/>
      <c r="B896" s="198"/>
      <c r="C896" s="198"/>
      <c r="D896" s="198"/>
      <c r="E896" s="198"/>
      <c r="F896" s="198"/>
      <c r="G896" s="198"/>
      <c r="H896" s="198"/>
      <c r="I896" s="198"/>
      <c r="J896" s="198"/>
      <c r="K896" s="198"/>
      <c r="L896" s="198"/>
      <c r="M896" s="198"/>
      <c r="N896" s="198"/>
      <c r="O896" s="198"/>
      <c r="P896" s="198"/>
      <c r="Q896" s="198"/>
      <c r="R896" s="198"/>
      <c r="S896" s="198"/>
      <c r="T896" s="198"/>
      <c r="U896" s="198"/>
      <c r="V896" s="198"/>
      <c r="W896" s="201"/>
      <c r="X896" s="198"/>
      <c r="Y896" s="198"/>
      <c r="Z896" s="198"/>
      <c r="AA896" s="198"/>
      <c r="AB896" s="198"/>
      <c r="AC896" s="198"/>
      <c r="AD896" s="198"/>
      <c r="AE896" s="198"/>
      <c r="AF896" s="198"/>
      <c r="AG896" s="198"/>
      <c r="AH896" s="198"/>
      <c r="AI896" s="198"/>
      <c r="AJ896" s="198"/>
      <c r="AK896" s="198"/>
    </row>
    <row r="897">
      <c r="A897" s="198"/>
      <c r="B897" s="198"/>
      <c r="C897" s="198"/>
      <c r="D897" s="198"/>
      <c r="E897" s="198"/>
      <c r="F897" s="198"/>
      <c r="G897" s="198"/>
      <c r="H897" s="198"/>
      <c r="I897" s="198"/>
      <c r="J897" s="198"/>
      <c r="K897" s="198"/>
      <c r="L897" s="198"/>
      <c r="M897" s="198"/>
      <c r="N897" s="198"/>
      <c r="O897" s="198"/>
      <c r="P897" s="198"/>
      <c r="Q897" s="198"/>
      <c r="R897" s="198"/>
      <c r="S897" s="198"/>
      <c r="T897" s="198"/>
      <c r="U897" s="198"/>
      <c r="V897" s="198"/>
      <c r="W897" s="201"/>
      <c r="X897" s="198"/>
      <c r="Y897" s="198"/>
      <c r="Z897" s="198"/>
      <c r="AA897" s="198"/>
      <c r="AB897" s="198"/>
      <c r="AC897" s="198"/>
      <c r="AD897" s="198"/>
      <c r="AE897" s="198"/>
      <c r="AF897" s="198"/>
      <c r="AG897" s="198"/>
      <c r="AH897" s="198"/>
      <c r="AI897" s="198"/>
      <c r="AJ897" s="198"/>
      <c r="AK897" s="198"/>
    </row>
    <row r="898">
      <c r="A898" s="198"/>
      <c r="B898" s="198"/>
      <c r="C898" s="198"/>
      <c r="D898" s="198"/>
      <c r="E898" s="198"/>
      <c r="F898" s="198"/>
      <c r="G898" s="198"/>
      <c r="H898" s="198"/>
      <c r="I898" s="198"/>
      <c r="J898" s="198"/>
      <c r="K898" s="198"/>
      <c r="L898" s="198"/>
      <c r="M898" s="198"/>
      <c r="N898" s="198"/>
      <c r="O898" s="198"/>
      <c r="P898" s="198"/>
      <c r="Q898" s="198"/>
      <c r="R898" s="198"/>
      <c r="S898" s="198"/>
      <c r="T898" s="198"/>
      <c r="U898" s="198"/>
      <c r="V898" s="198"/>
      <c r="W898" s="201"/>
      <c r="X898" s="198"/>
      <c r="Y898" s="198"/>
      <c r="Z898" s="198"/>
      <c r="AA898" s="198"/>
      <c r="AB898" s="198"/>
      <c r="AC898" s="198"/>
      <c r="AD898" s="198"/>
      <c r="AE898" s="198"/>
      <c r="AF898" s="198"/>
      <c r="AG898" s="198"/>
      <c r="AH898" s="198"/>
      <c r="AI898" s="198"/>
      <c r="AJ898" s="198"/>
      <c r="AK898" s="198"/>
    </row>
    <row r="899">
      <c r="A899" s="198"/>
      <c r="B899" s="198"/>
      <c r="C899" s="198"/>
      <c r="D899" s="198"/>
      <c r="E899" s="198"/>
      <c r="F899" s="198"/>
      <c r="G899" s="198"/>
      <c r="H899" s="198"/>
      <c r="I899" s="198"/>
      <c r="J899" s="198"/>
      <c r="K899" s="198"/>
      <c r="L899" s="198"/>
      <c r="M899" s="198"/>
      <c r="N899" s="198"/>
      <c r="O899" s="198"/>
      <c r="P899" s="198"/>
      <c r="Q899" s="198"/>
      <c r="R899" s="198"/>
      <c r="S899" s="198"/>
      <c r="T899" s="198"/>
      <c r="U899" s="198"/>
      <c r="V899" s="198"/>
      <c r="W899" s="201"/>
      <c r="X899" s="198"/>
      <c r="Y899" s="198"/>
      <c r="Z899" s="198"/>
      <c r="AA899" s="198"/>
      <c r="AB899" s="198"/>
      <c r="AC899" s="198"/>
      <c r="AD899" s="198"/>
      <c r="AE899" s="198"/>
      <c r="AF899" s="198"/>
      <c r="AG899" s="198"/>
      <c r="AH899" s="198"/>
      <c r="AI899" s="198"/>
      <c r="AJ899" s="198"/>
      <c r="AK899" s="198"/>
    </row>
    <row r="900">
      <c r="A900" s="198"/>
      <c r="B900" s="198"/>
      <c r="C900" s="198"/>
      <c r="D900" s="198"/>
      <c r="E900" s="198"/>
      <c r="F900" s="198"/>
      <c r="G900" s="198"/>
      <c r="H900" s="198"/>
      <c r="I900" s="198"/>
      <c r="J900" s="198"/>
      <c r="K900" s="198"/>
      <c r="L900" s="198"/>
      <c r="M900" s="198"/>
      <c r="N900" s="198"/>
      <c r="O900" s="198"/>
      <c r="P900" s="198"/>
      <c r="Q900" s="198"/>
      <c r="R900" s="198"/>
      <c r="S900" s="198"/>
      <c r="T900" s="198"/>
      <c r="U900" s="198"/>
      <c r="V900" s="198"/>
      <c r="W900" s="201"/>
      <c r="X900" s="198"/>
      <c r="Y900" s="198"/>
      <c r="Z900" s="198"/>
      <c r="AA900" s="198"/>
      <c r="AB900" s="198"/>
      <c r="AC900" s="198"/>
      <c r="AD900" s="198"/>
      <c r="AE900" s="198"/>
      <c r="AF900" s="198"/>
      <c r="AG900" s="198"/>
      <c r="AH900" s="198"/>
      <c r="AI900" s="198"/>
      <c r="AJ900" s="198"/>
      <c r="AK900" s="198"/>
    </row>
    <row r="901">
      <c r="A901" s="198"/>
      <c r="B901" s="198"/>
      <c r="C901" s="198"/>
      <c r="D901" s="198"/>
      <c r="E901" s="198"/>
      <c r="F901" s="198"/>
      <c r="G901" s="198"/>
      <c r="H901" s="198"/>
      <c r="I901" s="198"/>
      <c r="J901" s="198"/>
      <c r="K901" s="198"/>
      <c r="L901" s="198"/>
      <c r="M901" s="198"/>
      <c r="N901" s="198"/>
      <c r="O901" s="198"/>
      <c r="P901" s="198"/>
      <c r="Q901" s="198"/>
      <c r="R901" s="198"/>
      <c r="S901" s="198"/>
      <c r="T901" s="198"/>
      <c r="U901" s="198"/>
      <c r="V901" s="198"/>
      <c r="W901" s="201"/>
      <c r="X901" s="198"/>
      <c r="Y901" s="198"/>
      <c r="Z901" s="198"/>
      <c r="AA901" s="198"/>
      <c r="AB901" s="198"/>
      <c r="AC901" s="198"/>
      <c r="AD901" s="198"/>
      <c r="AE901" s="198"/>
      <c r="AF901" s="198"/>
      <c r="AG901" s="198"/>
      <c r="AH901" s="198"/>
      <c r="AI901" s="198"/>
      <c r="AJ901" s="198"/>
      <c r="AK901" s="198"/>
    </row>
    <row r="902">
      <c r="A902" s="198"/>
      <c r="B902" s="198"/>
      <c r="C902" s="198"/>
      <c r="D902" s="198"/>
      <c r="E902" s="198"/>
      <c r="F902" s="198"/>
      <c r="G902" s="198"/>
      <c r="H902" s="198"/>
      <c r="I902" s="198"/>
      <c r="J902" s="198"/>
      <c r="K902" s="198"/>
      <c r="L902" s="198"/>
      <c r="M902" s="198"/>
      <c r="N902" s="198"/>
      <c r="O902" s="198"/>
      <c r="P902" s="198"/>
      <c r="Q902" s="198"/>
      <c r="R902" s="198"/>
      <c r="S902" s="198"/>
      <c r="T902" s="198"/>
      <c r="U902" s="198"/>
      <c r="V902" s="198"/>
      <c r="W902" s="201"/>
      <c r="X902" s="198"/>
      <c r="Y902" s="198"/>
      <c r="Z902" s="198"/>
      <c r="AA902" s="198"/>
      <c r="AB902" s="198"/>
      <c r="AC902" s="198"/>
      <c r="AD902" s="198"/>
      <c r="AE902" s="198"/>
      <c r="AF902" s="198"/>
      <c r="AG902" s="198"/>
      <c r="AH902" s="198"/>
      <c r="AI902" s="198"/>
      <c r="AJ902" s="198"/>
      <c r="AK902" s="198"/>
    </row>
    <row r="903">
      <c r="A903" s="198"/>
      <c r="B903" s="198"/>
      <c r="C903" s="198"/>
      <c r="D903" s="198"/>
      <c r="E903" s="198"/>
      <c r="F903" s="198"/>
      <c r="G903" s="198"/>
      <c r="H903" s="198"/>
      <c r="I903" s="198"/>
      <c r="J903" s="198"/>
      <c r="K903" s="198"/>
      <c r="L903" s="198"/>
      <c r="M903" s="198"/>
      <c r="N903" s="198"/>
      <c r="O903" s="198"/>
      <c r="P903" s="198"/>
      <c r="Q903" s="198"/>
      <c r="R903" s="198"/>
      <c r="S903" s="198"/>
      <c r="T903" s="198"/>
      <c r="U903" s="198"/>
      <c r="V903" s="198"/>
      <c r="W903" s="201"/>
      <c r="X903" s="198"/>
      <c r="Y903" s="198"/>
      <c r="Z903" s="198"/>
      <c r="AA903" s="198"/>
      <c r="AB903" s="198"/>
      <c r="AC903" s="198"/>
      <c r="AD903" s="198"/>
      <c r="AE903" s="198"/>
      <c r="AF903" s="198"/>
      <c r="AG903" s="198"/>
      <c r="AH903" s="198"/>
      <c r="AI903" s="198"/>
      <c r="AJ903" s="198"/>
      <c r="AK903" s="198"/>
    </row>
    <row r="904">
      <c r="A904" s="198"/>
      <c r="B904" s="198"/>
      <c r="C904" s="198"/>
      <c r="D904" s="198"/>
      <c r="E904" s="198"/>
      <c r="F904" s="198"/>
      <c r="G904" s="198"/>
      <c r="H904" s="198"/>
      <c r="I904" s="198"/>
      <c r="J904" s="198"/>
      <c r="K904" s="198"/>
      <c r="L904" s="198"/>
      <c r="M904" s="198"/>
      <c r="N904" s="198"/>
      <c r="O904" s="198"/>
      <c r="P904" s="198"/>
      <c r="Q904" s="198"/>
      <c r="R904" s="198"/>
      <c r="S904" s="198"/>
      <c r="T904" s="198"/>
      <c r="U904" s="198"/>
      <c r="V904" s="198"/>
      <c r="W904" s="201"/>
      <c r="X904" s="198"/>
      <c r="Y904" s="198"/>
      <c r="Z904" s="198"/>
      <c r="AA904" s="198"/>
      <c r="AB904" s="198"/>
      <c r="AC904" s="198"/>
      <c r="AD904" s="198"/>
      <c r="AE904" s="198"/>
      <c r="AF904" s="198"/>
      <c r="AG904" s="198"/>
      <c r="AH904" s="198"/>
      <c r="AI904" s="198"/>
      <c r="AJ904" s="198"/>
      <c r="AK904" s="198"/>
    </row>
    <row r="905">
      <c r="A905" s="198"/>
      <c r="B905" s="198"/>
      <c r="C905" s="198"/>
      <c r="D905" s="198"/>
      <c r="E905" s="198"/>
      <c r="F905" s="198"/>
      <c r="G905" s="198"/>
      <c r="H905" s="198"/>
      <c r="I905" s="198"/>
      <c r="J905" s="198"/>
      <c r="K905" s="198"/>
      <c r="L905" s="198"/>
      <c r="M905" s="198"/>
      <c r="N905" s="198"/>
      <c r="O905" s="198"/>
      <c r="P905" s="198"/>
      <c r="Q905" s="198"/>
      <c r="R905" s="198"/>
      <c r="S905" s="198"/>
      <c r="T905" s="198"/>
      <c r="U905" s="198"/>
      <c r="V905" s="198"/>
      <c r="W905" s="201"/>
      <c r="X905" s="198"/>
      <c r="Y905" s="198"/>
      <c r="Z905" s="198"/>
      <c r="AA905" s="198"/>
      <c r="AB905" s="198"/>
      <c r="AC905" s="198"/>
      <c r="AD905" s="198"/>
      <c r="AE905" s="198"/>
      <c r="AF905" s="198"/>
      <c r="AG905" s="198"/>
      <c r="AH905" s="198"/>
      <c r="AI905" s="198"/>
      <c r="AJ905" s="198"/>
      <c r="AK905" s="198"/>
    </row>
    <row r="906">
      <c r="A906" s="198"/>
      <c r="B906" s="198"/>
      <c r="C906" s="198"/>
      <c r="D906" s="198"/>
      <c r="E906" s="198"/>
      <c r="F906" s="198"/>
      <c r="G906" s="198"/>
      <c r="H906" s="198"/>
      <c r="I906" s="198"/>
      <c r="J906" s="198"/>
      <c r="K906" s="198"/>
      <c r="L906" s="198"/>
      <c r="M906" s="198"/>
      <c r="N906" s="198"/>
      <c r="O906" s="198"/>
      <c r="P906" s="198"/>
      <c r="Q906" s="198"/>
      <c r="R906" s="198"/>
      <c r="S906" s="198"/>
      <c r="T906" s="198"/>
      <c r="U906" s="198"/>
      <c r="V906" s="198"/>
      <c r="W906" s="201"/>
      <c r="X906" s="198"/>
      <c r="Y906" s="198"/>
      <c r="Z906" s="198"/>
      <c r="AA906" s="198"/>
      <c r="AB906" s="198"/>
      <c r="AC906" s="198"/>
      <c r="AD906" s="198"/>
      <c r="AE906" s="198"/>
      <c r="AF906" s="198"/>
      <c r="AG906" s="198"/>
      <c r="AH906" s="198"/>
      <c r="AI906" s="198"/>
      <c r="AJ906" s="198"/>
      <c r="AK906" s="198"/>
    </row>
    <row r="907">
      <c r="A907" s="198"/>
      <c r="B907" s="198"/>
      <c r="C907" s="198"/>
      <c r="D907" s="198"/>
      <c r="E907" s="198"/>
      <c r="F907" s="198"/>
      <c r="G907" s="198"/>
      <c r="H907" s="198"/>
      <c r="I907" s="198"/>
      <c r="J907" s="198"/>
      <c r="K907" s="198"/>
      <c r="L907" s="198"/>
      <c r="M907" s="198"/>
      <c r="N907" s="198"/>
      <c r="O907" s="198"/>
      <c r="P907" s="198"/>
      <c r="Q907" s="198"/>
      <c r="R907" s="198"/>
      <c r="S907" s="198"/>
      <c r="T907" s="198"/>
      <c r="U907" s="198"/>
      <c r="V907" s="198"/>
      <c r="W907" s="201"/>
      <c r="X907" s="198"/>
      <c r="Y907" s="198"/>
      <c r="Z907" s="198"/>
      <c r="AA907" s="198"/>
      <c r="AB907" s="198"/>
      <c r="AC907" s="198"/>
      <c r="AD907" s="198"/>
      <c r="AE907" s="198"/>
      <c r="AF907" s="198"/>
      <c r="AG907" s="198"/>
      <c r="AH907" s="198"/>
      <c r="AI907" s="198"/>
      <c r="AJ907" s="198"/>
      <c r="AK907" s="198"/>
    </row>
    <row r="908">
      <c r="A908" s="198"/>
      <c r="B908" s="198"/>
      <c r="C908" s="198"/>
      <c r="D908" s="198"/>
      <c r="E908" s="198"/>
      <c r="F908" s="198"/>
      <c r="G908" s="198"/>
      <c r="H908" s="198"/>
      <c r="I908" s="198"/>
      <c r="J908" s="198"/>
      <c r="K908" s="198"/>
      <c r="L908" s="198"/>
      <c r="M908" s="198"/>
      <c r="N908" s="198"/>
      <c r="O908" s="198"/>
      <c r="P908" s="198"/>
      <c r="Q908" s="198"/>
      <c r="R908" s="198"/>
      <c r="S908" s="198"/>
      <c r="T908" s="198"/>
      <c r="U908" s="198"/>
      <c r="V908" s="198"/>
      <c r="W908" s="201"/>
      <c r="X908" s="198"/>
      <c r="Y908" s="198"/>
      <c r="Z908" s="198"/>
      <c r="AA908" s="198"/>
      <c r="AB908" s="198"/>
      <c r="AC908" s="198"/>
      <c r="AD908" s="198"/>
      <c r="AE908" s="198"/>
      <c r="AF908" s="198"/>
      <c r="AG908" s="198"/>
      <c r="AH908" s="198"/>
      <c r="AI908" s="198"/>
      <c r="AJ908" s="198"/>
      <c r="AK908" s="198"/>
    </row>
    <row r="909">
      <c r="A909" s="198"/>
      <c r="B909" s="198"/>
      <c r="C909" s="198"/>
      <c r="D909" s="198"/>
      <c r="E909" s="198"/>
      <c r="F909" s="198"/>
      <c r="G909" s="198"/>
      <c r="H909" s="198"/>
      <c r="I909" s="198"/>
      <c r="J909" s="198"/>
      <c r="K909" s="198"/>
      <c r="L909" s="198"/>
      <c r="M909" s="198"/>
      <c r="N909" s="198"/>
      <c r="O909" s="198"/>
      <c r="P909" s="198"/>
      <c r="Q909" s="198"/>
      <c r="R909" s="198"/>
      <c r="S909" s="198"/>
      <c r="T909" s="198"/>
      <c r="U909" s="198"/>
      <c r="V909" s="198"/>
      <c r="W909" s="201"/>
      <c r="X909" s="198"/>
      <c r="Y909" s="198"/>
      <c r="Z909" s="198"/>
      <c r="AA909" s="198"/>
      <c r="AB909" s="198"/>
      <c r="AC909" s="198"/>
      <c r="AD909" s="198"/>
      <c r="AE909" s="198"/>
      <c r="AF909" s="198"/>
      <c r="AG909" s="198"/>
      <c r="AH909" s="198"/>
      <c r="AI909" s="198"/>
      <c r="AJ909" s="198"/>
      <c r="AK909" s="198"/>
    </row>
    <row r="910">
      <c r="A910" s="198"/>
      <c r="B910" s="198"/>
      <c r="C910" s="198"/>
      <c r="D910" s="198"/>
      <c r="E910" s="198"/>
      <c r="F910" s="198"/>
      <c r="G910" s="198"/>
      <c r="H910" s="198"/>
      <c r="I910" s="198"/>
      <c r="J910" s="198"/>
      <c r="K910" s="198"/>
      <c r="L910" s="198"/>
      <c r="M910" s="198"/>
      <c r="N910" s="198"/>
      <c r="O910" s="198"/>
      <c r="P910" s="198"/>
      <c r="Q910" s="198"/>
      <c r="R910" s="198"/>
      <c r="S910" s="198"/>
      <c r="T910" s="198"/>
      <c r="U910" s="198"/>
      <c r="V910" s="198"/>
      <c r="W910" s="201"/>
      <c r="X910" s="198"/>
      <c r="Y910" s="198"/>
      <c r="Z910" s="198"/>
      <c r="AA910" s="198"/>
      <c r="AB910" s="198"/>
      <c r="AC910" s="198"/>
      <c r="AD910" s="198"/>
      <c r="AE910" s="198"/>
      <c r="AF910" s="198"/>
      <c r="AG910" s="198"/>
      <c r="AH910" s="198"/>
      <c r="AI910" s="198"/>
      <c r="AJ910" s="198"/>
      <c r="AK910" s="198"/>
    </row>
    <row r="911">
      <c r="A911" s="198"/>
      <c r="B911" s="198"/>
      <c r="C911" s="198"/>
      <c r="D911" s="198"/>
      <c r="E911" s="198"/>
      <c r="F911" s="198"/>
      <c r="G911" s="198"/>
      <c r="H911" s="198"/>
      <c r="I911" s="198"/>
      <c r="J911" s="198"/>
      <c r="K911" s="198"/>
      <c r="L911" s="198"/>
      <c r="M911" s="198"/>
      <c r="N911" s="198"/>
      <c r="O911" s="198"/>
      <c r="P911" s="198"/>
      <c r="Q911" s="198"/>
      <c r="R911" s="198"/>
      <c r="S911" s="198"/>
      <c r="T911" s="198"/>
      <c r="U911" s="198"/>
      <c r="V911" s="198"/>
      <c r="W911" s="201"/>
      <c r="X911" s="198"/>
      <c r="Y911" s="198"/>
      <c r="Z911" s="198"/>
      <c r="AA911" s="198"/>
      <c r="AB911" s="198"/>
      <c r="AC911" s="198"/>
      <c r="AD911" s="198"/>
      <c r="AE911" s="198"/>
      <c r="AF911" s="198"/>
      <c r="AG911" s="198"/>
      <c r="AH911" s="198"/>
      <c r="AI911" s="198"/>
      <c r="AJ911" s="198"/>
      <c r="AK911" s="198"/>
    </row>
    <row r="912">
      <c r="A912" s="198"/>
      <c r="B912" s="198"/>
      <c r="C912" s="198"/>
      <c r="D912" s="198"/>
      <c r="E912" s="198"/>
      <c r="F912" s="198"/>
      <c r="G912" s="198"/>
      <c r="H912" s="198"/>
      <c r="I912" s="198"/>
      <c r="J912" s="198"/>
      <c r="K912" s="198"/>
      <c r="L912" s="198"/>
      <c r="M912" s="198"/>
      <c r="N912" s="198"/>
      <c r="O912" s="198"/>
      <c r="P912" s="198"/>
      <c r="Q912" s="198"/>
      <c r="R912" s="198"/>
      <c r="S912" s="198"/>
      <c r="T912" s="198"/>
      <c r="U912" s="198"/>
      <c r="V912" s="198"/>
      <c r="W912" s="201"/>
      <c r="X912" s="198"/>
      <c r="Y912" s="198"/>
      <c r="Z912" s="198"/>
      <c r="AA912" s="198"/>
      <c r="AB912" s="198"/>
      <c r="AC912" s="198"/>
      <c r="AD912" s="198"/>
      <c r="AE912" s="198"/>
      <c r="AF912" s="198"/>
      <c r="AG912" s="198"/>
      <c r="AH912" s="198"/>
      <c r="AI912" s="198"/>
      <c r="AJ912" s="198"/>
      <c r="AK912" s="198"/>
    </row>
    <row r="913">
      <c r="A913" s="198"/>
      <c r="B913" s="198"/>
      <c r="C913" s="198"/>
      <c r="D913" s="198"/>
      <c r="E913" s="198"/>
      <c r="F913" s="198"/>
      <c r="G913" s="198"/>
      <c r="H913" s="198"/>
      <c r="I913" s="198"/>
      <c r="J913" s="198"/>
      <c r="K913" s="198"/>
      <c r="L913" s="198"/>
      <c r="M913" s="198"/>
      <c r="N913" s="198"/>
      <c r="O913" s="198"/>
      <c r="P913" s="198"/>
      <c r="Q913" s="198"/>
      <c r="R913" s="198"/>
      <c r="S913" s="198"/>
      <c r="T913" s="198"/>
      <c r="U913" s="198"/>
      <c r="V913" s="198"/>
      <c r="W913" s="201"/>
      <c r="X913" s="198"/>
      <c r="Y913" s="198"/>
      <c r="Z913" s="198"/>
      <c r="AA913" s="198"/>
      <c r="AB913" s="198"/>
      <c r="AC913" s="198"/>
      <c r="AD913" s="198"/>
      <c r="AE913" s="198"/>
      <c r="AF913" s="198"/>
      <c r="AG913" s="198"/>
      <c r="AH913" s="198"/>
      <c r="AI913" s="198"/>
      <c r="AJ913" s="198"/>
      <c r="AK913" s="198"/>
    </row>
    <row r="914">
      <c r="A914" s="198"/>
      <c r="B914" s="198"/>
      <c r="C914" s="198"/>
      <c r="D914" s="198"/>
      <c r="E914" s="198"/>
      <c r="F914" s="198"/>
      <c r="G914" s="198"/>
      <c r="H914" s="198"/>
      <c r="I914" s="198"/>
      <c r="J914" s="198"/>
      <c r="K914" s="198"/>
      <c r="L914" s="198"/>
      <c r="M914" s="198"/>
      <c r="N914" s="198"/>
      <c r="O914" s="198"/>
      <c r="P914" s="198"/>
      <c r="Q914" s="198"/>
      <c r="R914" s="198"/>
      <c r="S914" s="198"/>
      <c r="T914" s="198"/>
      <c r="U914" s="198"/>
      <c r="V914" s="198"/>
      <c r="W914" s="201"/>
      <c r="X914" s="198"/>
      <c r="Y914" s="198"/>
      <c r="Z914" s="198"/>
      <c r="AA914" s="198"/>
      <c r="AB914" s="198"/>
      <c r="AC914" s="198"/>
      <c r="AD914" s="198"/>
      <c r="AE914" s="198"/>
      <c r="AF914" s="198"/>
      <c r="AG914" s="198"/>
      <c r="AH914" s="198"/>
      <c r="AI914" s="198"/>
      <c r="AJ914" s="198"/>
      <c r="AK914" s="198"/>
    </row>
    <row r="915">
      <c r="A915" s="198"/>
      <c r="B915" s="198"/>
      <c r="C915" s="198"/>
      <c r="D915" s="198"/>
      <c r="E915" s="198"/>
      <c r="F915" s="198"/>
      <c r="G915" s="198"/>
      <c r="H915" s="198"/>
      <c r="I915" s="198"/>
      <c r="J915" s="198"/>
      <c r="K915" s="198"/>
      <c r="L915" s="198"/>
      <c r="M915" s="198"/>
      <c r="N915" s="198"/>
      <c r="O915" s="198"/>
      <c r="P915" s="198"/>
      <c r="Q915" s="198"/>
      <c r="R915" s="198"/>
      <c r="S915" s="198"/>
      <c r="T915" s="198"/>
      <c r="U915" s="198"/>
      <c r="V915" s="198"/>
      <c r="W915" s="201"/>
      <c r="X915" s="198"/>
      <c r="Y915" s="198"/>
      <c r="Z915" s="198"/>
      <c r="AA915" s="198"/>
      <c r="AB915" s="198"/>
      <c r="AC915" s="198"/>
      <c r="AD915" s="198"/>
      <c r="AE915" s="198"/>
      <c r="AF915" s="198"/>
      <c r="AG915" s="198"/>
      <c r="AH915" s="198"/>
      <c r="AI915" s="198"/>
      <c r="AJ915" s="198"/>
      <c r="AK915" s="198"/>
    </row>
    <row r="916">
      <c r="A916" s="198"/>
      <c r="B916" s="198"/>
      <c r="C916" s="198"/>
      <c r="D916" s="198"/>
      <c r="E916" s="198"/>
      <c r="F916" s="198"/>
      <c r="G916" s="198"/>
      <c r="H916" s="198"/>
      <c r="I916" s="198"/>
      <c r="J916" s="198"/>
      <c r="K916" s="198"/>
      <c r="L916" s="198"/>
      <c r="M916" s="198"/>
      <c r="N916" s="198"/>
      <c r="O916" s="198"/>
      <c r="P916" s="198"/>
      <c r="Q916" s="198"/>
      <c r="R916" s="198"/>
      <c r="S916" s="198"/>
      <c r="T916" s="198"/>
      <c r="U916" s="198"/>
      <c r="V916" s="198"/>
      <c r="W916" s="201"/>
      <c r="X916" s="198"/>
      <c r="Y916" s="198"/>
      <c r="Z916" s="198"/>
      <c r="AA916" s="198"/>
      <c r="AB916" s="198"/>
      <c r="AC916" s="198"/>
      <c r="AD916" s="198"/>
      <c r="AE916" s="198"/>
      <c r="AF916" s="198"/>
      <c r="AG916" s="198"/>
      <c r="AH916" s="198"/>
      <c r="AI916" s="198"/>
      <c r="AJ916" s="198"/>
      <c r="AK916" s="198"/>
    </row>
    <row r="917">
      <c r="A917" s="198"/>
      <c r="B917" s="198"/>
      <c r="C917" s="198"/>
      <c r="D917" s="198"/>
      <c r="E917" s="198"/>
      <c r="F917" s="198"/>
      <c r="G917" s="198"/>
      <c r="H917" s="198"/>
      <c r="I917" s="198"/>
      <c r="J917" s="198"/>
      <c r="K917" s="198"/>
      <c r="L917" s="198"/>
      <c r="M917" s="198"/>
      <c r="N917" s="198"/>
      <c r="O917" s="198"/>
      <c r="P917" s="198"/>
      <c r="Q917" s="198"/>
      <c r="R917" s="198"/>
      <c r="S917" s="198"/>
      <c r="T917" s="198"/>
      <c r="U917" s="198"/>
      <c r="V917" s="198"/>
      <c r="W917" s="201"/>
      <c r="X917" s="198"/>
      <c r="Y917" s="198"/>
      <c r="Z917" s="198"/>
      <c r="AA917" s="198"/>
      <c r="AB917" s="198"/>
      <c r="AC917" s="198"/>
      <c r="AD917" s="198"/>
      <c r="AE917" s="198"/>
      <c r="AF917" s="198"/>
      <c r="AG917" s="198"/>
      <c r="AH917" s="198"/>
      <c r="AI917" s="198"/>
      <c r="AJ917" s="198"/>
      <c r="AK917" s="198"/>
    </row>
    <row r="918">
      <c r="A918" s="198"/>
      <c r="B918" s="198"/>
      <c r="C918" s="198"/>
      <c r="D918" s="198"/>
      <c r="E918" s="198"/>
      <c r="F918" s="198"/>
      <c r="G918" s="198"/>
      <c r="H918" s="198"/>
      <c r="I918" s="198"/>
      <c r="J918" s="198"/>
      <c r="K918" s="198"/>
      <c r="L918" s="198"/>
      <c r="M918" s="198"/>
      <c r="N918" s="198"/>
      <c r="O918" s="198"/>
      <c r="P918" s="198"/>
      <c r="Q918" s="198"/>
      <c r="R918" s="198"/>
      <c r="S918" s="198"/>
      <c r="T918" s="198"/>
      <c r="U918" s="198"/>
      <c r="V918" s="198"/>
      <c r="W918" s="201"/>
      <c r="X918" s="198"/>
      <c r="Y918" s="198"/>
      <c r="Z918" s="198"/>
      <c r="AA918" s="198"/>
      <c r="AB918" s="198"/>
      <c r="AC918" s="198"/>
      <c r="AD918" s="198"/>
      <c r="AE918" s="198"/>
      <c r="AF918" s="198"/>
      <c r="AG918" s="198"/>
      <c r="AH918" s="198"/>
      <c r="AI918" s="198"/>
      <c r="AJ918" s="198"/>
      <c r="AK918" s="198"/>
    </row>
    <row r="919">
      <c r="A919" s="198"/>
      <c r="B919" s="198"/>
      <c r="C919" s="198"/>
      <c r="D919" s="198"/>
      <c r="E919" s="198"/>
      <c r="F919" s="198"/>
      <c r="G919" s="198"/>
      <c r="H919" s="198"/>
      <c r="I919" s="198"/>
      <c r="J919" s="198"/>
      <c r="K919" s="198"/>
      <c r="L919" s="198"/>
      <c r="M919" s="198"/>
      <c r="N919" s="198"/>
      <c r="O919" s="198"/>
      <c r="P919" s="198"/>
      <c r="Q919" s="198"/>
      <c r="R919" s="198"/>
      <c r="S919" s="198"/>
      <c r="T919" s="198"/>
      <c r="U919" s="198"/>
      <c r="V919" s="198"/>
      <c r="W919" s="201"/>
      <c r="X919" s="198"/>
      <c r="Y919" s="198"/>
      <c r="Z919" s="198"/>
      <c r="AA919" s="198"/>
      <c r="AB919" s="198"/>
      <c r="AC919" s="198"/>
      <c r="AD919" s="198"/>
      <c r="AE919" s="198"/>
      <c r="AF919" s="198"/>
      <c r="AG919" s="198"/>
      <c r="AH919" s="198"/>
      <c r="AI919" s="198"/>
      <c r="AJ919" s="198"/>
      <c r="AK919" s="198"/>
    </row>
    <row r="920">
      <c r="A920" s="198"/>
      <c r="B920" s="198"/>
      <c r="C920" s="198"/>
      <c r="D920" s="198"/>
      <c r="E920" s="198"/>
      <c r="F920" s="198"/>
      <c r="G920" s="198"/>
      <c r="H920" s="198"/>
      <c r="I920" s="198"/>
      <c r="J920" s="198"/>
      <c r="K920" s="198"/>
      <c r="L920" s="198"/>
      <c r="M920" s="198"/>
      <c r="N920" s="198"/>
      <c r="O920" s="198"/>
      <c r="P920" s="198"/>
      <c r="Q920" s="198"/>
      <c r="R920" s="198"/>
      <c r="S920" s="198"/>
      <c r="T920" s="198"/>
      <c r="U920" s="198"/>
      <c r="V920" s="198"/>
      <c r="W920" s="201"/>
      <c r="X920" s="198"/>
      <c r="Y920" s="198"/>
      <c r="Z920" s="198"/>
      <c r="AA920" s="198"/>
      <c r="AB920" s="198"/>
      <c r="AC920" s="198"/>
      <c r="AD920" s="198"/>
      <c r="AE920" s="198"/>
      <c r="AF920" s="198"/>
      <c r="AG920" s="198"/>
      <c r="AH920" s="198"/>
      <c r="AI920" s="198"/>
      <c r="AJ920" s="198"/>
      <c r="AK920" s="198"/>
    </row>
    <row r="921">
      <c r="A921" s="198"/>
      <c r="B921" s="198"/>
      <c r="C921" s="198"/>
      <c r="D921" s="198"/>
      <c r="E921" s="198"/>
      <c r="F921" s="198"/>
      <c r="G921" s="198"/>
      <c r="H921" s="198"/>
      <c r="I921" s="198"/>
      <c r="J921" s="198"/>
      <c r="K921" s="198"/>
      <c r="L921" s="198"/>
      <c r="M921" s="198"/>
      <c r="N921" s="198"/>
      <c r="O921" s="198"/>
      <c r="P921" s="198"/>
      <c r="Q921" s="198"/>
      <c r="R921" s="198"/>
      <c r="S921" s="198"/>
      <c r="T921" s="198"/>
      <c r="U921" s="198"/>
      <c r="V921" s="198"/>
      <c r="W921" s="201"/>
      <c r="X921" s="198"/>
      <c r="Y921" s="198"/>
      <c r="Z921" s="198"/>
      <c r="AA921" s="198"/>
      <c r="AB921" s="198"/>
      <c r="AC921" s="198"/>
      <c r="AD921" s="198"/>
      <c r="AE921" s="198"/>
      <c r="AF921" s="198"/>
      <c r="AG921" s="198"/>
      <c r="AH921" s="198"/>
      <c r="AI921" s="198"/>
      <c r="AJ921" s="198"/>
      <c r="AK921" s="198"/>
    </row>
    <row r="922">
      <c r="A922" s="198"/>
      <c r="B922" s="198"/>
      <c r="C922" s="198"/>
      <c r="D922" s="198"/>
      <c r="E922" s="198"/>
      <c r="F922" s="198"/>
      <c r="G922" s="198"/>
      <c r="H922" s="198"/>
      <c r="I922" s="198"/>
      <c r="J922" s="198"/>
      <c r="K922" s="198"/>
      <c r="L922" s="198"/>
      <c r="M922" s="198"/>
      <c r="N922" s="198"/>
      <c r="O922" s="198"/>
      <c r="P922" s="198"/>
      <c r="Q922" s="198"/>
      <c r="R922" s="198"/>
      <c r="S922" s="198"/>
      <c r="T922" s="198"/>
      <c r="U922" s="198"/>
      <c r="V922" s="198"/>
      <c r="W922" s="201"/>
      <c r="X922" s="198"/>
      <c r="Y922" s="198"/>
      <c r="Z922" s="198"/>
      <c r="AA922" s="198"/>
      <c r="AB922" s="198"/>
      <c r="AC922" s="198"/>
      <c r="AD922" s="198"/>
      <c r="AE922" s="198"/>
      <c r="AF922" s="198"/>
      <c r="AG922" s="198"/>
      <c r="AH922" s="198"/>
      <c r="AI922" s="198"/>
      <c r="AJ922" s="198"/>
      <c r="AK922" s="198"/>
    </row>
    <row r="923">
      <c r="A923" s="198"/>
      <c r="B923" s="198"/>
      <c r="C923" s="198"/>
      <c r="D923" s="198"/>
      <c r="E923" s="198"/>
      <c r="F923" s="198"/>
      <c r="G923" s="198"/>
      <c r="H923" s="198"/>
      <c r="I923" s="198"/>
      <c r="J923" s="198"/>
      <c r="K923" s="198"/>
      <c r="L923" s="198"/>
      <c r="M923" s="198"/>
      <c r="N923" s="198"/>
      <c r="O923" s="198"/>
      <c r="P923" s="198"/>
      <c r="Q923" s="198"/>
      <c r="R923" s="198"/>
      <c r="S923" s="198"/>
      <c r="T923" s="198"/>
      <c r="U923" s="198"/>
      <c r="V923" s="198"/>
      <c r="W923" s="201"/>
      <c r="X923" s="198"/>
      <c r="Y923" s="198"/>
      <c r="Z923" s="198"/>
      <c r="AA923" s="198"/>
      <c r="AB923" s="198"/>
      <c r="AC923" s="198"/>
      <c r="AD923" s="198"/>
      <c r="AE923" s="198"/>
      <c r="AF923" s="198"/>
      <c r="AG923" s="198"/>
      <c r="AH923" s="198"/>
      <c r="AI923" s="198"/>
      <c r="AJ923" s="198"/>
      <c r="AK923" s="198"/>
    </row>
    <row r="924">
      <c r="A924" s="198"/>
      <c r="B924" s="198"/>
      <c r="C924" s="198"/>
      <c r="D924" s="198"/>
      <c r="E924" s="198"/>
      <c r="F924" s="198"/>
      <c r="G924" s="198"/>
      <c r="H924" s="198"/>
      <c r="I924" s="198"/>
      <c r="J924" s="198"/>
      <c r="K924" s="198"/>
      <c r="L924" s="198"/>
      <c r="M924" s="198"/>
      <c r="N924" s="198"/>
      <c r="O924" s="198"/>
      <c r="P924" s="198"/>
      <c r="Q924" s="198"/>
      <c r="R924" s="198"/>
      <c r="S924" s="198"/>
      <c r="T924" s="198"/>
      <c r="U924" s="198"/>
      <c r="V924" s="198"/>
      <c r="W924" s="201"/>
      <c r="X924" s="198"/>
      <c r="Y924" s="198"/>
      <c r="Z924" s="198"/>
      <c r="AA924" s="198"/>
      <c r="AB924" s="198"/>
      <c r="AC924" s="198"/>
      <c r="AD924" s="198"/>
      <c r="AE924" s="198"/>
      <c r="AF924" s="198"/>
      <c r="AG924" s="198"/>
      <c r="AH924" s="198"/>
      <c r="AI924" s="198"/>
      <c r="AJ924" s="198"/>
      <c r="AK924" s="198"/>
    </row>
    <row r="925">
      <c r="A925" s="198"/>
      <c r="B925" s="198"/>
      <c r="C925" s="198"/>
      <c r="D925" s="198"/>
      <c r="E925" s="198"/>
      <c r="F925" s="198"/>
      <c r="G925" s="198"/>
      <c r="H925" s="198"/>
      <c r="I925" s="198"/>
      <c r="J925" s="198"/>
      <c r="K925" s="198"/>
      <c r="L925" s="198"/>
      <c r="M925" s="198"/>
      <c r="N925" s="198"/>
      <c r="O925" s="198"/>
      <c r="P925" s="198"/>
      <c r="Q925" s="198"/>
      <c r="R925" s="198"/>
      <c r="S925" s="198"/>
      <c r="T925" s="198"/>
      <c r="U925" s="198"/>
      <c r="V925" s="198"/>
      <c r="W925" s="201"/>
      <c r="X925" s="198"/>
      <c r="Y925" s="198"/>
      <c r="Z925" s="198"/>
      <c r="AA925" s="198"/>
      <c r="AB925" s="198"/>
      <c r="AC925" s="198"/>
      <c r="AD925" s="198"/>
      <c r="AE925" s="198"/>
      <c r="AF925" s="198"/>
      <c r="AG925" s="198"/>
      <c r="AH925" s="198"/>
      <c r="AI925" s="198"/>
      <c r="AJ925" s="198"/>
      <c r="AK925" s="198"/>
    </row>
    <row r="926">
      <c r="A926" s="198"/>
      <c r="B926" s="198"/>
      <c r="C926" s="198"/>
      <c r="D926" s="198"/>
      <c r="E926" s="198"/>
      <c r="F926" s="198"/>
      <c r="G926" s="198"/>
      <c r="H926" s="198"/>
      <c r="I926" s="198"/>
      <c r="J926" s="198"/>
      <c r="K926" s="198"/>
      <c r="L926" s="198"/>
      <c r="M926" s="198"/>
      <c r="N926" s="198"/>
      <c r="O926" s="198"/>
      <c r="P926" s="198"/>
      <c r="Q926" s="198"/>
      <c r="R926" s="198"/>
      <c r="S926" s="198"/>
      <c r="T926" s="198"/>
      <c r="U926" s="198"/>
      <c r="V926" s="198"/>
      <c r="W926" s="201"/>
      <c r="X926" s="198"/>
      <c r="Y926" s="198"/>
      <c r="Z926" s="198"/>
      <c r="AA926" s="198"/>
      <c r="AB926" s="198"/>
      <c r="AC926" s="198"/>
      <c r="AD926" s="198"/>
      <c r="AE926" s="198"/>
      <c r="AF926" s="198"/>
      <c r="AG926" s="198"/>
      <c r="AH926" s="198"/>
      <c r="AI926" s="198"/>
      <c r="AJ926" s="198"/>
      <c r="AK926" s="198"/>
    </row>
    <row r="927">
      <c r="A927" s="198"/>
      <c r="B927" s="198"/>
      <c r="C927" s="198"/>
      <c r="D927" s="198"/>
      <c r="E927" s="198"/>
      <c r="F927" s="198"/>
      <c r="G927" s="198"/>
      <c r="H927" s="198"/>
      <c r="I927" s="198"/>
      <c r="J927" s="198"/>
      <c r="K927" s="198"/>
      <c r="L927" s="198"/>
      <c r="M927" s="198"/>
      <c r="N927" s="198"/>
      <c r="O927" s="198"/>
      <c r="P927" s="198"/>
      <c r="Q927" s="198"/>
      <c r="R927" s="198"/>
      <c r="S927" s="198"/>
      <c r="T927" s="198"/>
      <c r="U927" s="198"/>
      <c r="V927" s="198"/>
      <c r="W927" s="201"/>
      <c r="X927" s="198"/>
      <c r="Y927" s="198"/>
      <c r="Z927" s="198"/>
      <c r="AA927" s="198"/>
      <c r="AB927" s="198"/>
      <c r="AC927" s="198"/>
      <c r="AD927" s="198"/>
      <c r="AE927" s="198"/>
      <c r="AF927" s="198"/>
      <c r="AG927" s="198"/>
      <c r="AH927" s="198"/>
      <c r="AI927" s="198"/>
      <c r="AJ927" s="198"/>
      <c r="AK927" s="198"/>
    </row>
    <row r="928">
      <c r="A928" s="198"/>
      <c r="B928" s="198"/>
      <c r="C928" s="198"/>
      <c r="D928" s="198"/>
      <c r="E928" s="198"/>
      <c r="F928" s="198"/>
      <c r="G928" s="198"/>
      <c r="H928" s="198"/>
      <c r="I928" s="198"/>
      <c r="J928" s="198"/>
      <c r="K928" s="198"/>
      <c r="L928" s="198"/>
      <c r="M928" s="198"/>
      <c r="N928" s="198"/>
      <c r="O928" s="198"/>
      <c r="P928" s="198"/>
      <c r="Q928" s="198"/>
      <c r="R928" s="198"/>
      <c r="S928" s="198"/>
      <c r="T928" s="198"/>
      <c r="U928" s="198"/>
      <c r="V928" s="198"/>
      <c r="W928" s="201"/>
      <c r="X928" s="198"/>
      <c r="Y928" s="198"/>
      <c r="Z928" s="198"/>
      <c r="AA928" s="198"/>
      <c r="AB928" s="198"/>
      <c r="AC928" s="198"/>
      <c r="AD928" s="198"/>
      <c r="AE928" s="198"/>
      <c r="AF928" s="198"/>
      <c r="AG928" s="198"/>
      <c r="AH928" s="198"/>
      <c r="AI928" s="198"/>
      <c r="AJ928" s="198"/>
      <c r="AK928" s="198"/>
    </row>
    <row r="929">
      <c r="A929" s="198"/>
      <c r="B929" s="198"/>
      <c r="C929" s="198"/>
      <c r="D929" s="198"/>
      <c r="E929" s="198"/>
      <c r="F929" s="198"/>
      <c r="G929" s="198"/>
      <c r="H929" s="198"/>
      <c r="I929" s="198"/>
      <c r="J929" s="198"/>
      <c r="K929" s="198"/>
      <c r="L929" s="198"/>
      <c r="M929" s="198"/>
      <c r="N929" s="198"/>
      <c r="O929" s="198"/>
      <c r="P929" s="198"/>
      <c r="Q929" s="198"/>
      <c r="R929" s="198"/>
      <c r="S929" s="198"/>
      <c r="T929" s="198"/>
      <c r="U929" s="198"/>
      <c r="V929" s="198"/>
      <c r="W929" s="201"/>
      <c r="X929" s="198"/>
      <c r="Y929" s="198"/>
      <c r="Z929" s="198"/>
      <c r="AA929" s="198"/>
      <c r="AB929" s="198"/>
      <c r="AC929" s="198"/>
      <c r="AD929" s="198"/>
      <c r="AE929" s="198"/>
      <c r="AF929" s="198"/>
      <c r="AG929" s="198"/>
      <c r="AH929" s="198"/>
      <c r="AI929" s="198"/>
      <c r="AJ929" s="198"/>
      <c r="AK929" s="198"/>
    </row>
    <row r="930">
      <c r="A930" s="198"/>
      <c r="B930" s="198"/>
      <c r="C930" s="198"/>
      <c r="D930" s="198"/>
      <c r="E930" s="198"/>
      <c r="F930" s="198"/>
      <c r="G930" s="198"/>
      <c r="H930" s="198"/>
      <c r="I930" s="198"/>
      <c r="J930" s="198"/>
      <c r="K930" s="198"/>
      <c r="L930" s="198"/>
      <c r="M930" s="198"/>
      <c r="N930" s="198"/>
      <c r="O930" s="198"/>
      <c r="P930" s="198"/>
      <c r="Q930" s="198"/>
      <c r="R930" s="198"/>
      <c r="S930" s="198"/>
      <c r="T930" s="198"/>
      <c r="U930" s="198"/>
      <c r="V930" s="198"/>
      <c r="W930" s="201"/>
      <c r="X930" s="198"/>
      <c r="Y930" s="198"/>
      <c r="Z930" s="198"/>
      <c r="AA930" s="198"/>
      <c r="AB930" s="198"/>
      <c r="AC930" s="198"/>
      <c r="AD930" s="198"/>
      <c r="AE930" s="198"/>
      <c r="AF930" s="198"/>
      <c r="AG930" s="198"/>
      <c r="AH930" s="198"/>
      <c r="AI930" s="198"/>
      <c r="AJ930" s="198"/>
      <c r="AK930" s="198"/>
    </row>
    <row r="931">
      <c r="A931" s="198"/>
      <c r="B931" s="198"/>
      <c r="C931" s="198"/>
      <c r="D931" s="198"/>
      <c r="E931" s="198"/>
      <c r="F931" s="198"/>
      <c r="G931" s="198"/>
      <c r="H931" s="198"/>
      <c r="I931" s="198"/>
      <c r="J931" s="198"/>
      <c r="K931" s="198"/>
      <c r="L931" s="198"/>
      <c r="M931" s="198"/>
      <c r="N931" s="198"/>
      <c r="O931" s="198"/>
      <c r="P931" s="198"/>
      <c r="Q931" s="198"/>
      <c r="R931" s="198"/>
      <c r="S931" s="198"/>
      <c r="T931" s="198"/>
      <c r="U931" s="198"/>
      <c r="V931" s="198"/>
      <c r="W931" s="201"/>
      <c r="X931" s="198"/>
      <c r="Y931" s="198"/>
      <c r="Z931" s="198"/>
      <c r="AA931" s="198"/>
      <c r="AB931" s="198"/>
      <c r="AC931" s="198"/>
      <c r="AD931" s="198"/>
      <c r="AE931" s="198"/>
      <c r="AF931" s="198"/>
      <c r="AG931" s="198"/>
      <c r="AH931" s="198"/>
      <c r="AI931" s="198"/>
      <c r="AJ931" s="198"/>
      <c r="AK931" s="198"/>
    </row>
    <row r="932">
      <c r="A932" s="198"/>
      <c r="B932" s="198"/>
      <c r="C932" s="198"/>
      <c r="D932" s="198"/>
      <c r="E932" s="198"/>
      <c r="F932" s="198"/>
      <c r="G932" s="198"/>
      <c r="H932" s="198"/>
      <c r="I932" s="198"/>
      <c r="J932" s="198"/>
      <c r="K932" s="198"/>
      <c r="L932" s="198"/>
      <c r="M932" s="198"/>
      <c r="N932" s="198"/>
      <c r="O932" s="198"/>
      <c r="P932" s="198"/>
      <c r="Q932" s="198"/>
      <c r="R932" s="198"/>
      <c r="S932" s="198"/>
      <c r="T932" s="198"/>
      <c r="U932" s="198"/>
      <c r="V932" s="198"/>
      <c r="W932" s="201"/>
      <c r="X932" s="198"/>
      <c r="Y932" s="198"/>
      <c r="Z932" s="198"/>
      <c r="AA932" s="198"/>
      <c r="AB932" s="198"/>
      <c r="AC932" s="198"/>
      <c r="AD932" s="198"/>
      <c r="AE932" s="198"/>
      <c r="AF932" s="198"/>
      <c r="AG932" s="198"/>
      <c r="AH932" s="198"/>
      <c r="AI932" s="198"/>
      <c r="AJ932" s="198"/>
      <c r="AK932" s="198"/>
    </row>
    <row r="933">
      <c r="A933" s="198"/>
      <c r="B933" s="198"/>
      <c r="C933" s="198"/>
      <c r="D933" s="198"/>
      <c r="E933" s="198"/>
      <c r="F933" s="198"/>
      <c r="G933" s="198"/>
      <c r="H933" s="198"/>
      <c r="I933" s="198"/>
      <c r="J933" s="198"/>
      <c r="K933" s="198"/>
      <c r="L933" s="198"/>
      <c r="M933" s="198"/>
      <c r="N933" s="198"/>
      <c r="O933" s="198"/>
      <c r="P933" s="198"/>
      <c r="Q933" s="198"/>
      <c r="R933" s="198"/>
      <c r="S933" s="198"/>
      <c r="T933" s="198"/>
      <c r="U933" s="198"/>
      <c r="V933" s="198"/>
      <c r="W933" s="201"/>
      <c r="X933" s="198"/>
      <c r="Y933" s="198"/>
      <c r="Z933" s="198"/>
      <c r="AA933" s="198"/>
      <c r="AB933" s="198"/>
      <c r="AC933" s="198"/>
      <c r="AD933" s="198"/>
      <c r="AE933" s="198"/>
      <c r="AF933" s="198"/>
      <c r="AG933" s="198"/>
      <c r="AH933" s="198"/>
      <c r="AI933" s="198"/>
      <c r="AJ933" s="198"/>
      <c r="AK933" s="198"/>
    </row>
    <row r="934">
      <c r="A934" s="198"/>
      <c r="B934" s="198"/>
      <c r="C934" s="198"/>
      <c r="D934" s="198"/>
      <c r="E934" s="198"/>
      <c r="F934" s="198"/>
      <c r="G934" s="198"/>
      <c r="H934" s="198"/>
      <c r="I934" s="198"/>
      <c r="J934" s="198"/>
      <c r="K934" s="198"/>
      <c r="L934" s="198"/>
      <c r="M934" s="198"/>
      <c r="N934" s="198"/>
      <c r="O934" s="198"/>
      <c r="P934" s="198"/>
      <c r="Q934" s="198"/>
      <c r="R934" s="198"/>
      <c r="S934" s="198"/>
      <c r="T934" s="198"/>
      <c r="U934" s="198"/>
      <c r="V934" s="198"/>
      <c r="W934" s="201"/>
      <c r="X934" s="198"/>
      <c r="Y934" s="198"/>
      <c r="Z934" s="198"/>
      <c r="AA934" s="198"/>
      <c r="AB934" s="198"/>
      <c r="AC934" s="198"/>
      <c r="AD934" s="198"/>
      <c r="AE934" s="198"/>
      <c r="AF934" s="198"/>
      <c r="AG934" s="198"/>
      <c r="AH934" s="198"/>
      <c r="AI934" s="198"/>
      <c r="AJ934" s="198"/>
      <c r="AK934" s="198"/>
    </row>
    <row r="935">
      <c r="A935" s="198"/>
      <c r="B935" s="198"/>
      <c r="C935" s="198"/>
      <c r="D935" s="198"/>
      <c r="E935" s="198"/>
      <c r="F935" s="198"/>
      <c r="G935" s="198"/>
      <c r="H935" s="198"/>
      <c r="I935" s="198"/>
      <c r="J935" s="198"/>
      <c r="K935" s="198"/>
      <c r="L935" s="198"/>
      <c r="M935" s="198"/>
      <c r="N935" s="198"/>
      <c r="O935" s="198"/>
      <c r="P935" s="198"/>
      <c r="Q935" s="198"/>
      <c r="R935" s="198"/>
      <c r="S935" s="198"/>
      <c r="T935" s="198"/>
      <c r="U935" s="198"/>
      <c r="V935" s="198"/>
      <c r="W935" s="201"/>
      <c r="X935" s="198"/>
      <c r="Y935" s="198"/>
      <c r="Z935" s="198"/>
      <c r="AA935" s="198"/>
      <c r="AB935" s="198"/>
      <c r="AC935" s="198"/>
      <c r="AD935" s="198"/>
      <c r="AE935" s="198"/>
      <c r="AF935" s="198"/>
      <c r="AG935" s="198"/>
      <c r="AH935" s="198"/>
      <c r="AI935" s="198"/>
      <c r="AJ935" s="198"/>
      <c r="AK935" s="198"/>
    </row>
    <row r="936">
      <c r="A936" s="198"/>
      <c r="B936" s="198"/>
      <c r="C936" s="198"/>
      <c r="D936" s="198"/>
      <c r="E936" s="198"/>
      <c r="F936" s="198"/>
      <c r="G936" s="198"/>
      <c r="H936" s="198"/>
      <c r="I936" s="198"/>
      <c r="J936" s="198"/>
      <c r="K936" s="198"/>
      <c r="L936" s="198"/>
      <c r="M936" s="198"/>
      <c r="N936" s="198"/>
      <c r="O936" s="198"/>
      <c r="P936" s="198"/>
      <c r="Q936" s="198"/>
      <c r="R936" s="198"/>
      <c r="S936" s="198"/>
      <c r="T936" s="198"/>
      <c r="U936" s="198"/>
      <c r="V936" s="198"/>
      <c r="W936" s="201"/>
      <c r="X936" s="198"/>
      <c r="Y936" s="198"/>
      <c r="Z936" s="198"/>
      <c r="AA936" s="198"/>
      <c r="AB936" s="198"/>
      <c r="AC936" s="198"/>
      <c r="AD936" s="198"/>
      <c r="AE936" s="198"/>
      <c r="AF936" s="198"/>
      <c r="AG936" s="198"/>
      <c r="AH936" s="198"/>
      <c r="AI936" s="198"/>
      <c r="AJ936" s="198"/>
      <c r="AK936" s="198"/>
    </row>
    <row r="937">
      <c r="A937" s="198"/>
      <c r="B937" s="198"/>
      <c r="C937" s="198"/>
      <c r="D937" s="198"/>
      <c r="E937" s="198"/>
      <c r="F937" s="198"/>
      <c r="G937" s="198"/>
      <c r="H937" s="198"/>
      <c r="I937" s="198"/>
      <c r="J937" s="198"/>
      <c r="K937" s="198"/>
      <c r="L937" s="198"/>
      <c r="M937" s="198"/>
      <c r="N937" s="198"/>
      <c r="O937" s="198"/>
      <c r="P937" s="198"/>
      <c r="Q937" s="198"/>
      <c r="R937" s="198"/>
      <c r="S937" s="198"/>
      <c r="T937" s="198"/>
      <c r="U937" s="198"/>
      <c r="V937" s="198"/>
      <c r="W937" s="201"/>
      <c r="X937" s="198"/>
      <c r="Y937" s="198"/>
      <c r="Z937" s="198"/>
      <c r="AA937" s="198"/>
      <c r="AB937" s="198"/>
      <c r="AC937" s="198"/>
      <c r="AD937" s="198"/>
      <c r="AE937" s="198"/>
      <c r="AF937" s="198"/>
      <c r="AG937" s="198"/>
      <c r="AH937" s="198"/>
      <c r="AI937" s="198"/>
      <c r="AJ937" s="198"/>
      <c r="AK937" s="198"/>
    </row>
    <row r="938">
      <c r="A938" s="198"/>
      <c r="B938" s="198"/>
      <c r="C938" s="198"/>
      <c r="D938" s="198"/>
      <c r="E938" s="198"/>
      <c r="F938" s="198"/>
      <c r="G938" s="198"/>
      <c r="H938" s="198"/>
      <c r="I938" s="198"/>
      <c r="J938" s="198"/>
      <c r="K938" s="198"/>
      <c r="L938" s="198"/>
      <c r="M938" s="198"/>
      <c r="N938" s="198"/>
      <c r="O938" s="198"/>
      <c r="P938" s="198"/>
      <c r="Q938" s="198"/>
      <c r="R938" s="198"/>
      <c r="S938" s="198"/>
      <c r="T938" s="198"/>
      <c r="U938" s="198"/>
      <c r="V938" s="198"/>
      <c r="W938" s="201"/>
      <c r="X938" s="198"/>
      <c r="Y938" s="198"/>
      <c r="Z938" s="198"/>
      <c r="AA938" s="198"/>
      <c r="AB938" s="198"/>
      <c r="AC938" s="198"/>
      <c r="AD938" s="198"/>
      <c r="AE938" s="198"/>
      <c r="AF938" s="198"/>
      <c r="AG938" s="198"/>
      <c r="AH938" s="198"/>
      <c r="AI938" s="198"/>
      <c r="AJ938" s="198"/>
      <c r="AK938" s="198"/>
    </row>
    <row r="939">
      <c r="A939" s="198"/>
      <c r="B939" s="198"/>
      <c r="C939" s="198"/>
      <c r="D939" s="198"/>
      <c r="E939" s="198"/>
      <c r="F939" s="198"/>
      <c r="G939" s="198"/>
      <c r="H939" s="198"/>
      <c r="I939" s="198"/>
      <c r="J939" s="198"/>
      <c r="K939" s="198"/>
      <c r="L939" s="198"/>
      <c r="M939" s="198"/>
      <c r="N939" s="198"/>
      <c r="O939" s="198"/>
      <c r="P939" s="198"/>
      <c r="Q939" s="198"/>
      <c r="R939" s="198"/>
      <c r="S939" s="198"/>
      <c r="T939" s="198"/>
      <c r="U939" s="198"/>
      <c r="V939" s="198"/>
      <c r="W939" s="201"/>
      <c r="X939" s="198"/>
      <c r="Y939" s="198"/>
      <c r="Z939" s="198"/>
      <c r="AA939" s="198"/>
      <c r="AB939" s="198"/>
      <c r="AC939" s="198"/>
      <c r="AD939" s="198"/>
      <c r="AE939" s="198"/>
      <c r="AF939" s="198"/>
      <c r="AG939" s="198"/>
      <c r="AH939" s="198"/>
      <c r="AI939" s="198"/>
      <c r="AJ939" s="198"/>
      <c r="AK939" s="198"/>
    </row>
    <row r="940">
      <c r="A940" s="198"/>
      <c r="B940" s="198"/>
      <c r="C940" s="198"/>
      <c r="D940" s="198"/>
      <c r="E940" s="198"/>
      <c r="F940" s="198"/>
      <c r="G940" s="198"/>
      <c r="H940" s="198"/>
      <c r="I940" s="198"/>
      <c r="J940" s="198"/>
      <c r="K940" s="198"/>
      <c r="L940" s="198"/>
      <c r="M940" s="198"/>
      <c r="N940" s="198"/>
      <c r="O940" s="198"/>
      <c r="P940" s="198"/>
      <c r="Q940" s="198"/>
      <c r="R940" s="198"/>
      <c r="S940" s="198"/>
      <c r="T940" s="198"/>
      <c r="U940" s="198"/>
      <c r="V940" s="198"/>
      <c r="W940" s="201"/>
      <c r="X940" s="198"/>
      <c r="Y940" s="198"/>
      <c r="Z940" s="198"/>
      <c r="AA940" s="198"/>
      <c r="AB940" s="198"/>
      <c r="AC940" s="198"/>
      <c r="AD940" s="198"/>
      <c r="AE940" s="198"/>
      <c r="AF940" s="198"/>
      <c r="AG940" s="198"/>
      <c r="AH940" s="198"/>
      <c r="AI940" s="198"/>
      <c r="AJ940" s="198"/>
      <c r="AK940" s="198"/>
    </row>
    <row r="941">
      <c r="A941" s="198"/>
      <c r="B941" s="198"/>
      <c r="C941" s="198"/>
      <c r="D941" s="198"/>
      <c r="E941" s="198"/>
      <c r="F941" s="198"/>
      <c r="G941" s="198"/>
      <c r="H941" s="198"/>
      <c r="I941" s="198"/>
      <c r="J941" s="198"/>
      <c r="K941" s="198"/>
      <c r="L941" s="198"/>
      <c r="M941" s="198"/>
      <c r="N941" s="198"/>
      <c r="O941" s="198"/>
      <c r="P941" s="198"/>
      <c r="Q941" s="198"/>
      <c r="R941" s="198"/>
      <c r="S941" s="198"/>
      <c r="T941" s="198"/>
      <c r="U941" s="198"/>
      <c r="V941" s="198"/>
      <c r="W941" s="201"/>
      <c r="X941" s="198"/>
      <c r="Y941" s="198"/>
      <c r="Z941" s="198"/>
      <c r="AA941" s="198"/>
      <c r="AB941" s="198"/>
      <c r="AC941" s="198"/>
      <c r="AD941" s="198"/>
      <c r="AE941" s="198"/>
      <c r="AF941" s="198"/>
      <c r="AG941" s="198"/>
      <c r="AH941" s="198"/>
      <c r="AI941" s="198"/>
      <c r="AJ941" s="198"/>
      <c r="AK941" s="198"/>
    </row>
    <row r="942">
      <c r="A942" s="198"/>
      <c r="B942" s="198"/>
      <c r="C942" s="198"/>
      <c r="D942" s="198"/>
      <c r="E942" s="198"/>
      <c r="F942" s="198"/>
      <c r="G942" s="198"/>
      <c r="H942" s="198"/>
      <c r="I942" s="198"/>
      <c r="J942" s="198"/>
      <c r="K942" s="198"/>
      <c r="L942" s="198"/>
      <c r="M942" s="198"/>
      <c r="N942" s="198"/>
      <c r="O942" s="198"/>
      <c r="P942" s="198"/>
      <c r="Q942" s="198"/>
      <c r="R942" s="198"/>
      <c r="S942" s="198"/>
      <c r="T942" s="198"/>
      <c r="U942" s="198"/>
      <c r="V942" s="198"/>
      <c r="W942" s="201"/>
      <c r="X942" s="198"/>
      <c r="Y942" s="198"/>
      <c r="Z942" s="198"/>
      <c r="AA942" s="198"/>
      <c r="AB942" s="198"/>
      <c r="AC942" s="198"/>
      <c r="AD942" s="198"/>
      <c r="AE942" s="198"/>
      <c r="AF942" s="198"/>
      <c r="AG942" s="198"/>
      <c r="AH942" s="198"/>
      <c r="AI942" s="198"/>
      <c r="AJ942" s="198"/>
      <c r="AK942" s="198"/>
    </row>
    <row r="943">
      <c r="A943" s="198"/>
      <c r="B943" s="198"/>
      <c r="C943" s="198"/>
      <c r="D943" s="198"/>
      <c r="E943" s="198"/>
      <c r="F943" s="198"/>
      <c r="G943" s="198"/>
      <c r="H943" s="198"/>
      <c r="I943" s="198"/>
      <c r="J943" s="198"/>
      <c r="K943" s="198"/>
      <c r="L943" s="198"/>
      <c r="M943" s="198"/>
      <c r="N943" s="198"/>
      <c r="O943" s="198"/>
      <c r="P943" s="198"/>
      <c r="Q943" s="198"/>
      <c r="R943" s="198"/>
      <c r="S943" s="198"/>
      <c r="T943" s="198"/>
      <c r="U943" s="198"/>
      <c r="V943" s="198"/>
      <c r="W943" s="201"/>
      <c r="X943" s="198"/>
      <c r="Y943" s="198"/>
      <c r="Z943" s="198"/>
      <c r="AA943" s="198"/>
      <c r="AB943" s="198"/>
      <c r="AC943" s="198"/>
      <c r="AD943" s="198"/>
      <c r="AE943" s="198"/>
      <c r="AF943" s="198"/>
      <c r="AG943" s="198"/>
      <c r="AH943" s="198"/>
      <c r="AI943" s="198"/>
      <c r="AJ943" s="198"/>
      <c r="AK943" s="198"/>
    </row>
    <row r="944">
      <c r="A944" s="198"/>
      <c r="B944" s="198"/>
      <c r="C944" s="198"/>
      <c r="D944" s="198"/>
      <c r="E944" s="198"/>
      <c r="F944" s="198"/>
      <c r="G944" s="198"/>
      <c r="H944" s="198"/>
      <c r="I944" s="198"/>
      <c r="J944" s="198"/>
      <c r="K944" s="198"/>
      <c r="L944" s="198"/>
      <c r="M944" s="198"/>
      <c r="N944" s="198"/>
      <c r="O944" s="198"/>
      <c r="P944" s="198"/>
      <c r="Q944" s="198"/>
      <c r="R944" s="198"/>
      <c r="S944" s="198"/>
      <c r="T944" s="198"/>
      <c r="U944" s="198"/>
      <c r="V944" s="198"/>
      <c r="W944" s="201"/>
      <c r="X944" s="198"/>
      <c r="Y944" s="198"/>
      <c r="Z944" s="198"/>
      <c r="AA944" s="198"/>
      <c r="AB944" s="198"/>
      <c r="AC944" s="198"/>
      <c r="AD944" s="198"/>
      <c r="AE944" s="198"/>
      <c r="AF944" s="198"/>
      <c r="AG944" s="198"/>
      <c r="AH944" s="198"/>
      <c r="AI944" s="198"/>
      <c r="AJ944" s="198"/>
      <c r="AK944" s="198"/>
    </row>
    <row r="945">
      <c r="A945" s="198"/>
      <c r="B945" s="198"/>
      <c r="C945" s="198"/>
      <c r="D945" s="198"/>
      <c r="E945" s="198"/>
      <c r="F945" s="198"/>
      <c r="G945" s="198"/>
      <c r="H945" s="198"/>
      <c r="I945" s="198"/>
      <c r="J945" s="198"/>
      <c r="K945" s="198"/>
      <c r="L945" s="198"/>
      <c r="M945" s="198"/>
      <c r="N945" s="198"/>
      <c r="O945" s="198"/>
      <c r="P945" s="198"/>
      <c r="Q945" s="198"/>
      <c r="R945" s="198"/>
      <c r="S945" s="198"/>
      <c r="T945" s="198"/>
      <c r="U945" s="198"/>
      <c r="V945" s="198"/>
      <c r="W945" s="201"/>
      <c r="X945" s="198"/>
      <c r="Y945" s="198"/>
      <c r="Z945" s="198"/>
      <c r="AA945" s="198"/>
      <c r="AB945" s="198"/>
      <c r="AC945" s="198"/>
      <c r="AD945" s="198"/>
      <c r="AE945" s="198"/>
      <c r="AF945" s="198"/>
      <c r="AG945" s="198"/>
      <c r="AH945" s="198"/>
      <c r="AI945" s="198"/>
      <c r="AJ945" s="198"/>
      <c r="AK945" s="198"/>
    </row>
    <row r="946">
      <c r="A946" s="198"/>
      <c r="B946" s="198"/>
      <c r="C946" s="198"/>
      <c r="D946" s="198"/>
      <c r="E946" s="198"/>
      <c r="F946" s="198"/>
      <c r="G946" s="198"/>
      <c r="H946" s="198"/>
      <c r="I946" s="198"/>
      <c r="J946" s="198"/>
      <c r="K946" s="198"/>
      <c r="L946" s="198"/>
      <c r="M946" s="198"/>
      <c r="N946" s="198"/>
      <c r="O946" s="198"/>
      <c r="P946" s="198"/>
      <c r="Q946" s="198"/>
      <c r="R946" s="198"/>
      <c r="S946" s="198"/>
      <c r="T946" s="198"/>
      <c r="U946" s="198"/>
      <c r="V946" s="198"/>
      <c r="W946" s="201"/>
      <c r="X946" s="198"/>
      <c r="Y946" s="198"/>
      <c r="Z946" s="198"/>
      <c r="AA946" s="198"/>
      <c r="AB946" s="198"/>
      <c r="AC946" s="198"/>
      <c r="AD946" s="198"/>
      <c r="AE946" s="198"/>
      <c r="AF946" s="198"/>
      <c r="AG946" s="198"/>
      <c r="AH946" s="198"/>
      <c r="AI946" s="198"/>
      <c r="AJ946" s="198"/>
      <c r="AK946" s="198"/>
    </row>
    <row r="947">
      <c r="A947" s="198"/>
      <c r="B947" s="198"/>
      <c r="C947" s="198"/>
      <c r="D947" s="198"/>
      <c r="E947" s="198"/>
      <c r="F947" s="198"/>
      <c r="G947" s="198"/>
      <c r="H947" s="198"/>
      <c r="I947" s="198"/>
      <c r="J947" s="198"/>
      <c r="K947" s="198"/>
      <c r="L947" s="198"/>
      <c r="M947" s="198"/>
      <c r="N947" s="198"/>
      <c r="O947" s="198"/>
      <c r="P947" s="198"/>
      <c r="Q947" s="198"/>
      <c r="R947" s="198"/>
      <c r="S947" s="198"/>
      <c r="T947" s="198"/>
      <c r="U947" s="198"/>
      <c r="V947" s="198"/>
      <c r="W947" s="201"/>
      <c r="X947" s="198"/>
      <c r="Y947" s="198"/>
      <c r="Z947" s="198"/>
      <c r="AA947" s="198"/>
      <c r="AB947" s="198"/>
      <c r="AC947" s="198"/>
      <c r="AD947" s="198"/>
      <c r="AE947" s="198"/>
      <c r="AF947" s="198"/>
      <c r="AG947" s="198"/>
      <c r="AH947" s="198"/>
      <c r="AI947" s="198"/>
      <c r="AJ947" s="198"/>
      <c r="AK947" s="198"/>
    </row>
    <row r="948">
      <c r="A948" s="198"/>
      <c r="B948" s="198"/>
      <c r="C948" s="198"/>
      <c r="D948" s="198"/>
      <c r="E948" s="198"/>
      <c r="F948" s="198"/>
      <c r="G948" s="198"/>
      <c r="H948" s="198"/>
      <c r="I948" s="198"/>
      <c r="J948" s="198"/>
      <c r="K948" s="198"/>
      <c r="L948" s="198"/>
      <c r="M948" s="198"/>
      <c r="N948" s="198"/>
      <c r="O948" s="198"/>
      <c r="P948" s="198"/>
      <c r="Q948" s="198"/>
      <c r="R948" s="198"/>
      <c r="S948" s="198"/>
      <c r="T948" s="198"/>
      <c r="U948" s="198"/>
      <c r="V948" s="198"/>
      <c r="W948" s="201"/>
      <c r="X948" s="198"/>
      <c r="Y948" s="198"/>
      <c r="Z948" s="198"/>
      <c r="AA948" s="198"/>
      <c r="AB948" s="198"/>
      <c r="AC948" s="198"/>
      <c r="AD948" s="198"/>
      <c r="AE948" s="198"/>
      <c r="AF948" s="198"/>
      <c r="AG948" s="198"/>
      <c r="AH948" s="198"/>
      <c r="AI948" s="198"/>
      <c r="AJ948" s="198"/>
      <c r="AK948" s="198"/>
    </row>
    <row r="949">
      <c r="A949" s="198"/>
      <c r="B949" s="198"/>
      <c r="C949" s="198"/>
      <c r="D949" s="198"/>
      <c r="E949" s="198"/>
      <c r="F949" s="198"/>
      <c r="G949" s="198"/>
      <c r="H949" s="198"/>
      <c r="I949" s="198"/>
      <c r="J949" s="198"/>
      <c r="K949" s="198"/>
      <c r="L949" s="198"/>
      <c r="M949" s="198"/>
      <c r="N949" s="198"/>
      <c r="O949" s="198"/>
      <c r="P949" s="198"/>
      <c r="Q949" s="198"/>
      <c r="R949" s="198"/>
      <c r="S949" s="198"/>
      <c r="T949" s="198"/>
      <c r="U949" s="198"/>
      <c r="V949" s="198"/>
      <c r="W949" s="201"/>
      <c r="X949" s="198"/>
      <c r="Y949" s="198"/>
      <c r="Z949" s="198"/>
      <c r="AA949" s="198"/>
      <c r="AB949" s="198"/>
      <c r="AC949" s="198"/>
      <c r="AD949" s="198"/>
      <c r="AE949" s="198"/>
      <c r="AF949" s="198"/>
      <c r="AG949" s="198"/>
      <c r="AH949" s="198"/>
      <c r="AI949" s="198"/>
      <c r="AJ949" s="198"/>
      <c r="AK949" s="198"/>
    </row>
    <row r="950">
      <c r="A950" s="198"/>
      <c r="B950" s="198"/>
      <c r="C950" s="198"/>
      <c r="D950" s="198"/>
      <c r="E950" s="198"/>
      <c r="F950" s="198"/>
      <c r="G950" s="198"/>
      <c r="H950" s="198"/>
      <c r="I950" s="198"/>
      <c r="J950" s="198"/>
      <c r="K950" s="198"/>
      <c r="L950" s="198"/>
      <c r="M950" s="198"/>
      <c r="N950" s="198"/>
      <c r="O950" s="198"/>
      <c r="P950" s="198"/>
      <c r="Q950" s="198"/>
      <c r="R950" s="198"/>
      <c r="S950" s="198"/>
      <c r="T950" s="198"/>
      <c r="U950" s="198"/>
      <c r="V950" s="198"/>
      <c r="W950" s="201"/>
      <c r="X950" s="198"/>
      <c r="Y950" s="198"/>
      <c r="Z950" s="198"/>
      <c r="AA950" s="198"/>
      <c r="AB950" s="198"/>
      <c r="AC950" s="198"/>
      <c r="AD950" s="198"/>
      <c r="AE950" s="198"/>
      <c r="AF950" s="198"/>
      <c r="AG950" s="198"/>
      <c r="AH950" s="198"/>
      <c r="AI950" s="198"/>
      <c r="AJ950" s="198"/>
      <c r="AK950" s="198"/>
    </row>
    <row r="951">
      <c r="A951" s="198"/>
      <c r="B951" s="198"/>
      <c r="C951" s="198"/>
      <c r="D951" s="198"/>
      <c r="E951" s="198"/>
      <c r="F951" s="198"/>
      <c r="G951" s="198"/>
      <c r="H951" s="198"/>
      <c r="I951" s="198"/>
      <c r="J951" s="198"/>
      <c r="K951" s="198"/>
      <c r="L951" s="198"/>
      <c r="M951" s="198"/>
      <c r="N951" s="198"/>
      <c r="O951" s="198"/>
      <c r="P951" s="198"/>
      <c r="Q951" s="198"/>
      <c r="R951" s="198"/>
      <c r="S951" s="198"/>
      <c r="T951" s="198"/>
      <c r="U951" s="198"/>
      <c r="V951" s="198"/>
      <c r="W951" s="201"/>
      <c r="X951" s="198"/>
      <c r="Y951" s="198"/>
      <c r="Z951" s="198"/>
      <c r="AA951" s="198"/>
      <c r="AB951" s="198"/>
      <c r="AC951" s="198"/>
      <c r="AD951" s="198"/>
      <c r="AE951" s="198"/>
      <c r="AF951" s="198"/>
      <c r="AG951" s="198"/>
      <c r="AH951" s="198"/>
      <c r="AI951" s="198"/>
      <c r="AJ951" s="198"/>
      <c r="AK951" s="198"/>
    </row>
    <row r="952">
      <c r="A952" s="198"/>
      <c r="B952" s="198"/>
      <c r="C952" s="198"/>
      <c r="D952" s="198"/>
      <c r="E952" s="198"/>
      <c r="F952" s="198"/>
      <c r="G952" s="198"/>
      <c r="H952" s="198"/>
      <c r="I952" s="198"/>
      <c r="J952" s="198"/>
      <c r="K952" s="198"/>
      <c r="L952" s="198"/>
      <c r="M952" s="198"/>
      <c r="N952" s="198"/>
      <c r="O952" s="198"/>
      <c r="P952" s="198"/>
      <c r="Q952" s="198"/>
      <c r="R952" s="198"/>
      <c r="S952" s="198"/>
      <c r="T952" s="198"/>
      <c r="U952" s="198"/>
      <c r="V952" s="198"/>
      <c r="W952" s="201"/>
      <c r="X952" s="198"/>
      <c r="Y952" s="198"/>
      <c r="Z952" s="198"/>
      <c r="AA952" s="198"/>
      <c r="AB952" s="198"/>
      <c r="AC952" s="198"/>
      <c r="AD952" s="198"/>
      <c r="AE952" s="198"/>
      <c r="AF952" s="198"/>
      <c r="AG952" s="198"/>
      <c r="AH952" s="198"/>
      <c r="AI952" s="198"/>
      <c r="AJ952" s="198"/>
      <c r="AK952" s="198"/>
    </row>
    <row r="953">
      <c r="A953" s="198"/>
      <c r="B953" s="198"/>
      <c r="C953" s="198"/>
      <c r="D953" s="198"/>
      <c r="E953" s="198"/>
      <c r="F953" s="198"/>
      <c r="G953" s="198"/>
      <c r="H953" s="198"/>
      <c r="I953" s="198"/>
      <c r="J953" s="198"/>
      <c r="K953" s="198"/>
      <c r="L953" s="198"/>
      <c r="M953" s="198"/>
      <c r="N953" s="198"/>
      <c r="O953" s="198"/>
      <c r="P953" s="198"/>
      <c r="Q953" s="198"/>
      <c r="R953" s="198"/>
      <c r="S953" s="198"/>
      <c r="T953" s="198"/>
      <c r="U953" s="198"/>
      <c r="V953" s="198"/>
      <c r="W953" s="201"/>
      <c r="X953" s="198"/>
      <c r="Y953" s="198"/>
      <c r="Z953" s="198"/>
      <c r="AA953" s="198"/>
      <c r="AB953" s="198"/>
      <c r="AC953" s="198"/>
      <c r="AD953" s="198"/>
      <c r="AE953" s="198"/>
      <c r="AF953" s="198"/>
      <c r="AG953" s="198"/>
      <c r="AH953" s="198"/>
      <c r="AI953" s="198"/>
      <c r="AJ953" s="198"/>
      <c r="AK953" s="198"/>
    </row>
    <row r="954">
      <c r="A954" s="198"/>
      <c r="B954" s="198"/>
      <c r="C954" s="198"/>
      <c r="D954" s="198"/>
      <c r="E954" s="198"/>
      <c r="F954" s="198"/>
      <c r="G954" s="198"/>
      <c r="H954" s="198"/>
      <c r="I954" s="198"/>
      <c r="J954" s="198"/>
      <c r="K954" s="198"/>
      <c r="L954" s="198"/>
      <c r="M954" s="198"/>
      <c r="N954" s="198"/>
      <c r="O954" s="198"/>
      <c r="P954" s="198"/>
      <c r="Q954" s="198"/>
      <c r="R954" s="198"/>
      <c r="S954" s="198"/>
      <c r="T954" s="198"/>
      <c r="U954" s="198"/>
      <c r="V954" s="198"/>
      <c r="W954" s="201"/>
      <c r="X954" s="198"/>
      <c r="Y954" s="198"/>
      <c r="Z954" s="198"/>
      <c r="AA954" s="198"/>
      <c r="AB954" s="198"/>
      <c r="AC954" s="198"/>
      <c r="AD954" s="198"/>
      <c r="AE954" s="198"/>
      <c r="AF954" s="198"/>
      <c r="AG954" s="198"/>
      <c r="AH954" s="198"/>
      <c r="AI954" s="198"/>
      <c r="AJ954" s="198"/>
      <c r="AK954" s="198"/>
    </row>
    <row r="955">
      <c r="A955" s="198"/>
      <c r="B955" s="198"/>
      <c r="C955" s="198"/>
      <c r="D955" s="198"/>
      <c r="E955" s="198"/>
      <c r="F955" s="198"/>
      <c r="G955" s="198"/>
      <c r="H955" s="198"/>
      <c r="I955" s="198"/>
      <c r="J955" s="198"/>
      <c r="K955" s="198"/>
      <c r="L955" s="198"/>
      <c r="M955" s="198"/>
      <c r="N955" s="198"/>
      <c r="O955" s="198"/>
      <c r="P955" s="198"/>
      <c r="Q955" s="198"/>
      <c r="R955" s="198"/>
      <c r="S955" s="198"/>
      <c r="T955" s="198"/>
      <c r="U955" s="198"/>
      <c r="V955" s="198"/>
      <c r="W955" s="201"/>
      <c r="X955" s="198"/>
      <c r="Y955" s="198"/>
      <c r="Z955" s="198"/>
      <c r="AA955" s="198"/>
      <c r="AB955" s="198"/>
      <c r="AC955" s="198"/>
      <c r="AD955" s="198"/>
      <c r="AE955" s="198"/>
      <c r="AF955" s="198"/>
      <c r="AG955" s="198"/>
      <c r="AH955" s="198"/>
      <c r="AI955" s="198"/>
      <c r="AJ955" s="198"/>
      <c r="AK955" s="198"/>
    </row>
    <row r="956">
      <c r="A956" s="198"/>
      <c r="B956" s="198"/>
      <c r="C956" s="198"/>
      <c r="D956" s="198"/>
      <c r="E956" s="198"/>
      <c r="F956" s="198"/>
      <c r="G956" s="198"/>
      <c r="H956" s="198"/>
      <c r="I956" s="198"/>
      <c r="J956" s="198"/>
      <c r="K956" s="198"/>
      <c r="L956" s="198"/>
      <c r="M956" s="198"/>
      <c r="N956" s="198"/>
      <c r="O956" s="198"/>
      <c r="P956" s="198"/>
      <c r="Q956" s="198"/>
      <c r="R956" s="198"/>
      <c r="S956" s="198"/>
      <c r="T956" s="198"/>
      <c r="U956" s="198"/>
      <c r="V956" s="198"/>
      <c r="W956" s="201"/>
      <c r="X956" s="198"/>
      <c r="Y956" s="198"/>
      <c r="Z956" s="198"/>
      <c r="AA956" s="198"/>
      <c r="AB956" s="198"/>
      <c r="AC956" s="198"/>
      <c r="AD956" s="198"/>
      <c r="AE956" s="198"/>
      <c r="AF956" s="198"/>
      <c r="AG956" s="198"/>
      <c r="AH956" s="198"/>
      <c r="AI956" s="198"/>
      <c r="AJ956" s="198"/>
      <c r="AK956" s="198"/>
    </row>
    <row r="957">
      <c r="A957" s="198"/>
      <c r="B957" s="198"/>
      <c r="C957" s="198"/>
      <c r="D957" s="198"/>
      <c r="E957" s="198"/>
      <c r="F957" s="198"/>
      <c r="G957" s="198"/>
      <c r="H957" s="198"/>
      <c r="I957" s="198"/>
      <c r="J957" s="198"/>
      <c r="K957" s="198"/>
      <c r="L957" s="198"/>
      <c r="M957" s="198"/>
      <c r="N957" s="198"/>
      <c r="O957" s="198"/>
      <c r="P957" s="198"/>
      <c r="Q957" s="198"/>
      <c r="R957" s="198"/>
      <c r="S957" s="198"/>
      <c r="T957" s="198"/>
      <c r="U957" s="198"/>
      <c r="V957" s="198"/>
      <c r="W957" s="201"/>
      <c r="X957" s="198"/>
      <c r="Y957" s="198"/>
      <c r="Z957" s="198"/>
      <c r="AA957" s="198"/>
      <c r="AB957" s="198"/>
      <c r="AC957" s="198"/>
      <c r="AD957" s="198"/>
      <c r="AE957" s="198"/>
      <c r="AF957" s="198"/>
      <c r="AG957" s="198"/>
      <c r="AH957" s="198"/>
      <c r="AI957" s="198"/>
      <c r="AJ957" s="198"/>
      <c r="AK957" s="198"/>
    </row>
    <row r="958">
      <c r="A958" s="198"/>
      <c r="B958" s="198"/>
      <c r="C958" s="198"/>
      <c r="D958" s="198"/>
      <c r="E958" s="198"/>
      <c r="F958" s="198"/>
      <c r="G958" s="198"/>
      <c r="H958" s="198"/>
      <c r="I958" s="198"/>
      <c r="J958" s="198"/>
      <c r="K958" s="198"/>
      <c r="L958" s="198"/>
      <c r="M958" s="198"/>
      <c r="N958" s="198"/>
      <c r="O958" s="198"/>
      <c r="P958" s="198"/>
      <c r="Q958" s="198"/>
      <c r="R958" s="198"/>
      <c r="S958" s="198"/>
      <c r="T958" s="198"/>
      <c r="U958" s="198"/>
      <c r="V958" s="198"/>
      <c r="W958" s="201"/>
      <c r="X958" s="198"/>
      <c r="Y958" s="198"/>
      <c r="Z958" s="198"/>
      <c r="AA958" s="198"/>
      <c r="AB958" s="198"/>
      <c r="AC958" s="198"/>
      <c r="AD958" s="198"/>
      <c r="AE958" s="198"/>
      <c r="AF958" s="198"/>
      <c r="AG958" s="198"/>
      <c r="AH958" s="198"/>
      <c r="AI958" s="198"/>
      <c r="AJ958" s="198"/>
      <c r="AK958" s="198"/>
    </row>
    <row r="959">
      <c r="A959" s="198"/>
      <c r="B959" s="198"/>
      <c r="C959" s="198"/>
      <c r="D959" s="198"/>
      <c r="E959" s="198"/>
      <c r="F959" s="198"/>
      <c r="G959" s="198"/>
      <c r="H959" s="198"/>
      <c r="I959" s="198"/>
      <c r="J959" s="198"/>
      <c r="K959" s="198"/>
      <c r="L959" s="198"/>
      <c r="M959" s="198"/>
      <c r="N959" s="198"/>
      <c r="O959" s="198"/>
      <c r="P959" s="198"/>
      <c r="Q959" s="198"/>
      <c r="R959" s="198"/>
      <c r="S959" s="198"/>
      <c r="T959" s="198"/>
      <c r="U959" s="198"/>
      <c r="V959" s="198"/>
      <c r="W959" s="201"/>
      <c r="X959" s="198"/>
      <c r="Y959" s="198"/>
      <c r="Z959" s="198"/>
      <c r="AA959" s="198"/>
      <c r="AB959" s="198"/>
      <c r="AC959" s="198"/>
      <c r="AD959" s="198"/>
      <c r="AE959" s="198"/>
      <c r="AF959" s="198"/>
      <c r="AG959" s="198"/>
      <c r="AH959" s="198"/>
      <c r="AI959" s="198"/>
      <c r="AJ959" s="198"/>
      <c r="AK959" s="198"/>
    </row>
    <row r="960">
      <c r="A960" s="198"/>
      <c r="B960" s="198"/>
      <c r="C960" s="198"/>
      <c r="D960" s="198"/>
      <c r="E960" s="198"/>
      <c r="F960" s="198"/>
      <c r="G960" s="198"/>
      <c r="H960" s="198"/>
      <c r="I960" s="198"/>
      <c r="J960" s="198"/>
      <c r="K960" s="198"/>
      <c r="L960" s="198"/>
      <c r="M960" s="198"/>
      <c r="N960" s="198"/>
      <c r="O960" s="198"/>
      <c r="P960" s="198"/>
      <c r="Q960" s="198"/>
      <c r="R960" s="198"/>
      <c r="S960" s="198"/>
      <c r="T960" s="198"/>
      <c r="U960" s="198"/>
      <c r="V960" s="198"/>
      <c r="W960" s="201"/>
      <c r="X960" s="198"/>
      <c r="Y960" s="198"/>
      <c r="Z960" s="198"/>
      <c r="AA960" s="198"/>
      <c r="AB960" s="198"/>
      <c r="AC960" s="198"/>
      <c r="AD960" s="198"/>
      <c r="AE960" s="198"/>
      <c r="AF960" s="198"/>
      <c r="AG960" s="198"/>
      <c r="AH960" s="198"/>
      <c r="AI960" s="198"/>
      <c r="AJ960" s="198"/>
      <c r="AK960" s="198"/>
    </row>
    <row r="961">
      <c r="A961" s="198"/>
      <c r="B961" s="198"/>
      <c r="C961" s="198"/>
      <c r="D961" s="198"/>
      <c r="E961" s="198"/>
      <c r="F961" s="198"/>
      <c r="G961" s="198"/>
      <c r="H961" s="198"/>
      <c r="I961" s="198"/>
      <c r="J961" s="198"/>
      <c r="K961" s="198"/>
      <c r="L961" s="198"/>
      <c r="M961" s="198"/>
      <c r="N961" s="198"/>
      <c r="O961" s="198"/>
      <c r="P961" s="198"/>
      <c r="Q961" s="198"/>
      <c r="R961" s="198"/>
      <c r="S961" s="198"/>
      <c r="T961" s="198"/>
      <c r="U961" s="198"/>
      <c r="V961" s="198"/>
      <c r="W961" s="201"/>
      <c r="X961" s="198"/>
      <c r="Y961" s="198"/>
      <c r="Z961" s="198"/>
      <c r="AA961" s="198"/>
      <c r="AB961" s="198"/>
      <c r="AC961" s="198"/>
      <c r="AD961" s="198"/>
      <c r="AE961" s="198"/>
      <c r="AF961" s="198"/>
      <c r="AG961" s="198"/>
      <c r="AH961" s="198"/>
      <c r="AI961" s="198"/>
      <c r="AJ961" s="198"/>
      <c r="AK961" s="198"/>
    </row>
    <row r="962">
      <c r="A962" s="198"/>
      <c r="B962" s="198"/>
      <c r="C962" s="198"/>
      <c r="D962" s="198"/>
      <c r="E962" s="198"/>
      <c r="F962" s="198"/>
      <c r="G962" s="198"/>
      <c r="H962" s="198"/>
      <c r="I962" s="198"/>
      <c r="J962" s="198"/>
      <c r="K962" s="198"/>
      <c r="L962" s="198"/>
      <c r="M962" s="198"/>
      <c r="N962" s="198"/>
      <c r="O962" s="198"/>
      <c r="P962" s="198"/>
      <c r="Q962" s="198"/>
      <c r="R962" s="198"/>
      <c r="S962" s="198"/>
      <c r="T962" s="198"/>
      <c r="U962" s="198"/>
      <c r="V962" s="198"/>
      <c r="W962" s="201"/>
      <c r="X962" s="198"/>
      <c r="Y962" s="198"/>
      <c r="Z962" s="198"/>
      <c r="AA962" s="198"/>
      <c r="AB962" s="198"/>
      <c r="AC962" s="198"/>
      <c r="AD962" s="198"/>
      <c r="AE962" s="198"/>
      <c r="AF962" s="198"/>
      <c r="AG962" s="198"/>
      <c r="AH962" s="198"/>
      <c r="AI962" s="198"/>
      <c r="AJ962" s="198"/>
      <c r="AK962" s="198"/>
    </row>
    <row r="963">
      <c r="A963" s="198"/>
      <c r="B963" s="198"/>
      <c r="C963" s="198"/>
      <c r="D963" s="198"/>
      <c r="E963" s="198"/>
      <c r="F963" s="198"/>
      <c r="G963" s="198"/>
      <c r="H963" s="198"/>
      <c r="I963" s="198"/>
      <c r="J963" s="198"/>
      <c r="K963" s="198"/>
      <c r="L963" s="198"/>
      <c r="M963" s="198"/>
      <c r="N963" s="198"/>
      <c r="O963" s="198"/>
      <c r="P963" s="198"/>
      <c r="Q963" s="198"/>
      <c r="R963" s="198"/>
      <c r="S963" s="198"/>
      <c r="T963" s="198"/>
      <c r="U963" s="198"/>
      <c r="V963" s="198"/>
      <c r="W963" s="201"/>
      <c r="X963" s="198"/>
      <c r="Y963" s="198"/>
      <c r="Z963" s="198"/>
      <c r="AA963" s="198"/>
      <c r="AB963" s="198"/>
      <c r="AC963" s="198"/>
      <c r="AD963" s="198"/>
      <c r="AE963" s="198"/>
      <c r="AF963" s="198"/>
      <c r="AG963" s="198"/>
      <c r="AH963" s="198"/>
      <c r="AI963" s="198"/>
      <c r="AJ963" s="198"/>
      <c r="AK963" s="198"/>
    </row>
    <row r="964">
      <c r="A964" s="198"/>
      <c r="B964" s="198"/>
      <c r="C964" s="198"/>
      <c r="D964" s="198"/>
      <c r="E964" s="198"/>
      <c r="F964" s="198"/>
      <c r="G964" s="198"/>
      <c r="H964" s="198"/>
      <c r="I964" s="198"/>
      <c r="J964" s="198"/>
      <c r="K964" s="198"/>
      <c r="L964" s="198"/>
      <c r="M964" s="198"/>
      <c r="N964" s="198"/>
      <c r="O964" s="198"/>
      <c r="P964" s="198"/>
      <c r="Q964" s="198"/>
      <c r="R964" s="198"/>
      <c r="S964" s="198"/>
      <c r="T964" s="198"/>
      <c r="U964" s="198"/>
      <c r="V964" s="198"/>
      <c r="W964" s="201"/>
      <c r="X964" s="198"/>
      <c r="Y964" s="198"/>
      <c r="Z964" s="198"/>
      <c r="AA964" s="198"/>
      <c r="AB964" s="198"/>
      <c r="AC964" s="198"/>
      <c r="AD964" s="198"/>
      <c r="AE964" s="198"/>
      <c r="AF964" s="198"/>
      <c r="AG964" s="198"/>
      <c r="AH964" s="198"/>
      <c r="AI964" s="198"/>
      <c r="AJ964" s="198"/>
      <c r="AK964" s="198"/>
    </row>
    <row r="965">
      <c r="A965" s="198"/>
      <c r="B965" s="198"/>
      <c r="C965" s="198"/>
      <c r="D965" s="198"/>
      <c r="E965" s="198"/>
      <c r="F965" s="198"/>
      <c r="G965" s="198"/>
      <c r="H965" s="198"/>
      <c r="I965" s="198"/>
      <c r="J965" s="198"/>
      <c r="K965" s="198"/>
      <c r="L965" s="198"/>
      <c r="M965" s="198"/>
      <c r="N965" s="198"/>
      <c r="O965" s="198"/>
      <c r="P965" s="198"/>
      <c r="Q965" s="198"/>
      <c r="R965" s="198"/>
      <c r="S965" s="198"/>
      <c r="T965" s="198"/>
      <c r="U965" s="198"/>
      <c r="V965" s="198"/>
      <c r="W965" s="201"/>
      <c r="X965" s="198"/>
      <c r="Y965" s="198"/>
      <c r="Z965" s="198"/>
      <c r="AA965" s="198"/>
      <c r="AB965" s="198"/>
      <c r="AC965" s="198"/>
      <c r="AD965" s="198"/>
      <c r="AE965" s="198"/>
      <c r="AF965" s="198"/>
      <c r="AG965" s="198"/>
      <c r="AH965" s="198"/>
      <c r="AI965" s="198"/>
      <c r="AJ965" s="198"/>
      <c r="AK965" s="198"/>
    </row>
    <row r="966">
      <c r="A966" s="198"/>
      <c r="B966" s="198"/>
      <c r="C966" s="198"/>
      <c r="D966" s="198"/>
      <c r="E966" s="198"/>
      <c r="F966" s="198"/>
      <c r="G966" s="198"/>
      <c r="H966" s="198"/>
      <c r="I966" s="198"/>
      <c r="J966" s="198"/>
      <c r="K966" s="198"/>
      <c r="L966" s="198"/>
      <c r="M966" s="198"/>
      <c r="N966" s="198"/>
      <c r="O966" s="198"/>
      <c r="P966" s="198"/>
      <c r="Q966" s="198"/>
      <c r="R966" s="198"/>
      <c r="S966" s="198"/>
      <c r="T966" s="198"/>
      <c r="U966" s="198"/>
      <c r="V966" s="198"/>
      <c r="W966" s="201"/>
      <c r="X966" s="198"/>
      <c r="Y966" s="198"/>
      <c r="Z966" s="198"/>
      <c r="AA966" s="198"/>
      <c r="AB966" s="198"/>
      <c r="AC966" s="198"/>
      <c r="AD966" s="198"/>
      <c r="AE966" s="198"/>
      <c r="AF966" s="198"/>
      <c r="AG966" s="198"/>
      <c r="AH966" s="198"/>
      <c r="AI966" s="198"/>
      <c r="AJ966" s="198"/>
      <c r="AK966" s="198"/>
    </row>
    <row r="967">
      <c r="A967" s="198"/>
      <c r="B967" s="198"/>
      <c r="C967" s="198"/>
      <c r="D967" s="198"/>
      <c r="E967" s="198"/>
      <c r="F967" s="198"/>
      <c r="G967" s="198"/>
      <c r="H967" s="198"/>
      <c r="I967" s="198"/>
      <c r="J967" s="198"/>
      <c r="K967" s="198"/>
      <c r="L967" s="198"/>
      <c r="M967" s="198"/>
      <c r="N967" s="198"/>
      <c r="O967" s="198"/>
      <c r="P967" s="198"/>
      <c r="Q967" s="198"/>
      <c r="R967" s="198"/>
      <c r="S967" s="198"/>
      <c r="T967" s="198"/>
      <c r="U967" s="198"/>
      <c r="V967" s="198"/>
      <c r="W967" s="201"/>
      <c r="X967" s="198"/>
      <c r="Y967" s="198"/>
      <c r="Z967" s="198"/>
      <c r="AA967" s="198"/>
      <c r="AB967" s="198"/>
      <c r="AC967" s="198"/>
      <c r="AD967" s="198"/>
      <c r="AE967" s="198"/>
      <c r="AF967" s="198"/>
      <c r="AG967" s="198"/>
      <c r="AH967" s="198"/>
      <c r="AI967" s="198"/>
      <c r="AJ967" s="198"/>
      <c r="AK967" s="198"/>
    </row>
    <row r="968">
      <c r="A968" s="198"/>
      <c r="B968" s="198"/>
      <c r="C968" s="198"/>
      <c r="D968" s="198"/>
      <c r="E968" s="198"/>
      <c r="F968" s="198"/>
      <c r="G968" s="198"/>
      <c r="H968" s="198"/>
      <c r="I968" s="198"/>
      <c r="J968" s="198"/>
      <c r="K968" s="198"/>
      <c r="L968" s="198"/>
      <c r="M968" s="198"/>
      <c r="N968" s="198"/>
      <c r="O968" s="198"/>
      <c r="P968" s="198"/>
      <c r="Q968" s="198"/>
      <c r="R968" s="198"/>
      <c r="S968" s="198"/>
      <c r="T968" s="198"/>
      <c r="U968" s="198"/>
      <c r="V968" s="198"/>
      <c r="W968" s="201"/>
      <c r="X968" s="198"/>
      <c r="Y968" s="198"/>
      <c r="Z968" s="198"/>
      <c r="AA968" s="198"/>
      <c r="AB968" s="198"/>
      <c r="AC968" s="198"/>
      <c r="AD968" s="198"/>
      <c r="AE968" s="198"/>
      <c r="AF968" s="198"/>
      <c r="AG968" s="198"/>
      <c r="AH968" s="198"/>
      <c r="AI968" s="198"/>
      <c r="AJ968" s="198"/>
      <c r="AK968" s="198"/>
    </row>
    <row r="969">
      <c r="A969" s="198"/>
      <c r="B969" s="198"/>
      <c r="C969" s="198"/>
      <c r="D969" s="198"/>
      <c r="E969" s="198"/>
      <c r="F969" s="198"/>
      <c r="G969" s="198"/>
      <c r="H969" s="198"/>
      <c r="I969" s="198"/>
      <c r="J969" s="198"/>
      <c r="K969" s="198"/>
      <c r="L969" s="198"/>
      <c r="M969" s="198"/>
      <c r="N969" s="198"/>
      <c r="O969" s="198"/>
      <c r="P969" s="198"/>
      <c r="Q969" s="198"/>
      <c r="R969" s="198"/>
      <c r="S969" s="198"/>
      <c r="T969" s="198"/>
      <c r="U969" s="198"/>
      <c r="V969" s="198"/>
      <c r="W969" s="201"/>
      <c r="X969" s="198"/>
      <c r="Y969" s="198"/>
      <c r="Z969" s="198"/>
      <c r="AA969" s="198"/>
      <c r="AB969" s="198"/>
      <c r="AC969" s="198"/>
      <c r="AD969" s="198"/>
      <c r="AE969" s="198"/>
      <c r="AF969" s="198"/>
      <c r="AG969" s="198"/>
      <c r="AH969" s="198"/>
      <c r="AI969" s="198"/>
      <c r="AJ969" s="198"/>
      <c r="AK969" s="198"/>
    </row>
    <row r="970">
      <c r="A970" s="198"/>
      <c r="B970" s="198"/>
      <c r="C970" s="198"/>
      <c r="D970" s="198"/>
      <c r="E970" s="198"/>
      <c r="F970" s="198"/>
      <c r="G970" s="198"/>
      <c r="H970" s="198"/>
      <c r="I970" s="198"/>
      <c r="J970" s="198"/>
      <c r="K970" s="198"/>
      <c r="L970" s="198"/>
      <c r="M970" s="198"/>
      <c r="N970" s="198"/>
      <c r="O970" s="198"/>
      <c r="P970" s="198"/>
      <c r="Q970" s="198"/>
      <c r="R970" s="198"/>
      <c r="S970" s="198"/>
      <c r="T970" s="198"/>
      <c r="U970" s="198"/>
      <c r="V970" s="198"/>
      <c r="W970" s="201"/>
      <c r="X970" s="198"/>
      <c r="Y970" s="198"/>
      <c r="Z970" s="198"/>
      <c r="AA970" s="198"/>
      <c r="AB970" s="198"/>
      <c r="AC970" s="198"/>
      <c r="AD970" s="198"/>
      <c r="AE970" s="198"/>
      <c r="AF970" s="198"/>
      <c r="AG970" s="198"/>
      <c r="AH970" s="198"/>
      <c r="AI970" s="198"/>
      <c r="AJ970" s="198"/>
      <c r="AK970" s="198"/>
    </row>
    <row r="971">
      <c r="A971" s="198"/>
      <c r="B971" s="198"/>
      <c r="C971" s="198"/>
      <c r="D971" s="198"/>
      <c r="E971" s="198"/>
      <c r="F971" s="198"/>
      <c r="G971" s="198"/>
      <c r="H971" s="198"/>
      <c r="I971" s="198"/>
      <c r="J971" s="198"/>
      <c r="K971" s="198"/>
      <c r="L971" s="198"/>
      <c r="M971" s="198"/>
      <c r="N971" s="198"/>
      <c r="O971" s="198"/>
      <c r="P971" s="198"/>
      <c r="Q971" s="198"/>
      <c r="R971" s="198"/>
      <c r="S971" s="198"/>
      <c r="T971" s="198"/>
      <c r="U971" s="198"/>
      <c r="V971" s="198"/>
      <c r="W971" s="201"/>
      <c r="X971" s="198"/>
      <c r="Y971" s="198"/>
      <c r="Z971" s="198"/>
      <c r="AA971" s="198"/>
      <c r="AB971" s="198"/>
      <c r="AC971" s="198"/>
      <c r="AD971" s="198"/>
      <c r="AE971" s="198"/>
      <c r="AF971" s="198"/>
      <c r="AG971" s="198"/>
      <c r="AH971" s="198"/>
      <c r="AI971" s="198"/>
      <c r="AJ971" s="198"/>
      <c r="AK971" s="198"/>
    </row>
    <row r="972">
      <c r="A972" s="198"/>
      <c r="B972" s="198"/>
      <c r="C972" s="198"/>
      <c r="D972" s="198"/>
      <c r="E972" s="198"/>
      <c r="F972" s="198"/>
      <c r="G972" s="198"/>
      <c r="H972" s="198"/>
      <c r="I972" s="198"/>
      <c r="J972" s="198"/>
      <c r="K972" s="198"/>
      <c r="L972" s="198"/>
      <c r="M972" s="198"/>
      <c r="N972" s="198"/>
      <c r="O972" s="198"/>
      <c r="P972" s="198"/>
      <c r="Q972" s="198"/>
      <c r="R972" s="198"/>
      <c r="S972" s="198"/>
      <c r="T972" s="198"/>
      <c r="U972" s="198"/>
      <c r="V972" s="198"/>
      <c r="W972" s="201"/>
      <c r="X972" s="198"/>
      <c r="Y972" s="198"/>
      <c r="Z972" s="198"/>
      <c r="AA972" s="198"/>
      <c r="AB972" s="198"/>
      <c r="AC972" s="198"/>
      <c r="AD972" s="198"/>
      <c r="AE972" s="198"/>
      <c r="AF972" s="198"/>
      <c r="AG972" s="198"/>
      <c r="AH972" s="198"/>
      <c r="AI972" s="198"/>
      <c r="AJ972" s="198"/>
      <c r="AK972" s="198"/>
    </row>
    <row r="973">
      <c r="A973" s="198"/>
      <c r="B973" s="198"/>
      <c r="C973" s="198"/>
      <c r="D973" s="198"/>
      <c r="E973" s="198"/>
      <c r="F973" s="198"/>
      <c r="G973" s="198"/>
      <c r="H973" s="198"/>
      <c r="I973" s="198"/>
      <c r="J973" s="198"/>
      <c r="K973" s="198"/>
      <c r="L973" s="198"/>
      <c r="M973" s="198"/>
      <c r="N973" s="198"/>
      <c r="O973" s="198"/>
      <c r="P973" s="198"/>
      <c r="Q973" s="198"/>
      <c r="R973" s="198"/>
      <c r="S973" s="198"/>
      <c r="T973" s="198"/>
      <c r="U973" s="198"/>
      <c r="V973" s="198"/>
      <c r="W973" s="201"/>
      <c r="X973" s="198"/>
      <c r="Y973" s="198"/>
      <c r="Z973" s="198"/>
      <c r="AA973" s="198"/>
      <c r="AB973" s="198"/>
      <c r="AC973" s="198"/>
      <c r="AD973" s="198"/>
      <c r="AE973" s="198"/>
      <c r="AF973" s="198"/>
      <c r="AG973" s="198"/>
      <c r="AH973" s="198"/>
      <c r="AI973" s="198"/>
      <c r="AJ973" s="198"/>
      <c r="AK973" s="198"/>
    </row>
    <row r="974">
      <c r="A974" s="198"/>
      <c r="B974" s="198"/>
      <c r="C974" s="198"/>
      <c r="D974" s="198"/>
      <c r="E974" s="198"/>
      <c r="F974" s="198"/>
      <c r="G974" s="198"/>
      <c r="H974" s="198"/>
      <c r="I974" s="198"/>
      <c r="J974" s="198"/>
      <c r="K974" s="198"/>
      <c r="L974" s="198"/>
      <c r="M974" s="198"/>
      <c r="N974" s="198"/>
      <c r="O974" s="198"/>
      <c r="P974" s="198"/>
      <c r="Q974" s="198"/>
      <c r="R974" s="198"/>
      <c r="S974" s="198"/>
      <c r="T974" s="198"/>
      <c r="U974" s="198"/>
      <c r="V974" s="198"/>
      <c r="W974" s="201"/>
      <c r="X974" s="198"/>
      <c r="Y974" s="198"/>
      <c r="Z974" s="198"/>
      <c r="AA974" s="198"/>
      <c r="AB974" s="198"/>
      <c r="AC974" s="198"/>
      <c r="AD974" s="198"/>
      <c r="AE974" s="198"/>
      <c r="AF974" s="198"/>
      <c r="AG974" s="198"/>
      <c r="AH974" s="198"/>
      <c r="AI974" s="198"/>
      <c r="AJ974" s="198"/>
      <c r="AK974" s="198"/>
    </row>
    <row r="975">
      <c r="A975" s="198"/>
      <c r="B975" s="198"/>
      <c r="C975" s="198"/>
      <c r="D975" s="198"/>
      <c r="E975" s="198"/>
      <c r="F975" s="198"/>
      <c r="G975" s="198"/>
      <c r="H975" s="198"/>
      <c r="I975" s="198"/>
      <c r="J975" s="198"/>
      <c r="K975" s="198"/>
      <c r="L975" s="198"/>
      <c r="M975" s="198"/>
      <c r="N975" s="198"/>
      <c r="O975" s="198"/>
      <c r="P975" s="198"/>
      <c r="Q975" s="198"/>
      <c r="R975" s="198"/>
      <c r="S975" s="198"/>
      <c r="T975" s="198"/>
      <c r="U975" s="198"/>
      <c r="V975" s="198"/>
      <c r="W975" s="201"/>
      <c r="X975" s="198"/>
      <c r="Y975" s="198"/>
      <c r="Z975" s="198"/>
      <c r="AA975" s="198"/>
      <c r="AB975" s="198"/>
      <c r="AC975" s="198"/>
      <c r="AD975" s="198"/>
      <c r="AE975" s="198"/>
      <c r="AF975" s="198"/>
      <c r="AG975" s="198"/>
      <c r="AH975" s="198"/>
      <c r="AI975" s="198"/>
      <c r="AJ975" s="198"/>
      <c r="AK975" s="198"/>
    </row>
    <row r="976">
      <c r="A976" s="198"/>
      <c r="B976" s="198"/>
      <c r="C976" s="198"/>
      <c r="D976" s="198"/>
      <c r="E976" s="198"/>
      <c r="F976" s="198"/>
      <c r="G976" s="198"/>
      <c r="H976" s="198"/>
      <c r="I976" s="198"/>
      <c r="J976" s="198"/>
      <c r="K976" s="198"/>
      <c r="L976" s="198"/>
      <c r="M976" s="198"/>
      <c r="N976" s="198"/>
      <c r="O976" s="198"/>
      <c r="P976" s="198"/>
      <c r="Q976" s="198"/>
      <c r="R976" s="198"/>
      <c r="S976" s="198"/>
      <c r="T976" s="198"/>
      <c r="U976" s="198"/>
      <c r="V976" s="198"/>
      <c r="W976" s="201"/>
      <c r="X976" s="198"/>
      <c r="Y976" s="198"/>
      <c r="Z976" s="198"/>
      <c r="AA976" s="198"/>
      <c r="AB976" s="198"/>
      <c r="AC976" s="198"/>
      <c r="AD976" s="198"/>
      <c r="AE976" s="198"/>
      <c r="AF976" s="198"/>
      <c r="AG976" s="198"/>
      <c r="AH976" s="198"/>
      <c r="AI976" s="198"/>
      <c r="AJ976" s="198"/>
      <c r="AK976" s="198"/>
    </row>
    <row r="977">
      <c r="A977" s="198"/>
      <c r="B977" s="198"/>
      <c r="C977" s="198"/>
      <c r="D977" s="198"/>
      <c r="E977" s="198"/>
      <c r="F977" s="198"/>
      <c r="G977" s="198"/>
      <c r="H977" s="198"/>
      <c r="I977" s="198"/>
      <c r="J977" s="198"/>
      <c r="K977" s="198"/>
      <c r="L977" s="198"/>
      <c r="M977" s="198"/>
      <c r="N977" s="198"/>
      <c r="O977" s="198"/>
      <c r="P977" s="198"/>
      <c r="Q977" s="198"/>
      <c r="R977" s="198"/>
      <c r="S977" s="198"/>
      <c r="T977" s="198"/>
      <c r="U977" s="198"/>
      <c r="V977" s="198"/>
      <c r="W977" s="201"/>
      <c r="X977" s="198"/>
      <c r="Y977" s="198"/>
      <c r="Z977" s="198"/>
      <c r="AA977" s="198"/>
      <c r="AB977" s="198"/>
      <c r="AC977" s="198"/>
      <c r="AD977" s="198"/>
      <c r="AE977" s="198"/>
      <c r="AF977" s="198"/>
      <c r="AG977" s="198"/>
      <c r="AH977" s="198"/>
      <c r="AI977" s="198"/>
      <c r="AJ977" s="198"/>
      <c r="AK977" s="198"/>
    </row>
    <row r="978">
      <c r="A978" s="198"/>
      <c r="B978" s="198"/>
      <c r="C978" s="198"/>
      <c r="D978" s="198"/>
      <c r="E978" s="198"/>
      <c r="F978" s="198"/>
      <c r="G978" s="198"/>
      <c r="H978" s="198"/>
      <c r="I978" s="198"/>
      <c r="J978" s="198"/>
      <c r="K978" s="198"/>
      <c r="L978" s="198"/>
      <c r="M978" s="198"/>
      <c r="N978" s="198"/>
      <c r="O978" s="198"/>
      <c r="P978" s="198"/>
      <c r="Q978" s="198"/>
      <c r="R978" s="198"/>
      <c r="S978" s="198"/>
      <c r="T978" s="198"/>
      <c r="U978" s="198"/>
      <c r="V978" s="198"/>
      <c r="W978" s="201"/>
      <c r="X978" s="198"/>
      <c r="Y978" s="198"/>
      <c r="Z978" s="198"/>
      <c r="AA978" s="198"/>
      <c r="AB978" s="198"/>
      <c r="AC978" s="198"/>
      <c r="AD978" s="198"/>
      <c r="AE978" s="198"/>
      <c r="AF978" s="198"/>
      <c r="AG978" s="198"/>
      <c r="AH978" s="198"/>
      <c r="AI978" s="198"/>
      <c r="AJ978" s="198"/>
      <c r="AK978" s="198"/>
    </row>
    <row r="979">
      <c r="A979" s="198"/>
      <c r="B979" s="198"/>
      <c r="C979" s="198"/>
      <c r="D979" s="198"/>
      <c r="E979" s="198"/>
      <c r="F979" s="198"/>
      <c r="G979" s="198"/>
      <c r="H979" s="198"/>
      <c r="I979" s="198"/>
      <c r="J979" s="198"/>
      <c r="K979" s="198"/>
      <c r="L979" s="198"/>
      <c r="M979" s="198"/>
      <c r="N979" s="198"/>
      <c r="O979" s="198"/>
      <c r="P979" s="198"/>
      <c r="Q979" s="198"/>
      <c r="R979" s="198"/>
      <c r="S979" s="198"/>
      <c r="T979" s="198"/>
      <c r="U979" s="198"/>
      <c r="V979" s="198"/>
      <c r="W979" s="201"/>
      <c r="X979" s="198"/>
      <c r="Y979" s="198"/>
      <c r="Z979" s="198"/>
      <c r="AA979" s="198"/>
      <c r="AB979" s="198"/>
      <c r="AC979" s="198"/>
      <c r="AD979" s="198"/>
      <c r="AE979" s="198"/>
      <c r="AF979" s="198"/>
      <c r="AG979" s="198"/>
      <c r="AH979" s="198"/>
      <c r="AI979" s="198"/>
      <c r="AJ979" s="198"/>
      <c r="AK979" s="198"/>
    </row>
    <row r="980">
      <c r="A980" s="198"/>
      <c r="B980" s="198"/>
      <c r="C980" s="198"/>
      <c r="D980" s="198"/>
      <c r="E980" s="198"/>
      <c r="F980" s="198"/>
      <c r="G980" s="198"/>
      <c r="H980" s="198"/>
      <c r="I980" s="198"/>
      <c r="J980" s="198"/>
      <c r="K980" s="198"/>
      <c r="L980" s="198"/>
      <c r="M980" s="198"/>
      <c r="N980" s="198"/>
      <c r="O980" s="198"/>
      <c r="P980" s="198"/>
      <c r="Q980" s="198"/>
      <c r="R980" s="198"/>
      <c r="S980" s="198"/>
      <c r="T980" s="198"/>
      <c r="U980" s="198"/>
      <c r="V980" s="198"/>
      <c r="W980" s="201"/>
      <c r="X980" s="198"/>
      <c r="Y980" s="198"/>
      <c r="Z980" s="198"/>
      <c r="AA980" s="198"/>
      <c r="AB980" s="198"/>
      <c r="AC980" s="198"/>
      <c r="AD980" s="198"/>
      <c r="AE980" s="198"/>
      <c r="AF980" s="198"/>
      <c r="AG980" s="198"/>
      <c r="AH980" s="198"/>
      <c r="AI980" s="198"/>
      <c r="AJ980" s="198"/>
      <c r="AK980" s="198"/>
    </row>
    <row r="981">
      <c r="A981" s="198"/>
      <c r="B981" s="198"/>
      <c r="C981" s="198"/>
      <c r="D981" s="198"/>
      <c r="E981" s="198"/>
      <c r="F981" s="198"/>
      <c r="G981" s="198"/>
      <c r="H981" s="198"/>
      <c r="I981" s="198"/>
      <c r="J981" s="198"/>
      <c r="K981" s="198"/>
      <c r="L981" s="198"/>
      <c r="M981" s="198"/>
      <c r="N981" s="198"/>
      <c r="O981" s="198"/>
      <c r="P981" s="198"/>
      <c r="Q981" s="198"/>
      <c r="R981" s="198"/>
      <c r="S981" s="198"/>
      <c r="T981" s="198"/>
      <c r="U981" s="198"/>
      <c r="V981" s="198"/>
      <c r="W981" s="201"/>
      <c r="X981" s="198"/>
      <c r="Y981" s="198"/>
      <c r="Z981" s="198"/>
      <c r="AA981" s="198"/>
      <c r="AB981" s="198"/>
      <c r="AC981" s="198"/>
      <c r="AD981" s="198"/>
      <c r="AE981" s="198"/>
      <c r="AF981" s="198"/>
      <c r="AG981" s="198"/>
      <c r="AH981" s="198"/>
      <c r="AI981" s="198"/>
      <c r="AJ981" s="198"/>
      <c r="AK981" s="198"/>
    </row>
    <row r="982">
      <c r="A982" s="198"/>
      <c r="B982" s="198"/>
      <c r="C982" s="198"/>
      <c r="D982" s="198"/>
      <c r="E982" s="198"/>
      <c r="F982" s="198"/>
      <c r="G982" s="198"/>
      <c r="H982" s="198"/>
      <c r="I982" s="198"/>
      <c r="J982" s="198"/>
      <c r="K982" s="198"/>
      <c r="L982" s="198"/>
      <c r="M982" s="198"/>
      <c r="N982" s="198"/>
      <c r="O982" s="198"/>
      <c r="P982" s="198"/>
      <c r="Q982" s="198"/>
      <c r="R982" s="198"/>
      <c r="S982" s="198"/>
      <c r="T982" s="198"/>
      <c r="U982" s="198"/>
      <c r="V982" s="198"/>
      <c r="W982" s="201"/>
      <c r="X982" s="198"/>
      <c r="Y982" s="198"/>
      <c r="Z982" s="198"/>
      <c r="AA982" s="198"/>
      <c r="AB982" s="198"/>
      <c r="AC982" s="198"/>
      <c r="AD982" s="198"/>
      <c r="AE982" s="198"/>
      <c r="AF982" s="198"/>
      <c r="AG982" s="198"/>
      <c r="AH982" s="198"/>
      <c r="AI982" s="198"/>
      <c r="AJ982" s="198"/>
      <c r="AK982" s="198"/>
    </row>
    <row r="983">
      <c r="A983" s="198"/>
      <c r="B983" s="198"/>
      <c r="C983" s="198"/>
      <c r="D983" s="198"/>
      <c r="E983" s="198"/>
      <c r="F983" s="198"/>
      <c r="G983" s="198"/>
      <c r="H983" s="198"/>
      <c r="I983" s="198"/>
      <c r="J983" s="198"/>
      <c r="K983" s="198"/>
      <c r="L983" s="198"/>
      <c r="M983" s="198"/>
      <c r="N983" s="198"/>
      <c r="O983" s="198"/>
      <c r="P983" s="198"/>
      <c r="Q983" s="198"/>
      <c r="R983" s="198"/>
      <c r="S983" s="198"/>
      <c r="T983" s="198"/>
      <c r="U983" s="198"/>
      <c r="V983" s="198"/>
      <c r="W983" s="201"/>
      <c r="X983" s="198"/>
      <c r="Y983" s="198"/>
      <c r="Z983" s="198"/>
      <c r="AA983" s="198"/>
      <c r="AB983" s="198"/>
      <c r="AC983" s="198"/>
      <c r="AD983" s="198"/>
      <c r="AE983" s="198"/>
      <c r="AF983" s="198"/>
      <c r="AG983" s="198"/>
      <c r="AH983" s="198"/>
      <c r="AI983" s="198"/>
      <c r="AJ983" s="198"/>
      <c r="AK983" s="198"/>
    </row>
    <row r="984">
      <c r="A984" s="198"/>
      <c r="B984" s="198"/>
      <c r="C984" s="198"/>
      <c r="D984" s="198"/>
      <c r="E984" s="198"/>
      <c r="F984" s="198"/>
      <c r="G984" s="198"/>
      <c r="H984" s="198"/>
      <c r="I984" s="198"/>
      <c r="J984" s="198"/>
      <c r="K984" s="198"/>
      <c r="L984" s="198"/>
      <c r="M984" s="198"/>
      <c r="N984" s="198"/>
      <c r="O984" s="198"/>
      <c r="P984" s="198"/>
      <c r="Q984" s="198"/>
      <c r="R984" s="198"/>
      <c r="S984" s="198"/>
      <c r="T984" s="198"/>
      <c r="U984" s="198"/>
      <c r="V984" s="198"/>
      <c r="W984" s="201"/>
      <c r="X984" s="198"/>
      <c r="Y984" s="198"/>
      <c r="Z984" s="198"/>
      <c r="AA984" s="198"/>
      <c r="AB984" s="198"/>
      <c r="AC984" s="198"/>
      <c r="AD984" s="198"/>
      <c r="AE984" s="198"/>
      <c r="AF984" s="198"/>
      <c r="AG984" s="198"/>
      <c r="AH984" s="198"/>
      <c r="AI984" s="198"/>
      <c r="AJ984" s="198"/>
      <c r="AK984" s="198"/>
    </row>
    <row r="985">
      <c r="A985" s="198"/>
      <c r="B985" s="198"/>
      <c r="C985" s="198"/>
      <c r="D985" s="198"/>
      <c r="E985" s="198"/>
      <c r="F985" s="198"/>
      <c r="G985" s="198"/>
      <c r="H985" s="198"/>
      <c r="I985" s="198"/>
      <c r="J985" s="198"/>
      <c r="K985" s="198"/>
      <c r="L985" s="198"/>
      <c r="M985" s="198"/>
      <c r="N985" s="198"/>
      <c r="O985" s="198"/>
      <c r="P985" s="198"/>
      <c r="Q985" s="198"/>
      <c r="R985" s="198"/>
      <c r="S985" s="198"/>
      <c r="T985" s="198"/>
      <c r="U985" s="198"/>
      <c r="V985" s="198"/>
      <c r="W985" s="201"/>
      <c r="X985" s="198"/>
      <c r="Y985" s="198"/>
      <c r="Z985" s="198"/>
      <c r="AA985" s="198"/>
      <c r="AB985" s="198"/>
      <c r="AC985" s="198"/>
      <c r="AD985" s="198"/>
      <c r="AE985" s="198"/>
      <c r="AF985" s="198"/>
      <c r="AG985" s="198"/>
      <c r="AH985" s="198"/>
      <c r="AI985" s="198"/>
      <c r="AJ985" s="198"/>
      <c r="AK985" s="198"/>
    </row>
    <row r="986">
      <c r="A986" s="198"/>
      <c r="B986" s="198"/>
      <c r="C986" s="198"/>
      <c r="D986" s="198"/>
      <c r="E986" s="198"/>
      <c r="F986" s="198"/>
      <c r="G986" s="198"/>
      <c r="H986" s="198"/>
      <c r="I986" s="198"/>
      <c r="J986" s="198"/>
      <c r="K986" s="198"/>
      <c r="L986" s="198"/>
      <c r="M986" s="198"/>
      <c r="N986" s="198"/>
      <c r="O986" s="198"/>
      <c r="P986" s="198"/>
      <c r="Q986" s="198"/>
      <c r="R986" s="198"/>
      <c r="S986" s="198"/>
      <c r="T986" s="198"/>
      <c r="U986" s="198"/>
      <c r="V986" s="198"/>
      <c r="W986" s="201"/>
      <c r="X986" s="198"/>
      <c r="Y986" s="198"/>
      <c r="Z986" s="198"/>
      <c r="AA986" s="198"/>
      <c r="AB986" s="198"/>
      <c r="AC986" s="198"/>
      <c r="AD986" s="198"/>
      <c r="AE986" s="198"/>
      <c r="AF986" s="198"/>
      <c r="AG986" s="198"/>
      <c r="AH986" s="198"/>
      <c r="AI986" s="198"/>
      <c r="AJ986" s="198"/>
      <c r="AK986" s="198"/>
    </row>
    <row r="987">
      <c r="A987" s="198"/>
      <c r="B987" s="198"/>
      <c r="C987" s="198"/>
      <c r="D987" s="198"/>
      <c r="E987" s="198"/>
      <c r="F987" s="198"/>
      <c r="G987" s="198"/>
      <c r="H987" s="198"/>
      <c r="I987" s="198"/>
      <c r="J987" s="198"/>
      <c r="K987" s="198"/>
      <c r="L987" s="198"/>
      <c r="M987" s="198"/>
      <c r="N987" s="198"/>
      <c r="O987" s="198"/>
      <c r="P987" s="198"/>
      <c r="Q987" s="198"/>
      <c r="R987" s="198"/>
      <c r="S987" s="198"/>
      <c r="T987" s="198"/>
      <c r="U987" s="198"/>
      <c r="V987" s="198"/>
      <c r="W987" s="201"/>
      <c r="X987" s="198"/>
      <c r="Y987" s="198"/>
      <c r="Z987" s="198"/>
      <c r="AA987" s="198"/>
      <c r="AB987" s="198"/>
      <c r="AC987" s="198"/>
      <c r="AD987" s="198"/>
      <c r="AE987" s="198"/>
      <c r="AF987" s="198"/>
      <c r="AG987" s="198"/>
      <c r="AH987" s="198"/>
      <c r="AI987" s="198"/>
      <c r="AJ987" s="198"/>
      <c r="AK987" s="198"/>
    </row>
    <row r="988">
      <c r="A988" s="198"/>
      <c r="B988" s="198"/>
      <c r="C988" s="198"/>
      <c r="D988" s="198"/>
      <c r="E988" s="198"/>
      <c r="F988" s="198"/>
      <c r="G988" s="198"/>
      <c r="H988" s="198"/>
      <c r="I988" s="198"/>
      <c r="J988" s="198"/>
      <c r="K988" s="198"/>
      <c r="L988" s="198"/>
      <c r="M988" s="198"/>
      <c r="N988" s="198"/>
      <c r="O988" s="198"/>
      <c r="P988" s="198"/>
      <c r="Q988" s="198"/>
      <c r="R988" s="198"/>
      <c r="S988" s="198"/>
      <c r="T988" s="198"/>
      <c r="U988" s="198"/>
      <c r="V988" s="198"/>
      <c r="W988" s="201"/>
      <c r="X988" s="198"/>
      <c r="Y988" s="198"/>
      <c r="Z988" s="198"/>
      <c r="AA988" s="198"/>
      <c r="AB988" s="198"/>
      <c r="AC988" s="198"/>
      <c r="AD988" s="198"/>
      <c r="AE988" s="198"/>
      <c r="AF988" s="198"/>
      <c r="AG988" s="198"/>
      <c r="AH988" s="198"/>
      <c r="AI988" s="198"/>
      <c r="AJ988" s="198"/>
      <c r="AK988" s="198"/>
    </row>
    <row r="989">
      <c r="A989" s="198"/>
      <c r="B989" s="198"/>
      <c r="C989" s="198"/>
      <c r="D989" s="198"/>
      <c r="E989" s="198"/>
      <c r="F989" s="198"/>
      <c r="G989" s="198"/>
      <c r="H989" s="198"/>
      <c r="I989" s="198"/>
      <c r="J989" s="198"/>
      <c r="K989" s="198"/>
      <c r="L989" s="198"/>
      <c r="M989" s="198"/>
      <c r="N989" s="198"/>
      <c r="O989" s="198"/>
      <c r="P989" s="198"/>
      <c r="Q989" s="198"/>
      <c r="R989" s="198"/>
      <c r="S989" s="198"/>
      <c r="T989" s="198"/>
      <c r="U989" s="198"/>
      <c r="V989" s="198"/>
      <c r="W989" s="201"/>
      <c r="X989" s="198"/>
      <c r="Y989" s="198"/>
      <c r="Z989" s="198"/>
      <c r="AA989" s="198"/>
      <c r="AB989" s="198"/>
      <c r="AC989" s="198"/>
      <c r="AD989" s="198"/>
      <c r="AE989" s="198"/>
      <c r="AF989" s="198"/>
      <c r="AG989" s="198"/>
      <c r="AH989" s="198"/>
      <c r="AI989" s="198"/>
      <c r="AJ989" s="198"/>
      <c r="AK989" s="198"/>
    </row>
    <row r="990">
      <c r="A990" s="198"/>
      <c r="B990" s="198"/>
      <c r="C990" s="198"/>
      <c r="D990" s="198"/>
      <c r="E990" s="198"/>
      <c r="F990" s="198"/>
      <c r="G990" s="198"/>
      <c r="H990" s="198"/>
      <c r="I990" s="198"/>
      <c r="J990" s="198"/>
      <c r="K990" s="198"/>
      <c r="L990" s="198"/>
      <c r="M990" s="198"/>
      <c r="N990" s="198"/>
      <c r="O990" s="198"/>
      <c r="P990" s="198"/>
      <c r="Q990" s="198"/>
      <c r="R990" s="198"/>
      <c r="S990" s="198"/>
      <c r="T990" s="198"/>
      <c r="U990" s="198"/>
      <c r="V990" s="198"/>
      <c r="W990" s="201"/>
      <c r="X990" s="198"/>
      <c r="Y990" s="198"/>
      <c r="Z990" s="198"/>
      <c r="AA990" s="198"/>
      <c r="AB990" s="198"/>
      <c r="AC990" s="198"/>
      <c r="AD990" s="198"/>
      <c r="AE990" s="198"/>
      <c r="AF990" s="198"/>
      <c r="AG990" s="198"/>
      <c r="AH990" s="198"/>
      <c r="AI990" s="198"/>
      <c r="AJ990" s="198"/>
      <c r="AK990" s="198"/>
    </row>
    <row r="991">
      <c r="A991" s="198"/>
      <c r="B991" s="198"/>
      <c r="C991" s="198"/>
      <c r="D991" s="198"/>
      <c r="E991" s="198"/>
      <c r="F991" s="198"/>
      <c r="G991" s="198"/>
      <c r="H991" s="198"/>
      <c r="I991" s="198"/>
      <c r="J991" s="198"/>
      <c r="K991" s="198"/>
      <c r="L991" s="198"/>
      <c r="M991" s="198"/>
      <c r="N991" s="198"/>
      <c r="O991" s="198"/>
      <c r="P991" s="198"/>
      <c r="Q991" s="198"/>
      <c r="R991" s="198"/>
      <c r="S991" s="198"/>
      <c r="T991" s="198"/>
      <c r="U991" s="198"/>
      <c r="V991" s="198"/>
      <c r="W991" s="201"/>
      <c r="X991" s="198"/>
      <c r="Y991" s="198"/>
      <c r="Z991" s="198"/>
      <c r="AA991" s="198"/>
      <c r="AB991" s="198"/>
      <c r="AC991" s="198"/>
      <c r="AD991" s="198"/>
      <c r="AE991" s="198"/>
      <c r="AF991" s="198"/>
      <c r="AG991" s="198"/>
      <c r="AH991" s="198"/>
      <c r="AI991" s="198"/>
      <c r="AJ991" s="198"/>
      <c r="AK991" s="198"/>
    </row>
    <row r="992">
      <c r="A992" s="198"/>
      <c r="B992" s="198"/>
      <c r="C992" s="198"/>
      <c r="D992" s="198"/>
      <c r="E992" s="198"/>
      <c r="F992" s="198"/>
      <c r="G992" s="198"/>
      <c r="H992" s="198"/>
      <c r="I992" s="198"/>
      <c r="J992" s="198"/>
      <c r="K992" s="198"/>
      <c r="L992" s="198"/>
      <c r="M992" s="198"/>
      <c r="N992" s="198"/>
      <c r="O992" s="198"/>
      <c r="P992" s="198"/>
      <c r="Q992" s="198"/>
      <c r="R992" s="198"/>
      <c r="S992" s="198"/>
      <c r="T992" s="198"/>
      <c r="U992" s="198"/>
      <c r="V992" s="198"/>
      <c r="W992" s="201"/>
      <c r="X992" s="198"/>
      <c r="Y992" s="198"/>
      <c r="Z992" s="198"/>
      <c r="AA992" s="198"/>
      <c r="AB992" s="198"/>
      <c r="AC992" s="198"/>
      <c r="AD992" s="198"/>
      <c r="AE992" s="198"/>
      <c r="AF992" s="198"/>
      <c r="AG992" s="198"/>
      <c r="AH992" s="198"/>
      <c r="AI992" s="198"/>
      <c r="AJ992" s="198"/>
      <c r="AK992" s="198"/>
    </row>
    <row r="993">
      <c r="A993" s="198"/>
      <c r="B993" s="198"/>
      <c r="C993" s="198"/>
      <c r="D993" s="198"/>
      <c r="E993" s="198"/>
      <c r="F993" s="198"/>
      <c r="G993" s="198"/>
      <c r="H993" s="198"/>
      <c r="I993" s="198"/>
      <c r="J993" s="198"/>
      <c r="K993" s="198"/>
      <c r="L993" s="198"/>
      <c r="M993" s="198"/>
      <c r="N993" s="198"/>
      <c r="O993" s="198"/>
      <c r="P993" s="198"/>
      <c r="Q993" s="198"/>
      <c r="R993" s="198"/>
      <c r="S993" s="198"/>
      <c r="T993" s="198"/>
      <c r="U993" s="198"/>
      <c r="V993" s="198"/>
      <c r="W993" s="201"/>
      <c r="X993" s="198"/>
      <c r="Y993" s="198"/>
      <c r="Z993" s="198"/>
      <c r="AA993" s="198"/>
      <c r="AB993" s="198"/>
      <c r="AC993" s="198"/>
      <c r="AD993" s="198"/>
      <c r="AE993" s="198"/>
      <c r="AF993" s="198"/>
      <c r="AG993" s="198"/>
      <c r="AH993" s="198"/>
      <c r="AI993" s="198"/>
      <c r="AJ993" s="198"/>
      <c r="AK993" s="198"/>
    </row>
    <row r="994">
      <c r="A994" s="198"/>
      <c r="B994" s="198"/>
      <c r="C994" s="198"/>
      <c r="D994" s="198"/>
      <c r="E994" s="198"/>
      <c r="F994" s="198"/>
      <c r="G994" s="198"/>
      <c r="H994" s="198"/>
      <c r="I994" s="198"/>
      <c r="J994" s="198"/>
      <c r="K994" s="198"/>
      <c r="L994" s="198"/>
      <c r="M994" s="198"/>
      <c r="N994" s="198"/>
      <c r="O994" s="198"/>
      <c r="P994" s="198"/>
      <c r="Q994" s="198"/>
      <c r="R994" s="198"/>
      <c r="S994" s="198"/>
      <c r="T994" s="198"/>
      <c r="U994" s="198"/>
      <c r="V994" s="198"/>
      <c r="W994" s="201"/>
      <c r="X994" s="198"/>
      <c r="Y994" s="198"/>
      <c r="Z994" s="198"/>
      <c r="AA994" s="198"/>
      <c r="AB994" s="198"/>
      <c r="AC994" s="198"/>
      <c r="AD994" s="198"/>
      <c r="AE994" s="198"/>
      <c r="AF994" s="198"/>
      <c r="AG994" s="198"/>
      <c r="AH994" s="198"/>
      <c r="AI994" s="198"/>
      <c r="AJ994" s="198"/>
      <c r="AK994" s="198"/>
    </row>
    <row r="995">
      <c r="A995" s="198"/>
      <c r="B995" s="198"/>
      <c r="C995" s="198"/>
      <c r="D995" s="198"/>
      <c r="E995" s="198"/>
      <c r="F995" s="198"/>
      <c r="G995" s="198"/>
      <c r="H995" s="198"/>
      <c r="I995" s="198"/>
      <c r="J995" s="198"/>
      <c r="K995" s="198"/>
      <c r="L995" s="198"/>
      <c r="M995" s="198"/>
      <c r="N995" s="198"/>
      <c r="O995" s="198"/>
      <c r="P995" s="198"/>
      <c r="Q995" s="198"/>
      <c r="R995" s="198"/>
      <c r="S995" s="198"/>
      <c r="T995" s="198"/>
      <c r="U995" s="198"/>
      <c r="V995" s="198"/>
      <c r="W995" s="201"/>
      <c r="X995" s="198"/>
      <c r="Y995" s="198"/>
      <c r="Z995" s="198"/>
      <c r="AA995" s="198"/>
      <c r="AB995" s="198"/>
      <c r="AC995" s="198"/>
      <c r="AD995" s="198"/>
      <c r="AE995" s="198"/>
      <c r="AF995" s="198"/>
      <c r="AG995" s="198"/>
      <c r="AH995" s="198"/>
      <c r="AI995" s="198"/>
      <c r="AJ995" s="198"/>
      <c r="AK995" s="198"/>
    </row>
    <row r="996">
      <c r="A996" s="198"/>
      <c r="B996" s="198"/>
      <c r="C996" s="198"/>
      <c r="D996" s="198"/>
      <c r="E996" s="198"/>
      <c r="F996" s="198"/>
      <c r="G996" s="198"/>
      <c r="H996" s="198"/>
      <c r="I996" s="198"/>
      <c r="J996" s="198"/>
      <c r="K996" s="198"/>
      <c r="L996" s="198"/>
      <c r="M996" s="198"/>
      <c r="N996" s="198"/>
      <c r="O996" s="198"/>
      <c r="P996" s="198"/>
      <c r="Q996" s="198"/>
      <c r="R996" s="198"/>
      <c r="S996" s="198"/>
      <c r="T996" s="198"/>
      <c r="U996" s="198"/>
      <c r="V996" s="198"/>
      <c r="W996" s="201"/>
      <c r="X996" s="198"/>
      <c r="Y996" s="198"/>
      <c r="Z996" s="198"/>
      <c r="AA996" s="198"/>
      <c r="AB996" s="198"/>
      <c r="AC996" s="198"/>
      <c r="AD996" s="198"/>
      <c r="AE996" s="198"/>
      <c r="AF996" s="198"/>
      <c r="AG996" s="198"/>
      <c r="AH996" s="198"/>
      <c r="AI996" s="198"/>
      <c r="AJ996" s="198"/>
      <c r="AK996" s="198"/>
    </row>
    <row r="997">
      <c r="A997" s="198"/>
      <c r="B997" s="198"/>
      <c r="C997" s="198"/>
      <c r="D997" s="198"/>
      <c r="E997" s="198"/>
      <c r="F997" s="198"/>
      <c r="G997" s="198"/>
      <c r="H997" s="198"/>
      <c r="I997" s="198"/>
      <c r="J997" s="198"/>
      <c r="K997" s="198"/>
      <c r="L997" s="198"/>
      <c r="M997" s="198"/>
      <c r="N997" s="198"/>
      <c r="O997" s="198"/>
      <c r="P997" s="198"/>
      <c r="Q997" s="198"/>
      <c r="R997" s="198"/>
      <c r="S997" s="198"/>
      <c r="T997" s="198"/>
      <c r="U997" s="198"/>
      <c r="V997" s="198"/>
      <c r="W997" s="201"/>
      <c r="X997" s="198"/>
      <c r="Y997" s="198"/>
      <c r="Z997" s="198"/>
      <c r="AA997" s="198"/>
      <c r="AB997" s="198"/>
      <c r="AC997" s="198"/>
      <c r="AD997" s="198"/>
      <c r="AE997" s="198"/>
      <c r="AF997" s="198"/>
      <c r="AG997" s="198"/>
      <c r="AH997" s="198"/>
      <c r="AI997" s="198"/>
      <c r="AJ997" s="198"/>
      <c r="AK997" s="198"/>
    </row>
    <row r="998">
      <c r="A998" s="198"/>
      <c r="B998" s="198"/>
      <c r="C998" s="198"/>
      <c r="D998" s="198"/>
      <c r="E998" s="198"/>
      <c r="F998" s="198"/>
      <c r="G998" s="198"/>
      <c r="H998" s="198"/>
      <c r="I998" s="198"/>
      <c r="J998" s="198"/>
      <c r="K998" s="198"/>
      <c r="L998" s="198"/>
      <c r="M998" s="198"/>
      <c r="N998" s="198"/>
      <c r="O998" s="198"/>
      <c r="P998" s="198"/>
      <c r="Q998" s="198"/>
      <c r="R998" s="198"/>
      <c r="S998" s="198"/>
      <c r="T998" s="198"/>
      <c r="U998" s="198"/>
      <c r="V998" s="198"/>
      <c r="W998" s="201"/>
      <c r="X998" s="198"/>
      <c r="Y998" s="198"/>
      <c r="Z998" s="198"/>
      <c r="AA998" s="198"/>
      <c r="AB998" s="198"/>
      <c r="AC998" s="198"/>
      <c r="AD998" s="198"/>
      <c r="AE998" s="198"/>
      <c r="AF998" s="198"/>
      <c r="AG998" s="198"/>
      <c r="AH998" s="198"/>
      <c r="AI998" s="198"/>
      <c r="AJ998" s="198"/>
      <c r="AK998" s="198"/>
    </row>
    <row r="999">
      <c r="A999" s="198"/>
      <c r="B999" s="198"/>
      <c r="C999" s="198"/>
      <c r="D999" s="198"/>
      <c r="E999" s="198"/>
      <c r="F999" s="198"/>
      <c r="G999" s="198"/>
      <c r="H999" s="198"/>
      <c r="I999" s="198"/>
      <c r="J999" s="198"/>
      <c r="K999" s="198"/>
      <c r="L999" s="198"/>
      <c r="M999" s="198"/>
      <c r="N999" s="198"/>
      <c r="O999" s="198"/>
      <c r="P999" s="198"/>
      <c r="Q999" s="198"/>
      <c r="R999" s="198"/>
      <c r="S999" s="198"/>
      <c r="T999" s="198"/>
      <c r="U999" s="198"/>
      <c r="V999" s="198"/>
      <c r="W999" s="201"/>
      <c r="X999" s="198"/>
      <c r="Y999" s="198"/>
      <c r="Z999" s="198"/>
      <c r="AA999" s="198"/>
      <c r="AB999" s="198"/>
      <c r="AC999" s="198"/>
      <c r="AD999" s="198"/>
      <c r="AE999" s="198"/>
      <c r="AF999" s="198"/>
      <c r="AG999" s="198"/>
      <c r="AH999" s="198"/>
      <c r="AI999" s="198"/>
      <c r="AJ999" s="198"/>
      <c r="AK999" s="198"/>
    </row>
    <row r="1000">
      <c r="A1000" s="198"/>
      <c r="B1000" s="198"/>
      <c r="C1000" s="198"/>
      <c r="D1000" s="198"/>
      <c r="E1000" s="198"/>
      <c r="F1000" s="198"/>
      <c r="G1000" s="198"/>
      <c r="H1000" s="198"/>
      <c r="I1000" s="198"/>
      <c r="J1000" s="198"/>
      <c r="K1000" s="198"/>
      <c r="L1000" s="198"/>
      <c r="M1000" s="198"/>
      <c r="N1000" s="198"/>
      <c r="O1000" s="198"/>
      <c r="P1000" s="198"/>
      <c r="Q1000" s="198"/>
      <c r="R1000" s="198"/>
      <c r="S1000" s="198"/>
      <c r="T1000" s="198"/>
      <c r="U1000" s="198"/>
      <c r="V1000" s="198"/>
      <c r="W1000" s="201"/>
      <c r="X1000" s="198"/>
      <c r="Y1000" s="198"/>
      <c r="Z1000" s="198"/>
      <c r="AA1000" s="198"/>
      <c r="AB1000" s="198"/>
      <c r="AC1000" s="198"/>
      <c r="AD1000" s="198"/>
      <c r="AE1000" s="198"/>
      <c r="AF1000" s="198"/>
      <c r="AG1000" s="198"/>
      <c r="AH1000" s="198"/>
      <c r="AI1000" s="198"/>
      <c r="AJ1000" s="198"/>
      <c r="AK1000" s="198"/>
    </row>
  </sheetData>
  <drawing r:id="rId1"/>
</worksheet>
</file>