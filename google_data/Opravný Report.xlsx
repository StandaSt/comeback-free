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<sst xmlns="http://schemas.openxmlformats.org/spreadsheetml/2006/main" count="617" uniqueCount="278">
  <si>
    <t>Bolevec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</si>
  <si>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</si>
  <si>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</si>
  <si>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</si>
  <si>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</si>
  <si>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</si>
  <si>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</si>
  <si>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</si>
  <si>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</si>
  <si>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</si>
  <si>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</si>
  <si>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</si>
  <si>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</si>
  <si>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</si>
  <si>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</si>
  <si>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</si>
  <si>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</si>
  <si>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</si>
  <si>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</si>
  <si>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</si>
  <si>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</si>
  <si>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</si>
  <si>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</si>
  <si>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Roth Stanislav ml.</t>
  </si>
  <si>
    <t>10:00</t>
  </si>
  <si>
    <t>01:00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</si>
  <si>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</si>
  <si>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</si>
  <si>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</si>
  <si>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</si>
  <si>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</si>
  <si>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</si>
  <si>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</si>
  <si>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</si>
  <si>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</si>
  <si>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</si>
  <si>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</si>
  <si>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</si>
  <si>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</si>
  <si>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</si>
  <si>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</si>
  <si>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</si>
  <si>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</si>
  <si>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</si>
  <si>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</si>
  <si>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Vopatová Anna</t>
  </si>
  <si>
    <t>15:00</t>
  </si>
  <si>
    <t>Světlík František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</si>
  <si>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</si>
  <si>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</si>
  <si>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</si>
  <si>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</si>
  <si>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</si>
  <si>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</si>
  <si>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</si>
  <si>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</si>
  <si>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</si>
  <si>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</si>
  <si>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</si>
  <si>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</si>
  <si>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</si>
  <si>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</si>
  <si>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</si>
  <si>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</si>
  <si>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</si>
  <si>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</si>
  <si>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</si>
  <si>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</si>
  <si>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</si>
  <si>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</si>
  <si>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</si>
  <si>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</si>
  <si>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</si>
  <si>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</si>
  <si>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</si>
  <si>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</si>
  <si>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</si>
  <si>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</si>
  <si>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</si>
  <si>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</si>
  <si>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damejidlo</t>
  </si>
  <si>
    <t>canceled</t>
  </si>
  <si>
    <t>delivery</t>
  </si>
  <si>
    <t>cash</t>
  </si>
  <si>
    <t>2026-06-02T00:32:05.882+02:00</t>
  </si>
  <si>
    <t>F - Pizza Comeback Bolevec - rozvoz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</si>
  <si>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🌶️🌶️","posId":"110","price":32900,"isExtra":false},{"id":"65874385","note":"","count":1,"label":"Balné","posId":"K0000","price":2000,"isExtra":true},{"id":"65874504","note":"","count":1,"label":"Smetanový základ","posId":"ZRS40","price":0,"isExtra":true},{"id":"65874359","note":"","size":"Dip Jalapeňos","count":1,"label":"Dip Jalapeňos","posId":"P107","price":2500,"isExtra":false}]</t>
  </si>
  <si>
    <t>generic</t>
  </si>
  <si>
    <t>delivered</t>
  </si>
  <si>
    <t>pickup</t>
  </si>
  <si>
    <t>2026-06-01T23:57:05.673+02:00</t>
  </si>
  <si>
    <t>2026-06-02T00:08:38.117+02:00</t>
  </si>
  <si>
    <t>Adaptee</t>
  </si>
  <si>
    <t>[{"id":"0b867b16-3995-4b4a-9deb-1c0d8cecf8d6","note":"","count":1,"label":"Pepperoni 32 cm","posId":"120","price":25900,"isExtra":false},{"id":"fcbcf6b6-34c6-4d5f-ac5b-f6ece72e0953","note":"","count":1,"label":"BBQ Meteor 32 cm","posId":"118","price":25900,"isExtra":false}]</t>
  </si>
  <si>
    <t>wolt</t>
  </si>
  <si>
    <t>external-delivery</t>
  </si>
  <si>
    <t>online</t>
  </si>
  <si>
    <t>2026-06-01T23:35:26.525+02:00</t>
  </si>
  <si>
    <t>2026-06-01T23:46:35.153+02:00</t>
  </si>
  <si>
    <t>W - Pizza Comeback Bolevec</t>
  </si>
  <si>
    <t>[{"id":"6893484371e1a7827faa282a","count":1,"label":"Quattro Formaggi 40cm","posId":"111","price":29900,"isExtra":false},{"id":"8492ff01857ad344daba3d10","count":1,"label":"Balné","posId":"K0000","price":2000,"isExtra":true}]</t>
  </si>
  <si>
    <t>bolt</t>
  </si>
  <si>
    <t>Yevhenii</t>
  </si>
  <si>
    <t>2026-06-01T23:33:46.379+02:00</t>
  </si>
  <si>
    <t>2026-06-01T23:45:02.283+02:00</t>
  </si>
  <si>
    <t>B - Pizza Comeback Bolevec</t>
  </si>
  <si>
    <t>[{"id":"N125","note":"","count":1,"label":"Pepsi zero sugar 1l","posId":"N125","price":5900,"isExtra":false},{"id":"110","note":"","count":1,"label":"Hot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</si>
  <si>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Roman</t>
  </si>
  <si>
    <t>2026-06-01T23:18:10.347+02:00</t>
  </si>
  <si>
    <t>2026-06-01T23:26:16.144+02:00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</si>
  <si>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</si>
  <si>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2026-06-01T23:07:12.697+02:00</t>
  </si>
  <si>
    <t>2026-06-01T23:17:28.308+02:00</t>
  </si>
  <si>
    <t>[{"id":"50407dc440b990acd4054e0f","count":2,"label":"Pilsner Urquell 12","posId":"N20","price":6500,"isExtra":false},{"id":"6893484371e1a7827faa2844","count":1,"label":"Hot &amp; Spicy 32cm 🌶️🌶️","posId":"122","price":22900,"isExtra":false},{"id":"0cf732abf15d68df108984b2","count":1,"label":"Balné","posId":"K0000","price":1500,"isExtra":true},{"id":"cc6a9570333d25cab14bc37d","count":1,"label":"Kukuřice","posId":"B115","price":2500,"KDSTags":["greenhighlight"],"isExtra":true},{"id":"380ab62bcb0705673955fc74","count":1,"label":"Šunka","posId":"B106","price":3000,"KDSTags":["greenhighlight"],"isExtra":true},{"id":"8cfd349c9dc7f129d0cfd899","count":2,"label":"Česnekový dip","posId":"P106","price":2000,"isExtra":false},{"id":"0cf732abf15d68df108984b2","count":2,"label":"Balné","posId":"K0000","price":1500,"isExtra":true},{"id":"6893484371e1a7827faa285e","count":1,"label":"Masové kuličky","posId":"P102","price":8900,"isExtra":false},{"id":"0cf732abf15d68df108984b2","count":1,"label":"Balné","posId":"K0000","price":1500,"isExtra":true}]</t>
  </si>
  <si>
    <t>Patrik</t>
  </si>
  <si>
    <t>2026-06-01T22:08:34.021+02:00</t>
  </si>
  <si>
    <t>2026-06-01T22:17:00.974+02:00</t>
  </si>
  <si>
    <t>[{"id":"109","note":"","count":1,"label":"Comeback 40cm 🌶️","posId":"109","price":29900,"isExtra":false},{"id":"K0000","note":"","count":1,"label":"Balné","posId":"K0000","price":2000,"isExtra":true}]</t>
  </si>
  <si>
    <t>Anicka Vopatova</t>
  </si>
  <si>
    <t>2026-06-01T22:08:15.771+02:00</t>
  </si>
  <si>
    <t>2026-06-01T22:19:24.729+02:00</t>
  </si>
  <si>
    <t>2026-06-01T22:36:12.675+02:00</t>
  </si>
  <si>
    <t>2026-06-01T22:08:59.271+02:00</t>
  </si>
  <si>
    <t>[{"id":"65874334","note":"","size":"Margherita 32cm","count":1,"label":"Margherita 32cm","posId":"112","price":21900,"isExtra":false},{"id":"65874393","note":"","count":1,"label":"Balné","posId":"K0000","price":1500,"isExtra":true},{"id":"65874480","note":"","count":1,"label":"Kuře","posId":"B114","price":3000,"KDSTags":["greenhighlight"],"isExtra":true}]</t>
  </si>
  <si>
    <t>card</t>
  </si>
  <si>
    <t>2026-06-01T21:49:04.180+02:00</t>
  </si>
  <si>
    <t>2026-06-01T21:57:17.527+02:00</t>
  </si>
  <si>
    <t>[{"id":"ff8bc446-e047-44f1-bae5-423b565e0123","note":"","count":1,"label":"Capricciosa 32 cm","posId":"137","price":25900,"isExtra":false}]</t>
  </si>
  <si>
    <t>2026-06-01T21:23:42.262+02:00</t>
  </si>
  <si>
    <t>2026-06-01T21:31:59.591+02:00</t>
  </si>
  <si>
    <t>[{"id":"6893484371e1a7827faa284a","count":1,"label":"BBQ Texas 32cm","posId":"119","price":22900,"isExtra":false},{"id":"0cf732abf15d68df108984b2","count":1,"label":"Balné","posId":"K0000","price":1500,"isExtra":true}]</t>
  </si>
  <si>
    <t>2026-06-01T21:09:06.490+02:00</t>
  </si>
  <si>
    <t>2026-06-01T21:20:38.695+02:00</t>
  </si>
  <si>
    <t>[{"id":"6893484371e1a7827faa2842","count":1,"label":"Quattro Formaggi 32cm","posId":"123","price":22900,"isExtra":false},{"id":"0cf732abf15d68df108984b2","count":1,"label":"Balné","posId":"K0000","price":1500,"isExtra":true},{"id":"aa7adefdbb9acf83a80d5243","count":1,"label":"okraj mozzarella, bylinky","posId":"A121","price":5900,"isExtra":true},{"id":"a756491743f5851faee7839c","count":1,"label":"Slanina","posId":"B108","price":3000,"KDSTags":["greenhighlight"],"isExtra":true},{"id":"8cfd349c9dc7f129d0cfd899","count":1,"label":"Česnekový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</si>
  <si>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2026-06-01T20:26:42.111+02:00</t>
  </si>
  <si>
    <t>2026-06-01T20:35:21.408+02:00</t>
  </si>
  <si>
    <t>F - Pizza Comeback Bolevec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</si>
  <si>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40cm","posId":"111","price":29900,"isExtra":false},{"id":"62240274","note":"","count":1,"label":"Balné","posId":"K0000","price":2000,"isExtra":true},{"id":"62240362","note":"","count":1,"label":"Šunka","posId":"C106","price":4000,"KDSTags":["greenhighlight"],"isExtra":true}]</t>
  </si>
  <si>
    <t>2026-06-01T20:16:59.261+02:00</t>
  </si>
  <si>
    <t>2026-06-01T20:25:46.414+02:00</t>
  </si>
  <si>
    <t>[{"id":"6893484371e1a7827faa2830","count":1,"label":"Pepperoni 40cm 🌶️🌶️","posId":"108","price":29900,"isExtra":false},{"id":"8492ff01857ad344daba3d10","count":1,"label":"Balné","posId":"K0000","price":2000,"isExtra":true},{"id":"0866c7a48369c02d8b79a2fc","count":1,"label":"okraj mozzarella, bylinky","posId":"A122","price":6900,"isExtra":true}]</t>
  </si>
  <si>
    <t>manual</t>
  </si>
  <si>
    <t>2026-06-01T19:48:07.395+02:00</t>
  </si>
  <si>
    <t>2026-06-01T19:59:04.430+02:00</t>
  </si>
  <si>
    <t>2026-06-01T20:10:44.600+02:00</t>
  </si>
  <si>
    <t>2026-06-01T19:56:51.398+02:00</t>
  </si>
  <si>
    <t>Ručně zadané obj.</t>
  </si>
  <si>
    <t>[{"id":"de6753a1-e94f-40c8-bbad-ed722dabae53","count":1,"label":"Pizza Quattro Formaggi 40 0,5","posId":"H111","price":16450,"isExtra":false,"creatorId":"WfcD7uV1_l6Mr3CZAo8GO","actualLabel":"Pizza Quattro Formaggi 40 0,5"},{"id":"2lwz8DLnxAE2XXPjpySDo","count":1,"label":"Bez plněných okrajů","posId":"X1000","price":0,"isExtra":true,"mainItemId":"de6753a1-e94f-40c8-bbad-ed722dabae53"},{"id":"2eddb0dc-c598-4c27-9c40-e1df24127c19","count":1,"label":"Pizza Comeback 40 0,5","posId":"H109","price":16450,"isExtra":false,"creatorId":"HustfT3X5aF3oZ8S1Fmy4","actualLabel":"Pizza Comeback 40 0,5"},{"id":"2lwz8DLnxAE2XXPjpySDo","count":1,"label":"Bez plněných okrajů","posId":"X1000","price":0,"isExtra":true,"mainItemId":"2eddb0dc-c598-4c27-9c40-e1df24127c19"}]</t>
  </si>
  <si>
    <t>ready_pickup</t>
  </si>
  <si>
    <t>2026-06-01T19:34:35.683+02:00</t>
  </si>
  <si>
    <t>2026-06-01T19:50:25.369+02:00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</si>
  <si>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40cm","posId":"104","price":29900,"isExtra":false},{"id":"62240274","note":"","count":1,"label":"Balné","posId":"K0000","price":2000,"isExtra":true},{"id":"62240411","note":"","count":1,"label":"Rajčatový základ","posId":"ZSR40","price":0,"isExtra":true},{"id":"62240197","note":"","size":"Capricciosa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</si>
  <si>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2026-06-01T19:32:15.355+02:00</t>
  </si>
  <si>
    <t>2026-06-01T19:41:07.221+02:00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</si>
  <si>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</si>
  <si>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2026-06-01T19:30:11.547+02:00</t>
  </si>
  <si>
    <t>2026-06-01T22:05:09.718+02:00</t>
  </si>
  <si>
    <t>2026-06-01T22:05:09.717+02:00</t>
  </si>
  <si>
    <t>[{"id":"e81d1eac-78b4-4c74-9c7f-c9c1a65dccf2","count":1,"label":"Pizza Capricciosa 32","posId":"113","price":25900,"isExtra":false,"creatorId":"knWdmwagu7k83fcDb-O4H","isPackging":0,"actualLabel":"Pizza Capricciosa 32"},{"id":"2cffc280-164c-4c9f-aaee-66502dfa73f2","count":1,"label":"Pizza Špenát kuře 32 cm","posId":"116","price":25900,"isExtra":false,"creatorId":"W_IvJ--zi70_Dy4nA16qP","isPackging":0,"actualLabel":"Pizza Špenát kuře 32 cm"},{"id":"0b0f19cf-0e7b-4ef5-abad-53a9439da195","count":1,"label":"Pizza Hot &amp; Spicy 32","posId":"122","price":25900,"isExtra":false,"creatorId":"IRnPT9S-2gXVyUsl_OX_c","isPackging":0,"actualLabel":"Pizza Hot &amp; Spicy 32"}]</t>
  </si>
  <si>
    <t>2026-06-01T18:56:41.654+02:00</t>
  </si>
  <si>
    <t>2026-06-01T19:06:10.405+02:00</t>
  </si>
  <si>
    <t>[{"id":"6893484371e1a7827faa283a","count":1,"label":"Capricciosa 40cm","posId":"101","price":29900,"isExtra":false},{"id":"8492ff01857ad344daba3d10","count":1,"label":"Balné","posId":"K0000","price":2000,"isExtra":true}]</t>
  </si>
  <si>
    <t>2026-06-01T18:49:03.691+02:00</t>
  </si>
  <si>
    <t>2026-06-01T18:57:23.809+02:00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</si>
  <si>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</si>
  <si>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2026-06-01T18:46:19.781+02:00</t>
  </si>
  <si>
    <t>2026-06-01T18:53:41.209+02:00</t>
  </si>
  <si>
    <t>2026-06-01T18:30:03.660+02:00</t>
  </si>
  <si>
    <t>2026-06-01T18:46:44.851+02:00</t>
  </si>
  <si>
    <t>2026-06-01T18:59:48.809+02:00</t>
  </si>
  <si>
    <t>2026-06-01T18:31:19.920+02:00</t>
  </si>
  <si>
    <t>[{"id":"0ea52415-fdb3-497f-b216-7fd5802f2e0f","note":"","count":1,"label":"Quattro Formaggi 32 cm","posId":"123","price":25900,"isExtra":false},{"id":"4cd25cb7-e092-43a0-ab38-89c50a7e6a77","note":"","count":1,"label":"Pepperoni 18 cm","posId":"132","price":13900,"isExtra":false}]</t>
  </si>
  <si>
    <t>2026-06-01T18:19:44.645+02:00</t>
  </si>
  <si>
    <t>2026-06-01T18:54:00.037+02:00</t>
  </si>
  <si>
    <t>[{"id":"e81d1eac-78b4-4c74-9c7f-c9c1a65dccf2","count":1,"label":"Pizza Capricciosa 32","posId":"113","price":25900,"isExtra":false,"creatorId":"lvFAj9lLODHOEuoViAw_c","isPackging":0,"actualLabel":"Pizza Capricciosa 32"}]</t>
  </si>
  <si>
    <t>2026-06-01T18:18:43.215+02:00</t>
  </si>
  <si>
    <t>2026-06-01T18:31:14.986+02:00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</si>
  <si>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</si>
  <si>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2026-06-01T18:06:41.717+02:00</t>
  </si>
  <si>
    <t>2026-06-01T18:19:01.527+02:00</t>
  </si>
  <si>
    <t>[{"id":"62240208","note":"","size":"Capricciosa 32cm","count":2,"label":"Capricciosa 32cm","posId":"113","price":22900,"isExtra":false},{"id":"62240278","note":"","count":2,"label":"Balné","posId":"K0000","price":1500,"isExtra":true},{"id":"62240202","note":"","size":"Comeback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</si>
  <si>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2026-06-01T17:54:02.834+02:00</t>
  </si>
  <si>
    <t>2026-06-01T18:01:59.851+02:00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</si>
  <si>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základ","posId":"ZRS40","price":0,"isExtra":true},{"id":"31520cbf5ed975b91e6c5722","count":1,"label":"Bez oliv","posId":"X112","price":0,"KDSTags":["redhighlight"],"isExtra":true}]</t>
  </si>
  <si>
    <t>2026-06-01T17:45:15.149+02:00</t>
  </si>
  <si>
    <t>2026-06-01T17:52:05.953+02:00</t>
  </si>
  <si>
    <t>[{"id":"428e1c0b-4234-4b06-b060-02a3a194dbbd","count":1,"label":"Pizza Quattro Formaggi 18","posId":"135","price":13900,"isExtra":false,"creatorId":"c8ps7koshNw6a8_djy29A","isPackging":0,"actualLabel":"Pizza Quattro Formaggi 18"},{"id":"KHkqvH4nrpVi3rmWB6xsU","count":1,"label":"Bez gorgonzoly","posId":"X101","price":0,"KDSTags":["redhighlight"],"isExtra":true,"mainItemId":"428e1c0b-4234-4b06-b060-02a3a194dbbd"}]</t>
  </si>
  <si>
    <t>2026-06-01T17:44:28.271+02:00</t>
  </si>
  <si>
    <t>2026-06-01T17:59:55.973+02:00</t>
  </si>
  <si>
    <t>2026-06-01T16:08:04.402+02:00</t>
  </si>
  <si>
    <t>2026-06-01T17:08:21.288+02:00</t>
  </si>
  <si>
    <t>[{"id":"aef5aaf8-2acf-4f20-91be-c8829f11cd0c","note":"","count":2,"label":"Capricciosa 40 cm","posId":"101","price":32900,"isExtra":false}]</t>
  </si>
  <si>
    <t>2026-06-01T15:49:55.173+02:00</t>
  </si>
  <si>
    <t>2026-06-01T15:53:11.346+02:00</t>
  </si>
  <si>
    <t>[{"id":"88ea58e5-5aed-4c56-80f0-bcc6b35440d3","count":1,"label":"Espresso Lungo","posId":"N156","price":5500,"isExtra":false,"creatorId":"6Sx98IcfVaumQAEBat12w","isPackging":0,"actualLabel":"Espresso Lungo"}]</t>
  </si>
  <si>
    <t>2026-06-01T15:27:40.885+02:00</t>
  </si>
  <si>
    <t>2026-06-01T15:36:34.241+02:00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</si>
  <si>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</si>
  <si>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Dmytro</t>
  </si>
  <si>
    <t>2026-06-01T14:54:26.328+02:00</t>
  </si>
  <si>
    <t>2026-06-01T15:10:27.646+02:00</t>
  </si>
  <si>
    <t>[{"id":"103","note":"","count":1,"label":"Zeleninová 40cm","posId":"103","price":29900,"isExtra":false},{"id":"K0000","note":"","count":1,"label":"Balné","posId":"K0000","price":2000,"isExtra":true},{"id":"A118","note":"","count":1,"label":"okraj hotdog, hořčice","posId":"A118","price":6900,"isExtra":true},{"id":"C106","note":"","count":1,"label":"Šunka","posId":"C106","price":4000,"KDSTags":["greenhighlight"]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dip","posId":"P106","price":2000,"isExtra":false},{"id":"K0000","note":"","count":2,"label":"Balné","posId":"K0000","price":1500,"isExtra":true},{"id":"106","note":"","count":1,"label":"BBQ Meteor 40cm","posId":"106","price":29900,"isExtra":false},{"id":"K0000","note":"","count":1,"label":"Balné","posId":"K0000","price":2000,"isExtra":true},{"id":"chr100","note":"","count":1,"label":"Choco Rolls","posId":"chr100","price":7900,"isExtra":false},{"id":"K0000","note":"","count":1,"label":"Balné","posId":"K0000","price":1500,"isExtra":true},{"id":"18","note":"","count":1,"label":"Jablečno-skořicové rolls","posId":"18","price":7900,"isExtra":false},{"id":"K0000","note":"","count":1,"label":"Balné","posId":"K0000","price":1500,"isExtra":true}]</t>
  </si>
  <si>
    <t>2026-06-01T14:41:15.685+02:00</t>
  </si>
  <si>
    <t>2026-06-01T14:51:50.195+02:00</t>
  </si>
  <si>
    <t>[{"id":"6893484371e1a7827faa2848","count":1,"label":"Pepperoni 32cm 🌶️🌶️","posId":"120","price":22900,"isExtra":false},{"id":"0cf732abf15d68df108984b2","count":1,"label":"Balné","posId":"K0000","price":1500,"isExtra":true}]</t>
  </si>
  <si>
    <t>2026-06-01T14:02:21.728+02:00</t>
  </si>
  <si>
    <t>2026-06-01T15:22:50.159+02:00</t>
  </si>
  <si>
    <t>[{"id":"8bba451a-3c5e-4c20-9575-e5341c254b5e","count":1,"label":"Pizza Quattro Formaggi 32 0,5","posId":"H123","price":12950,"isExtra":false,"creatorId":"2zEdIn-c5Q58yAXty6c9j","isPackging":0,"actualLabel":"Pizza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italské","posId":"H32","price":0,"isExtra":true,"mainItemId":"8bba451a-3c5e-4c20-9575-e5341c254b5e"},{"id":"dd64d382-320f-41bf-9f06-cbddc81362f7","count":1,"label":"Pizza Hawai 32 cm 0,5","posId":"H114","price":12950,"isExtra":false,"creatorId":"DWb84lZlCEHR3iSnulBFi","isPackging":0,"actualLabel":"Pizza Hawai 32 cm 0,5"},{"id":"RjnzJvFGQ7bViwxWS8fAW","count":1,"label":"Bez ananasu","posId":"X100","price":0,"KDSTags":["redhighlight"],"isExtra":true,"mainItemId":"dd64d382-320f-41bf-9f06-cbddc81362f7"},{"id":"ZMn0kE3IRVJjsfXstBxZb","count":1,"label":"Bez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italské","posId":"H32","price":0,"isExtra":true,"mainItemId":"dd64d382-320f-41bf-9f06-cbddc81362f7"}]</t>
  </si>
  <si>
    <t>2026-06-01T14:00:41.752+02:00</t>
  </si>
  <si>
    <t>2026-06-01T15:22:51.238+02:00</t>
  </si>
  <si>
    <t>[{"id":"1e8d27fe-5059-4d3c-a717-e6037379688e","count":1,"label":"Pizza Quattro Formaggi 40","posId":"111","price":32900,"isExtra":false,"creatorId":"va9T7O6Ujw6UYVUM66kTe","isPackging":0,"actualLabel":"Pizza Quattro Formaggi 40"}]</t>
  </si>
  <si>
    <t>2026-06-01T13:58:31.144+02:00</t>
  </si>
  <si>
    <t>2026-06-01T14:18:20.347+02:00</t>
  </si>
  <si>
    <t>[{"id":"700d2e35b664c3f71c5dfa78","count":2,"label":"Buchtičky se šodó","posId":"D12","price":8900,"isExtra":false},{"id":"0cf732abf15d68df108984b2","count":2,"label":"Balné","posId":"K0000","price":1500,"isExtra":true}]</t>
  </si>
  <si>
    <t>2026-06-01T13:20:50.305+02:00</t>
  </si>
  <si>
    <t>2026-06-01T13:29:39.389+02:00</t>
  </si>
  <si>
    <t>[{"id":"38fbf306-1585-4d67-9b87-6d5b39f05c8f","count":1,"label":"Pizza BBQ Texas 32","posId":"119","price":25900,"isExtra":false,"creatorId":"U4gJdD4BRgDmSlg40dQV5","isPackging":0,"actualLabel":"Pizza BBQ Texas 32"}]</t>
  </si>
  <si>
    <t>2026-06-01T13:18:24.991+02:00</t>
  </si>
  <si>
    <t>2026-06-01T13:24:38.442+02:00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</si>
  <si>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</si>
  <si>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2026-06-01T12:55:21.908+02:00</t>
  </si>
  <si>
    <t>2026-06-01T12:56:11.089+02:00</t>
  </si>
  <si>
    <t>[{"id":"6893484371e1a7827faa28a6","count":2,"label":"Pepsi zero sugar 1l","posId":"N125","price":5900,"isExtra":false}]</t>
  </si>
  <si>
    <t>2026-06-01T12:38:28.087+02:00</t>
  </si>
  <si>
    <t>2026-06-01T12:46:40.791+02:00</t>
  </si>
  <si>
    <t>[{"id":"62240187","note":"Bez dipu prosím 🙏","size":"Margherita 40cm","count":1,"label":"Margherita 40cm","posId":"100","price":24900,"isExtra":false},{"id":"62240274","note":"","count":1,"label":"Balné","posId":"K0000","price":2000,"isExtra":true}]</t>
  </si>
  <si>
    <t>2026-06-01T12:11:03.717+02:00</t>
  </si>
  <si>
    <t>2026-06-01T12:18:36.475+02:00</t>
  </si>
  <si>
    <t>[{"id":"f1315fc0-dfbb-459c-9f31-49d8e60875f4","note":"","count":1,"label":"Pepperoni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bylinky","posId":"eb426525-9181-4714-9963-380f5c0ae0e5","price":6900,"isExtra":true}]</t>
  </si>
  <si>
    <t>2026-06-01T12:09:39.027+02:00</t>
  </si>
  <si>
    <t>2026-06-01T12:09:49.799+02:00</t>
  </si>
  <si>
    <t>[{"id":"8e14a535-5628-4959-9da1-d7350a200486","count":1,"label":"Pizza Margherita 32","posId":"112","price":21900,"isExtra":false,"discount":{"type":"percentage","value":20},"creatorId":"MVCfbLVatps7GR9K9ODQy","isPackging":0,"actualLabel":"Pizza Margherita 32"}]</t>
  </si>
  <si>
    <t>2026-06-01T11:49:27.615+02:00</t>
  </si>
  <si>
    <t>2026-06-01T11:58:20.777+02:00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</si>
  <si>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</si>
  <si>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2026-06-01T10:58:53.808+02:00</t>
  </si>
  <si>
    <t>2026-06-01T11:30:37.251+02:00</t>
  </si>
  <si>
    <t>[{"id":"f2e47a9a-9a83-4636-a9a7-f3b2d38f2cc5","count":1,"label":"Pečené brambory","posId":"P103","price":6900,"isExtra":false,"creatorId":"aIR7IaHXKgZ-trqUJSEN5","isPackging":0,"actualLabel":"Pečené brambory"},{"id":"57d9f91b-11d2-479b-bfd0-7e570ba5d2e6","count":1,"label":"Spicy Wings","posId":"P101","price":12900,"isExtra":false,"creatorId":"UMrhedhkV8rz67nELEOdq","isPackging":0,"actualLabel":"Spicy Wings"}]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</si>
  <si>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</si>
  <si>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</si>
  <si>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</si>
  <si>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</si>
  <si>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</si>
  <si>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</si>
  <si>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</si>
  <si>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</si>
  <si>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</si>
  <si>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</si>
  <si>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</si>
  <si>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</si>
  <si>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</si>
  <si>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</si>
  <si>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</si>
  <si>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</si>
  <si>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</si>
  <si>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</si>
  <si>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</si>
  <si>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</si>
  <si>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</si>
  <si>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</si>
  <si>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</si>
  <si>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</si>
  <si>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</si>
  <si>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</si>
  <si>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</si>
  <si>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</si>
  <si>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</si>
  <si>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18:00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</si>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</sst>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E6E6FA"/>
        <bgColor rgb="FFE6E6FA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12" fontId="1" numFmtId="0" xfId="0" applyAlignment="1" applyBorder="1" applyFill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3" fontId="17" numFmtId="0" xfId="0" applyAlignment="1" applyBorder="1" applyFill="1" applyFont="1">
      <alignment horizontal="center" shrinkToFit="0" vertical="bottom" wrapText="1"/>
    </xf>
    <xf borderId="26" fillId="13" fontId="17" numFmtId="166" xfId="0" applyAlignment="1" applyBorder="1" applyFont="1" applyNumberFormat="1">
      <alignment horizontal="center" shrinkToFit="0" vertical="bottom" wrapText="1"/>
    </xf>
    <xf borderId="26" fillId="13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4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5" fontId="17" numFmtId="0" xfId="0" applyAlignment="1" applyBorder="1" applyFill="1" applyFont="1">
      <alignment horizontal="center" shrinkToFit="0" vertical="bottom" wrapText="1"/>
    </xf>
    <xf borderId="26" fillId="16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4" fontId="18" numFmtId="49" xfId="0" applyAlignment="1" applyBorder="1" applyFont="1" applyNumberFormat="1">
      <alignment horizontal="center" readingOrder="0" shrinkToFit="0" vertical="center" wrapText="0"/>
    </xf>
    <xf borderId="37" fillId="16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3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4" fontId="18" numFmtId="49" xfId="0" applyAlignment="1" applyBorder="1" applyFont="1" applyNumberFormat="1">
      <alignment horizontal="center" shrinkToFit="0" vertical="center" wrapText="0"/>
    </xf>
    <xf borderId="0" fillId="17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4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7" fontId="1" numFmtId="0" xfId="0" applyAlignment="1" applyFont="1">
      <alignment vertical="bottom"/>
    </xf>
    <xf borderId="28" fillId="18" fontId="13" numFmtId="0" xfId="0" applyAlignment="1" applyBorder="1" applyFill="1" applyFont="1">
      <alignment horizontal="center" shrinkToFit="0" vertical="center" wrapText="0"/>
    </xf>
    <xf borderId="15" fillId="18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8" fontId="13" numFmtId="0" xfId="0" applyAlignment="1" applyBorder="1" applyFont="1">
      <alignment horizontal="center" shrinkToFit="0" vertical="center" wrapText="0"/>
    </xf>
    <xf borderId="11" fillId="18" fontId="13" numFmtId="0" xfId="0" applyAlignment="1" applyBorder="1" applyFont="1">
      <alignment horizontal="center"/>
    </xf>
    <xf borderId="25" fillId="17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4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4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4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4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3" fontId="17" numFmtId="0" xfId="0" applyAlignment="1" applyBorder="1" applyFont="1">
      <alignment horizontal="center" readingOrder="0" shrinkToFit="0" vertical="center" wrapText="1"/>
    </xf>
    <xf borderId="26" fillId="13" fontId="17" numFmtId="166" xfId="0" applyAlignment="1" applyBorder="1" applyFont="1" applyNumberFormat="1">
      <alignment horizontal="center" readingOrder="0" shrinkToFit="0" vertical="center" wrapText="1"/>
    </xf>
    <xf borderId="26" fillId="13" fontId="1" numFmtId="0" xfId="0" applyAlignment="1" applyBorder="1" applyFont="1">
      <alignment horizontal="center" readingOrder="0" vertical="center"/>
    </xf>
    <xf borderId="45" fillId="13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5" fontId="17" numFmtId="0" xfId="0" applyAlignment="1" applyBorder="1" applyFont="1">
      <alignment horizontal="center" readingOrder="0" shrinkToFit="0" vertical="center" wrapText="1"/>
    </xf>
    <xf borderId="45" fillId="20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20" fontId="1" numFmtId="0" xfId="0" applyAlignment="1" applyBorder="1" applyFont="1">
      <alignment horizontal="center" readingOrder="0" vertical="center"/>
    </xf>
    <xf borderId="26" fillId="13" fontId="1" numFmtId="10" xfId="0" applyAlignment="1" applyBorder="1" applyFont="1" applyNumberFormat="1">
      <alignment horizontal="center" readingOrder="0" vertical="center"/>
    </xf>
    <xf borderId="45" fillId="13" fontId="1" numFmtId="0" xfId="0" applyAlignment="1" applyBorder="1" applyFont="1">
      <alignment horizontal="center" readingOrder="0" vertical="center"/>
    </xf>
    <xf borderId="18" fillId="17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4" fontId="1" numFmtId="49" xfId="0" applyAlignment="1" applyBorder="1" applyFont="1" applyNumberFormat="1">
      <alignment horizontal="center" readingOrder="0" vertical="center"/>
    </xf>
    <xf borderId="29" fillId="13" fontId="1" numFmtId="10" xfId="0" applyAlignment="1" applyBorder="1" applyFont="1" applyNumberFormat="1">
      <alignment horizontal="center" readingOrder="0" vertical="center"/>
    </xf>
    <xf borderId="51" fillId="13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46174.0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tržbu"")"),0.4622972088058687)</f>
        <v>0.4622972088</v>
      </c>
      <c r="H2" s="15"/>
      <c r="I2" s="16">
        <f>SUM(RestiaCSV!C:C) - SUMIFS(RestiaCSV!C:C, RestiaCSV!B:B, "canceled")</f>
        <v>14437.19</v>
      </c>
      <c r="K2" s="15"/>
      <c r="L2" s="17" t="s">
        <v>5</v>
      </c>
      <c r="M2" s="18">
        <f>SUMIFS(RestiaCSV!C:C, RestiaCSV!A:A, Report!L2, RestiaCSV!B:B, "&lt;&gt;canceled")</f>
        <v>3449</v>
      </c>
    </row>
    <row r="3">
      <c r="A3" s="1"/>
      <c r="B3" s="19" t="str">
        <f>CHOOSE(WEEKDAY(D1), "Neděle", "Pondělí", "Úterý", "Středa", "Čtvrtek", "Pátek", "Sobota")</f>
        <v>Pondělí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2200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3302.59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1372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513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1157.0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/>
      <c r="I11" s="15"/>
      <c r="J11" s="40">
        <f>M2+M3+M4+M5+M6+M13+M14+M15+M16+M17+M9+M10+M11-I2</f>
        <v>0.4</v>
      </c>
      <c r="K11" s="5"/>
      <c r="L11" s="41" t="s">
        <v>12</v>
      </c>
      <c r="M11" s="31">
        <v>702.0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/>
      <c r="C13" s="44"/>
      <c r="D13" s="44"/>
      <c r="E13" s="49"/>
      <c r="F13" s="46" t="str">
        <f t="shared" si="1"/>
        <v>0:00</v>
      </c>
      <c r="G13" s="21"/>
      <c r="H13" s="21"/>
      <c r="I13" s="13"/>
      <c r="J13" s="29"/>
      <c r="K13" s="15"/>
      <c r="L13" s="17" t="s">
        <v>27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/>
      <c r="C14" s="44"/>
      <c r="D14" s="44"/>
      <c r="E14" s="45"/>
      <c r="F14" s="51" t="str">
        <f t="shared" si="1"/>
        <v>0:00</v>
      </c>
      <c r="G14" s="52"/>
      <c r="I14" s="15"/>
      <c r="J14" s="29"/>
      <c r="K14" s="15"/>
      <c r="L14" s="53" t="s">
        <v>28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29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30</v>
      </c>
      <c r="M16" s="50">
        <v>2175.0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31</v>
      </c>
      <c r="M17" s="58">
        <f>SUM(I25:I31)</f>
        <v>80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32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/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33</v>
      </c>
      <c r="K22" s="71" t="s">
        <v>34</v>
      </c>
      <c r="L22" s="72" t="s">
        <v>35</v>
      </c>
      <c r="M22" s="72" t="s">
        <v>36</v>
      </c>
    </row>
    <row r="23">
      <c r="A23" s="69"/>
      <c r="B23" s="32" t="s">
        <v>37</v>
      </c>
      <c r="I23" s="15"/>
      <c r="J23" s="73">
        <f>COUNTIF(RestiaCSV!B:B, "canceled")</f>
        <v>1</v>
      </c>
      <c r="K23" s="74">
        <f>SUMIF(RestiaCSV!B:B, "canceled", RestiaCSV!C:C)</f>
        <v>393</v>
      </c>
      <c r="L23" s="75">
        <f>COUNTIFS(RestiaCSV!L:L, "&gt;5", RestiaCSV!F:F, "delivery")</f>
        <v>0</v>
      </c>
      <c r="M23" s="73" t="str">
        <f>INT(AVERAGE(RestiaCSV!N2:N32)) &amp; " min " &amp; TEXT(MOD(AVERAGE(RestiaCSV!N2:N32) * 60, 60), "00") &amp; " s"
</f>
        <v>18 min 53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38</v>
      </c>
      <c r="H24" s="76" t="s">
        <v>39</v>
      </c>
      <c r="I24" s="77" t="s">
        <v>40</v>
      </c>
      <c r="J24" s="78" t="s">
        <v>41</v>
      </c>
      <c r="K24" s="79" t="s">
        <v>42</v>
      </c>
      <c r="L24" s="78" t="s">
        <v>43</v>
      </c>
      <c r="M24" s="79" t="s">
        <v>44</v>
      </c>
    </row>
    <row r="25">
      <c r="A25" s="42">
        <f t="array" ref="A25">IF(ISBLANK(B25), 0, IF(ISNUMBER(MATCH(B25, HR!A:A, 0)), 0, IF(ISNUMBER(MATCH(B25, HR!B:B, 0)), INDEX(HR!V:V, MATCH(B25, HR!B:B, 0)) * (F25 * 24), 0)))</f>
        <v>2140.8</v>
      </c>
      <c r="B25" s="43" t="s">
        <v>45</v>
      </c>
      <c r="C25" s="44" t="s">
        <v>46</v>
      </c>
      <c r="D25" s="44" t="s">
        <v>25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10:00</v>
      </c>
      <c r="G25" s="81">
        <f>COUNTIF(RestiaCSV!E:E, B25)</f>
        <v>2</v>
      </c>
      <c r="H25" s="82" t="b">
        <v>1</v>
      </c>
      <c r="I25" s="83">
        <f t="shared" ref="I25:I31" si="3">IF(H25,G25*40, 0)</f>
        <v>80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856.32</v>
      </c>
      <c r="B26" s="85" t="s">
        <v>47</v>
      </c>
      <c r="C26" s="44" t="s">
        <v>48</v>
      </c>
      <c r="D26" s="44" t="s">
        <v>46</v>
      </c>
      <c r="E26" s="86"/>
      <c r="F26" s="46" t="str">
        <f t="shared" si="2"/>
        <v>04:00</v>
      </c>
      <c r="G26" s="81">
        <f>COUNTIF(RestiaCSV!E:E, B26)</f>
        <v>0</v>
      </c>
      <c r="H26" s="82" t="b">
        <v>1</v>
      </c>
      <c r="I26" s="87">
        <f t="shared" si="3"/>
        <v>0</v>
      </c>
      <c r="J26" s="88">
        <f>COUNTIF(I25:I31, "&gt;0")</f>
        <v>1</v>
      </c>
      <c r="K26" s="75">
        <f>IFERROR(__xludf.DUMMYFUNCTION("COUNTA(FILTER(RestiaCSV!B2:B32, RestiaCSV!B2:B32 &lt;&gt; ""canceled""))"),42.0)</f>
        <v>42</v>
      </c>
      <c r="L26" s="75">
        <f>COUNTIF(RestiaCSV!F1:F32, "delivery")</f>
        <v>4</v>
      </c>
      <c r="M26" s="89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90"/>
      <c r="D27" s="91"/>
      <c r="E27" s="86"/>
      <c r="F27" s="51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49</v>
      </c>
      <c r="K27" s="93"/>
      <c r="L27" s="94" t="s">
        <v>50</v>
      </c>
      <c r="M27" s="79" t="s">
        <v>51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0</v>
      </c>
      <c r="K29" s="99"/>
      <c r="L29" s="100">
        <f>L23/L26</f>
        <v>0</v>
      </c>
      <c r="M29" s="75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52</v>
      </c>
      <c r="M30" s="104" t="s">
        <v>53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54</v>
      </c>
      <c r="C32" s="111" t="s">
        <v>55</v>
      </c>
      <c r="D32" s="21"/>
      <c r="E32" s="21"/>
      <c r="F32" s="112"/>
      <c r="G32" s="113">
        <f>COUNTIFS(RestiaCSV!E:E, "wolt kurýr", RestiaCSV!A:A, "&lt;&gt;wolt")</f>
        <v>0</v>
      </c>
      <c r="H32" s="114" t="b">
        <v>1</v>
      </c>
      <c r="I32" s="115">
        <f>G32*127</f>
        <v>0</v>
      </c>
      <c r="J32" s="116"/>
      <c r="K32" s="116"/>
      <c r="L32" s="100">
        <f>100%-L29</f>
        <v>1</v>
      </c>
      <c r="M32" s="100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1">
      <formula1>"Bolevec,Malešice,Prosek,Zličín,Libuš,Chodov,Výroba,Předloha"</formula1>
    </dataValidation>
    <dataValidation type="list" allowBlank="1" sqref="G11 G19">
      <formula1>"Sova Martin,Pešová Hana,Židek Petr"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Bolevec</v>
      </c>
      <c r="C1" s="119">
        <v>46028.0</v>
      </c>
      <c r="D1" s="120" t="s">
        <v>56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57</v>
      </c>
      <c r="C5" s="20"/>
      <c r="D5" s="20"/>
      <c r="E5" s="5"/>
      <c r="F5" s="136" t="s">
        <v>58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37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59</v>
      </c>
      <c r="D9" s="150" t="s">
        <v>22</v>
      </c>
      <c r="E9" s="151"/>
      <c r="F9" s="149" t="s">
        <v>18</v>
      </c>
      <c r="G9" s="150" t="s">
        <v>59</v>
      </c>
      <c r="H9" s="150" t="s">
        <v>22</v>
      </c>
      <c r="I9" s="152" t="s">
        <v>38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60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61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62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62</v>
      </c>
      <c r="F13" s="156"/>
      <c r="G13" s="156"/>
      <c r="H13" s="156"/>
      <c r="I13" s="156"/>
      <c r="K13" s="15"/>
      <c r="L13" s="126" t="s">
        <v>27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63</v>
      </c>
      <c r="F14" s="156"/>
      <c r="G14" s="156"/>
      <c r="H14" s="156"/>
      <c r="I14" s="156"/>
      <c r="K14" s="15"/>
      <c r="L14" s="160" t="s">
        <v>28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63</v>
      </c>
      <c r="F15" s="156"/>
      <c r="G15" s="156"/>
      <c r="H15" s="156"/>
      <c r="I15" s="156"/>
      <c r="K15" s="15"/>
      <c r="L15" s="160" t="s">
        <v>29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30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31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33</v>
      </c>
      <c r="K19" s="166" t="s">
        <v>34</v>
      </c>
      <c r="L19" s="167" t="s">
        <v>35</v>
      </c>
      <c r="M19" s="168" t="s">
        <v>36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64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41</v>
      </c>
      <c r="K22" s="176" t="s">
        <v>42</v>
      </c>
      <c r="L22" s="177" t="s">
        <v>43</v>
      </c>
      <c r="M22" s="178" t="s">
        <v>44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49</v>
      </c>
      <c r="K25" s="93"/>
      <c r="L25" s="177" t="s">
        <v>50</v>
      </c>
      <c r="M25" s="178" t="s">
        <v>51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52</v>
      </c>
      <c r="M28" s="178" t="s">
        <v>53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65</v>
      </c>
      <c r="B1" s="191" t="s">
        <v>66</v>
      </c>
      <c r="C1" s="191" t="s">
        <v>67</v>
      </c>
      <c r="D1" s="191" t="s">
        <v>68</v>
      </c>
      <c r="E1" s="191" t="s">
        <v>37</v>
      </c>
      <c r="F1" s="191" t="s">
        <v>69</v>
      </c>
      <c r="G1" s="191" t="s">
        <v>70</v>
      </c>
      <c r="H1" s="191" t="s">
        <v>71</v>
      </c>
      <c r="I1" s="191" t="s">
        <v>72</v>
      </c>
      <c r="J1" s="191" t="s">
        <v>73</v>
      </c>
      <c r="K1" s="191" t="s">
        <v>74</v>
      </c>
      <c r="L1" s="191" t="s">
        <v>75</v>
      </c>
      <c r="M1" s="191" t="s">
        <v>76</v>
      </c>
      <c r="N1" s="191" t="s">
        <v>77</v>
      </c>
      <c r="O1" s="191" t="s">
        <v>78</v>
      </c>
      <c r="P1" s="191" t="s">
        <v>79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80</v>
      </c>
      <c r="B2" s="191" t="s">
        <v>81</v>
      </c>
      <c r="C2" s="191">
        <v>393.0</v>
      </c>
      <c r="D2" s="191">
        <v>0.0</v>
      </c>
      <c r="E2" s="192"/>
      <c r="F2" s="191" t="s">
        <v>82</v>
      </c>
      <c r="G2" s="191" t="s">
        <v>83</v>
      </c>
      <c r="H2" s="191" t="s">
        <v>84</v>
      </c>
      <c r="I2" s="192"/>
      <c r="J2" s="192"/>
      <c r="K2" s="192"/>
      <c r="L2" s="191">
        <v>0.0</v>
      </c>
      <c r="M2" s="191"/>
      <c r="N2" s="191"/>
      <c r="O2" s="191" t="s">
        <v>85</v>
      </c>
      <c r="P2" s="191" t="s">
        <v>86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87</v>
      </c>
      <c r="B3" s="191" t="s">
        <v>88</v>
      </c>
      <c r="C3" s="191">
        <v>414.0</v>
      </c>
      <c r="D3" s="191">
        <v>104.0</v>
      </c>
      <c r="E3" s="192"/>
      <c r="F3" s="191" t="s">
        <v>89</v>
      </c>
      <c r="G3" s="191" t="s">
        <v>83</v>
      </c>
      <c r="H3" s="191" t="s">
        <v>90</v>
      </c>
      <c r="I3" s="191" t="s">
        <v>91</v>
      </c>
      <c r="J3" s="191" t="s">
        <v>91</v>
      </c>
      <c r="K3" s="192"/>
      <c r="L3" s="191">
        <v>-7.0</v>
      </c>
      <c r="M3" s="191"/>
      <c r="N3" s="191">
        <v>11.540733333333334</v>
      </c>
      <c r="O3" s="191" t="s">
        <v>92</v>
      </c>
      <c r="P3" s="191" t="s">
        <v>93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94</v>
      </c>
      <c r="B4" s="191" t="s">
        <v>88</v>
      </c>
      <c r="C4" s="193">
        <v>319.0</v>
      </c>
      <c r="D4" s="191">
        <v>0.0</v>
      </c>
      <c r="E4" s="191" t="s">
        <v>54</v>
      </c>
      <c r="F4" s="191" t="s">
        <v>95</v>
      </c>
      <c r="G4" s="191" t="s">
        <v>96</v>
      </c>
      <c r="H4" s="191" t="s">
        <v>97</v>
      </c>
      <c r="I4" s="191" t="s">
        <v>98</v>
      </c>
      <c r="J4" s="191" t="s">
        <v>98</v>
      </c>
      <c r="K4" s="192"/>
      <c r="L4" s="191">
        <v>-3.0</v>
      </c>
      <c r="M4" s="191"/>
      <c r="N4" s="191">
        <v>11.1438</v>
      </c>
      <c r="O4" s="191" t="s">
        <v>99</v>
      </c>
      <c r="P4" s="191" t="s">
        <v>100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101</v>
      </c>
      <c r="B5" s="191" t="s">
        <v>88</v>
      </c>
      <c r="C5" s="191">
        <v>517.0</v>
      </c>
      <c r="D5" s="191">
        <v>0.0</v>
      </c>
      <c r="E5" s="191" t="s">
        <v>102</v>
      </c>
      <c r="F5" s="191" t="s">
        <v>95</v>
      </c>
      <c r="G5" s="191" t="s">
        <v>96</v>
      </c>
      <c r="H5" s="191" t="s">
        <v>103</v>
      </c>
      <c r="I5" s="191" t="s">
        <v>104</v>
      </c>
      <c r="J5" s="191" t="s">
        <v>104</v>
      </c>
      <c r="K5" s="192"/>
      <c r="L5" s="191">
        <v>-3.0</v>
      </c>
      <c r="M5" s="191"/>
      <c r="N5" s="191">
        <v>11.265066666666666</v>
      </c>
      <c r="O5" s="191" t="s">
        <v>105</v>
      </c>
      <c r="P5" s="191" t="s">
        <v>106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101</v>
      </c>
      <c r="B6" s="191" t="s">
        <v>88</v>
      </c>
      <c r="C6" s="193">
        <v>319.0</v>
      </c>
      <c r="D6" s="191">
        <v>0.0</v>
      </c>
      <c r="E6" s="191" t="s">
        <v>107</v>
      </c>
      <c r="F6" s="191" t="s">
        <v>95</v>
      </c>
      <c r="G6" s="191" t="s">
        <v>96</v>
      </c>
      <c r="H6" s="191" t="s">
        <v>108</v>
      </c>
      <c r="I6" s="191" t="s">
        <v>109</v>
      </c>
      <c r="J6" s="191" t="s">
        <v>109</v>
      </c>
      <c r="K6" s="192"/>
      <c r="L6" s="191">
        <v>-6.0</v>
      </c>
      <c r="M6" s="191"/>
      <c r="N6" s="191">
        <v>8.096616666666666</v>
      </c>
      <c r="O6" s="191" t="s">
        <v>105</v>
      </c>
      <c r="P6" s="191" t="s">
        <v>110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94</v>
      </c>
      <c r="B7" s="191" t="s">
        <v>88</v>
      </c>
      <c r="C7" s="193">
        <v>603.0</v>
      </c>
      <c r="D7" s="191">
        <v>0.0</v>
      </c>
      <c r="E7" s="191" t="s">
        <v>54</v>
      </c>
      <c r="F7" s="191" t="s">
        <v>95</v>
      </c>
      <c r="G7" s="191" t="s">
        <v>96</v>
      </c>
      <c r="H7" s="191" t="s">
        <v>111</v>
      </c>
      <c r="I7" s="191" t="s">
        <v>112</v>
      </c>
      <c r="J7" s="191" t="s">
        <v>112</v>
      </c>
      <c r="K7" s="192"/>
      <c r="L7" s="191">
        <v>-4.0</v>
      </c>
      <c r="M7" s="191"/>
      <c r="N7" s="191">
        <v>10.260183333333334</v>
      </c>
      <c r="O7" s="191" t="s">
        <v>99</v>
      </c>
      <c r="P7" s="191" t="s">
        <v>113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101</v>
      </c>
      <c r="B8" s="191" t="s">
        <v>88</v>
      </c>
      <c r="C8" s="193">
        <v>319.0</v>
      </c>
      <c r="D8" s="191">
        <v>0.0</v>
      </c>
      <c r="E8" s="191" t="s">
        <v>114</v>
      </c>
      <c r="F8" s="191" t="s">
        <v>95</v>
      </c>
      <c r="G8" s="191" t="s">
        <v>96</v>
      </c>
      <c r="H8" s="191" t="s">
        <v>115</v>
      </c>
      <c r="I8" s="191" t="s">
        <v>116</v>
      </c>
      <c r="J8" s="191" t="s">
        <v>116</v>
      </c>
      <c r="K8" s="192"/>
      <c r="L8" s="191">
        <v>-6.0</v>
      </c>
      <c r="M8" s="191"/>
      <c r="N8" s="191">
        <v>8.449216666666667</v>
      </c>
      <c r="O8" s="191" t="s">
        <v>105</v>
      </c>
      <c r="P8" s="191" t="s">
        <v>117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80</v>
      </c>
      <c r="B9" s="191" t="s">
        <v>88</v>
      </c>
      <c r="C9" s="191">
        <v>264.0</v>
      </c>
      <c r="D9" s="191">
        <v>0.0</v>
      </c>
      <c r="E9" s="191" t="s">
        <v>118</v>
      </c>
      <c r="F9" s="191" t="s">
        <v>82</v>
      </c>
      <c r="G9" s="191" t="s">
        <v>96</v>
      </c>
      <c r="H9" s="191" t="s">
        <v>119</v>
      </c>
      <c r="I9" s="191" t="s">
        <v>120</v>
      </c>
      <c r="J9" s="191" t="s">
        <v>121</v>
      </c>
      <c r="K9" s="191" t="s">
        <v>122</v>
      </c>
      <c r="L9" s="191">
        <v>-22.0</v>
      </c>
      <c r="M9" s="191">
        <v>0.725</v>
      </c>
      <c r="N9" s="191">
        <v>11.1493</v>
      </c>
      <c r="O9" s="191" t="s">
        <v>85</v>
      </c>
      <c r="P9" s="191" t="s">
        <v>123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87</v>
      </c>
      <c r="B10" s="191" t="s">
        <v>88</v>
      </c>
      <c r="C10" s="193">
        <v>207.0</v>
      </c>
      <c r="D10" s="191">
        <v>52.0</v>
      </c>
      <c r="E10" s="192"/>
      <c r="F10" s="191" t="s">
        <v>89</v>
      </c>
      <c r="G10" s="191" t="s">
        <v>124</v>
      </c>
      <c r="H10" s="191" t="s">
        <v>125</v>
      </c>
      <c r="I10" s="191" t="s">
        <v>126</v>
      </c>
      <c r="J10" s="191" t="s">
        <v>126</v>
      </c>
      <c r="K10" s="192"/>
      <c r="L10" s="191">
        <v>-11.0</v>
      </c>
      <c r="M10" s="191"/>
      <c r="N10" s="191">
        <v>8.22245</v>
      </c>
      <c r="O10" s="191" t="s">
        <v>92</v>
      </c>
      <c r="P10" s="191" t="s">
        <v>127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94</v>
      </c>
      <c r="B11" s="191" t="s">
        <v>88</v>
      </c>
      <c r="C11" s="191">
        <v>244.0</v>
      </c>
      <c r="D11" s="191">
        <v>0.0</v>
      </c>
      <c r="E11" s="191" t="s">
        <v>54</v>
      </c>
      <c r="F11" s="191" t="s">
        <v>95</v>
      </c>
      <c r="G11" s="191" t="s">
        <v>96</v>
      </c>
      <c r="H11" s="191" t="s">
        <v>128</v>
      </c>
      <c r="I11" s="191" t="s">
        <v>129</v>
      </c>
      <c r="J11" s="191" t="s">
        <v>129</v>
      </c>
      <c r="K11" s="192"/>
      <c r="L11" s="191">
        <v>-6.0</v>
      </c>
      <c r="M11" s="191"/>
      <c r="N11" s="191">
        <v>8.288816666666667</v>
      </c>
      <c r="O11" s="191" t="s">
        <v>99</v>
      </c>
      <c r="P11" s="191" t="s">
        <v>130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94</v>
      </c>
      <c r="B12" s="191" t="s">
        <v>88</v>
      </c>
      <c r="C12" s="193">
        <v>368.0</v>
      </c>
      <c r="D12" s="191">
        <v>0.0</v>
      </c>
      <c r="E12" s="191" t="s">
        <v>54</v>
      </c>
      <c r="F12" s="191" t="s">
        <v>95</v>
      </c>
      <c r="G12" s="191" t="s">
        <v>96</v>
      </c>
      <c r="H12" s="191" t="s">
        <v>131</v>
      </c>
      <c r="I12" s="191" t="s">
        <v>132</v>
      </c>
      <c r="J12" s="191" t="s">
        <v>132</v>
      </c>
      <c r="K12" s="192"/>
      <c r="L12" s="191">
        <v>-3.0</v>
      </c>
      <c r="M12" s="191"/>
      <c r="N12" s="191">
        <v>11.53675</v>
      </c>
      <c r="O12" s="191" t="s">
        <v>99</v>
      </c>
      <c r="P12" s="191" t="s">
        <v>133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80</v>
      </c>
      <c r="B13" s="191" t="s">
        <v>88</v>
      </c>
      <c r="C13" s="191">
        <v>269.25</v>
      </c>
      <c r="D13" s="191">
        <v>89.75</v>
      </c>
      <c r="E13" s="192"/>
      <c r="F13" s="191" t="s">
        <v>95</v>
      </c>
      <c r="G13" s="191" t="s">
        <v>96</v>
      </c>
      <c r="H13" s="191" t="s">
        <v>134</v>
      </c>
      <c r="I13" s="191" t="s">
        <v>135</v>
      </c>
      <c r="J13" s="191" t="s">
        <v>135</v>
      </c>
      <c r="K13" s="192"/>
      <c r="L13" s="191">
        <v>-6.0</v>
      </c>
      <c r="M13" s="191"/>
      <c r="N13" s="191">
        <v>8.65495</v>
      </c>
      <c r="O13" s="191" t="s">
        <v>136</v>
      </c>
      <c r="P13" s="191" t="s">
        <v>137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94</v>
      </c>
      <c r="B14" s="191" t="s">
        <v>88</v>
      </c>
      <c r="C14" s="191">
        <v>388.0</v>
      </c>
      <c r="D14" s="191">
        <v>0.0</v>
      </c>
      <c r="E14" s="191" t="s">
        <v>54</v>
      </c>
      <c r="F14" s="191" t="s">
        <v>95</v>
      </c>
      <c r="G14" s="191" t="s">
        <v>96</v>
      </c>
      <c r="H14" s="191" t="s">
        <v>138</v>
      </c>
      <c r="I14" s="191" t="s">
        <v>139</v>
      </c>
      <c r="J14" s="191" t="s">
        <v>139</v>
      </c>
      <c r="K14" s="192"/>
      <c r="L14" s="191">
        <v>-6.0</v>
      </c>
      <c r="M14" s="191"/>
      <c r="N14" s="191">
        <v>8.785883333333333</v>
      </c>
      <c r="O14" s="191" t="s">
        <v>99</v>
      </c>
      <c r="P14" s="191" t="s">
        <v>140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141</v>
      </c>
      <c r="B15" s="191" t="s">
        <v>88</v>
      </c>
      <c r="C15" s="193">
        <v>329.0</v>
      </c>
      <c r="D15" s="191">
        <v>0.0</v>
      </c>
      <c r="E15" s="191" t="s">
        <v>45</v>
      </c>
      <c r="F15" s="191" t="s">
        <v>82</v>
      </c>
      <c r="G15" s="191" t="s">
        <v>83</v>
      </c>
      <c r="H15" s="191" t="s">
        <v>142</v>
      </c>
      <c r="I15" s="191" t="s">
        <v>143</v>
      </c>
      <c r="J15" s="191" t="s">
        <v>144</v>
      </c>
      <c r="K15" s="191" t="s">
        <v>145</v>
      </c>
      <c r="L15" s="191">
        <v>-7.0</v>
      </c>
      <c r="M15" s="191">
        <v>8.733383333333334</v>
      </c>
      <c r="N15" s="191">
        <v>10.950583333333332</v>
      </c>
      <c r="O15" s="191" t="s">
        <v>146</v>
      </c>
      <c r="P15" s="191" t="s">
        <v>147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80</v>
      </c>
      <c r="B16" s="191" t="s">
        <v>148</v>
      </c>
      <c r="C16" s="193">
        <v>513.0</v>
      </c>
      <c r="D16" s="191">
        <v>125.0</v>
      </c>
      <c r="E16" s="192"/>
      <c r="F16" s="191" t="s">
        <v>95</v>
      </c>
      <c r="G16" s="191" t="s">
        <v>83</v>
      </c>
      <c r="H16" s="191" t="s">
        <v>149</v>
      </c>
      <c r="I16" s="191" t="s">
        <v>150</v>
      </c>
      <c r="J16" s="191" t="s">
        <v>150</v>
      </c>
      <c r="K16" s="192"/>
      <c r="L16" s="191">
        <v>0.0</v>
      </c>
      <c r="M16" s="191"/>
      <c r="N16" s="191">
        <v>15.8281</v>
      </c>
      <c r="O16" s="191" t="s">
        <v>136</v>
      </c>
      <c r="P16" s="191" t="s">
        <v>151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80</v>
      </c>
      <c r="B17" s="191" t="s">
        <v>148</v>
      </c>
      <c r="C17" s="193">
        <v>182.0</v>
      </c>
      <c r="D17" s="191">
        <v>62.0</v>
      </c>
      <c r="E17" s="192"/>
      <c r="F17" s="191" t="s">
        <v>95</v>
      </c>
      <c r="G17" s="191" t="s">
        <v>96</v>
      </c>
      <c r="H17" s="191" t="s">
        <v>152</v>
      </c>
      <c r="I17" s="191" t="s">
        <v>153</v>
      </c>
      <c r="J17" s="191" t="s">
        <v>153</v>
      </c>
      <c r="K17" s="192"/>
      <c r="L17" s="191">
        <v>-6.0</v>
      </c>
      <c r="M17" s="191"/>
      <c r="N17" s="191">
        <v>8.864433333333332</v>
      </c>
      <c r="O17" s="191" t="s">
        <v>136</v>
      </c>
      <c r="P17" s="191" t="s">
        <v>154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141</v>
      </c>
      <c r="B18" s="191" t="s">
        <v>88</v>
      </c>
      <c r="C18" s="191">
        <v>777.0</v>
      </c>
      <c r="D18" s="191">
        <v>0.0</v>
      </c>
      <c r="E18" s="192"/>
      <c r="F18" s="191" t="s">
        <v>89</v>
      </c>
      <c r="G18" s="191" t="s">
        <v>83</v>
      </c>
      <c r="H18" s="191" t="s">
        <v>155</v>
      </c>
      <c r="I18" s="191" t="s">
        <v>156</v>
      </c>
      <c r="J18" s="191" t="s">
        <v>157</v>
      </c>
      <c r="K18" s="192"/>
      <c r="L18" s="191">
        <v>149.0</v>
      </c>
      <c r="M18" s="191"/>
      <c r="N18" s="191">
        <v>154.96951666666666</v>
      </c>
      <c r="O18" s="191" t="s">
        <v>146</v>
      </c>
      <c r="P18" s="191" t="s">
        <v>158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94</v>
      </c>
      <c r="B19" s="191" t="s">
        <v>88</v>
      </c>
      <c r="C19" s="193">
        <v>319.0</v>
      </c>
      <c r="D19" s="191">
        <v>0.0</v>
      </c>
      <c r="E19" s="191" t="s">
        <v>54</v>
      </c>
      <c r="F19" s="191" t="s">
        <v>95</v>
      </c>
      <c r="G19" s="191" t="s">
        <v>96</v>
      </c>
      <c r="H19" s="191" t="s">
        <v>159</v>
      </c>
      <c r="I19" s="191" t="s">
        <v>160</v>
      </c>
      <c r="J19" s="191" t="s">
        <v>160</v>
      </c>
      <c r="K19" s="192"/>
      <c r="L19" s="191">
        <v>-5.0</v>
      </c>
      <c r="M19" s="191"/>
      <c r="N19" s="191">
        <v>9.479183333333333</v>
      </c>
      <c r="O19" s="191" t="s">
        <v>99</v>
      </c>
      <c r="P19" s="191" t="s">
        <v>161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87</v>
      </c>
      <c r="B20" s="191" t="s">
        <v>88</v>
      </c>
      <c r="C20" s="191">
        <v>408.0</v>
      </c>
      <c r="D20" s="191">
        <v>100.0</v>
      </c>
      <c r="E20" s="192"/>
      <c r="F20" s="191" t="s">
        <v>89</v>
      </c>
      <c r="G20" s="191" t="s">
        <v>96</v>
      </c>
      <c r="H20" s="191" t="s">
        <v>162</v>
      </c>
      <c r="I20" s="191" t="s">
        <v>163</v>
      </c>
      <c r="J20" s="191" t="s">
        <v>163</v>
      </c>
      <c r="K20" s="192"/>
      <c r="L20" s="191">
        <v>-10.0</v>
      </c>
      <c r="M20" s="191"/>
      <c r="N20" s="191">
        <v>8.3353</v>
      </c>
      <c r="O20" s="191" t="s">
        <v>92</v>
      </c>
      <c r="P20" s="191" t="s">
        <v>164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80</v>
      </c>
      <c r="B21" s="191" t="s">
        <v>88</v>
      </c>
      <c r="C21" s="193">
        <v>183.0</v>
      </c>
      <c r="D21" s="191">
        <v>61.0</v>
      </c>
      <c r="E21" s="192"/>
      <c r="F21" s="191" t="s">
        <v>95</v>
      </c>
      <c r="G21" s="191" t="s">
        <v>96</v>
      </c>
      <c r="H21" s="191" t="s">
        <v>165</v>
      </c>
      <c r="I21" s="191" t="s">
        <v>166</v>
      </c>
      <c r="J21" s="191" t="s">
        <v>166</v>
      </c>
      <c r="K21" s="192"/>
      <c r="L21" s="191">
        <v>-7.0</v>
      </c>
      <c r="M21" s="191"/>
      <c r="N21" s="191">
        <v>7.3571333333333335</v>
      </c>
      <c r="O21" s="191" t="s">
        <v>136</v>
      </c>
      <c r="P21" s="191" t="s">
        <v>154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87</v>
      </c>
      <c r="B22" s="191" t="s">
        <v>88</v>
      </c>
      <c r="C22" s="191">
        <v>428.0</v>
      </c>
      <c r="D22" s="191">
        <v>0.0</v>
      </c>
      <c r="E22" s="191" t="s">
        <v>45</v>
      </c>
      <c r="F22" s="191" t="s">
        <v>82</v>
      </c>
      <c r="G22" s="191" t="s">
        <v>96</v>
      </c>
      <c r="H22" s="191" t="s">
        <v>167</v>
      </c>
      <c r="I22" s="191" t="s">
        <v>168</v>
      </c>
      <c r="J22" s="191" t="s">
        <v>169</v>
      </c>
      <c r="K22" s="191" t="s">
        <v>170</v>
      </c>
      <c r="L22" s="191">
        <v>0.0</v>
      </c>
      <c r="M22" s="191">
        <v>1.271</v>
      </c>
      <c r="N22" s="191">
        <v>16.686516666666666</v>
      </c>
      <c r="O22" s="191" t="s">
        <v>92</v>
      </c>
      <c r="P22" s="191" t="s">
        <v>171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141</v>
      </c>
      <c r="B23" s="191" t="s">
        <v>88</v>
      </c>
      <c r="C23" s="191">
        <v>259.0</v>
      </c>
      <c r="D23" s="191">
        <v>0.0</v>
      </c>
      <c r="E23" s="192"/>
      <c r="F23" s="191" t="s">
        <v>89</v>
      </c>
      <c r="G23" s="191" t="s">
        <v>124</v>
      </c>
      <c r="H23" s="191" t="s">
        <v>172</v>
      </c>
      <c r="I23" s="191" t="s">
        <v>173</v>
      </c>
      <c r="J23" s="191" t="s">
        <v>173</v>
      </c>
      <c r="K23" s="192"/>
      <c r="L23" s="191">
        <v>29.0</v>
      </c>
      <c r="M23" s="191"/>
      <c r="N23" s="191">
        <v>34.25653333333333</v>
      </c>
      <c r="O23" s="191" t="s">
        <v>146</v>
      </c>
      <c r="P23" s="191" t="s">
        <v>174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80</v>
      </c>
      <c r="B24" s="191" t="s">
        <v>88</v>
      </c>
      <c r="C24" s="191">
        <v>567.3</v>
      </c>
      <c r="D24" s="191">
        <v>164.7</v>
      </c>
      <c r="E24" s="192"/>
      <c r="F24" s="191" t="s">
        <v>95</v>
      </c>
      <c r="G24" s="191" t="s">
        <v>96</v>
      </c>
      <c r="H24" s="191" t="s">
        <v>175</v>
      </c>
      <c r="I24" s="191" t="s">
        <v>176</v>
      </c>
      <c r="J24" s="191" t="s">
        <v>176</v>
      </c>
      <c r="K24" s="192"/>
      <c r="L24" s="191">
        <v>-2.0</v>
      </c>
      <c r="M24" s="191"/>
      <c r="N24" s="191">
        <v>12.529516666666666</v>
      </c>
      <c r="O24" s="191" t="s">
        <v>136</v>
      </c>
      <c r="P24" s="191" t="s">
        <v>177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80</v>
      </c>
      <c r="B25" s="191" t="s">
        <v>88</v>
      </c>
      <c r="C25" s="191">
        <v>976.0</v>
      </c>
      <c r="D25" s="191">
        <v>0.0</v>
      </c>
      <c r="E25" s="192"/>
      <c r="F25" s="191" t="s">
        <v>95</v>
      </c>
      <c r="G25" s="191" t="s">
        <v>96</v>
      </c>
      <c r="H25" s="191" t="s">
        <v>178</v>
      </c>
      <c r="I25" s="191" t="s">
        <v>179</v>
      </c>
      <c r="J25" s="191" t="s">
        <v>179</v>
      </c>
      <c r="K25" s="192"/>
      <c r="L25" s="191">
        <v>-2.0</v>
      </c>
      <c r="M25" s="191"/>
      <c r="N25" s="191">
        <v>12.330166666666667</v>
      </c>
      <c r="O25" s="191" t="s">
        <v>136</v>
      </c>
      <c r="P25" s="191" t="s">
        <v>180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94</v>
      </c>
      <c r="B26" s="191" t="s">
        <v>88</v>
      </c>
      <c r="C26" s="191">
        <v>319.0</v>
      </c>
      <c r="D26" s="191">
        <v>0.0</v>
      </c>
      <c r="E26" s="191" t="s">
        <v>54</v>
      </c>
      <c r="F26" s="191" t="s">
        <v>95</v>
      </c>
      <c r="G26" s="191" t="s">
        <v>96</v>
      </c>
      <c r="H26" s="191" t="s">
        <v>181</v>
      </c>
      <c r="I26" s="191" t="s">
        <v>182</v>
      </c>
      <c r="J26" s="191" t="s">
        <v>182</v>
      </c>
      <c r="K26" s="192"/>
      <c r="L26" s="191">
        <v>-7.0</v>
      </c>
      <c r="M26" s="191"/>
      <c r="N26" s="191">
        <v>7.950283333333333</v>
      </c>
      <c r="O26" s="191" t="s">
        <v>99</v>
      </c>
      <c r="P26" s="191" t="s">
        <v>183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141</v>
      </c>
      <c r="B27" s="191" t="s">
        <v>88</v>
      </c>
      <c r="C27" s="193">
        <v>139.0</v>
      </c>
      <c r="D27" s="191">
        <v>0.0</v>
      </c>
      <c r="E27" s="192"/>
      <c r="F27" s="191" t="s">
        <v>89</v>
      </c>
      <c r="G27" s="191" t="s">
        <v>83</v>
      </c>
      <c r="H27" s="191" t="s">
        <v>184</v>
      </c>
      <c r="I27" s="191" t="s">
        <v>185</v>
      </c>
      <c r="J27" s="191" t="s">
        <v>185</v>
      </c>
      <c r="K27" s="192"/>
      <c r="L27" s="191">
        <v>1.0</v>
      </c>
      <c r="M27" s="191"/>
      <c r="N27" s="191">
        <v>6.846733333333333</v>
      </c>
      <c r="O27" s="191" t="s">
        <v>146</v>
      </c>
      <c r="P27" s="191" t="s">
        <v>186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94</v>
      </c>
      <c r="B28" s="191" t="s">
        <v>88</v>
      </c>
      <c r="C28" s="193">
        <v>319.0</v>
      </c>
      <c r="D28" s="191">
        <v>0.0</v>
      </c>
      <c r="E28" s="191" t="s">
        <v>54</v>
      </c>
      <c r="F28" s="191" t="s">
        <v>95</v>
      </c>
      <c r="G28" s="191" t="s">
        <v>96</v>
      </c>
      <c r="H28" s="191" t="s">
        <v>187</v>
      </c>
      <c r="I28" s="191" t="s">
        <v>188</v>
      </c>
      <c r="J28" s="191" t="s">
        <v>188</v>
      </c>
      <c r="K28" s="192"/>
      <c r="L28" s="191">
        <v>0.0</v>
      </c>
      <c r="M28" s="191"/>
      <c r="N28" s="191">
        <v>15.4617</v>
      </c>
      <c r="O28" s="191" t="s">
        <v>99</v>
      </c>
      <c r="P28" s="191" t="s">
        <v>161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87</v>
      </c>
      <c r="B29" s="191" t="s">
        <v>88</v>
      </c>
      <c r="C29" s="193">
        <v>536.0</v>
      </c>
      <c r="D29" s="191">
        <v>132.0</v>
      </c>
      <c r="E29" s="192"/>
      <c r="F29" s="191" t="s">
        <v>89</v>
      </c>
      <c r="G29" s="191" t="s">
        <v>96</v>
      </c>
      <c r="H29" s="191" t="s">
        <v>189</v>
      </c>
      <c r="I29" s="191" t="s">
        <v>190</v>
      </c>
      <c r="J29" s="191" t="s">
        <v>190</v>
      </c>
      <c r="K29" s="192"/>
      <c r="L29" s="191">
        <v>-6.0</v>
      </c>
      <c r="M29" s="191"/>
      <c r="N29" s="191">
        <v>60.28143333333333</v>
      </c>
      <c r="O29" s="191" t="s">
        <v>92</v>
      </c>
      <c r="P29" s="191" t="s">
        <v>191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141</v>
      </c>
      <c r="B30" s="191" t="s">
        <v>88</v>
      </c>
      <c r="C30" s="193">
        <v>55.0</v>
      </c>
      <c r="D30" s="191">
        <v>0.0</v>
      </c>
      <c r="E30" s="192"/>
      <c r="F30" s="191" t="s">
        <v>89</v>
      </c>
      <c r="G30" s="191" t="s">
        <v>83</v>
      </c>
      <c r="H30" s="191" t="s">
        <v>192</v>
      </c>
      <c r="I30" s="191" t="s">
        <v>193</v>
      </c>
      <c r="J30" s="191" t="s">
        <v>193</v>
      </c>
      <c r="K30" s="192"/>
      <c r="L30" s="191">
        <v>-1.0</v>
      </c>
      <c r="M30" s="191"/>
      <c r="N30" s="191">
        <v>3.26955</v>
      </c>
      <c r="O30" s="191" t="s">
        <v>146</v>
      </c>
      <c r="P30" s="191" t="s">
        <v>194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80</v>
      </c>
      <c r="B31" s="191" t="s">
        <v>88</v>
      </c>
      <c r="C31" s="191">
        <v>247.23</v>
      </c>
      <c r="D31" s="191">
        <v>71.77</v>
      </c>
      <c r="E31" s="192"/>
      <c r="F31" s="191" t="s">
        <v>95</v>
      </c>
      <c r="G31" s="191" t="s">
        <v>96</v>
      </c>
      <c r="H31" s="191" t="s">
        <v>195</v>
      </c>
      <c r="I31" s="191" t="s">
        <v>196</v>
      </c>
      <c r="J31" s="191" t="s">
        <v>196</v>
      </c>
      <c r="K31" s="192"/>
      <c r="L31" s="191">
        <v>-6.0</v>
      </c>
      <c r="M31" s="191"/>
      <c r="N31" s="191">
        <v>8.889266666666666</v>
      </c>
      <c r="O31" s="191" t="s">
        <v>136</v>
      </c>
      <c r="P31" s="191" t="s">
        <v>197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101</v>
      </c>
      <c r="B32" s="191" t="s">
        <v>88</v>
      </c>
      <c r="C32" s="191">
        <v>1045.0</v>
      </c>
      <c r="D32" s="191">
        <v>0.0</v>
      </c>
      <c r="E32" s="191" t="s">
        <v>198</v>
      </c>
      <c r="F32" s="191" t="s">
        <v>95</v>
      </c>
      <c r="G32" s="191" t="s">
        <v>96</v>
      </c>
      <c r="H32" s="191" t="s">
        <v>199</v>
      </c>
      <c r="I32" s="191" t="s">
        <v>200</v>
      </c>
      <c r="J32" s="191" t="s">
        <v>200</v>
      </c>
      <c r="K32" s="192"/>
      <c r="L32" s="191">
        <v>0.0</v>
      </c>
      <c r="M32" s="191"/>
      <c r="N32" s="191">
        <v>16.021966666666668</v>
      </c>
      <c r="O32" s="191" t="s">
        <v>105</v>
      </c>
      <c r="P32" s="191" t="s">
        <v>201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94</v>
      </c>
      <c r="B33" s="191" t="s">
        <v>88</v>
      </c>
      <c r="C33" s="191">
        <v>244.0</v>
      </c>
      <c r="D33" s="191">
        <v>0.0</v>
      </c>
      <c r="E33" s="191" t="s">
        <v>54</v>
      </c>
      <c r="F33" s="191" t="s">
        <v>95</v>
      </c>
      <c r="G33" s="191" t="s">
        <v>96</v>
      </c>
      <c r="H33" s="191" t="s">
        <v>202</v>
      </c>
      <c r="I33" s="191" t="s">
        <v>203</v>
      </c>
      <c r="J33" s="191" t="s">
        <v>203</v>
      </c>
      <c r="K33" s="192"/>
      <c r="L33" s="191">
        <v>-4.0</v>
      </c>
      <c r="M33" s="191"/>
      <c r="N33" s="191">
        <v>10.575166666666666</v>
      </c>
      <c r="O33" s="191" t="s">
        <v>99</v>
      </c>
      <c r="P33" s="191" t="s">
        <v>204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141</v>
      </c>
      <c r="B34" s="191" t="s">
        <v>88</v>
      </c>
      <c r="C34" s="193">
        <v>207.2</v>
      </c>
      <c r="D34" s="191">
        <v>51.8</v>
      </c>
      <c r="E34" s="192"/>
      <c r="F34" s="191" t="s">
        <v>89</v>
      </c>
      <c r="G34" s="191" t="s">
        <v>83</v>
      </c>
      <c r="H34" s="191" t="s">
        <v>205</v>
      </c>
      <c r="I34" s="191" t="s">
        <v>206</v>
      </c>
      <c r="J34" s="191" t="s">
        <v>206</v>
      </c>
      <c r="K34" s="192"/>
      <c r="L34" s="191">
        <v>75.0</v>
      </c>
      <c r="M34" s="191"/>
      <c r="N34" s="191">
        <v>80.47385</v>
      </c>
      <c r="O34" s="191" t="s">
        <v>146</v>
      </c>
      <c r="P34" s="191" t="s">
        <v>207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141</v>
      </c>
      <c r="B35" s="191" t="s">
        <v>88</v>
      </c>
      <c r="C35" s="193">
        <v>263.2</v>
      </c>
      <c r="D35" s="191">
        <v>65.8</v>
      </c>
      <c r="E35" s="192"/>
      <c r="F35" s="191" t="s">
        <v>89</v>
      </c>
      <c r="G35" s="191" t="s">
        <v>83</v>
      </c>
      <c r="H35" s="191" t="s">
        <v>208</v>
      </c>
      <c r="I35" s="191" t="s">
        <v>209</v>
      </c>
      <c r="J35" s="191" t="s">
        <v>209</v>
      </c>
      <c r="K35" s="192"/>
      <c r="L35" s="191">
        <v>77.0</v>
      </c>
      <c r="M35" s="191"/>
      <c r="N35" s="191">
        <v>82.1581</v>
      </c>
      <c r="O35" s="191" t="s">
        <v>146</v>
      </c>
      <c r="P35" s="191" t="s">
        <v>210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94</v>
      </c>
      <c r="B36" s="191" t="s">
        <v>88</v>
      </c>
      <c r="C36" s="193">
        <v>208.0</v>
      </c>
      <c r="D36" s="191">
        <v>0.0</v>
      </c>
      <c r="E36" s="191" t="s">
        <v>54</v>
      </c>
      <c r="F36" s="191" t="s">
        <v>95</v>
      </c>
      <c r="G36" s="191" t="s">
        <v>96</v>
      </c>
      <c r="H36" s="191" t="s">
        <v>211</v>
      </c>
      <c r="I36" s="191" t="s">
        <v>212</v>
      </c>
      <c r="J36" s="191" t="s">
        <v>212</v>
      </c>
      <c r="K36" s="192"/>
      <c r="L36" s="191">
        <v>4.0</v>
      </c>
      <c r="M36" s="191"/>
      <c r="N36" s="191">
        <v>19.82005</v>
      </c>
      <c r="O36" s="191" t="s">
        <v>99</v>
      </c>
      <c r="P36" s="191" t="s">
        <v>213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141</v>
      </c>
      <c r="B37" s="191" t="s">
        <v>88</v>
      </c>
      <c r="C37" s="191">
        <v>259.0</v>
      </c>
      <c r="D37" s="191">
        <v>0.0</v>
      </c>
      <c r="E37" s="192"/>
      <c r="F37" s="191" t="s">
        <v>89</v>
      </c>
      <c r="G37" s="191" t="s">
        <v>83</v>
      </c>
      <c r="H37" s="191" t="s">
        <v>214</v>
      </c>
      <c r="I37" s="191" t="s">
        <v>215</v>
      </c>
      <c r="J37" s="191" t="s">
        <v>215</v>
      </c>
      <c r="K37" s="192"/>
      <c r="L37" s="191">
        <v>3.0</v>
      </c>
      <c r="M37" s="191"/>
      <c r="N37" s="191">
        <v>8.818066666666667</v>
      </c>
      <c r="O37" s="191" t="s">
        <v>146</v>
      </c>
      <c r="P37" s="191" t="s">
        <v>216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80</v>
      </c>
      <c r="B38" s="191" t="s">
        <v>88</v>
      </c>
      <c r="C38" s="193">
        <v>216.23</v>
      </c>
      <c r="D38" s="191">
        <v>62.77</v>
      </c>
      <c r="E38" s="192"/>
      <c r="F38" s="191" t="s">
        <v>95</v>
      </c>
      <c r="G38" s="191" t="s">
        <v>96</v>
      </c>
      <c r="H38" s="191" t="s">
        <v>217</v>
      </c>
      <c r="I38" s="191" t="s">
        <v>218</v>
      </c>
      <c r="J38" s="191" t="s">
        <v>218</v>
      </c>
      <c r="K38" s="192"/>
      <c r="L38" s="191">
        <v>-8.0</v>
      </c>
      <c r="M38" s="191"/>
      <c r="N38" s="191">
        <v>6.224183333333333</v>
      </c>
      <c r="O38" s="191" t="s">
        <v>136</v>
      </c>
      <c r="P38" s="191" t="s">
        <v>219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94</v>
      </c>
      <c r="B39" s="191" t="s">
        <v>88</v>
      </c>
      <c r="C39" s="191">
        <v>118.0</v>
      </c>
      <c r="D39" s="191">
        <v>0.0</v>
      </c>
      <c r="E39" s="191" t="s">
        <v>54</v>
      </c>
      <c r="F39" s="191" t="s">
        <v>95</v>
      </c>
      <c r="G39" s="191" t="s">
        <v>96</v>
      </c>
      <c r="H39" s="191" t="s">
        <v>220</v>
      </c>
      <c r="I39" s="191" t="s">
        <v>221</v>
      </c>
      <c r="J39" s="191" t="s">
        <v>221</v>
      </c>
      <c r="K39" s="192"/>
      <c r="L39" s="191">
        <v>-14.0</v>
      </c>
      <c r="M39" s="191"/>
      <c r="N39" s="191">
        <v>0.8196833333333333</v>
      </c>
      <c r="O39" s="191" t="s">
        <v>99</v>
      </c>
      <c r="P39" s="191" t="s">
        <v>222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80</v>
      </c>
      <c r="B40" s="191" t="s">
        <v>88</v>
      </c>
      <c r="C40" s="191">
        <v>208.48</v>
      </c>
      <c r="D40" s="191">
        <v>60.52</v>
      </c>
      <c r="E40" s="192"/>
      <c r="F40" s="191" t="s">
        <v>95</v>
      </c>
      <c r="G40" s="191" t="s">
        <v>96</v>
      </c>
      <c r="H40" s="191" t="s">
        <v>223</v>
      </c>
      <c r="I40" s="191" t="s">
        <v>224</v>
      </c>
      <c r="J40" s="191" t="s">
        <v>224</v>
      </c>
      <c r="K40" s="192"/>
      <c r="L40" s="191">
        <v>-6.0</v>
      </c>
      <c r="M40" s="191"/>
      <c r="N40" s="191">
        <v>8.211733333333333</v>
      </c>
      <c r="O40" s="191" t="s">
        <v>136</v>
      </c>
      <c r="P40" s="191" t="s">
        <v>225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87</v>
      </c>
      <c r="B41" s="191" t="s">
        <v>88</v>
      </c>
      <c r="C41" s="193">
        <v>318.0</v>
      </c>
      <c r="D41" s="191">
        <v>80.0</v>
      </c>
      <c r="E41" s="192"/>
      <c r="F41" s="191" t="s">
        <v>89</v>
      </c>
      <c r="G41" s="191" t="s">
        <v>124</v>
      </c>
      <c r="H41" s="191" t="s">
        <v>226</v>
      </c>
      <c r="I41" s="191" t="s">
        <v>227</v>
      </c>
      <c r="J41" s="191" t="s">
        <v>227</v>
      </c>
      <c r="K41" s="192"/>
      <c r="L41" s="191">
        <v>-11.0</v>
      </c>
      <c r="M41" s="191"/>
      <c r="N41" s="191">
        <v>7.545966666666667</v>
      </c>
      <c r="O41" s="191" t="s">
        <v>92</v>
      </c>
      <c r="P41" s="191" t="s">
        <v>228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141</v>
      </c>
      <c r="B42" s="191" t="s">
        <v>88</v>
      </c>
      <c r="C42" s="193">
        <v>175.2</v>
      </c>
      <c r="D42" s="191">
        <v>43.8</v>
      </c>
      <c r="E42" s="192"/>
      <c r="F42" s="191" t="s">
        <v>89</v>
      </c>
      <c r="G42" s="191" t="s">
        <v>124</v>
      </c>
      <c r="H42" s="191" t="s">
        <v>229</v>
      </c>
      <c r="I42" s="191" t="s">
        <v>230</v>
      </c>
      <c r="J42" s="191" t="s">
        <v>230</v>
      </c>
      <c r="K42" s="192"/>
      <c r="L42" s="191">
        <v>-4.0</v>
      </c>
      <c r="M42" s="191"/>
      <c r="N42" s="191">
        <v>0.17953333333333332</v>
      </c>
      <c r="O42" s="191" t="s">
        <v>146</v>
      </c>
      <c r="P42" s="191" t="s">
        <v>231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80</v>
      </c>
      <c r="B43" s="191" t="s">
        <v>88</v>
      </c>
      <c r="C43" s="191">
        <v>189.1</v>
      </c>
      <c r="D43" s="191">
        <v>54.9</v>
      </c>
      <c r="E43" s="192"/>
      <c r="F43" s="191" t="s">
        <v>95</v>
      </c>
      <c r="G43" s="191" t="s">
        <v>96</v>
      </c>
      <c r="H43" s="191" t="s">
        <v>232</v>
      </c>
      <c r="I43" s="191" t="s">
        <v>233</v>
      </c>
      <c r="J43" s="191" t="s">
        <v>233</v>
      </c>
      <c r="K43" s="192"/>
      <c r="L43" s="191">
        <v>-6.0</v>
      </c>
      <c r="M43" s="191"/>
      <c r="N43" s="191">
        <v>8.886033333333334</v>
      </c>
      <c r="O43" s="191" t="s">
        <v>136</v>
      </c>
      <c r="P43" s="191" t="s">
        <v>234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141</v>
      </c>
      <c r="B44" s="191" t="s">
        <v>88</v>
      </c>
      <c r="C44" s="193">
        <v>198.0</v>
      </c>
      <c r="D44" s="191">
        <v>0.0</v>
      </c>
      <c r="E44" s="192"/>
      <c r="F44" s="191" t="s">
        <v>89</v>
      </c>
      <c r="G44" s="191" t="s">
        <v>124</v>
      </c>
      <c r="H44" s="191" t="s">
        <v>235</v>
      </c>
      <c r="I44" s="191" t="s">
        <v>236</v>
      </c>
      <c r="J44" s="191" t="s">
        <v>236</v>
      </c>
      <c r="K44" s="192"/>
      <c r="L44" s="191">
        <v>26.0</v>
      </c>
      <c r="M44" s="191"/>
      <c r="N44" s="191">
        <v>31.72405</v>
      </c>
      <c r="O44" s="191" t="s">
        <v>146</v>
      </c>
      <c r="P44" s="191" t="s">
        <v>237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2"/>
      <c r="B51" s="194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2"/>
      <c r="B55" s="192"/>
      <c r="C55" s="194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2"/>
      <c r="B59" s="192"/>
      <c r="C59" s="194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2"/>
      <c r="B61" s="192"/>
      <c r="C61" s="194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2"/>
      <c r="B65" s="192"/>
      <c r="C65" s="194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2"/>
      <c r="B70" s="192"/>
      <c r="C70" s="194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2"/>
      <c r="B74" s="194"/>
      <c r="C74" s="194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2"/>
      <c r="B77" s="192"/>
      <c r="C77" s="194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2"/>
      <c r="B80" s="192"/>
      <c r="C80" s="194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2"/>
      <c r="B82" s="192"/>
      <c r="C82" s="194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2"/>
      <c r="B93" s="192"/>
      <c r="C93" s="194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2"/>
      <c r="B97" s="192"/>
      <c r="C97" s="194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2"/>
      <c r="B99" s="192"/>
      <c r="C99" s="194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2"/>
      <c r="B101" s="192"/>
      <c r="C101" s="194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2"/>
      <c r="B111" s="192"/>
      <c r="C111" s="194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2"/>
      <c r="B113" s="194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2"/>
      <c r="B128" s="194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2"/>
      <c r="B129" s="192"/>
      <c r="C129" s="194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2"/>
      <c r="B131" s="192"/>
      <c r="C131" s="194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2"/>
      <c r="B132" s="192"/>
      <c r="C132" s="194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2"/>
      <c r="B137" s="192"/>
      <c r="C137" s="194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2"/>
      <c r="B141" s="192"/>
      <c r="C141" s="192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2"/>
      <c r="B142" s="192"/>
      <c r="C142" s="194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2"/>
      <c r="B144" s="192"/>
      <c r="C144" s="194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2"/>
      <c r="B145" s="192"/>
      <c r="C145" s="194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2"/>
      <c r="B149" s="192"/>
      <c r="C149" s="192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2"/>
      <c r="B156" s="192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</row>
    <row r="157">
      <c r="A157" s="192"/>
      <c r="B157" s="192"/>
      <c r="C157" s="194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2"/>
      <c r="B171" s="192"/>
      <c r="C171" s="194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2"/>
      <c r="B173" s="192"/>
      <c r="C173" s="192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2"/>
      <c r="B174" s="194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2"/>
      <c r="B176" s="192"/>
      <c r="C176" s="194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2"/>
      <c r="B178" s="192"/>
      <c r="C178" s="194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2"/>
      <c r="B180" s="192"/>
      <c r="C180" s="194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2"/>
      <c r="B181" s="192"/>
      <c r="C181" s="194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2"/>
      <c r="B182" s="192"/>
      <c r="C182" s="194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2"/>
      <c r="B188" s="192"/>
      <c r="C188" s="192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2"/>
      <c r="B189" s="192"/>
      <c r="C189" s="192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2"/>
      <c r="B191" s="192"/>
      <c r="C191" s="194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2"/>
      <c r="B193" s="192"/>
      <c r="C193" s="194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238</v>
      </c>
      <c r="C1" s="191" t="s">
        <v>239</v>
      </c>
      <c r="D1" s="191" t="s">
        <v>240</v>
      </c>
      <c r="E1" s="191" t="s">
        <v>241</v>
      </c>
      <c r="F1" s="191" t="s">
        <v>242</v>
      </c>
      <c r="G1" s="191" t="s">
        <v>243</v>
      </c>
      <c r="H1" s="191" t="s">
        <v>244</v>
      </c>
      <c r="I1" s="191" t="s">
        <v>245</v>
      </c>
      <c r="J1" s="191" t="s">
        <v>246</v>
      </c>
      <c r="K1" s="191" t="s">
        <v>247</v>
      </c>
      <c r="L1" s="191" t="s">
        <v>248</v>
      </c>
      <c r="M1" s="191" t="s">
        <v>249</v>
      </c>
      <c r="N1" s="191" t="s">
        <v>250</v>
      </c>
      <c r="O1" s="191" t="s">
        <v>40</v>
      </c>
      <c r="P1" s="191" t="s">
        <v>55</v>
      </c>
      <c r="Q1" s="191" t="s">
        <v>15</v>
      </c>
      <c r="R1" s="191" t="s">
        <v>32</v>
      </c>
      <c r="S1" s="191" t="s">
        <v>251</v>
      </c>
      <c r="T1" s="191" t="s">
        <v>252</v>
      </c>
      <c r="U1" s="191" t="s">
        <v>253</v>
      </c>
      <c r="V1" s="191" t="s">
        <v>254</v>
      </c>
      <c r="W1" s="191" t="s">
        <v>255</v>
      </c>
      <c r="X1" s="191" t="s">
        <v>256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257</v>
      </c>
      <c r="AD1" s="191" t="s">
        <v>2</v>
      </c>
      <c r="AE1" s="191" t="s">
        <v>27</v>
      </c>
      <c r="AF1" s="191" t="s">
        <v>28</v>
      </c>
      <c r="AG1" s="191" t="s">
        <v>29</v>
      </c>
      <c r="AH1" s="191" t="s">
        <v>30</v>
      </c>
      <c r="AI1" s="191" t="s">
        <v>31</v>
      </c>
      <c r="AJ1" s="191" t="s">
        <v>33</v>
      </c>
      <c r="AK1" s="191" t="s">
        <v>34</v>
      </c>
      <c r="AL1" s="191" t="s">
        <v>258</v>
      </c>
      <c r="AM1" s="191" t="s">
        <v>36</v>
      </c>
      <c r="AN1" s="191" t="s">
        <v>259</v>
      </c>
      <c r="AO1" s="191" t="s">
        <v>42</v>
      </c>
      <c r="AP1" s="191" t="s">
        <v>43</v>
      </c>
      <c r="AQ1" s="191" t="s">
        <v>44</v>
      </c>
      <c r="AR1" s="191" t="s">
        <v>260</v>
      </c>
      <c r="AS1" s="191" t="s">
        <v>50</v>
      </c>
      <c r="AT1" s="191" t="s">
        <v>51</v>
      </c>
      <c r="AU1" s="191" t="s">
        <v>52</v>
      </c>
      <c r="AV1" s="191" t="s">
        <v>53</v>
      </c>
    </row>
    <row r="2">
      <c r="A2" s="195">
        <v>45524.0</v>
      </c>
      <c r="B2" s="191" t="s">
        <v>261</v>
      </c>
      <c r="C2" s="191" t="s">
        <v>262</v>
      </c>
      <c r="D2" s="196" t="s">
        <v>24</v>
      </c>
      <c r="E2" s="196" t="s">
        <v>62</v>
      </c>
      <c r="G2" s="196" t="s">
        <v>263</v>
      </c>
    </row>
    <row r="3">
      <c r="A3" s="195">
        <v>45524.0</v>
      </c>
      <c r="B3" s="191" t="s">
        <v>261</v>
      </c>
      <c r="C3" s="191" t="s">
        <v>264</v>
      </c>
      <c r="D3" s="196" t="s">
        <v>62</v>
      </c>
      <c r="E3" s="196" t="s">
        <v>25</v>
      </c>
      <c r="G3" s="196" t="s">
        <v>265</v>
      </c>
    </row>
    <row r="4">
      <c r="A4" s="195">
        <v>45524.0</v>
      </c>
      <c r="B4" s="191" t="s">
        <v>261</v>
      </c>
      <c r="H4" s="191" t="s">
        <v>266</v>
      </c>
      <c r="I4" s="196" t="s">
        <v>48</v>
      </c>
      <c r="J4" s="196" t="s">
        <v>267</v>
      </c>
      <c r="L4" s="196" t="s">
        <v>268</v>
      </c>
      <c r="M4" s="197">
        <v>9.0</v>
      </c>
    </row>
    <row r="5">
      <c r="A5" s="195">
        <v>45524.0</v>
      </c>
      <c r="B5" s="191" t="s">
        <v>261</v>
      </c>
      <c r="H5" s="191" t="s">
        <v>269</v>
      </c>
      <c r="I5" s="196" t="s">
        <v>267</v>
      </c>
      <c r="J5" s="196" t="s">
        <v>270</v>
      </c>
      <c r="L5" s="196" t="s">
        <v>271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261</v>
      </c>
      <c r="H6" s="191" t="s">
        <v>272</v>
      </c>
      <c r="I6" s="196" t="s">
        <v>273</v>
      </c>
      <c r="J6" s="196" t="s">
        <v>25</v>
      </c>
      <c r="L6" s="196" t="s">
        <v>274</v>
      </c>
    </row>
    <row r="7">
      <c r="A7" s="195">
        <v>45524.0</v>
      </c>
      <c r="B7" s="191" t="s">
        <v>261</v>
      </c>
      <c r="P7" s="197">
        <v>7.0</v>
      </c>
      <c r="Q7" s="191" t="s">
        <v>262</v>
      </c>
      <c r="R7" s="191" t="s">
        <v>264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275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""Mzdy!ac1:ad200"")"),30.0)</f>
        <v>30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276</v>
      </c>
      <c r="B4" s="202" t="s">
        <v>277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IFERROR(__xludf.DUMMYFUNCTION("""COMPUTED_VALUE"""),2882.052)</f>
        <v>2882.052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/>
      </c>
      <c r="B6" s="203" t="str">
        <f>IF(OR(E6=Report!$B$1, F6=Report!$B$1, G6=Report!$B$1, H6=Report!$B$1), D6, "")</f>
        <v/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IFERROR(__xludf.DUMMYFUNCTION("""COMPUTED_VALUE"""),2882.052)</f>
        <v>2882.052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IFERROR(__xludf.DUMMYFUNCTION("""COMPUTED_VALUE"""),2274.6)</f>
        <v>2274.6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/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IFERROR(__xludf.DUMMYFUNCTION("""COMPUTED_VALUE"""),"Výroba")</f>
        <v>Výroba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IFERROR(__xludf.DUMMYFUNCTION("""COMPUTED_VALUE"""),2882.052)</f>
        <v>2882.052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/>
      </c>
      <c r="B9" s="203" t="str">
        <f>IF(OR(E9=Report!$B$1, F9=Report!$B$1, G9=Report!$B$1, H9=Report!$B$1), D9, "")</f>
        <v/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IFERROR(__xludf.DUMMYFUNCTION("""COMPUTED_VALUE"""),2274.6)</f>
        <v>2274.6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/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IFERROR(__xludf.DUMMYFUNCTION("""COMPUTED_VALUE"""),2882.052)</f>
        <v>2882.052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IFERROR(__xludf.DUMMYFUNCTION("""COMPUTED_VALUE"""),2274.6)</f>
        <v>2274.6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/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IFERROR(__xludf.DUMMYFUNCTION("""COMPUTED_VALUE"""),2274.6)</f>
        <v>2274.6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IFERROR(__xludf.DUMMYFUNCTION("""COMPUTED_VALUE"""),2274.6)</f>
        <v>2274.6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>Rothová Anastasia</v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/>
      </c>
      <c r="B21" s="203" t="str">
        <f>IF(OR(E21=Report!$B$1, F21=Report!$B$1, G21=Report!$B$1, H21=Report!$B$1), D21, "")</f>
        <v/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 t="str">
        <f>IFERROR(__xludf.DUMMYFUNCTION("""COMPUTED_VALUE"""),"Zličín")</f>
        <v>Zličín</v>
      </c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IFERROR(__xludf.DUMMYFUNCTION("""COMPUTED_VALUE"""),2882.052)</f>
        <v>2882.052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>Roth Stanislav ml.</v>
      </c>
      <c r="B22" s="203" t="str">
        <f>IF(OR(E22=Report!$B$1, F22=Report!$B$1, G22=Report!$B$1, H22=Report!$B$1), D22, "")</f>
        <v>Roth Stanislav ml.</v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IFERROR(__xludf.DUMMYFUNCTION("""COMPUTED_VALUE"""),2882.052)</f>
        <v>2882.052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/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/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/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IFERROR(__xludf.DUMMYFUNCTION("""COMPUTED_VALUE"""),"Malešice")</f>
        <v>Malešice</v>
      </c>
      <c r="F28" s="198" t="str">
        <f>IFERROR(__xludf.DUMMYFUNCTION("""COMPUTED_VALUE"""),"Chodov")</f>
        <v>Chodov</v>
      </c>
      <c r="G28" s="198" t="str">
        <f>IFERROR(__xludf.DUMMYFUNCTION("""COMPUTED_VALUE"""),"Zličín")</f>
        <v>Zličín</v>
      </c>
      <c r="H28" s="198" t="str">
        <f>IFERROR(__xludf.DUMMYFUNCTION("""COMPUTED_VALUE"""),"Prosek")</f>
        <v>Prosek</v>
      </c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>Raboch Tomáš</v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/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/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>Kratochvíl Kryštof</v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/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/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/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>Tůma Vladimír</v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/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/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/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/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/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/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/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/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/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/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/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/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/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/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IFERROR(__xludf.DUMMYFUNCTION("""COMPUTED_VALUE"""),2577.8799999999997)</f>
        <v>2577.88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/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/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>Mikešová Adéla</v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/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/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/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>Kaločai Rudolf</v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/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/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>Vopatová Anna</v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>Vopatová Šárka</v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/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/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>Světlík František</v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>Ženíšek Lukáš</v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>Roth Stanislav st.</v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IFERROR(__xludf.DUMMYFUNCTION("""COMPUTED_VALUE"""),1650.2)</f>
        <v>1650.2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/>
      </c>
      <c r="C126" s="198" t="b">
        <f>IFERROR(__xludf.DUMMYFUNCTION("""COMPUTED_VALUE"""),FALSE)</f>
        <v>0</v>
      </c>
      <c r="D126" s="198" t="str">
        <f>IFERROR(__xludf.DUMMYFUNCTION("""COMPUTED_VALUE"""),"Břicháč Pavel")</f>
        <v>Břicháč Pavel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 t="str">
        <f>IFERROR(__xludf.DUMMYFUNCTION("""COMPUTED_VALUE"""),"Čerešňák Michal")</f>
        <v>Čerešňák Michal</v>
      </c>
      <c r="E127" s="198" t="str">
        <f>IFERROR(__xludf.DUMMYFUNCTION("""COMPUTED_VALUE"""),"Zličín")</f>
        <v>Zličín</v>
      </c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IFERROR(__xludf.DUMMYFUNCTION("""COMPUTED_VALUE"""),170.0)</f>
        <v>170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/>
      </c>
      <c r="C128" s="198" t="b">
        <f>IFERROR(__xludf.DUMMYFUNCTION("""COMPUTED_VALUE"""),FALSE)</f>
        <v>0</v>
      </c>
      <c r="D128" s="198" t="str">
        <f>IFERROR(__xludf.DUMMYFUNCTION("""COMPUTED_VALUE"""),"Weindling Josef")</f>
        <v>Weindling Josef</v>
      </c>
      <c r="E128" s="198" t="str">
        <f>IFERROR(__xludf.DUMMYFUNCTION("""COMPUTED_VALUE"""),"Libuš")</f>
        <v>Libuš</v>
      </c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IFERROR(__xludf.DUMMYFUNCTION("""COMPUTED_VALUE"""),231.474)</f>
        <v>231.474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 t="str">
        <f>IFERROR(__xludf.DUMMYFUNCTION("""COMPUTED_VALUE"""),"Fux Vojtěch")</f>
        <v>Fux Vojtěch</v>
      </c>
      <c r="E129" s="198" t="str">
        <f>IFERROR(__xludf.DUMMYFUNCTION("""COMPUTED_VALUE"""),"Chodov")</f>
        <v>Chodov</v>
      </c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IFERROR(__xludf.DUMMYFUNCTION("""COMPUTED_VALUE"""),200.0)</f>
        <v>200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