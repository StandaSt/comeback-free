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visible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<sst xmlns="http://schemas.openxmlformats.org/spreadsheetml/2006/main" count="8954" uniqueCount="2642">
  <si>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</si>
  <si>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</si>
  <si>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</si>
  <si>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</si>
  <si>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</si>
  <si>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</si>
  <si>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</si>
  <si>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</si>
  <si>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</si>
  <si>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</si>
  <si>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</si>
  <si>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</si>
  <si>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</si>
  <si>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</si>
  <si>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</si>
  <si>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</si>
  <si>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</si>
  <si>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</si>
  <si>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</si>
  <si>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</si>
  <si>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</si>
  <si>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</si>
  <si>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</si>
  <si>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</si>
  <si>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</si>
  <si>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</si>
  <si>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</si>
  <si>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</si>
  <si>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</si>
  <si>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</si>
  <si>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</si>
  <si>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</si>
  <si>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</si>
  <si>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</si>
  <si>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</si>
  <si>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</si>
  <si>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</si>
  <si>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</si>
  <si>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</si>
  <si>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</si>
  <si>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</si>
  <si>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</si>
  <si>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</si>
  <si>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</si>
  <si>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</si>
  <si>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</si>
  <si>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</si>
  <si>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</si>
  <si>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</si>
  <si>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</si>
  <si>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</si>
  <si>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</si>
  <si>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</si>
  <si>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</si>
  <si>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</si>
  <si>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</si>
  <si>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</si>
  <si>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</si>
  <si>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</si>
  <si>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</si>
  <si>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</si>
  <si>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</si>
  <si>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</si>
  <si>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</si>
  <si>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</si>
  <si>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</si>
  <si>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</si>
  <si>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</si>
  <si>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</si>
  <si>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</si>
  <si>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</si>
  <si>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</si>
  <si>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</si>
  <si>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</si>
  <si>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</si>
  <si>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</si>
  <si>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</si>
  <si>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</si>
  <si>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</si>
  <si>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</si>
  <si>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</si>
  <si>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</si>
  <si>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</si>
  <si>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</si>
  <si>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</si>
  <si>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</si>
  <si>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</si>
  <si>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</si>
  <si>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</si>
  <si>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</si>
  <si>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</si>
  <si>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</si>
  <si>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</si>
  <si>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</si>
  <si>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</si>
  <si>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</si>
  <si>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</si>
  <si>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</si>
  <si>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</si>
  <si>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</si>
  <si>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</si>
  <si>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</si>
  <si>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</si>
  <si>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</si>
  <si>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</si>
  <si>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</si>
  <si>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</si>
  <si>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</si>
  <si>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</si>
  <si>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</si>
  <si>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</si>
  <si>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</si>
  <si>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</si>
  <si>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</si>
  <si>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</si>
  <si>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</si>
  <si>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</si>
  <si>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</si>
  <si>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</si>
  <si>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</si>
  <si>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</si>
  <si>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</si>
  <si>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</si>
  <si>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</si>
  <si>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</si>
  <si>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</si>
  <si>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</si>
  <si>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</si>
  <si>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</si>
  <si>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</si>
  <si>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</si>
  <si>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</si>
  <si>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</si>
  <si>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</si>
  <si>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</si>
  <si>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</si>
  <si>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</si>
  <si>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</si>
  <si>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</si>
  <si>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</si>
  <si>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</si>
  <si>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</si>
  <si>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</si>
  <si>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</si>
  <si>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</si>
  <si>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</si>
  <si>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</si>
  <si>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</si>
  <si>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</si>
  <si>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</si>
  <si>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</si>
  <si>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</si>
  <si>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</si>
  <si>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</si>
  <si>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</si>
  <si>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</si>
  <si>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</si>
  <si>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</si>
  <si>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</si>
  <si>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</si>
  <si>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</si>
  <si>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</si>
  <si>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</si>
  <si>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</si>
  <si>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</si>
  <si>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</si>
  <si>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</si>
  <si>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</si>
  <si>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</si>
  <si>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</si>
  <si>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</si>
  <si>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</si>
  <si>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</si>
  <si>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</si>
  <si>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</si>
  <si>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</si>
  <si>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</si>
  <si>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</si>
  <si>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</si>
  <si>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</si>
  <si>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</si>
  <si>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</si>
  <si>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</si>
  <si>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</si>
  <si>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</si>
  <si>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</si>
  <si>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</si>
  <si>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</si>
  <si>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</si>
  <si>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</si>
  <si>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</si>
  <si>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</si>
  <si>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</si>
  <si>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</si>
  <si>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</si>
  <si>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</si>
  <si>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</si>
  <si>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</si>
  <si>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</si>
  <si>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</si>
  <si>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</si>
  <si>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</si>
  <si>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</si>
  <si>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</si>
  <si>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</si>
  <si>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</si>
  <si>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</si>
  <si>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</si>
  <si>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</si>
  <si>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</si>
  <si>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</si>
  <si>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</si>
  <si>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</si>
  <si>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</si>
  <si>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</si>
  <si>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</si>
  <si>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</si>
  <si>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</si>
  <si>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</si>
  <si>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</si>
  <si>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</si>
  <si>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</si>
  <si>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</si>
  <si>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</si>
  <si>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</si>
  <si>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</si>
  <si>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</si>
  <si>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</si>
  <si>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</si>
  <si>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</si>
  <si>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</si>
  <si>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</si>
  <si>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</si>
  <si>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</si>
  <si>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</si>
  <si>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</si>
  <si>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</si>
  <si>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</si>
  <si>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</si>
  <si>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</si>
  <si>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</si>
  <si>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</si>
  <si>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</si>
  <si>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</si>
  <si>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</si>
  <si>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</si>
  <si>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</si>
  <si>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</si>
  <si>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</si>
  <si>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</si>
  <si>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</si>
  <si>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</si>
  <si>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</si>
  <si>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</si>
  <si>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</si>
  <si>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</si>
  <si>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</si>
  <si>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</si>
  <si>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</si>
  <si>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</si>
  <si>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</si>
  <si>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</si>
  <si>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</si>
  <si>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</si>
  <si>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</si>
  <si>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</si>
  <si>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</si>
  <si>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</si>
  <si>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</si>
  <si>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</si>
  <si>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</si>
  <si>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</si>
  <si>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</si>
  <si>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</si>
  <si>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</si>
  <si>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</si>
  <si>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</si>
  <si>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</si>
  <si>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</si>
  <si>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</si>
  <si>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</si>
  <si>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</si>
  <si>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</si>
  <si>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</si>
  <si>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</si>
  <si>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</si>
  <si>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</si>
  <si>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</si>
  <si>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</si>
  <si>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</si>
  <si>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</si>
  <si>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</si>
  <si>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</si>
  <si>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</si>
  <si>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</si>
  <si>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</si>
  <si>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</si>
  <si>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</si>
  <si>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</si>
  <si>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</si>
  <si>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</si>
  <si>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</si>
  <si>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</si>
  <si>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</si>
  <si>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</si>
  <si>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</si>
  <si>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</si>
  <si>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</si>
  <si>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</si>
  <si>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</si>
  <si>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</si>
  <si>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</si>
  <si>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</si>
  <si>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</si>
  <si>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</si>
  <si>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</si>
  <si>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</si>
  <si>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</si>
  <si>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</si>
  <si>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</si>
  <si>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</si>
  <si>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</si>
  <si>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</si>
  <si>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</si>
  <si>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</si>
  <si>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</si>
  <si>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</si>
  <si>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</si>
  <si>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</si>
  <si>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</si>
  <si>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</si>
  <si>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</si>
  <si>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</si>
  <si>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</si>
  <si>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</si>
  <si>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</si>
  <si>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</si>
  <si>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</si>
  <si>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</si>
  <si>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</si>
  <si>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</si>
  <si>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</si>
  <si>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</si>
  <si>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</si>
  <si>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</si>
  <si>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</si>
  <si>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</si>
  <si>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</si>
  <si>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</si>
  <si>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</si>
  <si>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</si>
  <si>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</si>
  <si>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</si>
  <si>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</si>
  <si>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</si>
  <si>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</si>
  <si>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</si>
  <si>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</si>
  <si>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</si>
  <si>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</si>
  <si>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</si>
  <si>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</si>
  <si>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</si>
  <si>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</si>
  <si>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</si>
  <si>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</si>
  <si>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</si>
  <si>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</si>
  <si>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</si>
  <si>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</si>
  <si>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</si>
  <si>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</si>
  <si>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</si>
  <si>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</si>
  <si>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</si>
  <si>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</si>
  <si>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</si>
  <si>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</si>
  <si>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</si>
  <si>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</si>
  <si>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</si>
  <si>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</si>
  <si>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</si>
  <si>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</si>
  <si>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</si>
  <si>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</si>
  <si>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</si>
  <si>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</si>
  <si>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</si>
  <si>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</si>
  <si>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</si>
  <si>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</si>
  <si>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</si>
  <si>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</si>
  <si>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</si>
  <si>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</si>
  <si>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</si>
  <si>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</si>
  <si>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</si>
  <si>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</si>
  <si>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</si>
  <si>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</si>
  <si>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</si>
  <si>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</si>
  <si>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</si>
  <si>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</si>
  <si>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</si>
  <si>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</si>
  <si>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</si>
  <si>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</si>
  <si>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</si>
  <si>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</si>
  <si>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</si>
  <si>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</si>
  <si>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</si>
  <si>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</si>
  <si>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</si>
  <si>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</si>
  <si>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</si>
  <si>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</si>
  <si>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</si>
  <si>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</si>
  <si>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</si>
  <si>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</si>
  <si>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</si>
  <si>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</si>
  <si>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</si>
  <si>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</si>
  <si>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</si>
  <si>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</si>
  <si>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</si>
  <si>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</si>
  <si>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</si>
  <si>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</si>
  <si>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</si>
  <si>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</si>
  <si>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</si>
  <si>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</si>
  <si>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</si>
  <si>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</si>
  <si>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</si>
  <si>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</si>
  <si>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</si>
  <si>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</si>
  <si>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</si>
  <si>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</si>
  <si>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</si>
  <si>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</si>
  <si>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</si>
  <si>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</si>
  <si>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</si>
  <si>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</si>
  <si>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</si>
  <si>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</si>
  <si>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</si>
  <si>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</si>
  <si>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</si>
  <si>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</si>
  <si>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</si>
  <si>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</si>
  <si>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</si>
  <si>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</si>
  <si>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</si>
  <si>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</si>
  <si>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</si>
  <si>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</si>
  <si>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</si>
  <si>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</si>
  <si>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</si>
  <si>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</si>
  <si>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</si>
  <si>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</si>
  <si>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</si>
  <si>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</si>
  <si>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</si>
  <si>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</si>
  <si>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</si>
  <si>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</si>
  <si>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</si>
  <si>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</si>
  <si>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</si>
  <si>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</si>
  <si>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</si>
  <si>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</si>
  <si>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</si>
  <si>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</si>
  <si>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</si>
  <si>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</si>
  <si>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</si>
  <si>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</si>
  <si>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</si>
  <si>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</si>
  <si>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</si>
  <si>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</si>
  <si>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</si>
  <si>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</si>
  <si>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</si>
  <si>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</si>
  <si>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</si>
  <si>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</si>
  <si>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</si>
  <si>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</si>
  <si>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</si>
  <si>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</si>
  <si>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</si>
  <si>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</si>
  <si>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</si>
  <si>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</si>
  <si>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</si>
  <si>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</si>
  <si>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</si>
  <si>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</si>
  <si>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</si>
  <si>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</si>
  <si>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</si>
  <si>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</si>
  <si>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</si>
  <si>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</si>
  <si>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</si>
  <si>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</si>
  <si>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</si>
  <si>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</si>
  <si>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</si>
  <si>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</si>
  <si>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</si>
  <si>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</si>
  <si>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</si>
  <si>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</si>
  <si>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</si>
  <si>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</si>
  <si>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</si>
  <si>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</si>
  <si>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</si>
  <si>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</si>
  <si>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</si>
  <si>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</si>
  <si>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</si>
  <si>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</si>
  <si>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</si>
  <si>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</si>
  <si>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</si>
  <si>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</si>
  <si>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</si>
  <si>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</si>
  <si>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</si>
  <si>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</si>
  <si>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</si>
  <si>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</si>
  <si>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</si>
  <si>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</si>
  <si>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</si>
  <si>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</si>
  <si>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</si>
  <si>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</si>
  <si>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</si>
  <si>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</si>
  <si>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</si>
  <si>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</si>
  <si>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</si>
  <si>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</si>
  <si>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</si>
  <si>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</si>
  <si>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</si>
  <si>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</si>
  <si>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</si>
  <si>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</si>
  <si>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</si>
  <si>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</si>
  <si>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</si>
  <si>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</si>
  <si>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</si>
  <si>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</si>
  <si>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</si>
  <si>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</si>
  <si>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</si>
  <si>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</si>
  <si>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</si>
  <si>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</si>
  <si>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</si>
  <si>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</si>
  <si>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</si>
  <si>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</si>
  <si>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</si>
  <si>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</si>
  <si>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</si>
  <si>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</si>
  <si>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</si>
  <si>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</si>
  <si>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</si>
  <si>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</si>
  <si>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</si>
  <si>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</si>
  <si>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</si>
  <si>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</si>
  <si>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</si>
  <si>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</si>
  <si>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</si>
  <si>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</si>
  <si>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</si>
  <si>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</si>
  <si>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</si>
  <si>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</si>
  <si>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</si>
  <si>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</si>
  <si>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</si>
  <si>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</si>
  <si>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</si>
  <si>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</si>
  <si>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</si>
  <si>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</si>
  <si>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</si>
  <si>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</si>
  <si>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</si>
  <si>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</si>
  <si>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</si>
  <si>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</si>
  <si>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</si>
  <si>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</si>
  <si>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</si>
  <si>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</si>
  <si>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</si>
  <si>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</si>
  <si>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</si>
  <si>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</si>
  <si>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</si>
  <si>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</si>
  <si>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</si>
  <si>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</si>
  <si>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</si>
  <si>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</si>
  <si>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</si>
  <si>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</si>
  <si>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</si>
  <si>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</si>
  <si>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</si>
  <si>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</si>
  <si>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</si>
  <si>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</si>
  <si>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</si>
  <si>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</si>
  <si>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</si>
  <si>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</si>
  <si>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</si>
  <si>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</si>
  <si>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</si>
  <si>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</si>
  <si>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</si>
  <si>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</si>
  <si>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</si>
  <si>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</si>
  <si>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</si>
  <si>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</si>
  <si>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</si>
  <si>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</si>
  <si>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</si>
  <si>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</si>
  <si>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</si>
  <si>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</si>
  <si>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</si>
  <si>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</si>
  <si>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</si>
  <si>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</si>
  <si>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</si>
  <si>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</si>
  <si>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</si>
  <si>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</si>
  <si>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</si>
  <si>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</si>
  <si>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</si>
  <si>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</si>
  <si>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</si>
  <si>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</si>
  <si>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</si>
  <si>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</si>
  <si>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</si>
  <si>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</si>
  <si>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</si>
  <si>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</si>
  <si>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</si>
  <si>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</si>
  <si>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</si>
  <si>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</si>
  <si>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</si>
  <si>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</si>
  <si>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</si>
  <si>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</si>
  <si>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</si>
  <si>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</si>
  <si>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</si>
  <si>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</si>
  <si>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</si>
  <si>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</si>
  <si>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</si>
  <si>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</si>
  <si>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</si>
  <si>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</si>
  <si>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</si>
  <si>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</si>
  <si>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</si>
  <si>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</si>
  <si>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</si>
  <si>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</si>
  <si>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</si>
  <si>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</si>
  <si>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</si>
  <si>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</si>
  <si>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</si>
  <si>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</si>
  <si>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</si>
  <si>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</si>
  <si>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</si>
  <si>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</si>
  <si>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</si>
  <si>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</si>
  <si>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</si>
  <si>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</si>
  <si>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</si>
  <si>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</si>
  <si>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</si>
  <si>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</si>
  <si>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</si>
  <si>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</si>
  <si>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</si>
  <si>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</si>
  <si>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</si>
  <si>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</si>
  <si>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</si>
  <si>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</si>
  <si>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</si>
  <si>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</si>
  <si>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</si>
  <si>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</si>
  <si>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</si>
  <si>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</si>
  <si>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</si>
  <si>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</si>
  <si>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</si>
  <si>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</si>
  <si>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</si>
  <si>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</si>
  <si>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</si>
  <si>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</si>
  <si>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</si>
  <si>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</si>
  <si>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</si>
  <si>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</si>
  <si>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</si>
  <si>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</si>
  <si>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</si>
  <si>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</si>
  <si>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</si>
  <si>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</si>
  <si>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</si>
  <si>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</si>
  <si>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</si>
  <si>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</si>
  <si>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</si>
  <si>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</si>
  <si>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</si>
  <si>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</si>
  <si>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</si>
  <si>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</si>
  <si>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</si>
  <si>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</si>
  <si>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</si>
  <si>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</si>
  <si>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</si>
  <si>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</si>
  <si>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</si>
  <si>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</si>
  <si>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</si>
  <si>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</si>
  <si>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</si>
  <si>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</si>
  <si>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</si>
  <si>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</si>
  <si>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</si>
  <si>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</si>
  <si>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</si>
  <si>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</si>
  <si>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</si>
  <si>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</si>
  <si>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</si>
  <si>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</si>
  <si>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</si>
  <si>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</si>
  <si>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</si>
  <si>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</si>
  <si>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</si>
  <si>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</si>
  <si>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</si>
  <si>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</si>
  <si>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</si>
  <si>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</si>
  <si>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</si>
  <si>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</si>
  <si>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</si>
  <si>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</si>
  <si>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</si>
  <si>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</si>
  <si>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</si>
  <si>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</si>
  <si>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</si>
  <si>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</si>
  <si>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</si>
  <si>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</si>
  <si>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</si>
  <si>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</si>
  <si>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</si>
  <si>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</si>
  <si>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</si>
  <si>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</si>
  <si>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</si>
  <si>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</si>
  <si>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</si>
  <si>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</si>
  <si>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</si>
  <si>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</si>
  <si>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</si>
  <si>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</si>
  <si>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</si>
  <si>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</si>
  <si>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</si>
  <si>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</si>
  <si>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</si>
  <si>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</si>
  <si>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</si>
  <si>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</si>
  <si>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</si>
  <si>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</si>
  <si>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</si>
  <si>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</si>
  <si>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</si>
  <si>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</si>
  <si>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</si>
  <si>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</si>
  <si>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</si>
  <si>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</si>
  <si>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</si>
  <si>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</si>
  <si>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</si>
  <si>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</si>
  <si>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</si>
  <si>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</si>
  <si>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</si>
  <si>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</si>
  <si>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</si>
  <si>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</si>
  <si>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</si>
  <si>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</si>
  <si>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</si>
  <si>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</si>
  <si>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</si>
  <si>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</si>
  <si>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</si>
  <si>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</si>
  <si>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</si>
  <si>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</si>
  <si>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</si>
  <si>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</si>
  <si>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</si>
  <si>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</si>
  <si>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</si>
  <si>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</si>
  <si>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</si>
  <si>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</si>
  <si>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</si>
  <si>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</si>
  <si>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</si>
  <si>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</si>
  <si>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</si>
  <si>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</si>
  <si>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</si>
  <si>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</si>
  <si>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</si>
  <si>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</si>
  <si>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</si>
  <si>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</si>
  <si>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</si>
  <si>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</si>
  <si>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</si>
  <si>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</si>
  <si>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</si>
  <si>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</si>
  <si>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</si>
  <si>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</si>
  <si>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</si>
  <si>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</si>
  <si>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</si>
  <si>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</si>
  <si>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</si>
  <si>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</si>
  <si>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</si>
  <si>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</si>
  <si>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</si>
  <si>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</si>
  <si>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</si>
  <si>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</si>
  <si>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</si>
  <si>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</si>
  <si>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</si>
  <si>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</si>
  <si>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</si>
  <si>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</si>
  <si>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</si>
  <si>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</si>
  <si>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</si>
  <si>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</si>
  <si>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</si>
  <si>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</si>
  <si>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</si>
  <si>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</si>
  <si>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</si>
  <si>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</si>
  <si>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</si>
  <si>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</si>
  <si>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</si>
  <si>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</si>
  <si>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</si>
  <si>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</si>
  <si>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</si>
  <si>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</si>
  <si>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</si>
  <si>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</si>
  <si>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</si>
  <si>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</si>
  <si>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</si>
  <si>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</si>
  <si>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</si>
  <si>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</si>
  <si>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</si>
  <si>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</si>
  <si>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</si>
  <si>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</si>
  <si>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</si>
  <si>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</si>
  <si>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</si>
  <si>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</si>
  <si>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</si>
  <si>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</si>
  <si>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</si>
  <si>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</si>
  <si>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</si>
  <si>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</si>
  <si>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</si>
  <si>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</si>
  <si>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</si>
  <si>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</si>
  <si>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</si>
  <si>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</si>
  <si>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</si>
  <si>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</si>
  <si>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</si>
  <si>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</si>
  <si>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</si>
  <si>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</si>
  <si>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</si>
  <si>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</si>
  <si>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</si>
  <si>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</si>
  <si>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</si>
  <si>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</si>
  <si>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</si>
  <si>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</si>
  <si>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</si>
  <si>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</si>
  <si>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</si>
  <si>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</si>
  <si>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</si>
  <si>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</si>
  <si>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</si>
  <si>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</si>
  <si>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</si>
  <si>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</si>
  <si>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</si>
  <si>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</si>
  <si>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</si>
  <si>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</si>
  <si>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</si>
  <si>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</si>
  <si>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</si>
  <si>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</si>
  <si>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</si>
  <si>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</si>
  <si>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</si>
  <si>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</si>
  <si>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</si>
  <si>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</si>
  <si>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</si>
  <si>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</si>
  <si>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</si>
  <si>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</si>
  <si>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</si>
  <si>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</si>
  <si>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</si>
  <si>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</si>
  <si>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</si>
  <si>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</si>
  <si>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</si>
  <si>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</si>
  <si>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</si>
  <si>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</si>
  <si>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</si>
  <si>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</si>
  <si>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</si>
  <si>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</si>
  <si>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</si>
  <si>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</si>
  <si>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</si>
  <si>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</si>
  <si>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</si>
  <si>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</si>
  <si>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</si>
  <si>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</si>
  <si>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</si>
  <si>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</si>
  <si>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</si>
  <si>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</si>
  <si>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</si>
  <si>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</si>
  <si>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</si>
  <si>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</si>
  <si>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</si>
  <si>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</si>
  <si>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</si>
  <si>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</si>
  <si>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</si>
  <si>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</si>
  <si>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</si>
  <si>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</si>
  <si>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</si>
  <si>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</si>
  <si>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</si>
  <si>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</si>
  <si>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</si>
  <si>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</si>
  <si>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</si>
  <si>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</si>
  <si>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</si>
  <si>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</si>
  <si>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</si>
  <si>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</si>
  <si>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</si>
  <si>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</si>
  <si>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</si>
  <si>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</si>
  <si>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</si>
  <si>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</si>
  <si>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</si>
  <si>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</si>
  <si>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</si>
  <si>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</si>
  <si>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</si>
  <si>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</si>
  <si>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</si>
  <si>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</si>
  <si>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</si>
  <si>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</si>
  <si>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</si>
  <si>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</si>
  <si>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</si>
  <si>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</si>
  <si>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</si>
  <si>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</si>
  <si>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</si>
  <si>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</si>
  <si>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</si>
  <si>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</si>
  <si>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</si>
  <si>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</si>
  <si>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</si>
  <si>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</si>
  <si>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</si>
  <si>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</si>
  <si>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</si>
  <si>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</si>
  <si>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</si>
  <si>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</si>
  <si>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</si>
  <si>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</si>
  <si>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</si>
  <si>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</si>
  <si>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</si>
  <si>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</si>
  <si>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</si>
  <si>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</si>
  <si>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</si>
  <si>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</si>
  <si>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</si>
  <si>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</si>
  <si>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</si>
  <si>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</si>
  <si>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</si>
  <si>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</si>
  <si>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</si>
  <si>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</si>
  <si>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</si>
  <si>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</si>
  <si>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</si>
  <si>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</si>
  <si>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</si>
  <si>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</si>
  <si>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</si>
  <si>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</si>
  <si>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</si>
  <si>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</si>
  <si>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</si>
  <si>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</si>
  <si>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</si>
  <si>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</si>
  <si>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</si>
  <si>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</si>
  <si>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</si>
  <si>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</si>
  <si>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</si>
  <si>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</si>
  <si>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</si>
  <si>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</si>
  <si>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</si>
  <si>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</si>
  <si>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</si>
  <si>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</si>
  <si>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</si>
  <si>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</si>
  <si>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</si>
  <si>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</si>
  <si>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</si>
  <si>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</si>
  <si>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</si>
  <si>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</si>
  <si>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</si>
  <si>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</si>
  <si>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</si>
  <si>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</si>
  <si>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</si>
  <si>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</si>
  <si>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</si>
  <si>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</si>
  <si>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</si>
  <si>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</si>
  <si>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</si>
  <si>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</si>
  <si>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</si>
  <si>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</si>
  <si>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</si>
  <si>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</si>
  <si>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</si>
  <si>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</si>
  <si>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</si>
  <si>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</si>
  <si>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</si>
  <si>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</si>
  <si>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</si>
  <si>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</si>
  <si>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</si>
  <si>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</si>
  <si>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</si>
  <si>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</si>
  <si>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</si>
  <si>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</si>
  <si>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</si>
  <si>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</si>
  <si>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</si>
  <si>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</si>
  <si>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</si>
  <si>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</si>
  <si>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</si>
  <si>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</si>
  <si>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</si>
  <si>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</si>
  <si>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</si>
  <si>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</si>
  <si>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</si>
  <si>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</si>
  <si>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</si>
  <si>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</si>
  <si>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</si>
  <si>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</si>
  <si>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</si>
  <si>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</si>
  <si>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</si>
  <si>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</si>
  <si>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</si>
  <si>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</si>
  <si>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</si>
  <si>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</si>
  <si>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</si>
  <si>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</si>
  <si>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</si>
  <si>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</si>
  <si>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</si>
  <si>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</si>
  <si>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</si>
  <si>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</si>
  <si>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</si>
  <si>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</si>
  <si>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</si>
  <si>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</si>
  <si>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</si>
  <si>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</si>
  <si>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</si>
  <si>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</si>
  <si>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</si>
  <si>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</si>
  <si>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</si>
  <si>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</si>
  <si>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</si>
  <si>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</si>
  <si>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</si>
  <si>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</si>
  <si>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</si>
  <si>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</si>
  <si>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</si>
  <si>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</si>
  <si>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</si>
  <si>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</si>
  <si>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</si>
  <si>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</si>
  <si>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</si>
  <si>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</si>
  <si>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</si>
  <si>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</si>
  <si>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</si>
  <si>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</si>
  <si>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</si>
  <si>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</si>
  <si>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</si>
  <si>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</si>
  <si>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</si>
  <si>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</si>
  <si>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</si>
  <si>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</si>
  <si>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</si>
  <si>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</si>
  <si>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</si>
  <si>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</si>
  <si>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</si>
  <si>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</si>
  <si>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</si>
  <si>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</si>
  <si>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</si>
  <si>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</si>
  <si>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</si>
  <si>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</si>
  <si>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</si>
  <si>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</si>
  <si>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</si>
  <si>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</si>
  <si>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</si>
  <si>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</si>
  <si>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</si>
  <si>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</si>
  <si>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</si>
  <si>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</si>
  <si>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</si>
  <si>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</si>
  <si>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</si>
  <si>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</si>
  <si>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</si>
  <si>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</si>
  <si>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</si>
  <si>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</si>
  <si>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</si>
  <si>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</si>
  <si>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</si>
  <si>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</si>
  <si>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</si>
  <si>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</si>
  <si>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</si>
  <si>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</si>
  <si>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</si>
  <si>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</si>
  <si>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</si>
  <si>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</si>
  <si>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</si>
  <si>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</si>
  <si>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</si>
  <si>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</si>
  <si>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</si>
  <si>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</si>
  <si>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</si>
  <si>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</si>
  <si>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</si>
  <si>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</si>
  <si>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</si>
  <si>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</si>
  <si>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</si>
  <si>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</si>
  <si>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</si>
  <si>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</si>
  <si>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</si>
  <si>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</si>
  <si>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</si>
  <si>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</si>
  <si>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</si>
  <si>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</si>
  <si>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</si>
  <si>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</si>
  <si>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</si>
  <si>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</si>
  <si>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</si>
  <si>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</si>
  <si>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</si>
  <si>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</si>
  <si>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</si>
  <si>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</si>
  <si>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</si>
  <si>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</si>
  <si>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</si>
  <si>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</si>
  <si>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</si>
  <si>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</si>
  <si>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</si>
  <si>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</si>
  <si>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</si>
  <si>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</si>
  <si>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</si>
  <si>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</si>
  <si>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</si>
  <si>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</si>
  <si>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</si>
  <si>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</si>
  <si>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</si>
  <si>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</si>
  <si>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</si>
  <si>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</si>
  <si>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</si>
  <si>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</si>
  <si>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</si>
  <si>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</si>
  <si>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</si>
  <si>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</si>
  <si>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</si>
  <si>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</si>
  <si>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</si>
  <si>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</si>
  <si>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</si>
  <si>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</si>
  <si>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</si>
  <si>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</si>
  <si>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</si>
  <si>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</si>
  <si>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</si>
  <si>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</si>
  <si>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</si>
  <si>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</si>
  <si>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</si>
  <si>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</si>
  <si>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</si>
  <si>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</si>
  <si>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</si>
  <si>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</si>
  <si>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</si>
  <si>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</si>
  <si>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</si>
  <si>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</si>
  <si>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</si>
  <si>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</si>
  <si>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</si>
  <si>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</si>
  <si>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</si>
  <si>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</si>
  <si>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</si>
  <si>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</si>
  <si>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</si>
  <si>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</si>
  <si>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</si>
  <si>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</si>
  <si>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</si>
  <si>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</si>
  <si>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</si>
  <si>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</si>
  <si>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</si>
  <si>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</si>
  <si>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</si>
  <si>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</si>
  <si>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</si>
  <si>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</si>
  <si>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</si>
  <si>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</si>
  <si>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</si>
  <si>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</si>
  <si>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</si>
  <si>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</si>
  <si>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</si>
  <si>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</si>
  <si>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</si>
  <si>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</si>
  <si>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</si>
  <si>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</si>
  <si>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</si>
  <si>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</si>
  <si>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</si>
  <si>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</si>
  <si>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</si>
  <si>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</si>
  <si>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</si>
  <si>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</si>
  <si>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</si>
  <si>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</si>
  <si>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</si>
  <si>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</si>
  <si>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</si>
  <si>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</si>
  <si>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</si>
  <si>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</si>
  <si>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</si>
  <si>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</si>
  <si>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</si>
  <si>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</si>
  <si>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</si>
  <si>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</si>
  <si>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</si>
  <si>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</si>
  <si>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</si>
  <si>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</si>
  <si>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</si>
  <si>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</si>
  <si>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</si>
  <si>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</si>
  <si>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</si>
  <si>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</si>
  <si>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</si>
  <si>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</si>
  <si>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</si>
  <si>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</si>
  <si>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</si>
  <si>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</si>
  <si>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</si>
  <si>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</si>
  <si>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</si>
  <si>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</si>
  <si>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</si>
  <si>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</si>
  <si>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</si>
  <si>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</si>
  <si>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</si>
  <si>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</si>
  <si>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</si>
  <si>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</si>
  <si>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</si>
  <si>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</si>
  <si>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</si>
  <si>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</si>
  <si>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</si>
  <si>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</si>
  <si>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</si>
  <si>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</si>
  <si>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</si>
  <si>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</si>
  <si>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</si>
  <si>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</si>
  <si>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</si>
  <si>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</si>
  <si>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</si>
  <si>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</si>
  <si>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</si>
  <si>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</si>
  <si>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</si>
  <si>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</si>
  <si>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</si>
  <si>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</si>
  <si>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</si>
  <si>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</si>
  <si>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</si>
  <si>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</si>
  <si>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</si>
  <si>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</si>
  <si>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</si>
  <si>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</si>
  <si>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</si>
  <si>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</si>
  <si>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</si>
  <si>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</si>
  <si>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</si>
  <si>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</si>
  <si>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</si>
  <si>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</si>
  <si>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</si>
  <si>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</si>
  <si>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</si>
  <si>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</si>
  <si>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</si>
  <si>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</si>
  <si>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</si>
  <si>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</si>
  <si>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</si>
  <si>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</si>
  <si>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</si>
  <si>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</si>
  <si>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</si>
  <si>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</si>
  <si>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</si>
  <si>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</si>
  <si>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</si>
  <si>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</si>
  <si>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</si>
  <si>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</si>
  <si>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</si>
  <si>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</si>
  <si>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</si>
  <si>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</si>
  <si>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</si>
  <si>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</si>
  <si>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</si>
  <si>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</si>
  <si>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</si>
  <si>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</si>
  <si>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</si>
  <si>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</si>
  <si>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</si>
  <si>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</si>
  <si>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</si>
  <si>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</si>
  <si>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</si>
  <si>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</si>
  <si>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</si>
  <si>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</si>
  <si>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</si>
  <si>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</si>
  <si>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</si>
  <si>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</si>
  <si>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</si>
  <si>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</si>
  <si>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</si>
  <si>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</si>
  <si>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</si>
  <si>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</si>
  <si>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</si>
  <si>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</si>
  <si>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</si>
  <si>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</si>
  <si>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</si>
  <si>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</si>
  <si>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</si>
  <si>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</si>
  <si>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</si>
  <si>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</si>
  <si>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</si>
  <si>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</si>
  <si>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</si>
  <si>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</si>
  <si>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</si>
  <si>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</si>
  <si>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</si>
  <si>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</si>
  <si>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</si>
  <si>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</si>
  <si>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</si>
  <si>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</si>
  <si>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</si>
  <si>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</si>
  <si>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</si>
  <si>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</si>
  <si>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</si>
  <si>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</si>
  <si>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</si>
  <si>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</si>
  <si>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</si>
  <si>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</si>
  <si>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</si>
  <si>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</si>
  <si>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</si>
  <si>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</si>
  <si>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</si>
  <si>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</si>
  <si>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</si>
  <si>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</si>
  <si>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</si>
  <si>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</si>
  <si>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</si>
  <si>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</si>
  <si>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</si>
  <si>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</si>
  <si>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</si>
  <si>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</si>
  <si>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</si>
  <si>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</si>
  <si>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</si>
  <si>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</si>
  <si>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</si>
  <si>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</si>
  <si>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</si>
  <si>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</si>
  <si>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</si>
  <si>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</si>
  <si>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</si>
  <si>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</si>
  <si>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</si>
  <si>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</si>
  <si>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</si>
  <si>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</si>
  <si>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</si>
  <si>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</si>
  <si>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</si>
  <si>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</si>
  <si>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</si>
  <si>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</si>
  <si>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</si>
  <si>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</si>
  <si>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</si>
  <si>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</si>
  <si>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</si>
  <si>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</si>
  <si>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</si>
  <si>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</si>
  <si>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</si>
  <si>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</si>
  <si>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</si>
  <si>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</si>
  <si>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</si>
  <si>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</si>
  <si>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</si>
  <si>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</si>
  <si>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</si>
  <si>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</si>
  <si>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</si>
  <si>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</si>
  <si>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</si>
  <si>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</si>
  <si>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</si>
  <si>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</si>
  <si>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</si>
  <si>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</si>
  <si>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</si>
  <si>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</si>
  <si>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</si>
  <si>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</si>
  <si>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</si>
  <si>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</si>
  <si>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</si>
  <si>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</si>
  <si>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</si>
  <si>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</si>
  <si>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</si>
  <si>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</si>
  <si>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</si>
  <si>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</si>
  <si>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</si>
  <si>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</si>
  <si>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</si>
  <si>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</si>
  <si>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</si>
  <si>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</si>
  <si>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</si>
  <si>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</si>
  <si>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</si>
  <si>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</si>
  <si>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</si>
  <si>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</si>
  <si>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</si>
  <si>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</si>
  <si>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</si>
  <si>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</si>
  <si>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</si>
  <si>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</si>
  <si>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</si>
  <si>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</si>
  <si>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</si>
  <si>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</si>
  <si>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</si>
  <si>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</si>
  <si>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</si>
  <si>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</si>
  <si>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</si>
  <si>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</si>
  <si>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</si>
  <si>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</si>
  <si>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</si>
  <si>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</si>
  <si>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</si>
  <si>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</si>
  <si>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</si>
  <si>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</si>
  <si>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</si>
  <si>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</si>
  <si>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</si>
  <si>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</si>
  <si>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</si>
  <si>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</si>
  <si>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</si>
  <si>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</si>
  <si>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</si>
  <si>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</si>
  <si>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</si>
  <si>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</si>
  <si>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</si>
  <si>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</si>
  <si>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</si>
  <si>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</si>
  <si>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</si>
  <si>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</si>
  <si>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</si>
  <si>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</si>
  <si>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</si>
  <si>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</si>
  <si>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</si>
  <si>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</si>
  <si>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</si>
  <si>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</si>
  <si>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</si>
  <si>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</si>
  <si>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</si>
  <si>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</si>
  <si>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</si>
  <si>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</si>
  <si>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</si>
  <si>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</si>
  <si>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</si>
  <si>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</si>
  <si>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</si>
  <si>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</si>
  <si>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</si>
  <si>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</si>
  <si>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</si>
  <si>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</si>
  <si>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</si>
  <si>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</si>
  <si>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</si>
  <si>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</si>
  <si>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</si>
  <si>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</si>
  <si>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</si>
  <si>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</si>
  <si>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</si>
  <si>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</si>
  <si>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</si>
  <si>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</si>
  <si>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</si>
  <si>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</si>
  <si>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</si>
  <si>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</si>
  <si>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</si>
  <si>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</si>
  <si>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</si>
  <si>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</si>
  <si>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</si>
  <si>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</si>
  <si>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</si>
  <si>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</si>
  <si>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</si>
  <si>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</si>
  <si>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</si>
  <si>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</si>
  <si>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</si>
  <si>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</si>
  <si>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</si>
  <si>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</si>
  <si>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</si>
  <si>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</si>
  <si>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</si>
  <si>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</si>
  <si>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</si>
  <si>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</si>
  <si>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</si>
  <si>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</si>
  <si>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</si>
  <si>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</si>
  <si>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</si>
  <si>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</si>
  <si>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</si>
  <si>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</si>
  <si>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</si>
  <si>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</si>
  <si>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</si>
  <si>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</si>
  <si>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</si>
  <si>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</si>
  <si>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</si>
  <si>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</si>
  <si>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</si>
  <si>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</si>
  <si>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</si>
  <si>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</si>
  <si>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</si>
  <si>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</si>
  <si>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</si>
  <si>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</si>
  <si>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</si>
  <si>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</si>
  <si>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</si>
  <si>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</si>
  <si>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</si>
  <si>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</si>
  <si>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</si>
  <si>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</si>
  <si>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</si>
  <si>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</si>
  <si>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</si>
  <si>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</si>
  <si>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</si>
  <si>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</si>
  <si>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</si>
  <si>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</si>
  <si>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</si>
  <si>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</si>
  <si>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</si>
  <si>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</si>
  <si>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</si>
  <si>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</si>
  <si>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</si>
  <si>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</si>
  <si>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</si>
  <si>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</si>
  <si>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</si>
  <si>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</si>
  <si>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</si>
  <si>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</si>
  <si>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</si>
  <si>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</si>
  <si>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</si>
  <si>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</si>
  <si>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</si>
  <si>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</si>
  <si>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</si>
  <si>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</si>
  <si>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</si>
  <si>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</si>
  <si>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</si>
  <si>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</si>
  <si>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</si>
  <si>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</si>
  <si>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</si>
  <si>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</si>
  <si>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</si>
  <si>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</si>
  <si>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</si>
  <si>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</si>
  <si>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</si>
  <si>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</si>
  <si>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</si>
  <si>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</si>
  <si>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</si>
  <si>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</si>
  <si>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</si>
  <si>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</si>
  <si>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</si>
  <si>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</si>
  <si>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</si>
  <si>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</si>
  <si>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</si>
  <si>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</si>
  <si>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</si>
  <si>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</si>
  <si>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</si>
  <si>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</si>
  <si>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</si>
  <si>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</si>
  <si>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</si>
  <si>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</si>
  <si>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</si>
  <si>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</si>
  <si>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</si>
  <si>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</si>
  <si>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</si>
  <si>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</si>
  <si>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</si>
  <si>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</si>
  <si>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</si>
  <si>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</si>
  <si>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</si>
  <si>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</si>
  <si>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</si>
  <si>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</si>
  <si>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</si>
  <si>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</si>
  <si>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</si>
  <si>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</si>
  <si>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</si>
  <si>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</si>
  <si>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</si>
  <si>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</si>
  <si>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</si>
  <si>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</si>
  <si>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</si>
  <si>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</si>
  <si>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</si>
  <si>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</si>
  <si>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</si>
  <si>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</si>
  <si>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</si>
  <si>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</si>
  <si>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</si>
  <si>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</si>
  <si>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</si>
  <si>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</si>
  <si>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</si>
  <si>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</si>
  <si>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</si>
  <si>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</si>
  <si>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</si>
  <si>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</si>
  <si>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</si>
  <si>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</si>
  <si>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</si>
  <si>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</si>
  <si>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</si>
  <si>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</si>
  <si>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</si>
  <si>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</si>
  <si>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</si>
  <si>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</si>
  <si>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</si>
  <si>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</si>
  <si>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</si>
  <si>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</si>
  <si>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</si>
  <si>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</si>
  <si>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</si>
  <si>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</si>
  <si>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</si>
  <si>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</si>
  <si>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</si>
  <si>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</si>
  <si>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</si>
  <si>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</si>
  <si>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</si>
  <si>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</si>
  <si>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</si>
  <si>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</si>
  <si>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</si>
  <si>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</si>
  <si>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</si>
  <si>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</si>
  <si>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</si>
  <si>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</si>
  <si>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</si>
  <si>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</si>
  <si>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</si>
  <si>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</si>
  <si>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</si>
  <si>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</si>
  <si>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</si>
  <si>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</si>
  <si>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</si>
  <si>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</si>
  <si>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</si>
  <si>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</si>
  <si>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</si>
  <si>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</si>
  <si>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</si>
  <si>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</si>
  <si>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</si>
  <si>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</si>
  <si>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</si>
  <si>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</si>
  <si>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</si>
  <si>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</si>
  <si>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</si>
  <si>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</si>
  <si>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</si>
  <si>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</si>
  <si>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</si>
  <si>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</si>
  <si>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</si>
  <si>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</si>
  <si>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</si>
  <si>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</si>
  <si>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</si>
  <si>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</si>
  <si>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</si>
  <si>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</si>
  <si>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</si>
  <si>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</si>
  <si>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</si>
  <si>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</si>
  <si>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</si>
  <si>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</si>
  <si>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</si>
  <si>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</si>
  <si>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</si>
  <si>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</si>
  <si>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</si>
  <si>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</si>
  <si>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</si>
  <si>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</si>
  <si>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</si>
  <si>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</si>
  <si>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</si>
  <si>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</si>
  <si>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</si>
  <si>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</si>
  <si>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</si>
  <si>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</si>
  <si>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</si>
  <si>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</si>
  <si>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</si>
  <si>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</si>
  <si>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</si>
  <si>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</si>
  <si>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</si>
  <si>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</si>
  <si>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</si>
  <si>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</si>
  <si>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</si>
  <si>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</si>
  <si>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</si>
  <si>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</si>
  <si>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</si>
  <si>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</si>
  <si>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</si>
  <si>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</si>
  <si>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</si>
  <si>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</si>
  <si>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</si>
  <si>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</si>
  <si>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</si>
  <si>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</si>
  <si>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</si>
  <si>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</si>
  <si>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</si>
  <si>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</si>
  <si>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</si>
  <si>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</si>
  <si>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</si>
  <si>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</si>
  <si>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</si>
  <si>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</si>
  <si>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</si>
  <si>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</si>
  <si>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</si>
  <si>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</si>
  <si>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</si>
  <si>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</si>
  <si>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</si>
  <si>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</si>
  <si>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</si>
  <si>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</si>
  <si>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</si>
  <si>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</si>
  <si>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</si>
  <si>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</si>
  <si>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</si>
  <si>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</si>
  <si>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</si>
  <si>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</si>
  <si>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</si>
  <si>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</si>
  <si>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</si>
  <si>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</si>
  <si>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</si>
  <si>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</si>
  <si>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</si>
  <si>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</si>
  <si>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</si>
  <si>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</si>
  <si>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</si>
  <si>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</si>
  <si>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</si>
  <si>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</si>
  <si>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</si>
  <si>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</si>
  <si>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</si>
  <si>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</si>
  <si>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</si>
  <si>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</si>
  <si>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</si>
  <si>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</si>
  <si>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</si>
  <si>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</si>
  <si>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</si>
  <si>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</si>
  <si>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</si>
  <si>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</si>
  <si>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</si>
  <si>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</si>
  <si>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</si>
  <si>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</si>
  <si>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</si>
  <si>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</si>
  <si>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</si>
  <si>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</si>
  <si>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</si>
  <si>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</si>
  <si>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</si>
  <si>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</si>
  <si>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</si>
  <si>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</si>
  <si>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</si>
  <si>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</si>
  <si>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</si>
  <si>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</si>
  <si>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</si>
  <si>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</si>
  <si>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</si>
  <si>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</si>
  <si>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</si>
  <si>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</si>
  <si>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</si>
  <si>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</si>
  <si>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</si>
  <si>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</si>
  <si>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</si>
  <si>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</si>
  <si>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</si>
  <si>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</si>
  <si>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</si>
  <si>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</si>
  <si>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</si>
  <si>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</si>
  <si>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</si>
  <si>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</si>
  <si>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</si>
  <si>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</si>
  <si>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</si>
  <si>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</si>
  <si>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</si>
  <si>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</si>
  <si>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</si>
  <si>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</si>
  <si>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</si>
  <si>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</si>
  <si>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</si>
  <si>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</si>
  <si>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</si>
  <si>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</si>
  <si>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</si>
  <si>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</si>
  <si>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</si>
  <si>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</si>
  <si>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</si>
  <si>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</si>
  <si>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</si>
  <si>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</si>
  <si>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</si>
  <si>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</si>
  <si>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</si>
  <si>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</si>
  <si>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</si>
  <si>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</si>
  <si>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</si>
  <si>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</si>
  <si>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</si>
  <si>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</si>
  <si>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</si>
  <si>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</si>
  <si>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</si>
  <si>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</si>
  <si>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</si>
  <si>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</si>
  <si>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</si>
  <si>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</si>
  <si>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</si>
  <si>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</si>
  <si>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</si>
  <si>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</si>
  <si>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</si>
  <si>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</si>
  <si>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</si>
  <si>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</si>
  <si>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</si>
  <si>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</si>
  <si>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</si>
  <si>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</si>
  <si>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</si>
  <si>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</si>
  <si>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</si>
  <si>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</si>
  <si>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</si>
  <si>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</si>
  <si>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</si>
  <si>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</si>
  <si>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</si>
  <si>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</si>
  <si>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</si>
  <si>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</si>
  <si>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</si>
  <si>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</si>
  <si>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</si>
  <si>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</si>
  <si>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</si>
  <si>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</si>
  <si>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</si>
  <si>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</si>
  <si>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</si>
  <si>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</si>
  <si>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</si>
  <si>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</si>
  <si>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</si>
  <si>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</si>
  <si>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</si>
  <si>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</si>
  <si>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</si>
  <si>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</si>
  <si>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</si>
  <si>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</si>
  <si>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</si>
  <si>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</si>
  <si>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</si>
  <si>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</si>
  <si>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</si>
  <si>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</si>
  <si>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</si>
  <si>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</si>
  <si>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</si>
  <si>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</si>
  <si>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</si>
  <si>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</si>
  <si>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</si>
  <si>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</si>
  <si>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</si>
  <si>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</si>
  <si>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</si>
  <si>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</si>
  <si>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</si>
  <si>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</si>
  <si>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</si>
  <si>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</si>
  <si>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</si>
  <si>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</si>
  <si>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</si>
  <si>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</si>
  <si>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</si>
  <si>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</si>
  <si>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</si>
  <si>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</si>
  <si>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</si>
  <si>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</si>
  <si>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</si>
  <si>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</si>
  <si>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</si>
  <si>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</si>
  <si>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</si>
  <si>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</si>
  <si>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</si>
  <si>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</si>
  <si>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</si>
  <si>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</si>
  <si>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</si>
  <si>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</si>
  <si>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</si>
  <si>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</si>
  <si>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</si>
  <si>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</si>
  <si>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</si>
  <si>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</si>
  <si>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</si>
  <si>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</si>
  <si>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</si>
  <si>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</si>
  <si>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</si>
  <si>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</si>
  <si>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</si>
  <si>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</si>
  <si>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</si>
  <si>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</si>
  <si>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</si>
  <si>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</si>
  <si>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</si>
  <si>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</si>
  <si>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</si>
  <si>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</si>
  <si>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</si>
  <si>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</si>
  <si>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</si>
  <si>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</si>
  <si>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</si>
  <si>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</si>
  <si>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</si>
  <si>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</si>
  <si>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</si>
  <si>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</si>
  <si>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</si>
  <si>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</si>
  <si>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</si>
  <si>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</si>
  <si>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</si>
  <si>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</si>
  <si>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</si>
  <si>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</si>
  <si>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</si>
  <si>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</si>
  <si>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</si>
  <si>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</si>
  <si>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</si>
  <si>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</si>
  <si>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</si>
  <si>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</si>
  <si>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</si>
  <si>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</si>
  <si>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</si>
  <si>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</si>
  <si>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</si>
  <si>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</si>
  <si>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</si>
  <si>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</si>
  <si>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</si>
  <si>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</si>
  <si>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</si>
  <si>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</si>
  <si>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</si>
  <si>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</si>
  <si>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</si>
  <si>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</si>
  <si>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</si>
  <si>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</si>
  <si>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</si>
  <si>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</si>
  <si>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</si>
  <si>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</si>
  <si>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</si>
  <si>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</si>
  <si>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</si>
  <si>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</si>
  <si>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</si>
  <si>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</si>
  <si>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</si>
  <si>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</si>
  <si>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</si>
  <si>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</si>
  <si>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</si>
  <si>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</si>
  <si>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</si>
  <si>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</si>
  <si>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</si>
  <si>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</si>
  <si>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</si>
  <si>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</si>
  <si>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</si>
  <si>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</si>
  <si>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</si>
  <si>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</si>
  <si>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</si>
  <si>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</si>
  <si>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</si>
  <si>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</si>
  <si>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</si>
  <si>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</si>
  <si>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</si>
  <si>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</si>
  <si>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</si>
  <si>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</si>
  <si>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</si>
  <si>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</si>
  <si>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</si>
  <si>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</si>
  <si>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</si>
  <si>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</si>
  <si>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</si>
  <si>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</si>
  <si>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</si>
  <si>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</si>
  <si>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</si>
  <si>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</si>
  <si>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</si>
  <si>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</si>
  <si>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</si>
  <si>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</si>
  <si>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</si>
  <si>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</si>
  <si>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</si>
  <si>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</si>
  <si>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</si>
  <si>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</si>
  <si>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</si>
  <si>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</si>
  <si>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</si>
  <si>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</si>
  <si>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</si>
  <si>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</si>
  <si>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</si>
  <si>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</si>
  <si>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</si>
  <si>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</si>
  <si>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</si>
  <si>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</si>
  <si>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</si>
  <si>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</si>
  <si>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</si>
  <si>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</si>
  <si>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</si>
  <si>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</si>
  <si>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</si>
  <si>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</si>
  <si>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</si>
  <si>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</si>
  <si>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</si>
  <si>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</si>
  <si>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</si>
  <si>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</si>
  <si>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</si>
  <si>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</si>
  <si>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</si>
  <si>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</si>
  <si>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</si>
  <si>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</si>
  <si>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</si>
  <si>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</si>
  <si>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</si>
  <si>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</si>
  <si>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</si>
  <si>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</si>
  <si>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</si>
  <si>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</si>
  <si>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</si>
  <si>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</si>
  <si>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</si>
  <si>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</si>
  <si>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</si>
  <si>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</si>
  <si>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</si>
  <si>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</si>
  <si>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</si>
  <si>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</si>
  <si>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</si>
  <si>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</si>
  <si>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</si>
  <si>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</si>
  <si>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</si>
  <si>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</si>
  <si>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</si>
  <si>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</si>
  <si>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</si>
  <si>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</si>
  <si>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</si>
  <si>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</si>
  <si>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</si>
  <si>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</si>
  <si>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</si>
  <si>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</si>
  <si>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</si>
  <si>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</si>
  <si>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</si>
  <si>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</si>
  <si>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</si>
  <si>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</si>
  <si>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</si>
  <si>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</si>
  <si>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</si>
  <si>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</si>
  <si>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</si>
  <si>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</si>
  <si>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</si>
  <si>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</si>
  <si>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</si>
  <si>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</si>
  <si>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</si>
  <si>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</si>
  <si>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</si>
  <si>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</si>
  <si>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</si>
  <si>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</si>
  <si>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</si>
  <si>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</si>
  <si>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</si>
  <si>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</si>
  <si>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</si>
  <si>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</si>
  <si>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</si>
  <si>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</si>
  <si>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</si>
  <si>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</si>
  <si>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</si>
  <si>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</si>
  <si>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</si>
  <si>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</si>
  <si>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</si>
  <si>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</si>
  <si>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</si>
  <si>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</si>
  <si>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</si>
  <si>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</si>
  <si>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</si>
  <si>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</si>
  <si>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</si>
  <si>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</si>
  <si>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</si>
  <si>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</si>
  <si>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</si>
  <si>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</si>
  <si>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</si>
  <si>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</si>
  <si>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</si>
  <si>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</si>
  <si>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</si>
  <si>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</si>
  <si>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</si>
  <si>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</si>
  <si>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</si>
  <si>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</si>
  <si>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</si>
  <si>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</si>
  <si>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</si>
  <si>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</si>
  <si>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</si>
  <si>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</si>
  <si>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</si>
  <si>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</si>
  <si>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</si>
  <si>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</si>
  <si>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</si>
  <si>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</si>
  <si>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</si>
  <si>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</si>
  <si>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</si>
  <si>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</si>
  <si>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</si>
  <si>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</si>
  <si>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</si>
  <si>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</si>
  <si>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</si>
  <si>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</si>
  <si>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</si>
  <si>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</si>
  <si>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</si>
  <si>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</si>
  <si>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</si>
  <si>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</si>
  <si>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</si>
  <si>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</si>
  <si>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</si>
  <si>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</si>
  <si>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</si>
  <si>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</si>
  <si>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</si>
  <si>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</si>
  <si>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</si>
  <si>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</si>
  <si>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</si>
  <si>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</si>
  <si>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</si>
  <si>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</si>
  <si>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</si>
  <si>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</si>
  <si>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</si>
  <si>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</si>
  <si>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</si>
  <si>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</si>
  <si>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</si>
  <si>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</si>
  <si>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</si>
  <si>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</si>
  <si>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</si>
  <si>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</si>
  <si>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</si>
  <si>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</si>
  <si>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</si>
  <si>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</si>
  <si>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</si>
  <si>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</si>
  <si>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</si>
  <si>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</si>
  <si>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</si>
  <si>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</si>
  <si>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</si>
  <si>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</si>
  <si>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</si>
  <si>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</si>
  <si>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</si>
  <si>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</si>
  <si>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</si>
  <si>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</si>
  <si>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</si>
  <si>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</si>
  <si>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</si>
  <si>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</si>
  <si>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</si>
  <si>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</si>
  <si>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</si>
  <si>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</si>
  <si>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</si>
  <si>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</si>
  <si>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</si>
  <si>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</si>
  <si>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</si>
  <si>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</si>
  <si>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</si>
  <si>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</si>
  <si>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</si>
  <si>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</si>
  <si>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</si>
  <si>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</si>
  <si>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</si>
  <si>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</si>
  <si>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</si>
  <si>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</si>
  <si>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</si>
  <si>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</si>
  <si>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</si>
  <si>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</si>
  <si>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</si>
  <si>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29:00</t>
  </si>
  <si>
    <t>Kaločai Rudolf</t>
  </si>
  <si>
    <t>Světlík František</t>
  </si>
  <si>
    <t>6:00</t>
  </si>
  <si>
    <t>7:00</t>
  </si>
  <si>
    <t>13 min 03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</si>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</sst>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69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46204.0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"Kinkorová Petra,Roth Stanislav ml."</formula1>
    </dataValidation>
    <dataValidation type="list" allowBlank="1" sqref="B25:B31">
      <formula1>"Mikešová Adéla,Kaločai Rudolf,Vopatová Anna,Vopatová Šárka,Světlík František,Ženíšek Lukáš,Roth Stanislav st.,Stehlíková Magdaléna"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46203.0</v>
      </c>
      <c r="D1" s="115" t="s">
        <v>2576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0.36058805810002564</v>
      </c>
      <c r="H2" s="21"/>
      <c r="I2" s="120">
        <v>22647.15000000001</v>
      </c>
      <c r="K2" s="21"/>
      <c r="L2" s="121" t="s">
        <v>2556</v>
      </c>
      <c r="M2" s="122">
        <v>9610.199999999999</v>
      </c>
      <c r="N2" s="123"/>
    </row>
    <row r="3">
      <c r="A3" s="124"/>
      <c r="B3" s="125" t="str">
        <f>CHOOSE(WEEKDAY(C1), "Neděle", "Pondělí", "Úterý", "Středa", "Čtvrtek", "Pátek", "Sobota")</f>
        <v>Úterý</v>
      </c>
      <c r="C3" s="27"/>
      <c r="D3" s="125"/>
      <c r="E3" s="27"/>
      <c r="H3" s="21"/>
      <c r="K3" s="21"/>
      <c r="L3" s="126" t="s">
        <v>2557</v>
      </c>
      <c r="M3" s="127">
        <v>2026.0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3513.45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944.0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13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21</v>
      </c>
      <c r="G7" s="13"/>
      <c r="H7" s="13"/>
      <c r="I7" s="13"/>
      <c r="J7" s="135"/>
      <c r="K7" s="135"/>
      <c r="L7" s="136" t="s">
        <v>2562</v>
      </c>
      <c r="M7" s="137">
        <v>1291.5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2.499999999989086</v>
      </c>
      <c r="K9" s="11"/>
      <c r="L9" s="149" t="s">
        <v>23</v>
      </c>
      <c r="M9" s="127">
        <v>4521.0</v>
      </c>
      <c r="N9" s="123"/>
    </row>
    <row r="10" ht="18.75" customHeight="1">
      <c r="A10" s="150"/>
      <c r="B10" s="151" t="s">
        <v>2580</v>
      </c>
      <c r="C10" s="152">
        <v>1.0</v>
      </c>
      <c r="D10" s="152" t="s">
        <v>50</v>
      </c>
      <c r="E10" s="153" t="s">
        <v>2581</v>
      </c>
      <c r="F10" s="151" t="s">
        <v>2582</v>
      </c>
      <c r="G10" s="152">
        <v>1.0</v>
      </c>
      <c r="H10" s="152" t="s">
        <v>2510</v>
      </c>
      <c r="I10" s="154">
        <v>7.0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2583</v>
      </c>
      <c r="G11" s="152">
        <v>1.0</v>
      </c>
      <c r="H11" s="152" t="s">
        <v>2584</v>
      </c>
      <c r="I11" s="154">
        <v>0.0</v>
      </c>
      <c r="J11" s="36"/>
      <c r="K11" s="21"/>
      <c r="L11" s="155" t="s">
        <v>25</v>
      </c>
      <c r="M11" s="156">
        <v>1720.0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/>
      <c r="G12" s="152"/>
      <c r="H12" s="152"/>
      <c r="I12" s="154"/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/>
      <c r="G13" s="152"/>
      <c r="H13" s="152"/>
      <c r="I13" s="154"/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2585</v>
      </c>
      <c r="F14" s="151"/>
      <c r="G14" s="152"/>
      <c r="H14" s="152"/>
      <c r="I14" s="154"/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2585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0.0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315.0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1.0</v>
      </c>
      <c r="K21" s="172">
        <v>207.2</v>
      </c>
      <c r="L21" s="173">
        <v>3.0</v>
      </c>
      <c r="M21" s="174" t="s">
        <v>2586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1.0</v>
      </c>
      <c r="K24" s="173">
        <v>71.0</v>
      </c>
      <c r="L24" s="173">
        <v>8.0</v>
      </c>
      <c r="M24" s="178">
        <v>8.0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3.0</v>
      </c>
      <c r="K27" s="96"/>
      <c r="L27" s="184">
        <v>0.375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2587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0.625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93"/>
      <c r="C2" s="193"/>
      <c r="D2" s="1"/>
      <c r="E2" s="192"/>
      <c r="F2" s="1"/>
      <c r="G2" s="1"/>
      <c r="H2" s="1"/>
      <c r="I2" s="1"/>
      <c r="J2" s="1"/>
      <c r="K2" s="192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92"/>
      <c r="F3" s="1"/>
      <c r="G3" s="1"/>
      <c r="H3" s="1"/>
      <c r="I3" s="1"/>
      <c r="J3" s="1"/>
      <c r="K3" s="192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"/>
      <c r="F18" s="1"/>
      <c r="G18" s="1"/>
      <c r="H18" s="1"/>
      <c r="I18" s="1"/>
      <c r="J18" s="1"/>
      <c r="K18" s="192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92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92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92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92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92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92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92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92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92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92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/>
      <c r="B47" s="1"/>
      <c r="C47" s="193"/>
      <c r="D47" s="1"/>
      <c r="E47" s="1"/>
      <c r="F47" s="1"/>
      <c r="G47" s="1"/>
      <c r="H47" s="1"/>
      <c r="I47" s="1"/>
      <c r="J47" s="1"/>
      <c r="K47" s="192"/>
      <c r="L47" s="1"/>
      <c r="M47" s="1"/>
      <c r="N47" s="1"/>
      <c r="O47" s="1"/>
      <c r="P47" s="1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"/>
      <c r="B48" s="1"/>
      <c r="C48" s="193"/>
      <c r="D48" s="1"/>
      <c r="E48" s="1"/>
      <c r="F48" s="1"/>
      <c r="G48" s="1"/>
      <c r="H48" s="1"/>
      <c r="I48" s="1"/>
      <c r="J48" s="1"/>
      <c r="K48" s="192"/>
      <c r="L48" s="1"/>
      <c r="M48" s="1"/>
      <c r="N48" s="1"/>
      <c r="O48" s="1"/>
      <c r="P48" s="1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"/>
      <c r="B49" s="1"/>
      <c r="C49" s="193"/>
      <c r="D49" s="1"/>
      <c r="E49" s="192"/>
      <c r="F49" s="1"/>
      <c r="G49" s="1"/>
      <c r="H49" s="1"/>
      <c r="I49" s="1"/>
      <c r="J49" s="1"/>
      <c r="K49" s="192"/>
      <c r="L49" s="1"/>
      <c r="M49" s="1"/>
      <c r="N49" s="1"/>
      <c r="O49" s="1"/>
      <c r="P49" s="1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92"/>
      <c r="L50" s="1"/>
      <c r="M50" s="1"/>
      <c r="N50" s="1"/>
      <c r="O50" s="1"/>
      <c r="P50" s="1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92"/>
      <c r="L51" s="1"/>
      <c r="M51" s="1"/>
      <c r="N51" s="1"/>
      <c r="O51" s="1"/>
      <c r="P51" s="1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"/>
      <c r="B52" s="1"/>
      <c r="C52" s="193"/>
      <c r="D52" s="1"/>
      <c r="E52" s="1"/>
      <c r="F52" s="1"/>
      <c r="G52" s="1"/>
      <c r="H52" s="1"/>
      <c r="I52" s="1"/>
      <c r="J52" s="1"/>
      <c r="K52" s="192"/>
      <c r="L52" s="1"/>
      <c r="M52" s="1"/>
      <c r="N52" s="1"/>
      <c r="O52" s="1"/>
      <c r="P52" s="1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"/>
      <c r="B53" s="1"/>
      <c r="C53" s="193"/>
      <c r="D53" s="1"/>
      <c r="E53" s="1"/>
      <c r="F53" s="1"/>
      <c r="G53" s="1"/>
      <c r="H53" s="1"/>
      <c r="I53" s="1"/>
      <c r="J53" s="1"/>
      <c r="K53" s="192"/>
      <c r="L53" s="1"/>
      <c r="M53" s="1"/>
      <c r="N53" s="1"/>
      <c r="O53" s="1"/>
      <c r="P53" s="1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"/>
      <c r="B54" s="1"/>
      <c r="C54" s="1"/>
      <c r="D54" s="1"/>
      <c r="E54" s="192"/>
      <c r="F54" s="1"/>
      <c r="G54" s="1"/>
      <c r="H54" s="1"/>
      <c r="I54" s="1"/>
      <c r="J54" s="1"/>
      <c r="K54" s="192"/>
      <c r="L54" s="1"/>
      <c r="M54" s="1"/>
      <c r="N54" s="1"/>
      <c r="O54" s="1"/>
      <c r="P54" s="1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92"/>
      <c r="L55" s="1"/>
      <c r="M55" s="1"/>
      <c r="N55" s="1"/>
      <c r="O55" s="1"/>
      <c r="P55" s="1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"/>
      <c r="B56" s="1"/>
      <c r="C56" s="193"/>
      <c r="D56" s="1"/>
      <c r="E56" s="1"/>
      <c r="F56" s="1"/>
      <c r="G56" s="1"/>
      <c r="H56" s="1"/>
      <c r="I56" s="1"/>
      <c r="J56" s="1"/>
      <c r="K56" s="192"/>
      <c r="L56" s="1"/>
      <c r="M56" s="1"/>
      <c r="N56" s="1"/>
      <c r="O56" s="1"/>
      <c r="P56" s="1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"/>
      <c r="B57" s="1"/>
      <c r="C57" s="193"/>
      <c r="D57" s="1"/>
      <c r="E57" s="1"/>
      <c r="F57" s="1"/>
      <c r="G57" s="1"/>
      <c r="H57" s="1"/>
      <c r="I57" s="1"/>
      <c r="J57" s="1"/>
      <c r="K57" s="192"/>
      <c r="L57" s="1"/>
      <c r="M57" s="1"/>
      <c r="N57" s="1"/>
      <c r="O57" s="1"/>
      <c r="P57" s="1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"/>
      <c r="B58" s="1"/>
      <c r="C58" s="193"/>
      <c r="D58" s="1"/>
      <c r="E58" s="192"/>
      <c r="F58" s="1"/>
      <c r="G58" s="1"/>
      <c r="H58" s="1"/>
      <c r="I58" s="1"/>
      <c r="J58" s="1"/>
      <c r="K58" s="192"/>
      <c r="L58" s="1"/>
      <c r="M58" s="1"/>
      <c r="N58" s="1"/>
      <c r="O58" s="1"/>
      <c r="P58" s="1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92"/>
      <c r="L59" s="1"/>
      <c r="M59" s="1"/>
      <c r="N59" s="1"/>
      <c r="O59" s="1"/>
      <c r="P59" s="1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"/>
      <c r="B60" s="1"/>
      <c r="C60" s="193"/>
      <c r="D60" s="1"/>
      <c r="E60" s="192"/>
      <c r="F60" s="1"/>
      <c r="G60" s="1"/>
      <c r="H60" s="1"/>
      <c r="I60" s="1"/>
      <c r="J60" s="1"/>
      <c r="K60" s="192"/>
      <c r="L60" s="1"/>
      <c r="M60" s="1"/>
      <c r="N60" s="1"/>
      <c r="O60" s="1"/>
      <c r="P60" s="1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"/>
      <c r="B61" s="1"/>
      <c r="C61" s="1"/>
      <c r="D61" s="1"/>
      <c r="E61" s="192"/>
      <c r="F61" s="1"/>
      <c r="G61" s="1"/>
      <c r="H61" s="1"/>
      <c r="I61" s="1"/>
      <c r="J61" s="1"/>
      <c r="K61" s="192"/>
      <c r="L61" s="1"/>
      <c r="M61" s="1"/>
      <c r="N61" s="1"/>
      <c r="O61" s="1"/>
      <c r="P61" s="1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"/>
      <c r="B62" s="1"/>
      <c r="C62" s="1"/>
      <c r="D62" s="1"/>
      <c r="E62" s="192"/>
      <c r="F62" s="1"/>
      <c r="G62" s="1"/>
      <c r="H62" s="1"/>
      <c r="I62" s="1"/>
      <c r="J62" s="1"/>
      <c r="K62" s="192"/>
      <c r="L62" s="1"/>
      <c r="M62" s="1"/>
      <c r="N62" s="1"/>
      <c r="O62" s="1"/>
      <c r="P62" s="1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"/>
      <c r="B63" s="1"/>
      <c r="C63" s="193"/>
      <c r="D63" s="1"/>
      <c r="E63" s="192"/>
      <c r="F63" s="1"/>
      <c r="G63" s="1"/>
      <c r="H63" s="1"/>
      <c r="I63" s="1"/>
      <c r="J63" s="1"/>
      <c r="K63" s="192"/>
      <c r="L63" s="1"/>
      <c r="M63" s="1"/>
      <c r="N63" s="1"/>
      <c r="O63" s="1"/>
      <c r="P63" s="1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"/>
      <c r="B64" s="1"/>
      <c r="C64" s="193"/>
      <c r="D64" s="1"/>
      <c r="E64" s="192"/>
      <c r="F64" s="1"/>
      <c r="G64" s="1"/>
      <c r="H64" s="1"/>
      <c r="I64" s="1"/>
      <c r="J64" s="1"/>
      <c r="K64" s="192"/>
      <c r="L64" s="1"/>
      <c r="M64" s="1"/>
      <c r="N64" s="1"/>
      <c r="O64" s="1"/>
      <c r="P64" s="1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92"/>
      <c r="L65" s="1"/>
      <c r="M65" s="1"/>
      <c r="N65" s="1"/>
      <c r="O65" s="1"/>
      <c r="P65" s="1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"/>
      <c r="B66" s="1"/>
      <c r="C66" s="1"/>
      <c r="D66" s="1"/>
      <c r="E66" s="192"/>
      <c r="F66" s="1"/>
      <c r="G66" s="1"/>
      <c r="H66" s="1"/>
      <c r="I66" s="1"/>
      <c r="J66" s="1"/>
      <c r="K66" s="192"/>
      <c r="L66" s="1"/>
      <c r="M66" s="1"/>
      <c r="N66" s="1"/>
      <c r="O66" s="1"/>
      <c r="P66" s="1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"/>
      <c r="B67" s="193"/>
      <c r="C67" s="193"/>
      <c r="D67" s="1"/>
      <c r="E67" s="192"/>
      <c r="F67" s="1"/>
      <c r="G67" s="1"/>
      <c r="H67" s="1"/>
      <c r="I67" s="1"/>
      <c r="J67" s="1"/>
      <c r="K67" s="192"/>
      <c r="L67" s="1"/>
      <c r="M67" s="1"/>
      <c r="N67" s="1"/>
      <c r="O67" s="1"/>
      <c r="P67" s="1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"/>
      <c r="B68" s="1"/>
      <c r="C68" s="1"/>
      <c r="D68" s="1"/>
      <c r="E68" s="192"/>
      <c r="F68" s="1"/>
      <c r="G68" s="1"/>
      <c r="H68" s="1"/>
      <c r="I68" s="1"/>
      <c r="J68" s="1"/>
      <c r="K68" s="192"/>
      <c r="L68" s="1"/>
      <c r="M68" s="1"/>
      <c r="N68" s="1"/>
      <c r="O68" s="1"/>
      <c r="P68" s="1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"/>
      <c r="B69" s="1"/>
      <c r="C69" s="193"/>
      <c r="D69" s="1"/>
      <c r="E69" s="192"/>
      <c r="F69" s="1"/>
      <c r="G69" s="1"/>
      <c r="H69" s="1"/>
      <c r="I69" s="1"/>
      <c r="J69" s="1"/>
      <c r="K69" s="192"/>
      <c r="L69" s="1"/>
      <c r="M69" s="1"/>
      <c r="N69" s="1"/>
      <c r="O69" s="1"/>
      <c r="P69" s="1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"/>
      <c r="B70" s="1"/>
      <c r="C70" s="1"/>
      <c r="D70" s="1"/>
      <c r="E70" s="192"/>
      <c r="F70" s="1"/>
      <c r="G70" s="1"/>
      <c r="H70" s="1"/>
      <c r="I70" s="1"/>
      <c r="J70" s="1"/>
      <c r="K70" s="192"/>
      <c r="L70" s="1"/>
      <c r="M70" s="1"/>
      <c r="N70" s="1"/>
      <c r="O70" s="1"/>
      <c r="P70" s="1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"/>
      <c r="B71" s="1"/>
      <c r="C71" s="193"/>
      <c r="D71" s="1"/>
      <c r="E71" s="1"/>
      <c r="F71" s="1"/>
      <c r="G71" s="1"/>
      <c r="H71" s="1"/>
      <c r="I71" s="1"/>
      <c r="J71" s="1"/>
      <c r="K71" s="192"/>
      <c r="L71" s="1"/>
      <c r="M71" s="1"/>
      <c r="N71" s="1"/>
      <c r="O71" s="1"/>
      <c r="P71" s="1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"/>
      <c r="B72" s="1"/>
      <c r="C72" s="1"/>
      <c r="D72" s="1"/>
      <c r="E72" s="192"/>
      <c r="F72" s="1"/>
      <c r="G72" s="1"/>
      <c r="H72" s="1"/>
      <c r="I72" s="1"/>
      <c r="J72" s="1"/>
      <c r="K72" s="192"/>
      <c r="L72" s="1"/>
      <c r="M72" s="1"/>
      <c r="N72" s="1"/>
      <c r="O72" s="1"/>
      <c r="P72" s="1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"/>
      <c r="B73" s="1"/>
      <c r="C73" s="193"/>
      <c r="D73" s="1"/>
      <c r="E73" s="1"/>
      <c r="F73" s="1"/>
      <c r="G73" s="1"/>
      <c r="H73" s="1"/>
      <c r="I73" s="1"/>
      <c r="J73" s="1"/>
      <c r="K73" s="192"/>
      <c r="L73" s="1"/>
      <c r="M73" s="1"/>
      <c r="N73" s="1"/>
      <c r="O73" s="1"/>
      <c r="P73" s="1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2588</v>
      </c>
      <c r="B4" s="199" t="s">
        <v>2589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>Kinkorová Petra</v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IFERROR(__xludf.DUMMYFUNCTION("""COMPUTED_VALUE"""),"Bolevec")</f>
        <v>Bolevec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IFERROR(__xludf.DUMMYFUNCTION("""COMPUTED_VALUE"""),"Pánková Vendula")</f>
        <v>Pánková Vendula</v>
      </c>
      <c r="E18" s="195" t="str">
        <f>IFERROR(__xludf.DUMMYFUNCTION("""COMPUTED_VALUE"""),"Zličín")</f>
        <v>Zličín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IFERROR(__xludf.DUMMYFUNCTION("""COMPUTED_VALUE"""),267.6)</f>
        <v>267.6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IFERROR(__xludf.DUMMYFUNCTION("""COMPUTED_VALUE"""),TRUE)</f>
        <v>1</v>
      </c>
      <c r="D19" s="195" t="str">
        <f>IFERROR(__xludf.DUMMYFUNCTION("""COMPUTED_VALUE"""),"Hegedüs Erik")</f>
        <v>Hegedüs Erik</v>
      </c>
      <c r="E19" s="195" t="str">
        <f>IFERROR(__xludf.DUMMYFUNCTION("""COMPUTED_VALUE"""),"Libuš")</f>
        <v>Libuš</v>
      </c>
      <c r="F19" s="195" t="str">
        <f>IFERROR(__xludf.DUMMYFUNCTION("""COMPUTED_VALUE"""),"Chodov")</f>
        <v>Chodov</v>
      </c>
      <c r="G19" s="195" t="str">
        <f>IFERROR(__xludf.DUMMYFUNCTION("""COMPUTED_VALUE"""),"Malešice")</f>
        <v>Malešice</v>
      </c>
      <c r="H19" s="195" t="str">
        <f>IFERROR(__xludf.DUMMYFUNCTION("""COMPUTED_VALUE"""),"Zličín")</f>
        <v>Zličín</v>
      </c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IFERROR(__xludf.DUMMYFUNCTION("""COMPUTED_VALUE"""),432.3078)</f>
        <v>432.3078</v>
      </c>
      <c r="W19" s="198">
        <f>IFERROR(__xludf.DUMMYFUNCTION("""COMPUTED_VALUE"""),2789.082580645161)</f>
        <v>2789.082581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>Roth Stanislav ml.</v>
      </c>
      <c r="B20" s="200" t="str">
        <f>IF(OR(E20=Report!$B$1, F20=Report!$B$1, G20=Report!$B$1, H20=Report!$B$1), D20, "")</f>
        <v>Roth Stanislav ml.</v>
      </c>
      <c r="C20" s="195" t="b">
        <f>IFERROR(__xludf.DUMMYFUNCTION("""COMPUTED_VALUE"""),TRUE)</f>
        <v>1</v>
      </c>
      <c r="D20" s="195" t="str">
        <f>IFERROR(__xludf.DUMMYFUNCTION("""COMPUTED_VALUE"""),"Roth Stanislav ml.")</f>
        <v>Roth Stanislav ml.</v>
      </c>
      <c r="E20" s="195" t="str">
        <f>IFERROR(__xludf.DUMMYFUNCTION("""COMPUTED_VALUE"""),"Bolevec")</f>
        <v>Bolevec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IFERROR(__xludf.DUMMYFUNCTION("""COMPUTED_VALUE"""),432.3078)</f>
        <v>432.3078</v>
      </c>
      <c r="W20" s="198">
        <f>IFERROR(__xludf.DUMMYFUNCTION("""COMPUTED_VALUE"""),2789.082580645161)</f>
        <v>2789.082581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IFERROR(__xludf.DUMMYFUNCTION("""COMPUTED_VALUE"""),FALSE)</f>
        <v>0</v>
      </c>
      <c r="D21" s="195" t="str">
        <f>IFERROR(__xludf.DUMMYFUNCTION("""COMPUTED_VALUE"""),"Bubník Martin")</f>
        <v>Bubník Martin</v>
      </c>
      <c r="E21" s="195" t="str">
        <f>IFERROR(__xludf.DUMMYFUNCTION("""COMPUTED_VALUE"""),"Libuš")</f>
        <v>Libuš</v>
      </c>
      <c r="F21" s="195" t="str">
        <f>IFERROR(__xludf.DUMMYFUNCTION("""COMPUTED_VALUE"""),"Malešice")</f>
        <v>Malešice</v>
      </c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IFERROR(__xludf.DUMMYFUNCTION("""COMPUTED_VALUE"""),267.6)</f>
        <v>267.6</v>
      </c>
      <c r="W21" s="198">
        <f>IFERROR(__xludf.DUMMYFUNCTION("""COMPUTED_VALUE"""),0.0)</f>
        <v>0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/>
      </c>
      <c r="B22" s="200" t="str">
        <f>IF(OR(E22=Report!$B$1, F22=Report!$B$1, G22=Report!$B$1, H22=Report!$B$1), D22, "")</f>
        <v/>
      </c>
      <c r="C22" s="195" t="b">
        <f>IFERROR(__xludf.DUMMYFUNCTION("""COMPUTED_VALUE"""),FALSE)</f>
        <v>0</v>
      </c>
      <c r="D22" s="195" t="str">
        <f>IFERROR(__xludf.DUMMYFUNCTION("""COMPUTED_VALUE"""),"Berdar Vasyl")</f>
        <v>Berdar Vasyl</v>
      </c>
      <c r="E22" s="195" t="str">
        <f>IFERROR(__xludf.DUMMYFUNCTION("""COMPUTED_VALUE"""),"Libuš")</f>
        <v>Libuš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IFERROR(__xludf.DUMMYFUNCTION("""COMPUTED_VALUE"""),286.332)</f>
        <v>286.332</v>
      </c>
      <c r="W22" s="198">
        <f>IFERROR(__xludf.DUMMYFUNCTION("""COMPUTED_VALUE"""),0.0)</f>
        <v>0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IFERROR(__xludf.DUMMYFUNCTION("""COMPUTED_VALUE"""),"Yarushynskyi Vladyslav")</f>
        <v>Yarushynskyi Vladyslav</v>
      </c>
      <c r="E23" s="195" t="str">
        <f>IFERROR(__xludf.DUMMYFUNCTION("""COMPUTED_VALUE"""),"Malešice")</f>
        <v>Malešice</v>
      </c>
      <c r="F23" s="195" t="str">
        <f>IFERROR(__xludf.DUMMYFUNCTION("""COMPUTED_VALUE"""),"Chodov")</f>
        <v>Chodov</v>
      </c>
      <c r="G23" s="195" t="str">
        <f>IFERROR(__xludf.DUMMYFUNCTION("""COMPUTED_VALUE"""),"Zličín")</f>
        <v>Zličín</v>
      </c>
      <c r="H23" s="195" t="str">
        <f>IFERROR(__xludf.DUMMYFUNCTION("""COMPUTED_VALUE"""),"Prosek")</f>
        <v>Prosek</v>
      </c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IFERROR(__xludf.DUMMYFUNCTION("""COMPUTED_VALUE"""),267.6)</f>
        <v>267.6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IFERROR(__xludf.DUMMYFUNCTION("""COMPUTED_VALUE"""),"Židek Petr")</f>
        <v>Židek Petr</v>
      </c>
      <c r="E24" s="195" t="str">
        <f>IFERROR(__xludf.DUMMYFUNCTION("""COMPUTED_VALUE"""),"Chodov")</f>
        <v>Chodov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IFERROR(__xludf.DUMMYFUNCTION("""COMPUTED_VALUE"""),250.20600000000002)</f>
        <v>250.206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IFERROR(__xludf.DUMMYFUNCTION("""COMPUTED_VALUE"""),"Gorol Patrik")</f>
        <v>Gorol Patrik</v>
      </c>
      <c r="E25" s="195" t="str">
        <f>IFERROR(__xludf.DUMMYFUNCTION("""COMPUTED_VALUE"""),"Malešice")</f>
        <v>Malešice</v>
      </c>
      <c r="F25" s="195" t="str">
        <f>IFERROR(__xludf.DUMMYFUNCTION("""COMPUTED_VALUE"""),"Libuš")</f>
        <v>Libuš</v>
      </c>
      <c r="G25" s="195" t="str">
        <f>IFERROR(__xludf.DUMMYFUNCTION("""COMPUTED_VALUE"""),"Prosek")</f>
        <v>Prosek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 t="str">
        <f>IFERROR(__xludf.DUMMYFUNCTION("""COMPUTED_VALUE"""),"Hegedüs Gergö")</f>
        <v>Hegedüs Gergö</v>
      </c>
      <c r="E26" s="195" t="str">
        <f>IFERROR(__xludf.DUMMYFUNCTION("""COMPUTED_VALUE"""),"Libuš")</f>
        <v>Libuš</v>
      </c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IFERROR(__xludf.DUMMYFUNCTION("""COMPUTED_VALUE"""),214.08)</f>
        <v>214.08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IFERROR(__xludf.DUMMYFUNCTION("""COMPUTED_VALUE"""),"Barvínková Eliška")</f>
        <v>Barvínková Eliška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IFERROR(__xludf.DUMMYFUNCTION("""COMPUTED_VALUE"""),231.474)</f>
        <v>231.474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IFERROR(__xludf.DUMMYFUNCTION("""COMPUTED_VALUE"""),"Kursheva Diana")</f>
        <v>Kursheva Diana</v>
      </c>
      <c r="E28" s="195" t="str">
        <f>IFERROR(__xludf.DUMMYFUNCTION("""COMPUTED_VALUE"""),"Výroba")</f>
        <v>Výroba</v>
      </c>
      <c r="F28" s="195" t="str">
        <f>IFERROR(__xludf.DUMMYFUNCTION("""COMPUTED_VALUE"""),"Chodov")</f>
        <v>Chodov</v>
      </c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IFERROR(__xludf.DUMMYFUNCTION("""COMPUTED_VALUE"""),250.20600000000002)</f>
        <v>250.206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 t="str">
        <f>IFERROR(__xludf.DUMMYFUNCTION("""COMPUTED_VALUE"""),"Kubík Martin")</f>
        <v>Kubík Martin</v>
      </c>
      <c r="E29" s="195" t="str">
        <f>IFERROR(__xludf.DUMMYFUNCTION("""COMPUTED_VALUE"""),"Libuš")</f>
        <v>Libuš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IFERROR(__xludf.DUMMYFUNCTION("""COMPUTED_VALUE"""),"Putna Jaroslav")</f>
        <v>Putna Jaroslav</v>
      </c>
      <c r="E30" s="195" t="str">
        <f>IFERROR(__xludf.DUMMYFUNCTION("""COMPUTED_VALUE"""),"Zličín")</f>
        <v>Zličín</v>
      </c>
      <c r="F30" s="195" t="str">
        <f>IFERROR(__xludf.DUMMYFUNCTION("""COMPUTED_VALUE"""),"Prosek")</f>
        <v>Prosek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IFERROR(__xludf.DUMMYFUNCTION("""COMPUTED_VALUE"""),"Kopic Jakub")</f>
        <v>Kopic Jakub</v>
      </c>
      <c r="E31" s="195" t="str">
        <f>IFERROR(__xludf.DUMMYFUNCTION("""COMPUTED_VALUE"""),"Malešice")</f>
        <v>Malešice</v>
      </c>
      <c r="F31" s="195" t="str">
        <f>IFERROR(__xludf.DUMMYFUNCTION("""COMPUTED_VALUE"""),"Prosek")</f>
        <v>Prosek</v>
      </c>
      <c r="G31" s="195" t="str">
        <f>IFERROR(__xludf.DUMMYFUNCTION("""COMPUTED_VALUE"""),"Libuš")</f>
        <v>Libuš</v>
      </c>
      <c r="H31" s="195" t="str">
        <f>IFERROR(__xludf.DUMMYFUNCTION("""COMPUTED_VALUE"""),"Prosek")</f>
        <v>Prosek</v>
      </c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IFERROR(__xludf.DUMMYFUNCTION("""COMPUTED_VALUE"""),250.20600000000002)</f>
        <v>250.206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/>
      </c>
      <c r="C32" s="195" t="b">
        <f>IFERROR(__xludf.DUMMYFUNCTION("""COMPUTED_VALUE"""),FALSE)</f>
        <v>0</v>
      </c>
      <c r="D32" s="195" t="str">
        <f>IFERROR(__xludf.DUMMYFUNCTION("""COMPUTED_VALUE"""),"Fáberová Kateřina")</f>
        <v>Fáberová Kateřina</v>
      </c>
      <c r="E32" s="195" t="str">
        <f>IFERROR(__xludf.DUMMYFUNCTION("""COMPUTED_VALUE"""),"Prosek")</f>
        <v>Prosek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IFERROR(__xludf.DUMMYFUNCTION("""COMPUTED_VALUE"""),250.20600000000002)</f>
        <v>250.206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IFERROR(__xludf.DUMMYFUNCTION("""COMPUTED_VALUE"""),"Chlubnová Adéla")</f>
        <v>Chlubnová Adéla</v>
      </c>
      <c r="E33" s="195" t="str">
        <f>IFERROR(__xludf.DUMMYFUNCTION("""COMPUTED_VALUE"""),"Chodov")</f>
        <v>Chodov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IFERROR(__xludf.DUMMYFUNCTION("""COMPUTED_VALUE"""),250.20600000000002)</f>
        <v>250.206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IFERROR(__xludf.DUMMYFUNCTION("""COMPUTED_VALUE"""),"Prošek Václav")</f>
        <v>Prošek Václav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IFERROR(__xludf.DUMMYFUNCTION("""COMPUTED_VALUE"""),250.20600000000002)</f>
        <v>250.206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IFERROR(__xludf.DUMMYFUNCTION("""COMPUTED_VALUE"""),"Millington Emmanuel")</f>
        <v>Millington Emmanuel</v>
      </c>
      <c r="E35" s="195" t="str">
        <f>IFERROR(__xludf.DUMMYFUNCTION("""COMPUTED_VALUE"""),"Libuš")</f>
        <v>Libuš</v>
      </c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/>
      </c>
      <c r="C36" s="195" t="b">
        <f>IFERROR(__xludf.DUMMYFUNCTION("""COMPUTED_VALUE"""),FALSE)</f>
        <v>0</v>
      </c>
      <c r="D36" s="195" t="str">
        <f>IFERROR(__xludf.DUMMYFUNCTION("""COMPUTED_VALUE"""),"Kašpárek Jan")</f>
        <v>Kašpárek Jan</v>
      </c>
      <c r="E36" s="195" t="str">
        <f>IFERROR(__xludf.DUMMYFUNCTION("""COMPUTED_VALUE"""),"Libuš")</f>
        <v>Libuš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IFERROR(__xludf.DUMMYFUNCTION("""COMPUTED_VALUE"""),"Koteliuk Maryna")</f>
        <v>Koteliuk Maryna</v>
      </c>
      <c r="E37" s="195" t="str">
        <f>IFERROR(__xludf.DUMMYFUNCTION("""COMPUTED_VALUE"""),"Výroba")</f>
        <v>Výroba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IFERROR(__xludf.DUMMYFUNCTION("""COMPUTED_VALUE"""),"Remač Jiří")</f>
        <v>Remač Jiří</v>
      </c>
      <c r="E38" s="195" t="str">
        <f>IFERROR(__xludf.DUMMYFUNCTION("""COMPUTED_VALUE"""),"Libuš")</f>
        <v>Libuš</v>
      </c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IFERROR(__xludf.DUMMYFUNCTION("""COMPUTED_VALUE"""),0.0)</f>
        <v>0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IFERROR(__xludf.DUMMYFUNCTION("""COMPUTED_VALUE"""),0.0)</f>
        <v>0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IFERROR(__xludf.DUMMYFUNCTION("""COMPUTED_VALUE"""),0.0)</f>
        <v>0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IFERROR(__xludf.DUMMYFUNCTION("""COMPUTED_VALUE"""),"Hyský Aleš")</f>
        <v>Hyský Aleš</v>
      </c>
      <c r="E86" s="195" t="str">
        <f>IFERROR(__xludf.DUMMYFUNCTION("""COMPUTED_VALUE"""),"Chodov")</f>
        <v>Chodov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IFERROR(__xludf.DUMMYFUNCTION("""COMPUTED_VALUE"""),231.474)</f>
        <v>231.474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IFERROR(__xludf.DUMMYFUNCTION("""COMPUTED_VALUE"""),"Lažek Jaroslav")</f>
        <v>Lažek Jaroslav</v>
      </c>
      <c r="E87" s="195" t="str">
        <f>IFERROR(__xludf.DUMMYFUNCTION("""COMPUTED_VALUE"""),"Libuš")</f>
        <v>Libuš</v>
      </c>
      <c r="F87" s="195" t="str">
        <f>IFERROR(__xludf.DUMMYFUNCTION("""COMPUTED_VALUE"""),"Chodov")</f>
        <v>Chodov</v>
      </c>
      <c r="G87" s="195" t="str">
        <f>IFERROR(__xludf.DUMMYFUNCTION("""COMPUTED_VALUE"""),"Malešice")</f>
        <v>Malešice</v>
      </c>
      <c r="H87" s="195" t="str">
        <f>IFERROR(__xludf.DUMMYFUNCTION("""COMPUTED_VALUE"""),"Výroba")</f>
        <v>Výroba</v>
      </c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IFERROR(__xludf.DUMMYFUNCTION("""COMPUTED_VALUE"""),170.0)</f>
        <v>170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IFERROR(__xludf.DUMMYFUNCTION("""COMPUTED_VALUE"""),"Kormash Liubov")</f>
        <v>Kormash Liubov</v>
      </c>
      <c r="E88" s="195" t="str">
        <f>IFERROR(__xludf.DUMMYFUNCTION("""COMPUTED_VALUE"""),"Zličín")</f>
        <v>Zličín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IFERROR(__xludf.DUMMYFUNCTION("""COMPUTED_VALUE"""),160.0)</f>
        <v>160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IFERROR(__xludf.DUMMYFUNCTION("""COMPUTED_VALUE"""),"Chlubna Tomáš")</f>
        <v>Chlubna Tomáš</v>
      </c>
      <c r="E89" s="195" t="str">
        <f>IFERROR(__xludf.DUMMYFUNCTION("""COMPUTED_VALUE"""),"Chodov")</f>
        <v>Chodov</v>
      </c>
      <c r="F89" s="195" t="str">
        <f>IFERROR(__xludf.DUMMYFUNCTION("""COMPUTED_VALUE"""),"Libuš")</f>
        <v>Libuš</v>
      </c>
      <c r="G89" s="195" t="str">
        <f>IFERROR(__xludf.DUMMYFUNCTION("""COMPUTED_VALUE"""),"Výroba")</f>
        <v>Výroba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IFERROR(__xludf.DUMMYFUNCTION("""COMPUTED_VALUE"""),250.20600000000002)</f>
        <v>250.206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IFERROR(__xludf.DUMMYFUNCTION("""COMPUTED_VALUE"""),"Vychivskyi Volodymyr")</f>
        <v>Vychivskyi Volodymyr</v>
      </c>
      <c r="E90" s="195" t="str">
        <f>IFERROR(__xludf.DUMMYFUNCTION("""COMPUTED_VALUE"""),"Malešice")</f>
        <v>Malešice</v>
      </c>
      <c r="F90" s="195" t="str">
        <f>IFERROR(__xludf.DUMMYFUNCTION("""COMPUTED_VALUE"""),"Prosek")</f>
        <v>Prosek</v>
      </c>
      <c r="G90" s="195" t="str">
        <f>IFERROR(__xludf.DUMMYFUNCTION("""COMPUTED_VALUE"""),"Zličín")</f>
        <v>Zličín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IFERROR(__xludf.DUMMYFUNCTION("""COMPUTED_VALUE"""),250.20600000000002)</f>
        <v>250.206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 t="str">
        <f>IFERROR(__xludf.DUMMYFUNCTION("""COMPUTED_VALUE"""),"Hřebík Martin")</f>
        <v>Hřebík Martin</v>
      </c>
      <c r="E91" s="195" t="str">
        <f>IFERROR(__xludf.DUMMYFUNCTION("""COMPUTED_VALUE"""),"Výroba")</f>
        <v>Výroba</v>
      </c>
      <c r="F91" s="195" t="str">
        <f>IFERROR(__xludf.DUMMYFUNCTION("""COMPUTED_VALUE"""),"Chodov")</f>
        <v>Chodov</v>
      </c>
      <c r="G91" s="195" t="str">
        <f>IFERROR(__xludf.DUMMYFUNCTION("""COMPUTED_VALUE"""),"Prosek")</f>
        <v>Prosek</v>
      </c>
      <c r="H91" s="195" t="str">
        <f>IFERROR(__xludf.DUMMYFUNCTION("""COMPUTED_VALUE"""),"Libuš")</f>
        <v>Libuš</v>
      </c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IFERROR(__xludf.DUMMYFUNCTION("""COMPUTED_VALUE"""),386.68199999999996)</f>
        <v>386.682</v>
      </c>
      <c r="W91" s="198">
        <f>IFERROR(__xludf.DUMMYFUNCTION("""COMPUTED_VALUE"""),2494.722580645161)</f>
        <v>2494.722581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 t="str">
        <f>IFERROR(__xludf.DUMMYFUNCTION("""COMPUTED_VALUE"""),"Eszenyiová Patrícia")</f>
        <v>Eszenyiová Patrícia</v>
      </c>
      <c r="E92" s="195" t="str">
        <f>IFERROR(__xludf.DUMMYFUNCTION("""COMPUTED_VALUE"""),"Libuš")</f>
        <v>Libuš</v>
      </c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IFERROR(__xludf.DUMMYFUNCTION("""COMPUTED_VALUE"""),250.20600000000002)</f>
        <v>250.206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IFERROR(__xludf.DUMMYFUNCTION("""COMPUTED_VALUE"""),"Reischl Jan")</f>
        <v>Reischl Jan</v>
      </c>
      <c r="E93" s="195" t="str">
        <f>IFERROR(__xludf.DUMMYFUNCTION("""COMPUTED_VALUE"""),"Malešice")</f>
        <v>Malešice</v>
      </c>
      <c r="F93" s="195" t="str">
        <f>IFERROR(__xludf.DUMMYFUNCTION("""COMPUTED_VALUE"""),"Chodov")</f>
        <v>Chodov</v>
      </c>
      <c r="G93" s="195" t="str">
        <f>IFERROR(__xludf.DUMMYFUNCTION("""COMPUTED_VALUE"""),"Libuš")</f>
        <v>Libuš</v>
      </c>
      <c r="H93" s="195" t="str">
        <f>IFERROR(__xludf.DUMMYFUNCTION("""COMPUTED_VALUE"""),"Prosek")</f>
        <v>Prosek</v>
      </c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IFERROR(__xludf.DUMMYFUNCTION("""COMPUTED_VALUE"""),214.08)</f>
        <v>214.08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>Mikešová Adéla</v>
      </c>
      <c r="C94" s="195" t="b">
        <f>IFERROR(__xludf.DUMMYFUNCTION("""COMPUTED_VALUE"""),FALSE)</f>
        <v>0</v>
      </c>
      <c r="D94" s="195" t="str">
        <f>IFERROR(__xludf.DUMMYFUNCTION("""COMPUTED_VALUE"""),"Mikešová Adéla")</f>
        <v>Mikešová Adéla</v>
      </c>
      <c r="E94" s="195" t="str">
        <f>IFERROR(__xludf.DUMMYFUNCTION("""COMPUTED_VALUE"""),"Bolevec")</f>
        <v>Bolevec</v>
      </c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IFERROR(__xludf.DUMMYFUNCTION("""COMPUTED_VALUE"""),214.08)</f>
        <v>214.08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 t="str">
        <f>IFERROR(__xludf.DUMMYFUNCTION("""COMPUTED_VALUE"""),"Chyský David")</f>
        <v>Chyský David</v>
      </c>
      <c r="E95" s="195" t="str">
        <f>IFERROR(__xludf.DUMMYFUNCTION("""COMPUTED_VALUE"""),"Chodov")</f>
        <v>Chodov</v>
      </c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IFERROR(__xludf.DUMMYFUNCTION("""COMPUTED_VALUE"""),231.474)</f>
        <v>231.474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IFERROR(__xludf.DUMMYFUNCTION("""COMPUTED_VALUE"""),"Kalina Filip")</f>
        <v>Kalina Filip</v>
      </c>
      <c r="E96" s="195" t="str">
        <f>IFERROR(__xludf.DUMMYFUNCTION("""COMPUTED_VALUE"""),"Malešice")</f>
        <v>Malešice</v>
      </c>
      <c r="F96" s="195" t="str">
        <f>IFERROR(__xludf.DUMMYFUNCTION("""COMPUTED_VALUE"""),"Libuš")</f>
        <v>Libuš</v>
      </c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IFERROR(__xludf.DUMMYFUNCTION("""COMPUTED_VALUE"""),231.474)</f>
        <v>231.474</v>
      </c>
      <c r="W96" s="198">
        <f>IFERROR(__xludf.DUMMYFUNCTION("""COMPUTED_VALUE"""),0.0)</f>
        <v>0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>Kaločai Rudolf</v>
      </c>
      <c r="C97" s="195" t="b">
        <f>IFERROR(__xludf.DUMMYFUNCTION("""COMPUTED_VALUE"""),FALSE)</f>
        <v>0</v>
      </c>
      <c r="D97" s="195" t="str">
        <f>IFERROR(__xludf.DUMMYFUNCTION("""COMPUTED_VALUE"""),"Kaločai Rudolf")</f>
        <v>Kaločai Rudolf</v>
      </c>
      <c r="E97" s="195" t="str">
        <f>IFERROR(__xludf.DUMMYFUNCTION("""COMPUTED_VALUE"""),"Bolevec")</f>
        <v>Bolevec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IFERROR(__xludf.DUMMYFUNCTION("""COMPUTED_VALUE"""),140.0)</f>
        <v>140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IFERROR(__xludf.DUMMYFUNCTION("""COMPUTED_VALUE"""),"Dušek Sam")</f>
        <v>Dušek Sam</v>
      </c>
      <c r="E98" s="195" t="str">
        <f>IFERROR(__xludf.DUMMYFUNCTION("""COMPUTED_VALUE"""),"Libuš")</f>
        <v>Libuš</v>
      </c>
      <c r="F98" s="195" t="str">
        <f>IFERROR(__xludf.DUMMYFUNCTION("""COMPUTED_VALUE"""),"Malešice")</f>
        <v>Malešice</v>
      </c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IFERROR(__xludf.DUMMYFUNCTION("""COMPUTED_VALUE"""),250.20600000000002)</f>
        <v>250.206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/>
      </c>
      <c r="C99" s="195" t="b">
        <f>IFERROR(__xludf.DUMMYFUNCTION("""COMPUTED_VALUE"""),FALSE)</f>
        <v>0</v>
      </c>
      <c r="D99" s="195" t="str">
        <f>IFERROR(__xludf.DUMMYFUNCTION("""COMPUTED_VALUE"""),"Banga Adam")</f>
        <v>Banga Adam</v>
      </c>
      <c r="E99" s="195" t="str">
        <f>IFERROR(__xludf.DUMMYFUNCTION("""COMPUTED_VALUE"""),"Zličín")</f>
        <v>Zličín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IFERROR(__xludf.DUMMYFUNCTION("""COMPUTED_VALUE"""),231.474)</f>
        <v>231.474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>Vopatová Anna</v>
      </c>
      <c r="C100" s="195" t="b">
        <f>IFERROR(__xludf.DUMMYFUNCTION("""COMPUTED_VALUE"""),FALSE)</f>
        <v>0</v>
      </c>
      <c r="D100" s="195" t="str">
        <f>IFERROR(__xludf.DUMMYFUNCTION("""COMPUTED_VALUE"""),"Vopatová Anna")</f>
        <v>Vopatová Anna</v>
      </c>
      <c r="E100" s="195" t="str">
        <f>IFERROR(__xludf.DUMMYFUNCTION("""COMPUTED_VALUE"""),"Bolevec")</f>
        <v>Bolevec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IFERROR(__xludf.DUMMYFUNCTION("""COMPUTED_VALUE"""),214.08)</f>
        <v>214.08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>Vopatová Šárka</v>
      </c>
      <c r="C101" s="195" t="b">
        <f>IFERROR(__xludf.DUMMYFUNCTION("""COMPUTED_VALUE"""),FALSE)</f>
        <v>0</v>
      </c>
      <c r="D101" s="195" t="str">
        <f>IFERROR(__xludf.DUMMYFUNCTION("""COMPUTED_VALUE"""),"Vopatová Šárka")</f>
        <v>Vopatová Šárka</v>
      </c>
      <c r="E101" s="195" t="str">
        <f>IFERROR(__xludf.DUMMYFUNCTION("""COMPUTED_VALUE"""),"Bolevec")</f>
        <v>Bolevec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IFERROR(__xludf.DUMMYFUNCTION("""COMPUTED_VALUE"""),214.08)</f>
        <v>214.08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 t="str">
        <f>IFERROR(__xludf.DUMMYFUNCTION("""COMPUTED_VALUE"""),"Richterová Monika")</f>
        <v>Richterová Monika</v>
      </c>
      <c r="E102" s="195" t="str">
        <f>IFERROR(__xludf.DUMMYFUNCTION("""COMPUTED_VALUE"""),"Malešice")</f>
        <v>Malešice</v>
      </c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IFERROR(__xludf.DUMMYFUNCTION("""COMPUTED_VALUE"""),214.08)</f>
        <v>214.08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 t="str">
        <f>IFERROR(__xludf.DUMMYFUNCTION("""COMPUTED_VALUE"""),"Serin David")</f>
        <v>Serin David</v>
      </c>
      <c r="E103" s="195" t="str">
        <f>IFERROR(__xludf.DUMMYFUNCTION("""COMPUTED_VALUE"""),"Libuš")</f>
        <v>Libuš</v>
      </c>
      <c r="F103" s="195" t="str">
        <f>IFERROR(__xludf.DUMMYFUNCTION("""COMPUTED_VALUE"""),"Malešice")</f>
        <v>Malešice</v>
      </c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IFERROR(__xludf.DUMMYFUNCTION("""COMPUTED_VALUE"""),250.20600000000002)</f>
        <v>250.206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IFERROR(__xludf.DUMMYFUNCTION("""COMPUTED_VALUE"""),"Fabera Tomáš")</f>
        <v>Fabera Tomáš</v>
      </c>
      <c r="E104" s="195" t="str">
        <f>IFERROR(__xludf.DUMMYFUNCTION("""COMPUTED_VALUE"""),"Chodov")</f>
        <v>Chodov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IFERROR(__xludf.DUMMYFUNCTION("""COMPUTED_VALUE"""),"Hendrych Rostislav")</f>
        <v>Hendrych Rostislav</v>
      </c>
      <c r="E105" s="195" t="str">
        <f>IFERROR(__xludf.DUMMYFUNCTION("""COMPUTED_VALUE"""),"Malešice")</f>
        <v>Malešice</v>
      </c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IFERROR(__xludf.DUMMYFUNCTION("""COMPUTED_VALUE"""),250.20600000000002)</f>
        <v>250.206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>Světlík František</v>
      </c>
      <c r="C106" s="195" t="b">
        <f>IFERROR(__xludf.DUMMYFUNCTION("""COMPUTED_VALUE"""),FALSE)</f>
        <v>0</v>
      </c>
      <c r="D106" s="195" t="str">
        <f>IFERROR(__xludf.DUMMYFUNCTION("""COMPUTED_VALUE"""),"Světlík František")</f>
        <v>Světlík František</v>
      </c>
      <c r="E106" s="195" t="str">
        <f>IFERROR(__xludf.DUMMYFUNCTION("""COMPUTED_VALUE"""),"Bolevec")</f>
        <v>Bolevec</v>
      </c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IFERROR(__xludf.DUMMYFUNCTION("""COMPUTED_VALUE"""),214.08)</f>
        <v>214.08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Ženíšek Lukáš</v>
      </c>
      <c r="C107" s="195" t="b">
        <f>IFERROR(__xludf.DUMMYFUNCTION("""COMPUTED_VALUE"""),FALSE)</f>
        <v>0</v>
      </c>
      <c r="D107" s="195" t="str">
        <f>IFERROR(__xludf.DUMMYFUNCTION("""COMPUTED_VALUE"""),"Ženíšek Lukáš")</f>
        <v>Ženíšek Lukáš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IFERROR(__xludf.DUMMYFUNCTION("""COMPUTED_VALUE"""),214.08)</f>
        <v>214.08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>Roth Stanislav st.</v>
      </c>
      <c r="C108" s="195" t="b">
        <f>IFERROR(__xludf.DUMMYFUNCTION("""COMPUTED_VALUE"""),FALSE)</f>
        <v>0</v>
      </c>
      <c r="D108" s="195" t="str">
        <f>IFERROR(__xludf.DUMMYFUNCTION("""COMPUTED_VALUE"""),"Roth Stanislav st.")</f>
        <v>Roth Stanislav st.</v>
      </c>
      <c r="E108" s="195" t="str">
        <f>IFERROR(__xludf.DUMMYFUNCTION("""COMPUTED_VALUE"""),"Bolevec")</f>
        <v>Bolevec</v>
      </c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IFERROR(__xludf.DUMMYFUNCTION("""COMPUTED_VALUE"""),49506.0)</f>
        <v>49506</v>
      </c>
      <c r="W108" s="198">
        <f>IFERROR(__xludf.DUMMYFUNCTION("""COMPUTED_VALUE"""),1596.967741935484)</f>
        <v>1596.967742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IFERROR(__xludf.DUMMYFUNCTION("""COMPUTED_VALUE"""),"Vaníková Anna")</f>
        <v>Vaníková Anna</v>
      </c>
      <c r="E109" s="195" t="str">
        <f>IFERROR(__xludf.DUMMYFUNCTION("""COMPUTED_VALUE"""),"Zličín")</f>
        <v>Zličín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IFERROR(__xludf.DUMMYFUNCTION("""COMPUTED_VALUE"""),250.20600000000002)</f>
        <v>250.206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IFERROR(__xludf.DUMMYFUNCTION("""COMPUTED_VALUE"""),"Břicháč Pavel")</f>
        <v>Břicháč Pavel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IFERROR(__xludf.DUMMYFUNCTION("""COMPUTED_VALUE"""),231.474)</f>
        <v>231.474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IFERROR(__xludf.DUMMYFUNCTION("""COMPUTED_VALUE"""),"Čerešňák Michal")</f>
        <v>Čerešňák Michal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IFERROR(__xludf.DUMMYFUNCTION("""COMPUTED_VALUE"""),170.0)</f>
        <v>170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/>
      </c>
      <c r="C112" s="195" t="b">
        <f>IFERROR(__xludf.DUMMYFUNCTION("""COMPUTED_VALUE"""),FALSE)</f>
        <v>0</v>
      </c>
      <c r="D112" s="195" t="str">
        <f>IFERROR(__xludf.DUMMYFUNCTION("""COMPUTED_VALUE"""),"Weindling Josef")</f>
        <v>Weindling Josef</v>
      </c>
      <c r="E112" s="195" t="str">
        <f>IFERROR(__xludf.DUMMYFUNCTION("""COMPUTED_VALUE"""),"Libuš")</f>
        <v>Libuš</v>
      </c>
      <c r="F112" s="195" t="str">
        <f>IFERROR(__xludf.DUMMYFUNCTION("""COMPUTED_VALUE"""),"Malešice")</f>
        <v>Malešice</v>
      </c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IFERROR(__xludf.DUMMYFUNCTION("""COMPUTED_VALUE"""),231.474)</f>
        <v>231.474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/>
      </c>
      <c r="C113" s="195" t="b">
        <f>IFERROR(__xludf.DUMMYFUNCTION("""COMPUTED_VALUE"""),FALSE)</f>
        <v>0</v>
      </c>
      <c r="D113" s="195" t="str">
        <f>IFERROR(__xludf.DUMMYFUNCTION("""COMPUTED_VALUE"""),"Fux Vojtěch")</f>
        <v>Fux Vojtěch</v>
      </c>
      <c r="E113" s="195" t="str">
        <f>IFERROR(__xludf.DUMMYFUNCTION("""COMPUTED_VALUE"""),"Chodov")</f>
        <v>Chodov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IFERROR(__xludf.DUMMYFUNCTION("""COMPUTED_VALUE"""),200.0)</f>
        <v>200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IFERROR(__xludf.DUMMYFUNCTION("""COMPUTED_VALUE"""),"Kumar Jatinder")</f>
        <v>Kumar Jatinder</v>
      </c>
      <c r="E114" s="195" t="str">
        <f>IFERROR(__xludf.DUMMYFUNCTION("""COMPUTED_VALUE"""),"Libuš")</f>
        <v>Libuš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IFERROR(__xludf.DUMMYFUNCTION("""COMPUTED_VALUE"""),231.474)</f>
        <v>231.474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>Stehlíková Magdaléna</v>
      </c>
      <c r="C115" s="195" t="b">
        <f>IFERROR(__xludf.DUMMYFUNCTION("""COMPUTED_VALUE"""),FALSE)</f>
        <v>0</v>
      </c>
      <c r="D115" s="195" t="str">
        <f>IFERROR(__xludf.DUMMYFUNCTION("""COMPUTED_VALUE"""),"Stehlíková Magdaléna")</f>
        <v>Stehlíková Magdaléna</v>
      </c>
      <c r="E115" s="195" t="str">
        <f>IFERROR(__xludf.DUMMYFUNCTION("""COMPUTED_VALUE"""),"Bolevec")</f>
        <v>Bolevec</v>
      </c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IFERROR(__xludf.DUMMYFUNCTION("""COMPUTED_VALUE"""),214.08)</f>
        <v>214.08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IFERROR(__xludf.DUMMYFUNCTION("""COMPUTED_VALUE"""),"Dragoun Alfréd")</f>
        <v>Dragoun Alfréd</v>
      </c>
      <c r="E116" s="195" t="str">
        <f>IFERROR(__xludf.DUMMYFUNCTION("""COMPUTED_VALUE"""),"Zličín")</f>
        <v>Zličín</v>
      </c>
      <c r="F116" s="195" t="str">
        <f>IFERROR(__xludf.DUMMYFUNCTION("""COMPUTED_VALUE"""),"Malešice")</f>
        <v>Malešice</v>
      </c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IFERROR(__xludf.DUMMYFUNCTION("""COMPUTED_VALUE"""),250.20600000000002)</f>
        <v>250.206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IFERROR(__xludf.DUMMYFUNCTION("""COMPUTED_VALUE"""),0.0)</f>
        <v>0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/>
      </c>
      <c r="C119" s="195" t="b">
        <f>IFERROR(__xludf.DUMMYFUNCTION("""COMPUTED_VALUE"""),FALSE)</f>
        <v>0</v>
      </c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IFERROR(__xludf.DUMMYFUNCTION("""COMPUTED_VALUE"""),0.0)</f>
        <v>0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/>
      </c>
      <c r="C120" s="195" t="b">
        <f>IFERROR(__xludf.DUMMYFUNCTION("""COMPUTED_VALUE"""),FALSE)</f>
        <v>0</v>
      </c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IFERROR(__xludf.DUMMYFUNCTION("""COMPUTED_VALUE"""),0.0)</f>
        <v>0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IFERROR(__xludf.DUMMYFUNCTION("""COMPUTED_VALUE"""),0.0)</f>
        <v>0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/>
      </c>
      <c r="C122" s="195" t="b">
        <f>IFERROR(__xludf.DUMMYFUNCTION("""COMPUTED_VALUE"""),FALSE)</f>
        <v>0</v>
      </c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IFERROR(__xludf.DUMMYFUNCTION("""COMPUTED_VALUE"""),0.0)</f>
        <v>0</v>
      </c>
      <c r="W122" s="198">
        <f>IFERROR(__xludf.DUMMYFUNCTION("""COMPUTED_VALUE"""),0.0)</f>
        <v>0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IFERROR(__xludf.DUMMYFUNCTION("""COMPUTED_VALUE"""),0.0)</f>
        <v>0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IFERROR(__xludf.DUMMYFUNCTION("""COMPUTED_VALUE"""),0.0)</f>
        <v>0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 t="str">
        <f>IFERROR(__xludf.DUMMYFUNCTION("""COMPUTED_VALUE"""),"Chodov")</f>
        <v>Chodov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IFERROR(__xludf.DUMMYFUNCTION("""COMPUTED_VALUE"""),0.0)</f>
        <v>0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2590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2591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2592</v>
      </c>
      <c r="B3" s="1" t="s">
        <v>2593</v>
      </c>
      <c r="C3" s="1" t="s">
        <v>2594</v>
      </c>
      <c r="D3" s="1" t="s">
        <v>2595</v>
      </c>
      <c r="E3" s="1" t="s">
        <v>2596</v>
      </c>
      <c r="F3" s="1" t="s">
        <v>2594</v>
      </c>
      <c r="G3" s="192"/>
    </row>
    <row r="4">
      <c r="A4" s="1" t="s">
        <v>2597</v>
      </c>
      <c r="B4" s="1" t="s">
        <v>2596</v>
      </c>
      <c r="C4" s="1" t="s">
        <v>2598</v>
      </c>
      <c r="E4" s="1" t="s">
        <v>2595</v>
      </c>
      <c r="F4" s="192"/>
      <c r="G4" s="1" t="s">
        <v>2594</v>
      </c>
      <c r="H4" s="1" t="s">
        <v>2599</v>
      </c>
    </row>
    <row r="5">
      <c r="A5" s="1" t="s">
        <v>2600</v>
      </c>
      <c r="B5" s="1" t="s">
        <v>2601</v>
      </c>
      <c r="D5" s="1" t="s">
        <v>2601</v>
      </c>
      <c r="E5" s="1" t="s">
        <v>2601</v>
      </c>
      <c r="F5" s="1" t="s">
        <v>2601</v>
      </c>
      <c r="G5" s="1" t="s">
        <v>2601</v>
      </c>
      <c r="H5" s="192"/>
    </row>
    <row r="6">
      <c r="A6" s="1" t="s">
        <v>2602</v>
      </c>
      <c r="B6" s="1" t="s">
        <v>2603</v>
      </c>
      <c r="C6" s="1" t="s">
        <v>2604</v>
      </c>
      <c r="D6" s="1" t="s">
        <v>2596</v>
      </c>
      <c r="F6" s="192"/>
      <c r="G6" s="1" t="s">
        <v>2605</v>
      </c>
      <c r="H6" s="1" t="s">
        <v>2596</v>
      </c>
    </row>
    <row r="7">
      <c r="A7" s="1" t="s">
        <v>2606</v>
      </c>
      <c r="B7" s="192"/>
      <c r="C7" s="1" t="s">
        <v>2596</v>
      </c>
      <c r="D7" s="192"/>
      <c r="F7" s="1" t="s">
        <v>2605</v>
      </c>
      <c r="G7" s="1" t="s">
        <v>2605</v>
      </c>
    </row>
    <row r="8">
      <c r="A8" s="1" t="s">
        <v>2607</v>
      </c>
      <c r="B8" s="192"/>
      <c r="C8" s="1" t="s">
        <v>2608</v>
      </c>
      <c r="D8" s="1" t="s">
        <v>2608</v>
      </c>
      <c r="E8" s="192"/>
      <c r="F8" s="1" t="s">
        <v>2609</v>
      </c>
      <c r="G8" s="1" t="s">
        <v>2610</v>
      </c>
    </row>
    <row r="9">
      <c r="A9" s="1" t="s">
        <v>2611</v>
      </c>
      <c r="C9" s="192"/>
      <c r="D9" s="192"/>
      <c r="F9" s="192"/>
      <c r="G9" s="1" t="s">
        <v>2608</v>
      </c>
      <c r="H9" s="1" t="s">
        <v>2612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2613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2614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2615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2616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2617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2618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2619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2620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2621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2622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2623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2624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2625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2626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2627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2628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2629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2630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2631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2632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2633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2634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2635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2636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2637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2638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2639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2640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2641</v>
      </c>
      <c r="AB138" s="1">
        <v>-10.0</v>
      </c>
    </row>
  </sheetData>
  <mergeCells count="1">
    <mergeCell ref="A1:H1"/>
  </mergeCells>
  <drawing r:id="rId1"/>
</worksheet>
</file>