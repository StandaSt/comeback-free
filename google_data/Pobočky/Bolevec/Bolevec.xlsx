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visible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<sst xmlns="http://schemas.openxmlformats.org/spreadsheetml/2006/main" count="8960" uniqueCount="2647">
  <si>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</si>
  <si>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</si>
  <si>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</si>
  <si>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</si>
  <si>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</si>
  <si>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</si>
  <si>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</si>
  <si>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</si>
  <si>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</si>
  <si>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</si>
  <si>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</si>
  <si>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</si>
  <si>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</si>
  <si>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</si>
  <si>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</si>
  <si>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</si>
  <si>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</si>
  <si>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</si>
  <si>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</si>
  <si>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</si>
  <si>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</si>
  <si>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</si>
  <si>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</si>
  <si>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</si>
  <si>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</si>
  <si>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</si>
  <si>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</si>
  <si>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</si>
  <si>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</si>
  <si>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</si>
  <si>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</si>
  <si>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</si>
  <si>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</si>
  <si>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</si>
  <si>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</si>
  <si>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</si>
  <si>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</si>
  <si>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</si>
  <si>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</si>
  <si>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</si>
  <si>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</si>
  <si>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</si>
  <si>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</si>
  <si>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</si>
  <si>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</si>
  <si>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</si>
  <si>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</si>
  <si>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</si>
  <si>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</si>
  <si>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</si>
  <si>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</si>
  <si>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</si>
  <si>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</si>
  <si>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</si>
  <si>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</si>
  <si>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</si>
  <si>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</si>
  <si>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</si>
  <si>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</si>
  <si>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</si>
  <si>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</si>
  <si>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</si>
  <si>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</si>
  <si>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</si>
  <si>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</si>
  <si>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</si>
  <si>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</si>
  <si>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</si>
  <si>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</si>
  <si>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</si>
  <si>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</si>
  <si>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</si>
  <si>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</si>
  <si>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</si>
  <si>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</si>
  <si>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</si>
  <si>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</si>
  <si>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</si>
  <si>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</si>
  <si>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</si>
  <si>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</si>
  <si>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</si>
  <si>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</si>
  <si>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</si>
  <si>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</si>
  <si>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</si>
  <si>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</si>
  <si>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</si>
  <si>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</si>
  <si>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</si>
  <si>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</si>
  <si>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</si>
  <si>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</si>
  <si>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</si>
  <si>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</si>
  <si>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</si>
  <si>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</si>
  <si>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</si>
  <si>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</si>
  <si>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</si>
  <si>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</si>
  <si>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</si>
  <si>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</si>
  <si>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</si>
  <si>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</si>
  <si>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</si>
  <si>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</si>
  <si>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</si>
  <si>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</si>
  <si>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</si>
  <si>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</si>
  <si>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</si>
  <si>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</si>
  <si>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</si>
  <si>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</si>
  <si>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</si>
  <si>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</si>
  <si>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</si>
  <si>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</si>
  <si>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</si>
  <si>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</si>
  <si>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</si>
  <si>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</si>
  <si>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</si>
  <si>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</si>
  <si>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</si>
  <si>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</si>
  <si>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</si>
  <si>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</si>
  <si>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</si>
  <si>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</si>
  <si>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</si>
  <si>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</si>
  <si>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</si>
  <si>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</si>
  <si>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</si>
  <si>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</si>
  <si>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</si>
  <si>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</si>
  <si>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</si>
  <si>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</si>
  <si>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</si>
  <si>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</si>
  <si>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</si>
  <si>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</si>
  <si>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</si>
  <si>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</si>
  <si>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</si>
  <si>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</si>
  <si>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</si>
  <si>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</si>
  <si>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</si>
  <si>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</si>
  <si>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</si>
  <si>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</si>
  <si>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</si>
  <si>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</si>
  <si>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</si>
  <si>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</si>
  <si>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</si>
  <si>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</si>
  <si>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</si>
  <si>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</si>
  <si>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</si>
  <si>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</si>
  <si>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</si>
  <si>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</si>
  <si>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</si>
  <si>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</si>
  <si>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</si>
  <si>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</si>
  <si>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</si>
  <si>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</si>
  <si>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</si>
  <si>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</si>
  <si>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</si>
  <si>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</si>
  <si>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</si>
  <si>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</si>
  <si>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</si>
  <si>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</si>
  <si>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</si>
  <si>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</si>
  <si>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</si>
  <si>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</si>
  <si>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</si>
  <si>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</si>
  <si>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</si>
  <si>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</si>
  <si>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</si>
  <si>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</si>
  <si>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</si>
  <si>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</si>
  <si>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</si>
  <si>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</si>
  <si>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</si>
  <si>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</si>
  <si>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</si>
  <si>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</si>
  <si>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</si>
  <si>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</si>
  <si>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</si>
  <si>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</si>
  <si>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</si>
  <si>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</si>
  <si>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</si>
  <si>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</si>
  <si>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</si>
  <si>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</si>
  <si>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</si>
  <si>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</si>
  <si>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</si>
  <si>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</si>
  <si>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</si>
  <si>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</si>
  <si>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</si>
  <si>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</si>
  <si>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</si>
  <si>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</si>
  <si>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</si>
  <si>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</si>
  <si>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</si>
  <si>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</si>
  <si>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</si>
  <si>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</si>
  <si>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</si>
  <si>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</si>
  <si>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</si>
  <si>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</si>
  <si>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</si>
  <si>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</si>
  <si>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</si>
  <si>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</si>
  <si>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</si>
  <si>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</si>
  <si>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</si>
  <si>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</si>
  <si>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</si>
  <si>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</si>
  <si>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</si>
  <si>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</si>
  <si>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</si>
  <si>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</si>
  <si>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</si>
  <si>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</si>
  <si>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</si>
  <si>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</si>
  <si>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</si>
  <si>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</si>
  <si>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</si>
  <si>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</si>
  <si>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</si>
  <si>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</si>
  <si>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</si>
  <si>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</si>
  <si>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</si>
  <si>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</si>
  <si>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</si>
  <si>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</si>
  <si>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</si>
  <si>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</si>
  <si>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</si>
  <si>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</si>
  <si>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</si>
  <si>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</si>
  <si>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</si>
  <si>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</si>
  <si>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</si>
  <si>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</si>
  <si>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</si>
  <si>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</si>
  <si>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</si>
  <si>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</si>
  <si>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</si>
  <si>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</si>
  <si>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</si>
  <si>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</si>
  <si>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</si>
  <si>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</si>
  <si>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</si>
  <si>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</si>
  <si>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</si>
  <si>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</si>
  <si>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</si>
  <si>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</si>
  <si>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</si>
  <si>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</si>
  <si>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</si>
  <si>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</si>
  <si>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</si>
  <si>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</si>
  <si>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</si>
  <si>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</si>
  <si>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</si>
  <si>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</si>
  <si>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</si>
  <si>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</si>
  <si>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</si>
  <si>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</si>
  <si>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</si>
  <si>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</si>
  <si>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</si>
  <si>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</si>
  <si>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</si>
  <si>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</si>
  <si>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</si>
  <si>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</si>
  <si>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</si>
  <si>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</si>
  <si>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</si>
  <si>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</si>
  <si>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</si>
  <si>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</si>
  <si>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</si>
  <si>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</si>
  <si>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</si>
  <si>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</si>
  <si>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</si>
  <si>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</si>
  <si>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</si>
  <si>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</si>
  <si>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</si>
  <si>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</si>
  <si>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</si>
  <si>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</si>
  <si>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</si>
  <si>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</si>
  <si>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</si>
  <si>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</si>
  <si>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</si>
  <si>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</si>
  <si>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</si>
  <si>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</si>
  <si>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</si>
  <si>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</si>
  <si>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</si>
  <si>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</si>
  <si>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</si>
  <si>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</si>
  <si>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</si>
  <si>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</si>
  <si>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</si>
  <si>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</si>
  <si>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</si>
  <si>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</si>
  <si>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</si>
  <si>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</si>
  <si>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</si>
  <si>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</si>
  <si>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</si>
  <si>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</si>
  <si>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</si>
  <si>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</si>
  <si>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</si>
  <si>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</si>
  <si>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</si>
  <si>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</si>
  <si>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</si>
  <si>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</si>
  <si>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</si>
  <si>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</si>
  <si>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</si>
  <si>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</si>
  <si>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</si>
  <si>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</si>
  <si>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</si>
  <si>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</si>
  <si>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</si>
  <si>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</si>
  <si>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</si>
  <si>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</si>
  <si>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</si>
  <si>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</si>
  <si>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</si>
  <si>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</si>
  <si>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</si>
  <si>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</si>
  <si>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</si>
  <si>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</si>
  <si>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</si>
  <si>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</si>
  <si>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</si>
  <si>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</si>
  <si>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</si>
  <si>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</si>
  <si>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</si>
  <si>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</si>
  <si>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</si>
  <si>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</si>
  <si>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</si>
  <si>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</si>
  <si>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</si>
  <si>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</si>
  <si>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</si>
  <si>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</si>
  <si>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</si>
  <si>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</si>
  <si>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</si>
  <si>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</si>
  <si>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</si>
  <si>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</si>
  <si>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</si>
  <si>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</si>
  <si>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</si>
  <si>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</si>
  <si>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</si>
  <si>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</si>
  <si>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</si>
  <si>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</si>
  <si>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</si>
  <si>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</si>
  <si>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</si>
  <si>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</si>
  <si>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</si>
  <si>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</si>
  <si>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</si>
  <si>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</si>
  <si>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</si>
  <si>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</si>
  <si>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</si>
  <si>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</si>
  <si>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</si>
  <si>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</si>
  <si>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</si>
  <si>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</si>
  <si>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</si>
  <si>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</si>
  <si>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</si>
  <si>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</si>
  <si>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</si>
  <si>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</si>
  <si>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</si>
  <si>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</si>
  <si>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</si>
  <si>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</si>
  <si>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</si>
  <si>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</si>
  <si>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</si>
  <si>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</si>
  <si>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</si>
  <si>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</si>
  <si>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</si>
  <si>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</si>
  <si>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</si>
  <si>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</si>
  <si>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</si>
  <si>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</si>
  <si>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</si>
  <si>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</si>
  <si>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</si>
  <si>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</si>
  <si>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</si>
  <si>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</si>
  <si>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</si>
  <si>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</si>
  <si>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</si>
  <si>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</si>
  <si>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</si>
  <si>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</si>
  <si>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</si>
  <si>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</si>
  <si>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</si>
  <si>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</si>
  <si>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</si>
  <si>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</si>
  <si>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</si>
  <si>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</si>
  <si>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</si>
  <si>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</si>
  <si>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</si>
  <si>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</si>
  <si>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</si>
  <si>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</si>
  <si>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</si>
  <si>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</si>
  <si>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</si>
  <si>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</si>
  <si>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</si>
  <si>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</si>
  <si>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</si>
  <si>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</si>
  <si>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</si>
  <si>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</si>
  <si>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</si>
  <si>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</si>
  <si>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</si>
  <si>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</si>
  <si>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</si>
  <si>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</si>
  <si>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</si>
  <si>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</si>
  <si>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</si>
  <si>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</si>
  <si>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</si>
  <si>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</si>
  <si>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</si>
  <si>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</si>
  <si>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</si>
  <si>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</si>
  <si>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</si>
  <si>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</si>
  <si>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</si>
  <si>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</si>
  <si>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</si>
  <si>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</si>
  <si>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</si>
  <si>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</si>
  <si>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</si>
  <si>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</si>
  <si>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</si>
  <si>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</si>
  <si>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</si>
  <si>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</si>
  <si>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</si>
  <si>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</si>
  <si>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</si>
  <si>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</si>
  <si>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</si>
  <si>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</si>
  <si>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</si>
  <si>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</si>
  <si>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</si>
  <si>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</si>
  <si>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</si>
  <si>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</si>
  <si>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</si>
  <si>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</si>
  <si>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</si>
  <si>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</si>
  <si>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</si>
  <si>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</si>
  <si>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</si>
  <si>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</si>
  <si>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</si>
  <si>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</si>
  <si>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</si>
  <si>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</si>
  <si>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</si>
  <si>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</si>
  <si>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</si>
  <si>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</si>
  <si>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</si>
  <si>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</si>
  <si>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</si>
  <si>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</si>
  <si>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</si>
  <si>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</si>
  <si>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</si>
  <si>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</si>
  <si>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</si>
  <si>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</si>
  <si>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</si>
  <si>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</si>
  <si>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</si>
  <si>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</si>
  <si>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</si>
  <si>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</si>
  <si>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</si>
  <si>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</si>
  <si>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</si>
  <si>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</si>
  <si>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</si>
  <si>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</si>
  <si>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</si>
  <si>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</si>
  <si>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</si>
  <si>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</si>
  <si>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</si>
  <si>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</si>
  <si>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</si>
  <si>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</si>
  <si>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</si>
  <si>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</si>
  <si>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</si>
  <si>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</si>
  <si>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</si>
  <si>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</si>
  <si>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</si>
  <si>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</si>
  <si>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</si>
  <si>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</si>
  <si>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</si>
  <si>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</si>
  <si>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</si>
  <si>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</si>
  <si>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</si>
  <si>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</si>
  <si>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</si>
  <si>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</si>
  <si>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</si>
  <si>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</si>
  <si>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</si>
  <si>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</si>
  <si>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</si>
  <si>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</si>
  <si>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</si>
  <si>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</si>
  <si>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</si>
  <si>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</si>
  <si>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</si>
  <si>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</si>
  <si>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</si>
  <si>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</si>
  <si>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</si>
  <si>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</si>
  <si>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</si>
  <si>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</si>
  <si>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</si>
  <si>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</si>
  <si>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</si>
  <si>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</si>
  <si>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</si>
  <si>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</si>
  <si>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</si>
  <si>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</si>
  <si>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</si>
  <si>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</si>
  <si>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</si>
  <si>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</si>
  <si>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</si>
  <si>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</si>
  <si>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</si>
  <si>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</si>
  <si>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</si>
  <si>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</si>
  <si>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</si>
  <si>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</si>
  <si>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</si>
  <si>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</si>
  <si>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</si>
  <si>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</si>
  <si>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</si>
  <si>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</si>
  <si>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</si>
  <si>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</si>
  <si>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</si>
  <si>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</si>
  <si>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</si>
  <si>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</si>
  <si>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</si>
  <si>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</si>
  <si>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</si>
  <si>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</si>
  <si>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</si>
  <si>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</si>
  <si>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</si>
  <si>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</si>
  <si>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</si>
  <si>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</si>
  <si>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</si>
  <si>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</si>
  <si>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</si>
  <si>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</si>
  <si>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</si>
  <si>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</si>
  <si>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</si>
  <si>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</si>
  <si>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</si>
  <si>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</si>
  <si>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</si>
  <si>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</si>
  <si>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</si>
  <si>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</si>
  <si>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</si>
  <si>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</si>
  <si>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</si>
  <si>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</si>
  <si>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</si>
  <si>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</si>
  <si>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</si>
  <si>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</si>
  <si>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</si>
  <si>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</si>
  <si>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</si>
  <si>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</si>
  <si>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</si>
  <si>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</si>
  <si>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</si>
  <si>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</si>
  <si>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</si>
  <si>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</si>
  <si>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</si>
  <si>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</si>
  <si>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</si>
  <si>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</si>
  <si>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</si>
  <si>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</si>
  <si>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</si>
  <si>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</si>
  <si>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</si>
  <si>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</si>
  <si>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</si>
  <si>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</si>
  <si>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</si>
  <si>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</si>
  <si>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</si>
  <si>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</si>
  <si>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</si>
  <si>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</si>
  <si>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</si>
  <si>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</si>
  <si>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</si>
  <si>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</si>
  <si>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</si>
  <si>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</si>
  <si>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</si>
  <si>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</si>
  <si>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</si>
  <si>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</si>
  <si>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</si>
  <si>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</si>
  <si>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</si>
  <si>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</si>
  <si>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</si>
  <si>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</si>
  <si>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</si>
  <si>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</si>
  <si>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</si>
  <si>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</si>
  <si>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</si>
  <si>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</si>
  <si>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</si>
  <si>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</si>
  <si>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</si>
  <si>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</si>
  <si>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</si>
  <si>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</si>
  <si>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</si>
  <si>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</si>
  <si>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</si>
  <si>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</si>
  <si>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</si>
  <si>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</si>
  <si>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</si>
  <si>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</si>
  <si>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</si>
  <si>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</si>
  <si>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</si>
  <si>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</si>
  <si>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</si>
  <si>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</si>
  <si>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</si>
  <si>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</si>
  <si>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</si>
  <si>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</si>
  <si>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</si>
  <si>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</si>
  <si>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</si>
  <si>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</si>
  <si>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</si>
  <si>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</si>
  <si>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</si>
  <si>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</si>
  <si>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</si>
  <si>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</si>
  <si>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</si>
  <si>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</si>
  <si>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</si>
  <si>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</si>
  <si>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</si>
  <si>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</si>
  <si>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</si>
  <si>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</si>
  <si>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</si>
  <si>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</si>
  <si>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</si>
  <si>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</si>
  <si>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</si>
  <si>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</si>
  <si>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</si>
  <si>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</si>
  <si>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</si>
  <si>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</si>
  <si>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</si>
  <si>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</si>
  <si>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</si>
  <si>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</si>
  <si>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</si>
  <si>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</si>
  <si>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</si>
  <si>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</si>
  <si>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</si>
  <si>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</si>
  <si>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</si>
  <si>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</si>
  <si>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</si>
  <si>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</si>
  <si>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</si>
  <si>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</si>
  <si>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</si>
  <si>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</si>
  <si>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</si>
  <si>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</si>
  <si>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</si>
  <si>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</si>
  <si>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</si>
  <si>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</si>
  <si>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</si>
  <si>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</si>
  <si>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</si>
  <si>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</si>
  <si>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</si>
  <si>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</si>
  <si>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</si>
  <si>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</si>
  <si>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</si>
  <si>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</si>
  <si>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</si>
  <si>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</si>
  <si>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</si>
  <si>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</si>
  <si>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</si>
  <si>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</si>
  <si>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</si>
  <si>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</si>
  <si>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</si>
  <si>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</si>
  <si>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</si>
  <si>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</si>
  <si>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</si>
  <si>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</si>
  <si>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</si>
  <si>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</si>
  <si>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</si>
  <si>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</si>
  <si>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</si>
  <si>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</si>
  <si>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</si>
  <si>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</si>
  <si>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</si>
  <si>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</si>
  <si>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</si>
  <si>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</si>
  <si>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</si>
  <si>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</si>
  <si>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</si>
  <si>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</si>
  <si>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</si>
  <si>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</si>
  <si>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</si>
  <si>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</si>
  <si>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</si>
  <si>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</si>
  <si>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</si>
  <si>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</si>
  <si>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</si>
  <si>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</si>
  <si>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</si>
  <si>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</si>
  <si>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</si>
  <si>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</si>
  <si>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</si>
  <si>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</si>
  <si>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</si>
  <si>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</si>
  <si>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</si>
  <si>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</si>
  <si>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</si>
  <si>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</si>
  <si>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</si>
  <si>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</si>
  <si>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</si>
  <si>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</si>
  <si>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</si>
  <si>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</si>
  <si>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</si>
  <si>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</si>
  <si>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</si>
  <si>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</si>
  <si>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</si>
  <si>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</si>
  <si>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</si>
  <si>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</si>
  <si>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</si>
  <si>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</si>
  <si>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</si>
  <si>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</si>
  <si>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</si>
  <si>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</si>
  <si>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</si>
  <si>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</si>
  <si>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</si>
  <si>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</si>
  <si>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</si>
  <si>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</si>
  <si>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</si>
  <si>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</si>
  <si>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</si>
  <si>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</si>
  <si>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</si>
  <si>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</si>
  <si>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</si>
  <si>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</si>
  <si>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</si>
  <si>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</si>
  <si>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</si>
  <si>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</si>
  <si>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</si>
  <si>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</si>
  <si>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</si>
  <si>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</si>
  <si>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</si>
  <si>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</si>
  <si>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</si>
  <si>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</si>
  <si>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</si>
  <si>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</si>
  <si>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</si>
  <si>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</si>
  <si>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</si>
  <si>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</si>
  <si>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</si>
  <si>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</si>
  <si>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</si>
  <si>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</si>
  <si>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</si>
  <si>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</si>
  <si>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</si>
  <si>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</si>
  <si>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</si>
  <si>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</si>
  <si>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</si>
  <si>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</si>
  <si>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</si>
  <si>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</si>
  <si>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</si>
  <si>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</si>
  <si>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</si>
  <si>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</si>
  <si>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</si>
  <si>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</si>
  <si>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</si>
  <si>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</si>
  <si>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</si>
  <si>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</si>
  <si>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</si>
  <si>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</si>
  <si>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</si>
  <si>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</si>
  <si>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</si>
  <si>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</si>
  <si>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</si>
  <si>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</si>
  <si>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</si>
  <si>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</si>
  <si>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</si>
  <si>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</si>
  <si>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</si>
  <si>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</si>
  <si>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</si>
  <si>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</si>
  <si>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</si>
  <si>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</si>
  <si>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</si>
  <si>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</si>
  <si>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</si>
  <si>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</si>
  <si>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</si>
  <si>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</si>
  <si>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</si>
  <si>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</si>
  <si>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</si>
  <si>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</si>
  <si>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</si>
  <si>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</si>
  <si>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</si>
  <si>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</si>
  <si>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</si>
  <si>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</si>
  <si>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</si>
  <si>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</si>
  <si>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</si>
  <si>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</si>
  <si>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</si>
  <si>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</si>
  <si>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</si>
  <si>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</si>
  <si>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</si>
  <si>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</si>
  <si>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</si>
  <si>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</si>
  <si>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</si>
  <si>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</si>
  <si>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</si>
  <si>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</si>
  <si>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</si>
  <si>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</si>
  <si>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</si>
  <si>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</si>
  <si>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</si>
  <si>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</si>
  <si>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</si>
  <si>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</si>
  <si>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</si>
  <si>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</si>
  <si>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</si>
  <si>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</si>
  <si>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</si>
  <si>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</si>
  <si>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</si>
  <si>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</si>
  <si>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</si>
  <si>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</si>
  <si>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</si>
  <si>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</si>
  <si>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</si>
  <si>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</si>
  <si>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</si>
  <si>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</si>
  <si>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</si>
  <si>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</si>
  <si>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</si>
  <si>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</si>
  <si>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</si>
  <si>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</si>
  <si>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</si>
  <si>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</si>
  <si>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</si>
  <si>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</si>
  <si>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</si>
  <si>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</si>
  <si>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</si>
  <si>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</si>
  <si>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</si>
  <si>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</si>
  <si>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</si>
  <si>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</si>
  <si>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</si>
  <si>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</si>
  <si>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</si>
  <si>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</si>
  <si>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</si>
  <si>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</si>
  <si>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</si>
  <si>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</si>
  <si>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</si>
  <si>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</si>
  <si>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</si>
  <si>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</si>
  <si>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</si>
  <si>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</si>
  <si>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</si>
  <si>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</si>
  <si>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</si>
  <si>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</si>
  <si>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</si>
  <si>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</si>
  <si>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</si>
  <si>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</si>
  <si>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</si>
  <si>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</si>
  <si>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</si>
  <si>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</si>
  <si>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</si>
  <si>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</si>
  <si>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</si>
  <si>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</si>
  <si>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</si>
  <si>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</si>
  <si>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</si>
  <si>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</si>
  <si>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</si>
  <si>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</si>
  <si>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</si>
  <si>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</si>
  <si>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</si>
  <si>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</si>
  <si>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</si>
  <si>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</si>
  <si>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</si>
  <si>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</si>
  <si>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</si>
  <si>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</si>
  <si>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</si>
  <si>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</si>
  <si>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</si>
  <si>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</si>
  <si>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</si>
  <si>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</si>
  <si>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</si>
  <si>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</si>
  <si>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</si>
  <si>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</si>
  <si>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</si>
  <si>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</si>
  <si>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</si>
  <si>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</si>
  <si>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</si>
  <si>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</si>
  <si>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</si>
  <si>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</si>
  <si>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</si>
  <si>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</si>
  <si>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</si>
  <si>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</si>
  <si>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</si>
  <si>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</si>
  <si>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</si>
  <si>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</si>
  <si>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</si>
  <si>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</si>
  <si>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</si>
  <si>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</si>
  <si>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</si>
  <si>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</si>
  <si>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</si>
  <si>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</si>
  <si>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</si>
  <si>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</si>
  <si>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</si>
  <si>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</si>
  <si>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</si>
  <si>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</si>
  <si>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</si>
  <si>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</si>
  <si>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</si>
  <si>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</si>
  <si>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</si>
  <si>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</si>
  <si>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</si>
  <si>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</si>
  <si>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</si>
  <si>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</si>
  <si>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</si>
  <si>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</si>
  <si>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</si>
  <si>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</si>
  <si>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</si>
  <si>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</si>
  <si>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</si>
  <si>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</si>
  <si>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</si>
  <si>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</si>
  <si>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</si>
  <si>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</si>
  <si>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</si>
  <si>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</si>
  <si>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</si>
  <si>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</si>
  <si>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</si>
  <si>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</si>
  <si>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</si>
  <si>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</si>
  <si>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</si>
  <si>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</si>
  <si>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</si>
  <si>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</si>
  <si>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</si>
  <si>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</si>
  <si>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</si>
  <si>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</si>
  <si>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</si>
  <si>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</si>
  <si>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</si>
  <si>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</si>
  <si>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</si>
  <si>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</si>
  <si>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</si>
  <si>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</si>
  <si>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</si>
  <si>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</si>
  <si>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</si>
  <si>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</si>
  <si>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</si>
  <si>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</si>
  <si>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</si>
  <si>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</si>
  <si>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</si>
  <si>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</si>
  <si>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</si>
  <si>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</si>
  <si>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</si>
  <si>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</si>
  <si>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</si>
  <si>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</si>
  <si>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</si>
  <si>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</si>
  <si>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</si>
  <si>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</si>
  <si>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</si>
  <si>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</si>
  <si>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</si>
  <si>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</si>
  <si>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</si>
  <si>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</si>
  <si>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</si>
  <si>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</si>
  <si>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</si>
  <si>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</si>
  <si>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</si>
  <si>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</si>
  <si>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</si>
  <si>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</si>
  <si>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</si>
  <si>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</si>
  <si>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</si>
  <si>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</si>
  <si>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</si>
  <si>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</si>
  <si>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</si>
  <si>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</si>
  <si>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</si>
  <si>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</si>
  <si>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</si>
  <si>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</si>
  <si>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</si>
  <si>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</si>
  <si>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</si>
  <si>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</si>
  <si>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</si>
  <si>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</si>
  <si>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</si>
  <si>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</si>
  <si>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</si>
  <si>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</si>
  <si>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</si>
  <si>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</si>
  <si>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</si>
  <si>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</si>
  <si>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</si>
  <si>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</si>
  <si>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</si>
  <si>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</si>
  <si>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</si>
  <si>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</si>
  <si>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</si>
  <si>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</si>
  <si>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</si>
  <si>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</si>
  <si>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</si>
  <si>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</si>
  <si>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</si>
  <si>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</si>
  <si>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</si>
  <si>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</si>
  <si>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</si>
  <si>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</si>
  <si>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</si>
  <si>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</si>
  <si>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</si>
  <si>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</si>
  <si>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</si>
  <si>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</si>
  <si>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</si>
  <si>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</si>
  <si>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</si>
  <si>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</si>
  <si>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</si>
  <si>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</si>
  <si>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</si>
  <si>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</si>
  <si>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</si>
  <si>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</si>
  <si>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</si>
  <si>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</si>
  <si>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</si>
  <si>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</si>
  <si>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</si>
  <si>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</si>
  <si>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</si>
  <si>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</si>
  <si>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</si>
  <si>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</si>
  <si>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</si>
  <si>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</si>
  <si>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</si>
  <si>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</si>
  <si>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</si>
  <si>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</si>
  <si>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</si>
  <si>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</si>
  <si>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</si>
  <si>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</si>
  <si>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</si>
  <si>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</si>
  <si>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</si>
  <si>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</si>
  <si>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</si>
  <si>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</si>
  <si>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</si>
  <si>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</si>
  <si>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</si>
  <si>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</si>
  <si>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</si>
  <si>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</si>
  <si>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</si>
  <si>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</si>
  <si>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</si>
  <si>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</si>
  <si>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</si>
  <si>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</si>
  <si>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</si>
  <si>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</si>
  <si>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</si>
  <si>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</si>
  <si>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</si>
  <si>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</si>
  <si>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</si>
  <si>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</si>
  <si>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</si>
  <si>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</si>
  <si>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</si>
  <si>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</si>
  <si>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</si>
  <si>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</si>
  <si>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</si>
  <si>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</si>
  <si>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</si>
  <si>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</si>
  <si>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</si>
  <si>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</si>
  <si>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</si>
  <si>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</si>
  <si>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</si>
  <si>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</si>
  <si>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</si>
  <si>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</si>
  <si>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</si>
  <si>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</si>
  <si>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</si>
  <si>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</si>
  <si>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</si>
  <si>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</si>
  <si>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</si>
  <si>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</si>
  <si>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</si>
  <si>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</si>
  <si>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</si>
  <si>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</si>
  <si>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</si>
  <si>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</si>
  <si>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</si>
  <si>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</si>
  <si>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</si>
  <si>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</si>
  <si>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</si>
  <si>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</si>
  <si>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</si>
  <si>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</si>
  <si>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</si>
  <si>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</si>
  <si>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</si>
  <si>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</si>
  <si>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</si>
  <si>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</si>
  <si>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</si>
  <si>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</si>
  <si>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</si>
  <si>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</si>
  <si>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</si>
  <si>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</si>
  <si>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</si>
  <si>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</si>
  <si>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</si>
  <si>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</si>
  <si>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</si>
  <si>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</si>
  <si>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</si>
  <si>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</si>
  <si>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</si>
  <si>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</si>
  <si>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</si>
  <si>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</si>
  <si>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</si>
  <si>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</si>
  <si>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</si>
  <si>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</si>
  <si>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</si>
  <si>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</si>
  <si>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</si>
  <si>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</si>
  <si>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</si>
  <si>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</si>
  <si>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</si>
  <si>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</si>
  <si>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</si>
  <si>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</si>
  <si>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</si>
  <si>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</si>
  <si>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</si>
  <si>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</si>
  <si>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</si>
  <si>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</si>
  <si>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</si>
  <si>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</si>
  <si>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</si>
  <si>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</si>
  <si>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</si>
  <si>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</si>
  <si>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</si>
  <si>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</si>
  <si>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</si>
  <si>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</si>
  <si>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</si>
  <si>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</si>
  <si>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</si>
  <si>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</si>
  <si>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</si>
  <si>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</si>
  <si>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</si>
  <si>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</si>
  <si>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</si>
  <si>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</si>
  <si>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</si>
  <si>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</si>
  <si>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</si>
  <si>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</si>
  <si>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</si>
  <si>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</si>
  <si>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</si>
  <si>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</si>
  <si>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</si>
  <si>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</si>
  <si>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</si>
  <si>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</si>
  <si>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</si>
  <si>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</si>
  <si>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</si>
  <si>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</si>
  <si>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</si>
  <si>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</si>
  <si>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</si>
  <si>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</si>
  <si>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</si>
  <si>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</si>
  <si>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</si>
  <si>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</si>
  <si>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</si>
  <si>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</si>
  <si>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</si>
  <si>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</si>
  <si>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</si>
  <si>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</si>
  <si>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</si>
  <si>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</si>
  <si>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</si>
  <si>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</si>
  <si>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</si>
  <si>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</si>
  <si>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</si>
  <si>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</si>
  <si>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</si>
  <si>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</si>
  <si>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</si>
  <si>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</si>
  <si>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</si>
  <si>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</si>
  <si>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</si>
  <si>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</si>
  <si>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</si>
  <si>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</si>
  <si>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</si>
  <si>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</si>
  <si>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</si>
  <si>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</si>
  <si>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</si>
  <si>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</si>
  <si>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</si>
  <si>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</si>
  <si>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</si>
  <si>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</si>
  <si>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</si>
  <si>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</si>
  <si>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</si>
  <si>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</si>
  <si>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</si>
  <si>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</si>
  <si>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</si>
  <si>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</si>
  <si>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</si>
  <si>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</si>
  <si>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</si>
  <si>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</si>
  <si>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</si>
  <si>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</si>
  <si>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</si>
  <si>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</si>
  <si>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</si>
  <si>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</si>
  <si>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</si>
  <si>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</si>
  <si>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</si>
  <si>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</si>
  <si>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</si>
  <si>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</si>
  <si>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</si>
  <si>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</si>
  <si>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</si>
  <si>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</si>
  <si>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</si>
  <si>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</si>
  <si>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</si>
  <si>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</si>
  <si>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</si>
  <si>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</si>
  <si>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</si>
  <si>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</si>
  <si>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</si>
  <si>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</si>
  <si>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</si>
  <si>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</si>
  <si>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</si>
  <si>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</si>
  <si>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</si>
  <si>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</si>
  <si>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</si>
  <si>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</si>
  <si>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</si>
  <si>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</si>
  <si>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</si>
  <si>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</si>
  <si>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</si>
  <si>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</si>
  <si>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</si>
  <si>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</si>
  <si>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</si>
  <si>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</si>
  <si>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</si>
  <si>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</si>
  <si>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</si>
  <si>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</si>
  <si>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</si>
  <si>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</si>
  <si>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</si>
  <si>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</si>
  <si>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</si>
  <si>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</si>
  <si>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</si>
  <si>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</si>
  <si>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</si>
  <si>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</si>
  <si>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</si>
  <si>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</si>
  <si>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</si>
  <si>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</si>
  <si>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</si>
  <si>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</si>
  <si>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</si>
  <si>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</si>
  <si>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</si>
  <si>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</si>
  <si>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</si>
  <si>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</si>
  <si>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</si>
  <si>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</si>
  <si>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</si>
  <si>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</si>
  <si>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</si>
  <si>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</si>
  <si>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</si>
  <si>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</si>
  <si>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</si>
  <si>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</si>
  <si>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</si>
  <si>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</si>
  <si>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</si>
  <si>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</si>
  <si>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</si>
  <si>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</si>
  <si>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</si>
  <si>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</si>
  <si>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</si>
  <si>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</si>
  <si>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</si>
  <si>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</si>
  <si>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</si>
  <si>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</si>
  <si>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</si>
  <si>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</si>
  <si>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</si>
  <si>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</si>
  <si>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</si>
  <si>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</si>
  <si>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</si>
  <si>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</si>
  <si>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</si>
  <si>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</si>
  <si>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</si>
  <si>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</si>
  <si>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</si>
  <si>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</si>
  <si>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</si>
  <si>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</si>
  <si>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</si>
  <si>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</si>
  <si>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</si>
  <si>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</si>
  <si>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</si>
  <si>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</si>
  <si>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</si>
  <si>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</si>
  <si>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</si>
  <si>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</si>
  <si>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</si>
  <si>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</si>
  <si>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</si>
  <si>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</si>
  <si>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</si>
  <si>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</si>
  <si>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</si>
  <si>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</si>
  <si>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</si>
  <si>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</si>
  <si>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</si>
  <si>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</si>
  <si>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</si>
  <si>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</si>
  <si>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</si>
  <si>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</si>
  <si>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</si>
  <si>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</si>
  <si>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</si>
  <si>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</si>
  <si>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</si>
  <si>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</si>
  <si>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</si>
  <si>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</si>
  <si>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</si>
  <si>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</si>
  <si>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</si>
  <si>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</si>
  <si>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</si>
  <si>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</si>
  <si>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</si>
  <si>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</si>
  <si>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</si>
  <si>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</si>
  <si>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</si>
  <si>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</si>
  <si>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</si>
  <si>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</si>
  <si>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</si>
  <si>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</si>
  <si>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</si>
  <si>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</si>
  <si>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</si>
  <si>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</si>
  <si>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</si>
  <si>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</si>
  <si>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</si>
  <si>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</si>
  <si>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</si>
  <si>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</si>
  <si>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</si>
  <si>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</si>
  <si>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</si>
  <si>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</si>
  <si>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</si>
  <si>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</si>
  <si>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</si>
  <si>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</si>
  <si>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</si>
  <si>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</si>
  <si>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</si>
  <si>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</si>
  <si>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</si>
  <si>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</si>
  <si>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</si>
  <si>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</si>
  <si>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</si>
  <si>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</si>
  <si>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</si>
  <si>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</si>
  <si>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</si>
  <si>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</si>
  <si>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</si>
  <si>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</si>
  <si>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</si>
  <si>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</si>
  <si>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</si>
  <si>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</si>
  <si>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</si>
  <si>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</si>
  <si>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</si>
  <si>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</si>
  <si>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</si>
  <si>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</si>
  <si>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</si>
  <si>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</si>
  <si>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</si>
  <si>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</si>
  <si>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</si>
  <si>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</si>
  <si>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</si>
  <si>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</si>
  <si>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</si>
  <si>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</si>
  <si>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</si>
  <si>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</si>
  <si>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</si>
  <si>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</si>
  <si>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</si>
  <si>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</si>
  <si>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</si>
  <si>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</si>
  <si>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</si>
  <si>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</si>
  <si>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</si>
  <si>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</si>
  <si>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</si>
  <si>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</si>
  <si>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</si>
  <si>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</si>
  <si>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</si>
  <si>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</si>
  <si>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</si>
  <si>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</si>
  <si>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</si>
  <si>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</si>
  <si>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</si>
  <si>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</si>
  <si>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</si>
  <si>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</si>
  <si>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</si>
  <si>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</si>
  <si>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</si>
  <si>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</si>
  <si>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</si>
  <si>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</si>
  <si>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</si>
  <si>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</si>
  <si>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</si>
  <si>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</si>
  <si>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</si>
  <si>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</si>
  <si>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</si>
  <si>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</si>
  <si>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</si>
  <si>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</si>
  <si>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</si>
  <si>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</si>
  <si>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</si>
  <si>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</si>
  <si>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</si>
  <si>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</si>
  <si>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</si>
  <si>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</si>
  <si>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</si>
  <si>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</si>
  <si>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</si>
  <si>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</si>
  <si>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</si>
  <si>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</si>
  <si>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</si>
  <si>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</si>
  <si>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</si>
  <si>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</si>
  <si>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</si>
  <si>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</si>
  <si>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</si>
  <si>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</si>
  <si>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</si>
  <si>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</si>
  <si>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</si>
  <si>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</si>
  <si>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</si>
  <si>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</si>
  <si>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</si>
  <si>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</si>
  <si>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</si>
  <si>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</si>
  <si>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</si>
  <si>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</si>
  <si>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</si>
  <si>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</si>
  <si>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</si>
  <si>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</si>
  <si>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</si>
  <si>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</si>
  <si>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</si>
  <si>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</si>
  <si>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</si>
  <si>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</si>
  <si>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</si>
  <si>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</si>
  <si>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</si>
  <si>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</si>
  <si>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</si>
  <si>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</si>
  <si>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</si>
  <si>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</si>
  <si>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</si>
  <si>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</si>
  <si>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</si>
  <si>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</si>
  <si>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</si>
  <si>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</si>
  <si>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</si>
  <si>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</si>
  <si>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</si>
  <si>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</si>
  <si>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</si>
  <si>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</si>
  <si>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</si>
  <si>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</si>
  <si>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</si>
  <si>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</si>
  <si>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</si>
  <si>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</si>
  <si>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</si>
  <si>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</si>
  <si>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</si>
  <si>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</si>
  <si>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</si>
  <si>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</si>
  <si>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</si>
  <si>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</si>
  <si>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</si>
  <si>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</si>
  <si>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</si>
  <si>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</si>
  <si>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</si>
  <si>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</si>
  <si>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</si>
  <si>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</si>
  <si>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</si>
  <si>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</si>
  <si>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</si>
  <si>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</si>
  <si>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</si>
  <si>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</si>
  <si>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</si>
  <si>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</si>
  <si>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</si>
  <si>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</si>
  <si>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</si>
  <si>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</si>
  <si>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</si>
  <si>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</si>
  <si>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</si>
  <si>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</si>
  <si>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</si>
  <si>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</si>
  <si>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</si>
  <si>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</si>
  <si>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</si>
  <si>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</si>
  <si>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</si>
  <si>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</si>
  <si>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</si>
  <si>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</si>
  <si>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</si>
  <si>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</si>
  <si>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</si>
  <si>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</si>
  <si>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</si>
  <si>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</si>
  <si>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</si>
  <si>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</si>
  <si>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</si>
  <si>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</si>
  <si>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</si>
  <si>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</si>
  <si>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</si>
  <si>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</si>
  <si>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</si>
  <si>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</si>
  <si>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</si>
  <si>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</si>
  <si>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</si>
  <si>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</si>
  <si>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</si>
  <si>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</si>
  <si>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</si>
  <si>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</si>
  <si>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</si>
  <si>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</si>
  <si>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</si>
  <si>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</si>
  <si>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</si>
  <si>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</si>
  <si>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</si>
  <si>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</si>
  <si>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</si>
  <si>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</si>
  <si>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</si>
  <si>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</si>
  <si>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</si>
  <si>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</si>
  <si>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</si>
  <si>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</si>
  <si>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</si>
  <si>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</si>
  <si>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</si>
  <si>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</si>
  <si>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</si>
  <si>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</si>
  <si>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</si>
  <si>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</si>
  <si>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</si>
  <si>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</si>
  <si>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</si>
  <si>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</si>
  <si>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</si>
  <si>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</si>
  <si>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</si>
  <si>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</si>
  <si>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</si>
  <si>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</si>
  <si>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</si>
  <si>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</si>
  <si>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</si>
  <si>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</si>
  <si>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</si>
  <si>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</si>
  <si>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</si>
  <si>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</si>
  <si>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</si>
  <si>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</si>
  <si>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</si>
  <si>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</si>
  <si>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</si>
  <si>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</si>
  <si>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</si>
  <si>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</si>
  <si>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</si>
  <si>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</si>
  <si>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</si>
  <si>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</si>
  <si>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</si>
  <si>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</si>
  <si>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</si>
  <si>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</si>
  <si>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</si>
  <si>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</si>
  <si>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</si>
  <si>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</si>
  <si>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</si>
  <si>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</si>
  <si>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</si>
  <si>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</si>
  <si>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</si>
  <si>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</si>
  <si>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</si>
  <si>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</si>
  <si>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</si>
  <si>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</si>
  <si>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</si>
  <si>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</si>
  <si>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</si>
  <si>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</si>
  <si>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</si>
  <si>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</si>
  <si>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</si>
  <si>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</si>
  <si>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</si>
  <si>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</si>
  <si>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</si>
  <si>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</si>
  <si>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</si>
  <si>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</si>
  <si>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</si>
  <si>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</si>
  <si>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</si>
  <si>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</si>
  <si>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</si>
  <si>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</si>
  <si>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</si>
  <si>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</si>
  <si>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</si>
  <si>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</si>
  <si>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</si>
  <si>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</si>
  <si>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</si>
  <si>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</si>
  <si>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</si>
  <si>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</si>
  <si>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</si>
  <si>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</si>
  <si>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</si>
  <si>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</si>
  <si>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</si>
  <si>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</si>
  <si>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</si>
  <si>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</si>
  <si>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</si>
  <si>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</si>
  <si>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</si>
  <si>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</si>
  <si>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</si>
  <si>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</si>
  <si>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</si>
  <si>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</si>
  <si>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</si>
  <si>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</si>
  <si>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</si>
  <si>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</si>
  <si>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</si>
  <si>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</si>
  <si>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</si>
  <si>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</si>
  <si>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</si>
  <si>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</si>
  <si>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</si>
  <si>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</si>
  <si>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</si>
  <si>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</si>
  <si>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</si>
  <si>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</si>
  <si>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</si>
  <si>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</si>
  <si>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</si>
  <si>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</si>
  <si>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</si>
  <si>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</si>
  <si>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</si>
  <si>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</si>
  <si>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</si>
  <si>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</si>
  <si>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</si>
  <si>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</si>
  <si>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</si>
  <si>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</si>
  <si>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</si>
  <si>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</si>
  <si>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</si>
  <si>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</si>
  <si>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</si>
  <si>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</si>
  <si>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</si>
  <si>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</si>
  <si>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</si>
  <si>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</si>
  <si>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</si>
  <si>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</si>
  <si>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</si>
  <si>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</si>
  <si>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</si>
  <si>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</si>
  <si>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</si>
  <si>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</si>
  <si>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</si>
  <si>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</si>
  <si>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</si>
  <si>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</si>
  <si>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</si>
  <si>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</si>
  <si>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</si>
  <si>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</si>
  <si>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</si>
  <si>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</si>
  <si>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</si>
  <si>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</si>
  <si>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</si>
  <si>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</si>
  <si>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</si>
  <si>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</si>
  <si>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</si>
  <si>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</si>
  <si>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</si>
  <si>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</si>
  <si>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</si>
  <si>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</si>
  <si>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</si>
  <si>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</si>
  <si>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</si>
  <si>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</si>
  <si>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</si>
  <si>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</si>
  <si>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</si>
  <si>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</si>
  <si>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</si>
  <si>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</si>
  <si>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</si>
  <si>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</si>
  <si>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</si>
  <si>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</si>
  <si>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</si>
  <si>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</si>
  <si>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</si>
  <si>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</si>
  <si>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</si>
  <si>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</si>
  <si>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</si>
  <si>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</si>
  <si>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</si>
  <si>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</si>
  <si>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</si>
  <si>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</si>
  <si>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</si>
  <si>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</si>
  <si>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</si>
  <si>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</si>
  <si>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</si>
  <si>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</si>
  <si>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</si>
  <si>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</si>
  <si>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</si>
  <si>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</si>
  <si>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</si>
  <si>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</si>
  <si>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</si>
  <si>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</si>
  <si>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</si>
  <si>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</si>
  <si>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</si>
  <si>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</si>
  <si>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</si>
  <si>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</si>
  <si>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</si>
  <si>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</si>
  <si>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</si>
  <si>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</si>
  <si>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</si>
  <si>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</si>
  <si>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</si>
  <si>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</si>
  <si>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</si>
  <si>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</si>
  <si>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</si>
  <si>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</si>
  <si>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</si>
  <si>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</si>
  <si>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</si>
  <si>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</si>
  <si>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</si>
  <si>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</si>
  <si>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</si>
  <si>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</si>
  <si>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</si>
  <si>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</si>
  <si>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</si>
  <si>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</si>
  <si>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</si>
  <si>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</si>
  <si>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</si>
  <si>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</si>
  <si>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</si>
  <si>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</si>
  <si>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</si>
  <si>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</si>
  <si>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</si>
  <si>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</si>
  <si>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</si>
  <si>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</si>
  <si>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</si>
  <si>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</si>
  <si>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</si>
  <si>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</si>
  <si>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</si>
  <si>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</si>
  <si>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</si>
  <si>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</si>
  <si>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</si>
  <si>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</si>
  <si>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</si>
  <si>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</si>
  <si>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</si>
  <si>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</si>
  <si>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</si>
  <si>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</si>
  <si>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</si>
  <si>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</si>
  <si>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</si>
  <si>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</si>
  <si>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</si>
  <si>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</si>
  <si>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</si>
  <si>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</si>
  <si>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</si>
  <si>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</si>
  <si>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</si>
  <si>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</si>
  <si>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</si>
  <si>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</si>
  <si>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</si>
  <si>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</si>
  <si>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</si>
  <si>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</si>
  <si>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</si>
  <si>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</si>
  <si>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</si>
  <si>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</si>
  <si>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</si>
  <si>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</si>
  <si>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</si>
  <si>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</si>
  <si>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</si>
  <si>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</si>
  <si>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</si>
  <si>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</si>
  <si>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</si>
  <si>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</si>
  <si>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</si>
  <si>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</si>
  <si>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</si>
  <si>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</si>
  <si>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</si>
  <si>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</si>
  <si>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</si>
  <si>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</si>
  <si>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</si>
  <si>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</si>
  <si>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</si>
  <si>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</si>
  <si>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</si>
  <si>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</si>
  <si>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</si>
  <si>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</si>
  <si>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</si>
  <si>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</si>
  <si>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</si>
  <si>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</si>
  <si>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</si>
  <si>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</si>
  <si>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</si>
  <si>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</si>
  <si>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</si>
  <si>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</si>
  <si>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</si>
  <si>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</si>
  <si>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</si>
  <si>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</si>
  <si>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</si>
  <si>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</si>
  <si>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</si>
  <si>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</si>
  <si>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</si>
  <si>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</si>
  <si>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</si>
  <si>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</si>
  <si>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</si>
  <si>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</si>
  <si>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</si>
  <si>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</si>
  <si>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</si>
  <si>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</si>
  <si>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</si>
  <si>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</si>
  <si>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</si>
  <si>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</si>
  <si>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</si>
  <si>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</si>
  <si>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</si>
  <si>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</si>
  <si>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</si>
  <si>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</si>
  <si>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</si>
  <si>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</si>
  <si>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</si>
  <si>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</si>
  <si>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</si>
  <si>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</si>
  <si>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</si>
  <si>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</si>
  <si>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</si>
  <si>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</si>
  <si>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</si>
  <si>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</si>
  <si>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</si>
  <si>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</si>
  <si>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</si>
  <si>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</si>
  <si>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</si>
  <si>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</si>
  <si>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</si>
  <si>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</si>
  <si>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</si>
  <si>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</si>
  <si>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</si>
  <si>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</si>
  <si>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</si>
  <si>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</si>
  <si>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</si>
  <si>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</si>
  <si>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</si>
  <si>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</si>
  <si>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</si>
  <si>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</si>
  <si>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</si>
  <si>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</si>
  <si>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</si>
  <si>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</si>
  <si>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</si>
  <si>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</si>
  <si>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</si>
  <si>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</si>
  <si>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</si>
  <si>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</si>
  <si>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</si>
  <si>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</si>
  <si>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</si>
  <si>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</si>
  <si>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</si>
  <si>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</si>
  <si>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</si>
  <si>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</si>
  <si>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</si>
  <si>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</si>
  <si>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</si>
  <si>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</si>
  <si>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</si>
  <si>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</si>
  <si>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</si>
  <si>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</si>
  <si>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</si>
  <si>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</si>
  <si>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</si>
  <si>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</si>
  <si>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</si>
  <si>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</si>
  <si>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</si>
  <si>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</si>
  <si>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</si>
  <si>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</si>
  <si>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</si>
  <si>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</si>
  <si>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</si>
  <si>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</si>
  <si>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</si>
  <si>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</si>
  <si>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</si>
  <si>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</si>
  <si>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</si>
  <si>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</si>
  <si>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</si>
  <si>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</si>
  <si>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</si>
  <si>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</si>
  <si>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</si>
  <si>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</si>
  <si>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</si>
  <si>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</si>
  <si>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</si>
  <si>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</si>
  <si>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</si>
  <si>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</si>
  <si>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</si>
  <si>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</si>
  <si>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</si>
  <si>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</si>
  <si>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</si>
  <si>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</si>
  <si>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</si>
  <si>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</si>
  <si>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</si>
  <si>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</si>
  <si>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</si>
  <si>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</si>
  <si>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</si>
  <si>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</si>
  <si>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</si>
  <si>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</si>
  <si>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</si>
  <si>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</si>
  <si>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</si>
  <si>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</si>
  <si>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</si>
  <si>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</si>
  <si>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</si>
  <si>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</si>
  <si>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</si>
  <si>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</si>
  <si>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</si>
  <si>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</si>
  <si>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</si>
  <si>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</si>
  <si>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</si>
  <si>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</si>
  <si>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</si>
  <si>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</si>
  <si>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</si>
  <si>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</si>
  <si>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</si>
  <si>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</si>
  <si>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</si>
  <si>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</si>
  <si>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</si>
  <si>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</si>
  <si>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</si>
  <si>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</si>
  <si>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</si>
  <si>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</si>
  <si>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</si>
  <si>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</si>
  <si>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</si>
  <si>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</si>
  <si>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</si>
  <si>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</si>
  <si>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</si>
  <si>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</si>
  <si>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</si>
  <si>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</si>
  <si>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</si>
  <si>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</si>
  <si>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</si>
  <si>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</si>
  <si>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</si>
  <si>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</si>
  <si>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</si>
  <si>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</si>
  <si>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</si>
  <si>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</si>
  <si>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</si>
  <si>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</si>
  <si>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</si>
  <si>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</si>
  <si>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</si>
  <si>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</si>
  <si>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</si>
  <si>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</si>
  <si>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</si>
  <si>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</si>
  <si>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</si>
  <si>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</si>
  <si>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</si>
  <si>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</si>
  <si>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</si>
  <si>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</si>
  <si>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</si>
  <si>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</si>
  <si>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</si>
  <si>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</si>
  <si>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</si>
  <si>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</si>
  <si>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</si>
  <si>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</si>
  <si>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</si>
  <si>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</si>
  <si>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</si>
  <si>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</si>
  <si>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</si>
  <si>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</si>
  <si>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</si>
  <si>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</si>
  <si>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</si>
  <si>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</si>
  <si>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</si>
  <si>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</si>
  <si>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</si>
  <si>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</si>
  <si>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</si>
  <si>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</si>
  <si>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</si>
  <si>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</si>
  <si>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</si>
  <si>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</si>
  <si>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</si>
  <si>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</si>
  <si>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</si>
  <si>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</si>
  <si>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</si>
  <si>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</si>
  <si>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</si>
  <si>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</si>
  <si>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</si>
  <si>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</si>
  <si>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</si>
  <si>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</si>
  <si>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</si>
  <si>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</si>
  <si>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</si>
  <si>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</si>
  <si>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</si>
  <si>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</si>
  <si>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</si>
  <si>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</si>
  <si>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</si>
  <si>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</si>
  <si>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</si>
  <si>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</si>
  <si>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</si>
  <si>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</si>
  <si>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</si>
  <si>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</si>
  <si>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</si>
  <si>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</si>
  <si>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</si>
  <si>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</si>
  <si>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</si>
  <si>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</si>
  <si>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</si>
  <si>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</si>
  <si>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</si>
  <si>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</si>
  <si>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</si>
  <si>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</si>
  <si>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</si>
  <si>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</si>
  <si>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</si>
  <si>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</si>
  <si>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</si>
  <si>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</si>
  <si>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</si>
  <si>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</si>
  <si>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</si>
  <si>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</si>
  <si>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</si>
  <si>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</si>
  <si>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</si>
  <si>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</si>
  <si>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</si>
  <si>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</si>
  <si>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</si>
  <si>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</si>
  <si>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</si>
  <si>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</si>
  <si>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</si>
  <si>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</si>
  <si>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</si>
  <si>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</si>
  <si>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</si>
  <si>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</si>
  <si>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</si>
  <si>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</si>
  <si>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</si>
  <si>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</si>
  <si>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</si>
  <si>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</si>
  <si>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</si>
  <si>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</si>
  <si>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</si>
  <si>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</si>
  <si>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</si>
  <si>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</si>
  <si>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</si>
  <si>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</si>
  <si>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</si>
  <si>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</si>
  <si>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</si>
  <si>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</si>
  <si>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</si>
  <si>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</si>
  <si>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</si>
  <si>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</si>
  <si>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</si>
  <si>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</si>
  <si>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</si>
  <si>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</si>
  <si>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</si>
  <si>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</si>
  <si>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</si>
  <si>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</si>
  <si>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</si>
  <si>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</si>
  <si>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</si>
  <si>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</si>
  <si>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</si>
  <si>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</si>
  <si>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</si>
  <si>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</si>
  <si>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</si>
  <si>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</si>
  <si>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</si>
  <si>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</si>
  <si>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</si>
  <si>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</si>
  <si>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</si>
  <si>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</si>
  <si>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</si>
  <si>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</si>
  <si>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</si>
  <si>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</si>
  <si>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</si>
  <si>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</si>
  <si>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</si>
  <si>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</si>
  <si>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</si>
  <si>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</si>
  <si>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</si>
  <si>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</si>
  <si>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</si>
  <si>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</si>
  <si>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</si>
  <si>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</si>
  <si>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</si>
  <si>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</si>
  <si>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</si>
  <si>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</si>
  <si>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</si>
  <si>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</si>
  <si>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</si>
  <si>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</si>
  <si>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</si>
  <si>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</si>
  <si>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</si>
  <si>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</si>
  <si>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</si>
  <si>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</si>
  <si>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</si>
  <si>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</si>
  <si>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247:00</t>
  </si>
  <si>
    <t>29:00</t>
  </si>
  <si>
    <t>Světlík František</t>
  </si>
  <si>
    <t>57:30</t>
  </si>
  <si>
    <t>Vopatová Anna</t>
  </si>
  <si>
    <t>Kaločai Rudolf</t>
  </si>
  <si>
    <t>88:30</t>
  </si>
  <si>
    <t>Vopatová Šárka</t>
  </si>
  <si>
    <t>7:00</t>
  </si>
  <si>
    <t>Stehlíková Magdaléna</t>
  </si>
  <si>
    <t>12 min 55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</si>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</sst>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69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46191.0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Čtvrtek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 Stanislav ml.,Kratochvíl Kryštof,Tůma Vladimír"</formula1>
    </dataValidation>
    <dataValidation type="list" allowBlank="1" sqref="B25:B31">
      <formula1>"Mikešová Adéla,Kaločai Rudolf,Vopatová Anna,Vopatová Šárka,Světlík František,Ženíšek Lukáš,Roth Stanislav st.,Stehlíková Magdaléna"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46174.0</v>
      </c>
      <c r="D1" s="115" t="s">
        <v>2576</v>
      </c>
      <c r="E1" s="116">
        <v>46203.0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0.37039901254364804</v>
      </c>
      <c r="H2" s="21"/>
      <c r="I2" s="120">
        <v>275085.06000000006</v>
      </c>
      <c r="K2" s="21"/>
      <c r="L2" s="121" t="s">
        <v>2556</v>
      </c>
      <c r="M2" s="122">
        <v>72669.79999999999</v>
      </c>
      <c r="N2" s="123"/>
    </row>
    <row r="3">
      <c r="A3" s="124"/>
      <c r="B3" s="125" t="str">
        <f>CHOOSE(WEEKDAY(C1), "Neděle", "Pondělí", "Úterý", "Středa", "Čtvrtek", "Pátek", "Sobota")</f>
        <v>Pondělí</v>
      </c>
      <c r="C3" s="27"/>
      <c r="D3" s="125"/>
      <c r="E3" s="27"/>
      <c r="H3" s="21"/>
      <c r="K3" s="21"/>
      <c r="L3" s="126" t="s">
        <v>2557</v>
      </c>
      <c r="M3" s="127">
        <v>21614.0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56767.11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24856.0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247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202</v>
      </c>
      <c r="G7" s="13"/>
      <c r="H7" s="13"/>
      <c r="I7" s="13"/>
      <c r="J7" s="135"/>
      <c r="K7" s="135"/>
      <c r="L7" s="136" t="s">
        <v>2562</v>
      </c>
      <c r="M7" s="137">
        <v>7806.48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30.849999999938518</v>
      </c>
      <c r="K9" s="11"/>
      <c r="L9" s="149" t="s">
        <v>23</v>
      </c>
      <c r="M9" s="127">
        <v>56163.0</v>
      </c>
      <c r="N9" s="123"/>
    </row>
    <row r="10" ht="18.75" customHeight="1">
      <c r="A10" s="150"/>
      <c r="B10" s="151" t="s">
        <v>2580</v>
      </c>
      <c r="C10" s="152">
        <v>16.0</v>
      </c>
      <c r="D10" s="152" t="s">
        <v>2581</v>
      </c>
      <c r="E10" s="153" t="s">
        <v>2582</v>
      </c>
      <c r="F10" s="151" t="s">
        <v>2583</v>
      </c>
      <c r="G10" s="152">
        <v>7.0</v>
      </c>
      <c r="H10" s="152" t="s">
        <v>2584</v>
      </c>
      <c r="I10" s="154">
        <v>27.0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 t="s">
        <v>2585</v>
      </c>
      <c r="G11" s="152">
        <v>3.0</v>
      </c>
      <c r="H11" s="152" t="s">
        <v>2582</v>
      </c>
      <c r="I11" s="154">
        <v>17.0</v>
      </c>
      <c r="J11" s="36"/>
      <c r="K11" s="21"/>
      <c r="L11" s="155" t="s">
        <v>25</v>
      </c>
      <c r="M11" s="156">
        <v>32539.0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 t="s">
        <v>2586</v>
      </c>
      <c r="G12" s="152">
        <v>8.0</v>
      </c>
      <c r="H12" s="152" t="s">
        <v>2587</v>
      </c>
      <c r="I12" s="154">
        <v>49.0</v>
      </c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 t="s">
        <v>2588</v>
      </c>
      <c r="G13" s="152">
        <v>1.0</v>
      </c>
      <c r="H13" s="152" t="s">
        <v>2589</v>
      </c>
      <c r="I13" s="154">
        <v>5.0</v>
      </c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2589</v>
      </c>
      <c r="F14" s="151" t="s">
        <v>2590</v>
      </c>
      <c r="G14" s="152">
        <v>3.0</v>
      </c>
      <c r="H14" s="152" t="s">
        <v>62</v>
      </c>
      <c r="I14" s="154">
        <v>9.0</v>
      </c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2589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5702.0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4805.0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7.0</v>
      </c>
      <c r="K21" s="172">
        <v>3195.0</v>
      </c>
      <c r="L21" s="173">
        <v>12.0</v>
      </c>
      <c r="M21" s="174" t="s">
        <v>2591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18.0</v>
      </c>
      <c r="K24" s="173">
        <v>780.0</v>
      </c>
      <c r="L24" s="173">
        <v>116.0</v>
      </c>
      <c r="M24" s="178">
        <v>73.0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11.0</v>
      </c>
      <c r="K27" s="96"/>
      <c r="L27" s="184">
        <v>0.10062229437229436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2592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0.8993777056277058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"/>
      <c r="F2" s="1"/>
      <c r="G2" s="1"/>
      <c r="H2" s="1"/>
      <c r="I2" s="1"/>
      <c r="J2" s="192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92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92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92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92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92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92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92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92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92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92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92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92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/>
      <c r="B46" s="1"/>
      <c r="C46" s="193"/>
      <c r="D46" s="1"/>
      <c r="E46" s="192"/>
      <c r="F46" s="1"/>
      <c r="G46" s="1"/>
      <c r="H46" s="1"/>
      <c r="I46" s="1"/>
      <c r="J46" s="1"/>
      <c r="K46" s="192"/>
      <c r="L46" s="1"/>
      <c r="M46" s="1"/>
      <c r="N46" s="1"/>
      <c r="O46" s="1"/>
      <c r="P46" s="1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92"/>
      <c r="B47" s="192"/>
      <c r="C47" s="194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92"/>
      <c r="B49" s="192"/>
      <c r="C49" s="194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""Mzdy!ac1:ad200"")"),30.0)</f>
        <v>30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2593</v>
      </c>
      <c r="B4" s="199" t="s">
        <v>2594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IFERROR(__xludf.DUMMYFUNCTION("""COMPUTED_VALUE"""),2882.052)</f>
        <v>2882.052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IFERROR(__xludf.DUMMYFUNCTION("""COMPUTED_VALUE"""),2882.052)</f>
        <v>2882.052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IFERROR(__xludf.DUMMYFUNCTION("""COMPUTED_VALUE"""),2274.6)</f>
        <v>2274.6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IFERROR(__xludf.DUMMYFUNCTION("""COMPUTED_VALUE"""),2882.052)</f>
        <v>2882.052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IFERROR(__xludf.DUMMYFUNCTION("""COMPUTED_VALUE"""),2274.6)</f>
        <v>2274.6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IFERROR(__xludf.DUMMYFUNCTION("""COMPUTED_VALUE"""),2882.052)</f>
        <v>2882.052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IFERROR(__xludf.DUMMYFUNCTION("""COMPUTED_VALUE"""),2274.6)</f>
        <v>2274.6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IFERROR(__xludf.DUMMYFUNCTION("""COMPUTED_VALUE"""),2274.6)</f>
        <v>2274.6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IFERROR(__xludf.DUMMYFUNCTION("""COMPUTED_VALUE"""),2274.6)</f>
        <v>2274.6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IFERROR(__xludf.DUMMYFUNCTION("""COMPUTED_VALUE"""),0.0)</f>
        <v>0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/>
      </c>
      <c r="C19" s="195" t="b">
        <f>IFERROR(__xludf.DUMMYFUNCTION("""COMPUTED_VALUE"""),FALSE)</f>
        <v>0</v>
      </c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IFERROR(__xludf.DUMMYFUNCTION("""COMPUTED_VALUE"""),0.0)</f>
        <v>0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 t="str">
        <f>IFERROR(__xludf.DUMMYFUNCTION("""COMPUTED_VALUE"""),"Zličín")</f>
        <v>Zličín</v>
      </c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IFERROR(__xludf.DUMMYFUNCTION("""COMPUTED_VALUE"""),2882.052)</f>
        <v>2882.052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IFERROR(__xludf.DUMMYFUNCTION("""COMPUTED_VALUE"""),2882.052)</f>
        <v>2882.052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IFERROR(__xludf.DUMMYFUNCTION("""COMPUTED_VALUE"""),"Malešice")</f>
        <v>Malešice</v>
      </c>
      <c r="F28" s="195" t="str">
        <f>IFERROR(__xludf.DUMMYFUNCTION("""COMPUTED_VALUE"""),"Chodov")</f>
        <v>Chodov</v>
      </c>
      <c r="G28" s="195" t="str">
        <f>IFERROR(__xludf.DUMMYFUNCTION("""COMPUTED_VALUE"""),"Zličín")</f>
        <v>Zličín</v>
      </c>
      <c r="H28" s="195" t="str">
        <f>IFERROR(__xludf.DUMMYFUNCTION("""COMPUTED_VALUE"""),"Prosek")</f>
        <v>Prosek</v>
      </c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/>
      </c>
      <c r="C29" s="195" t="b">
        <f>IFERROR(__xludf.DUMMYFUNCTION("""COMPUTED_VALUE"""),FALSE)</f>
        <v>0</v>
      </c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IFERROR(__xludf.DUMMYFUNCTION("""COMPUTED_VALUE"""),0.0)</f>
        <v>0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 t="str">
        <f>IFERROR(__xludf.DUMMYFUNCTION("""COMPUTED_VALUE"""),"Malešice")</f>
        <v>Malešice</v>
      </c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 t="str">
        <f>IFERROR(__xludf.DUMMYFUNCTION("""COMPUTED_VALUE"""),"Prošek Václav")</f>
        <v>Prošek Václav</v>
      </c>
      <c r="E42" s="195" t="str">
        <f>IFERROR(__xludf.DUMMYFUNCTION("""COMPUTED_VALUE"""),"Libuš")</f>
        <v>Libuš</v>
      </c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IFERROR(__xludf.DUMMYFUNCTION("""COMPUTED_VALUE"""),250.20600000000002)</f>
        <v>250.206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IFERROR(__xludf.DUMMYFUNCTION("""COMPUTED_VALUE"""),2577.8799999999997)</f>
        <v>2577.88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IFERROR(__xludf.DUMMYFUNCTION("""COMPUTED_VALUE"""),1650.2)</f>
        <v>1650.2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IFERROR(__xludf.DUMMYFUNCTION("""COMPUTED_VALUE"""),250.20600000000002)</f>
        <v>250.206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IFERROR(__xludf.DUMMYFUNCTION("""COMPUTED_VALUE"""),"Břicháč Pavel")</f>
        <v>Břicháč Pavel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 t="str">
        <f>IFERROR(__xludf.DUMMYFUNCTION("""COMPUTED_VALUE"""),"Čerešňák Michal")</f>
        <v>Čerešňák Michal</v>
      </c>
      <c r="E127" s="195" t="str">
        <f>IFERROR(__xludf.DUMMYFUNCTION("""COMPUTED_VALUE"""),"Zličín")</f>
        <v>Zličín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IFERROR(__xludf.DUMMYFUNCTION("""COMPUTED_VALUE"""),170.0)</f>
        <v>170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 t="str">
        <f>IFERROR(__xludf.DUMMYFUNCTION("""COMPUTED_VALUE"""),"Weindling Josef")</f>
        <v>Weindling Josef</v>
      </c>
      <c r="E128" s="195" t="str">
        <f>IFERROR(__xludf.DUMMYFUNCTION("""COMPUTED_VALUE"""),"Libuš")</f>
        <v>Libuš</v>
      </c>
      <c r="F128" s="195" t="str">
        <f>IFERROR(__xludf.DUMMYFUNCTION("""COMPUTED_VALUE"""),"Malešice")</f>
        <v>Malešice</v>
      </c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IFERROR(__xludf.DUMMYFUNCTION("""COMPUTED_VALUE"""),231.474)</f>
        <v>231.474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 t="str">
        <f>IFERROR(__xludf.DUMMYFUNCTION("""COMPUTED_VALUE"""),"Fux Vojtěch")</f>
        <v>Fux Vojtěch</v>
      </c>
      <c r="E129" s="195" t="str">
        <f>IFERROR(__xludf.DUMMYFUNCTION("""COMPUTED_VALUE"""),"Chodov")</f>
        <v>Chodov</v>
      </c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IFERROR(__xludf.DUMMYFUNCTION("""COMPUTED_VALUE"""),200.0)</f>
        <v>200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 t="str">
        <f>IFERROR(__xludf.DUMMYFUNCTION("""COMPUTED_VALUE"""),"Kumar Jatinder")</f>
        <v>Kumar Jatinder</v>
      </c>
      <c r="E130" s="195" t="str">
        <f>IFERROR(__xludf.DUMMYFUNCTION("""COMPUTED_VALUE"""),"Libuš")</f>
        <v>Libuš</v>
      </c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IFERROR(__xludf.DUMMYFUNCTION("""COMPUTED_VALUE"""),231.474)</f>
        <v>231.474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>Stehlíková Magdaléna</v>
      </c>
      <c r="C131" s="195" t="b">
        <f>IFERROR(__xludf.DUMMYFUNCTION("""COMPUTED_VALUE"""),FALSE)</f>
        <v>0</v>
      </c>
      <c r="D131" s="195" t="str">
        <f>IFERROR(__xludf.DUMMYFUNCTION("""COMPUTED_VALUE"""),"Stehlíková Magdaléna")</f>
        <v>Stehlíková Magdaléna</v>
      </c>
      <c r="E131" s="195" t="str">
        <f>IFERROR(__xludf.DUMMYFUNCTION("""COMPUTED_VALUE"""),"Bolevec")</f>
        <v>Bolevec</v>
      </c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8">
        <f>IFERROR(__xludf.DUMMYFUNCTION("""COMPUTED_VALUE"""),214.08)</f>
        <v>214.08</v>
      </c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 t="str">
        <f>IFERROR(__xludf.DUMMYFUNCTION("""COMPUTED_VALUE"""),"Dragoun Alfréd")</f>
        <v>Dragoun Alfréd</v>
      </c>
      <c r="E132" s="195" t="str">
        <f>IFERROR(__xludf.DUMMYFUNCTION("""COMPUTED_VALUE"""),"Zličín")</f>
        <v>Zličín</v>
      </c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IFERROR(__xludf.DUMMYFUNCTION("""COMPUTED_VALUE"""),250.20600000000002)</f>
        <v>250.206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2595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2596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2597</v>
      </c>
      <c r="B3" s="1" t="s">
        <v>2598</v>
      </c>
      <c r="C3" s="1" t="s">
        <v>2599</v>
      </c>
      <c r="D3" s="1" t="s">
        <v>2600</v>
      </c>
      <c r="E3" s="1" t="s">
        <v>2601</v>
      </c>
      <c r="F3" s="1" t="s">
        <v>2599</v>
      </c>
      <c r="G3" s="192"/>
    </row>
    <row r="4">
      <c r="A4" s="1" t="s">
        <v>2602</v>
      </c>
      <c r="B4" s="1" t="s">
        <v>2601</v>
      </c>
      <c r="C4" s="1" t="s">
        <v>2603</v>
      </c>
      <c r="E4" s="1" t="s">
        <v>2600</v>
      </c>
      <c r="F4" s="192"/>
      <c r="G4" s="1" t="s">
        <v>2599</v>
      </c>
      <c r="H4" s="1" t="s">
        <v>2604</v>
      </c>
    </row>
    <row r="5">
      <c r="A5" s="1" t="s">
        <v>2605</v>
      </c>
      <c r="B5" s="1" t="s">
        <v>2606</v>
      </c>
      <c r="D5" s="1" t="s">
        <v>2606</v>
      </c>
      <c r="E5" s="1" t="s">
        <v>2606</v>
      </c>
      <c r="F5" s="1" t="s">
        <v>2606</v>
      </c>
      <c r="G5" s="1" t="s">
        <v>2606</v>
      </c>
      <c r="H5" s="192"/>
    </row>
    <row r="6">
      <c r="A6" s="1" t="s">
        <v>2607</v>
      </c>
      <c r="B6" s="1" t="s">
        <v>2608</v>
      </c>
      <c r="C6" s="1" t="s">
        <v>2609</v>
      </c>
      <c r="D6" s="1" t="s">
        <v>2601</v>
      </c>
      <c r="F6" s="192"/>
      <c r="G6" s="1" t="s">
        <v>2610</v>
      </c>
      <c r="H6" s="1" t="s">
        <v>2601</v>
      </c>
    </row>
    <row r="7">
      <c r="A7" s="1" t="s">
        <v>2611</v>
      </c>
      <c r="B7" s="192"/>
      <c r="C7" s="1" t="s">
        <v>2601</v>
      </c>
      <c r="D7" s="192"/>
      <c r="F7" s="1" t="s">
        <v>2610</v>
      </c>
      <c r="G7" s="1" t="s">
        <v>2610</v>
      </c>
    </row>
    <row r="8">
      <c r="A8" s="1" t="s">
        <v>2612</v>
      </c>
      <c r="B8" s="192"/>
      <c r="C8" s="1" t="s">
        <v>2613</v>
      </c>
      <c r="D8" s="1" t="s">
        <v>2613</v>
      </c>
      <c r="E8" s="192"/>
      <c r="F8" s="1" t="s">
        <v>2614</v>
      </c>
      <c r="G8" s="1" t="s">
        <v>2615</v>
      </c>
    </row>
    <row r="9">
      <c r="A9" s="1" t="s">
        <v>2616</v>
      </c>
      <c r="C9" s="192"/>
      <c r="D9" s="192"/>
      <c r="F9" s="192"/>
      <c r="G9" s="1" t="s">
        <v>2613</v>
      </c>
      <c r="H9" s="1" t="s">
        <v>2617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2618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2619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2620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2621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2622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2623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2624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2625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2626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2627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2628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2629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2630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2631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2632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2633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2634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2635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2636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2637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2638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2639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2640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2641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2642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2643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2644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2645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2646</v>
      </c>
      <c r="AB138" s="1">
        <v>-10.0</v>
      </c>
    </row>
  </sheetData>
  <mergeCells count="1">
    <mergeCell ref="A1:H1"/>
  </mergeCells>
  <drawing r:id="rId1"/>
</worksheet>
</file>