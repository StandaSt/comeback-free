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July 2024" sheetId="1" state="visible" r:id="rId3"/>
    <sheet name="DatabaseRestia" sheetId="2" state="visible" r:id="rId4"/>
    <sheet name="August 2024" sheetId="3" state="visible" r:id="rId5"/>
    <sheet name="Report" sheetId="4" state="visible" r:id="rId6"/>
    <sheet name="Kontrola" sheetId="5" state="visible" r:id="rId7"/>
    <sheet name="RestiaCSV" sheetId="6" state="visible" r:id="rId8"/>
    <sheet name="HR" sheetId="7" state="visible" r:id="rId9"/>
    <sheet name="Denik" sheetId="8" state="visible" r:id="rId10"/>
    <sheet name="Směny" sheetId="9" state="visible" r:id="rId11"/>
  </sheets>
  <definedNames>
    <definedName function="false" hidden="true" localSheetId="5" name="_xlnm._FilterDatabase" vbProcedure="false">RestiaCSV!$A$1:$M$482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<sst xmlns="http://schemas.openxmlformats.org/spreadsheetml/2006/main" count="5522" uniqueCount="1629">
  <si>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</si>
  <si>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</si>
  <si>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</si>
  <si>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</si>
  <si>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</si>
  <si>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</si>
  <si>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</si>
  <si>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</si>
  <si>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</si>
  <si>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</si>
  <si>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</si>
  <si>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</si>
  <si>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</si>
  <si>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</si>
  <si>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</si>
  <si>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</si>
  <si>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</si>
  <si>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</si>
  <si>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</si>
  <si>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</si>
  <si>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</si>
  <si>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</si>
  <si>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</si>
  <si>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</si>
  <si>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</si>
  <si>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</si>
  <si>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</si>
  <si>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</si>
  <si>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</si>
  <si>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</si>
  <si>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</si>
  <si>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</si>
  <si>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</si>
  <si>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</si>
  <si>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</si>
  <si>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</si>
  <si>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</si>
  <si>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</si>
  <si>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</si>
  <si>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Pátek</t>
  </si>
  <si>
    <t xml:space="preserve">Veselý Ondřej</t>
  </si>
  <si>
    <t xml:space="preserve">10:00</t>
  </si>
  <si>
    <t xml:space="preserve">22:00</t>
  </si>
  <si>
    <t xml:space="preserve">12:00</t>
  </si>
  <si>
    <t xml:space="preserve">Michal Nedbal</t>
  </si>
  <si>
    <t xml:space="preserve">17:00</t>
  </si>
  <si>
    <t xml:space="preserve">1:00</t>
  </si>
  <si>
    <t xml:space="preserve">08:00</t>
  </si>
  <si>
    <t xml:space="preserve">Suchánek Daniel</t>
  </si>
  <si>
    <t xml:space="preserve">23:00</t>
  </si>
  <si>
    <t xml:space="preserve">13:00</t>
  </si>
  <si>
    <t xml:space="preserve">Šebesta Tomáš</t>
  </si>
  <si>
    <t xml:space="preserve">Hanakova Ayuna</t>
  </si>
  <si>
    <t xml:space="preserve">07:00</t>
  </si>
  <si>
    <t xml:space="preserve">Kučera Karel</t>
  </si>
  <si>
    <t xml:space="preserve">Černohorský Otakar</t>
  </si>
  <si>
    <t xml:space="preserve">00:30</t>
  </si>
  <si>
    <t xml:space="preserve">00:00</t>
  </si>
  <si>
    <t xml:space="preserve">23:30</t>
  </si>
  <si>
    <t xml:space="preserve">11 min 45 s</t>
  </si>
  <si>
    <t xml:space="preserve">Zadej tržbu</t>
  </si>
  <si>
    <t xml:space="preserve">Úterý</t>
  </si>
  <si>
    <t xml:space="preserve">20:00</t>
  </si>
  <si>
    <t xml:space="preserve">11:00</t>
  </si>
  <si>
    <t xml:space="preserve">06:00</t>
  </si>
  <si>
    <t xml:space="preserve">Novák Jakub</t>
  </si>
  <si>
    <t xml:space="preserve"> </t>
  </si>
  <si>
    <t xml:space="preserve">Neděle</t>
  </si>
  <si>
    <t xml:space="preserve">0:00</t>
  </si>
  <si>
    <t xml:space="preserve">Pondělí</t>
  </si>
  <si>
    <t xml:space="preserve">18:00</t>
  </si>
  <si>
    <t xml:space="preserve">Jakub Zimmer</t>
  </si>
  <si>
    <t xml:space="preserve">Trachtová Martina</t>
  </si>
  <si>
    <t xml:space="preserve">Středa</t>
  </si>
  <si>
    <t xml:space="preserve">Platforma</t>
  </si>
  <si>
    <t xml:space="preserve">Stav</t>
  </si>
  <si>
    <t xml:space="preserve">Cena</t>
  </si>
  <si>
    <t xml:space="preserve">Sleva</t>
  </si>
  <si>
    <t xml:space="preserve">Kurýr</t>
  </si>
  <si>
    <t xml:space="preserve">Doručení</t>
  </si>
  <si>
    <t xml:space="preserve">Platba</t>
  </si>
  <si>
    <t xml:space="preserve">Vytvořeno</t>
  </si>
  <si>
    <t xml:space="preserve">Připraveno v</t>
  </si>
  <si>
    <t xml:space="preserve">Dokončeno v</t>
  </si>
  <si>
    <t xml:space="preserve">Přenos do dispecinku</t>
  </si>
  <si>
    <t xml:space="preserve">Zpoždění</t>
  </si>
  <si>
    <t xml:space="preserve">Přiřazení WoltDrivu</t>
  </si>
  <si>
    <t xml:space="preserve">Make Time</t>
  </si>
  <si>
    <t xml:space="preserve">wolt</t>
  </si>
  <si>
    <t xml:space="preserve">delivered</t>
  </si>
  <si>
    <t xml:space="preserve">Wolt Kurýr</t>
  </si>
  <si>
    <t xml:space="preserve">external-delivery</t>
  </si>
  <si>
    <t xml:space="preserve">online</t>
  </si>
  <si>
    <t xml:space="preserve">2024-08-19T23:58:58.749+02:00</t>
  </si>
  <si>
    <t xml:space="preserve">2024-08-20T00:10:47.895+02:00</t>
  </si>
  <si>
    <t xml:space="preserve">generic</t>
  </si>
  <si>
    <t xml:space="preserve">David Sarkozi</t>
  </si>
  <si>
    <t xml:space="preserve">delivery</t>
  </si>
  <si>
    <t xml:space="preserve">2024-08-19T23:58:03.178+02:00</t>
  </si>
  <si>
    <t xml:space="preserve">2024-08-20T00:08:47.664+02:00</t>
  </si>
  <si>
    <t xml:space="preserve">2024-08-20T00:25:53.970+02:00</t>
  </si>
  <si>
    <t xml:space="preserve">2024-08-19T23:58:03.744+02:00</t>
  </si>
  <si>
    <t xml:space="preserve">2024-08-19T23:56:29.395+02:00</t>
  </si>
  <si>
    <t xml:space="preserve">2024-08-20T00:06:31.879+02:00</t>
  </si>
  <si>
    <t xml:space="preserve">bolt</t>
  </si>
  <si>
    <t xml:space="preserve">ready_pickup</t>
  </si>
  <si>
    <t xml:space="preserve">Rakib</t>
  </si>
  <si>
    <t xml:space="preserve">2024-08-19T23:48:48.507+02:00</t>
  </si>
  <si>
    <t xml:space="preserve">2024-08-20T00:01:52.755+02:00</t>
  </si>
  <si>
    <t xml:space="preserve">Karel</t>
  </si>
  <si>
    <t xml:space="preserve">2024-08-19T23:42:56.580+02:00</t>
  </si>
  <si>
    <t xml:space="preserve">2024-08-19T23:51:37.779+02:00</t>
  </si>
  <si>
    <t xml:space="preserve">2024-08-19T23:33:49.070+02:00</t>
  </si>
  <si>
    <t xml:space="preserve">2024-08-19T23:47:07.826+02:00</t>
  </si>
  <si>
    <t xml:space="preserve">2024-08-19T23:31:39.363+02:00</t>
  </si>
  <si>
    <t xml:space="preserve">2024-08-19T23:43:55.743+02:00</t>
  </si>
  <si>
    <t xml:space="preserve">cash</t>
  </si>
  <si>
    <t xml:space="preserve">2024-08-19T23:25:03.311+02:00</t>
  </si>
  <si>
    <t xml:space="preserve">2024-08-19T23:36:43.715+02:00</t>
  </si>
  <si>
    <t xml:space="preserve">2024-08-20T00:04:51.283+02:00</t>
  </si>
  <si>
    <t xml:space="preserve">2024-08-19T23:25:03.917+02:00</t>
  </si>
  <si>
    <t xml:space="preserve">2024-08-19T23:23:03.045+02:00</t>
  </si>
  <si>
    <t xml:space="preserve">2024-08-19T23:33:28.787+02:00</t>
  </si>
  <si>
    <t xml:space="preserve">2024-08-19T23:50:59.104+02:00</t>
  </si>
  <si>
    <t xml:space="preserve">2024-08-19T23:23:03.542+02:00</t>
  </si>
  <si>
    <t xml:space="preserve">2024-08-19T23:15:42.317+02:00</t>
  </si>
  <si>
    <t xml:space="preserve">2024-08-19T23:32:08.801+02:00</t>
  </si>
  <si>
    <t xml:space="preserve">damejidlo</t>
  </si>
  <si>
    <t xml:space="preserve">2024-08-19T23:14:58.535+02:00</t>
  </si>
  <si>
    <t xml:space="preserve">2024-08-19T23:26:49.035+02:00</t>
  </si>
  <si>
    <t xml:space="preserve">2024-08-19T23:14:57.369+02:00</t>
  </si>
  <si>
    <t xml:space="preserve">2024-08-19T23:24:50.897+02:00</t>
  </si>
  <si>
    <t xml:space="preserve">2024-08-19T23:08:04.305+02:00</t>
  </si>
  <si>
    <t xml:space="preserve">2024-08-19T23:19:10.937+02:00</t>
  </si>
  <si>
    <t xml:space="preserve">2024-08-19T23:35:16.750+02:00</t>
  </si>
  <si>
    <t xml:space="preserve">2024-08-19T23:08:04.797+02:00</t>
  </si>
  <si>
    <t xml:space="preserve">2024-08-19T22:39:03.895+02:00</t>
  </si>
  <si>
    <t xml:space="preserve">2024-08-19T22:50:36.631+02:00</t>
  </si>
  <si>
    <t xml:space="preserve">2024-08-19T23:02:14.652+02:00</t>
  </si>
  <si>
    <t xml:space="preserve">2024-08-19T22:39:04.429+02:00</t>
  </si>
  <si>
    <t xml:space="preserve">2024-08-19T22:37:31.754+02:00</t>
  </si>
  <si>
    <t xml:space="preserve">2024-08-19T22:50:32.912+02:00</t>
  </si>
  <si>
    <t xml:space="preserve">2024-08-19T22:31:31.556+02:00</t>
  </si>
  <si>
    <t xml:space="preserve">2024-08-19T22:42:33.025+02:00</t>
  </si>
  <si>
    <t xml:space="preserve">Tibor</t>
  </si>
  <si>
    <t xml:space="preserve">2024-08-19T22:23:03.166+02:00</t>
  </si>
  <si>
    <t xml:space="preserve">2024-08-19T22:34:31.850+02:00</t>
  </si>
  <si>
    <t xml:space="preserve">2024-08-19T22:19:15.867+02:00</t>
  </si>
  <si>
    <t xml:space="preserve">2024-08-19T22:29:46.834+02:00</t>
  </si>
  <si>
    <t xml:space="preserve">pickup</t>
  </si>
  <si>
    <t xml:space="preserve">2024-08-19T21:48:04.353+02:00</t>
  </si>
  <si>
    <t xml:space="preserve">2024-08-19T21:56:38.613+02:00</t>
  </si>
  <si>
    <t xml:space="preserve">canceled</t>
  </si>
  <si>
    <t xml:space="preserve">card</t>
  </si>
  <si>
    <t xml:space="preserve">2024-08-19T21:47:02.850+02:00</t>
  </si>
  <si>
    <t xml:space="preserve">2024-08-19T21:30:32.106+02:00</t>
  </si>
  <si>
    <t xml:space="preserve">2024-08-19T21:40:49.932+02:00</t>
  </si>
  <si>
    <t xml:space="preserve">2024-08-19T21:28:30.881+02:00</t>
  </si>
  <si>
    <t xml:space="preserve">2024-08-19T21:36:34.908+02:00</t>
  </si>
  <si>
    <t xml:space="preserve">2024-08-19T21:22:33.441+02:00</t>
  </si>
  <si>
    <t xml:space="preserve">2024-08-19T21:32:09.961+02:00</t>
  </si>
  <si>
    <t xml:space="preserve">2024-08-19T21:18:02.700+02:00</t>
  </si>
  <si>
    <t xml:space="preserve">2024-08-19T21:29:30.638+02:00</t>
  </si>
  <si>
    <t xml:space="preserve">2024-08-19T22:03:06.023+02:00</t>
  </si>
  <si>
    <t xml:space="preserve">2024-08-19T21:18:03.357+02:00</t>
  </si>
  <si>
    <t xml:space="preserve">2024-08-19T21:13:03.392+02:00</t>
  </si>
  <si>
    <t xml:space="preserve">2024-08-19T21:22:03.603+02:00</t>
  </si>
  <si>
    <t xml:space="preserve">2024-08-19T21:42:09.652+02:00</t>
  </si>
  <si>
    <t xml:space="preserve">2024-08-19T21:13:04.041+02:00</t>
  </si>
  <si>
    <t xml:space="preserve">manual</t>
  </si>
  <si>
    <t xml:space="preserve">2024-08-19T21:11:22.100+02:00</t>
  </si>
  <si>
    <t xml:space="preserve">2024-08-19T21:11:59.916+02:00</t>
  </si>
  <si>
    <t xml:space="preserve">2024-08-19T21:09:04.030+02:00</t>
  </si>
  <si>
    <t xml:space="preserve">2024-08-19T21:19:12.666+02:00</t>
  </si>
  <si>
    <t xml:space="preserve">2024-08-19T21:33:57.270+02:00</t>
  </si>
  <si>
    <t xml:space="preserve">2024-08-19T21:09:04.521+02:00</t>
  </si>
  <si>
    <t xml:space="preserve">2024-08-19T21:05:33.242+02:00</t>
  </si>
  <si>
    <t xml:space="preserve">2024-08-19T21:14:33.054+02:00</t>
  </si>
  <si>
    <t xml:space="preserve">2024-08-19T20:59:31.975+02:00</t>
  </si>
  <si>
    <t xml:space="preserve">2024-08-19T21:08:47.014+02:00</t>
  </si>
  <si>
    <t xml:space="preserve">Shehryar</t>
  </si>
  <si>
    <t xml:space="preserve">2024-08-19T20:54:46.747+02:00</t>
  </si>
  <si>
    <t xml:space="preserve">2024-08-19T21:06:05.751+02:00</t>
  </si>
  <si>
    <t xml:space="preserve">2024-08-19T20:54:33.919+02:00</t>
  </si>
  <si>
    <t xml:space="preserve">2024-08-19T21:05:41.884+02:00</t>
  </si>
  <si>
    <t xml:space="preserve">2024-08-19T20:51:13.748+02:00</t>
  </si>
  <si>
    <t xml:space="preserve">2024-08-19T20:52:07.867+02:00</t>
  </si>
  <si>
    <t xml:space="preserve">2024-08-19T20:43:28.341+02:00</t>
  </si>
  <si>
    <t xml:space="preserve">2024-08-19T20:57:27.636+02:00</t>
  </si>
  <si>
    <t xml:space="preserve">2024-08-19T20:42:30.337+02:00</t>
  </si>
  <si>
    <t xml:space="preserve">2024-08-19T20:54:22.604+02:00</t>
  </si>
  <si>
    <t xml:space="preserve">2024-08-19T20:38:02.760+02:00</t>
  </si>
  <si>
    <t xml:space="preserve">2024-08-19T20:53:17.576+02:00</t>
  </si>
  <si>
    <t xml:space="preserve">2024-08-19T20:37:03.327+02:00</t>
  </si>
  <si>
    <t xml:space="preserve">2024-08-19T20:52:01.586+02:00</t>
  </si>
  <si>
    <t xml:space="preserve">2024-08-19T20:26:05.863+02:00</t>
  </si>
  <si>
    <t xml:space="preserve">2024-08-19T20:38:57.692+02:00</t>
  </si>
  <si>
    <t xml:space="preserve">2024-08-19T20:25:02.914+02:00</t>
  </si>
  <si>
    <t xml:space="preserve">2024-08-19T20:37:44.580+02:00</t>
  </si>
  <si>
    <t xml:space="preserve">2024-08-19T20:24:34.143+02:00</t>
  </si>
  <si>
    <t xml:space="preserve">2024-08-19T20:44:20.765+02:00</t>
  </si>
  <si>
    <t xml:space="preserve">2024-08-19T20:08:32.365+02:00</t>
  </si>
  <si>
    <t xml:space="preserve">2024-08-19T20:22:59.968+02:00</t>
  </si>
  <si>
    <t xml:space="preserve">Ivan</t>
  </si>
  <si>
    <t xml:space="preserve">2024-08-19T20:02:58.509+02:00</t>
  </si>
  <si>
    <t xml:space="preserve">2024-08-19T20:18:15.756+02:00</t>
  </si>
  <si>
    <t xml:space="preserve">2024-08-19T19:59:03.262+02:00</t>
  </si>
  <si>
    <t xml:space="preserve">2024-08-19T20:11:39.915+02:00</t>
  </si>
  <si>
    <t xml:space="preserve">2024-08-19T19:52:03.015+02:00</t>
  </si>
  <si>
    <t xml:space="preserve">2024-08-19T20:02:34.580+02:00</t>
  </si>
  <si>
    <t xml:space="preserve">2024-08-19T19:48:03.550+02:00</t>
  </si>
  <si>
    <t xml:space="preserve">2024-08-19T19:57:14.619+02:00</t>
  </si>
  <si>
    <t xml:space="preserve">2024-08-19T19:44:33.739+02:00</t>
  </si>
  <si>
    <t xml:space="preserve">2024-08-19T20:08:44.852+02:00</t>
  </si>
  <si>
    <t xml:space="preserve">2024-08-19T19:43:03.569+02:00</t>
  </si>
  <si>
    <t xml:space="preserve">2024-08-19T19:59:07.660+02:00</t>
  </si>
  <si>
    <t xml:space="preserve">2024-08-19T20:05:51.653+02:00</t>
  </si>
  <si>
    <t xml:space="preserve">2024-08-19T19:43:04.077+02:00</t>
  </si>
  <si>
    <t xml:space="preserve">2024-08-19T19:39:22.915+02:00</t>
  </si>
  <si>
    <t xml:space="preserve">2024-08-19T19:55:05.137+02:00</t>
  </si>
  <si>
    <t xml:space="preserve">2024-08-19T19:28:38.772+02:00</t>
  </si>
  <si>
    <t xml:space="preserve">2024-08-19T19:51:10.851+02:00</t>
  </si>
  <si>
    <t xml:space="preserve">2024-08-19T19:28:03.094+02:00</t>
  </si>
  <si>
    <t xml:space="preserve">2024-08-19T19:47:43.642+02:00</t>
  </si>
  <si>
    <t xml:space="preserve">2024-08-19T19:26:32.666+02:00</t>
  </si>
  <si>
    <t xml:space="preserve">2024-08-19T19:48:56.057+02:00</t>
  </si>
  <si>
    <t xml:space="preserve">2024-08-19T19:22:31.220+02:00</t>
  </si>
  <si>
    <t xml:space="preserve">2024-08-19T19:29:55.922+02:00</t>
  </si>
  <si>
    <t xml:space="preserve">2024-08-19T19:14:02.588+02:00</t>
  </si>
  <si>
    <t xml:space="preserve">2024-08-19T19:28:37.733+02:00</t>
  </si>
  <si>
    <t xml:space="preserve">2024-08-19T19:45:04.398+02:00</t>
  </si>
  <si>
    <t xml:space="preserve">2024-08-19T19:26:26.162+02:00</t>
  </si>
  <si>
    <t xml:space="preserve">2024-08-19T19:11:03.170+02:00</t>
  </si>
  <si>
    <t xml:space="preserve">2024-08-19T19:10:32.538+02:00</t>
  </si>
  <si>
    <t xml:space="preserve">2024-08-19T19:23:43.858+02:00</t>
  </si>
  <si>
    <t xml:space="preserve">2024-08-19T19:07:48.806+02:00</t>
  </si>
  <si>
    <t xml:space="preserve">2024-08-19T19:16:21.593+02:00</t>
  </si>
  <si>
    <t xml:space="preserve">2024-08-19T19:07:33.472+02:00</t>
  </si>
  <si>
    <t xml:space="preserve">2024-08-19T19:20:20.924+02:00</t>
  </si>
  <si>
    <t xml:space="preserve">2024-08-19T19:02:02.259+02:00</t>
  </si>
  <si>
    <t xml:space="preserve">2024-08-19T19:14:05.596+02:00</t>
  </si>
  <si>
    <t xml:space="preserve">2024-08-19T18:55:03.050+02:00</t>
  </si>
  <si>
    <t xml:space="preserve">2024-08-19T19:09:36.958+02:00</t>
  </si>
  <si>
    <t xml:space="preserve">2024-08-19T19:32:35.367+02:00</t>
  </si>
  <si>
    <t xml:space="preserve">2024-08-19T18:55:03.811+02:00</t>
  </si>
  <si>
    <t xml:space="preserve">2024-08-19T18:53:57.517+02:00</t>
  </si>
  <si>
    <t xml:space="preserve">2024-08-19T19:11:34.042+02:00</t>
  </si>
  <si>
    <t xml:space="preserve">2024-08-19T18:50:04.868+02:00</t>
  </si>
  <si>
    <t xml:space="preserve">2024-08-19T19:01:06.624+02:00</t>
  </si>
  <si>
    <t xml:space="preserve">2024-08-19T19:21:44.901+02:00</t>
  </si>
  <si>
    <t xml:space="preserve">2024-08-19T18:50:05.462+02:00</t>
  </si>
  <si>
    <t xml:space="preserve">2024-08-19T18:44:35.209+02:00</t>
  </si>
  <si>
    <t xml:space="preserve">2024-08-19T18:55:21.828+02:00</t>
  </si>
  <si>
    <t xml:space="preserve">2024-08-19T18:41:22.809+02:00</t>
  </si>
  <si>
    <t xml:space="preserve">2024-08-19T18:51:03.576+02:00</t>
  </si>
  <si>
    <t xml:space="preserve">2024-08-19T18:37:02.626+02:00</t>
  </si>
  <si>
    <t xml:space="preserve">2024-08-19T20:06:41.576+02:00</t>
  </si>
  <si>
    <t xml:space="preserve">2024-08-19T18:26:36.258+02:00</t>
  </si>
  <si>
    <t xml:space="preserve">2024-08-19T18:38:59.556+02:00</t>
  </si>
  <si>
    <t xml:space="preserve">Jaroslava</t>
  </si>
  <si>
    <t xml:space="preserve">2024-08-19T18:24:39.678+02:00</t>
  </si>
  <si>
    <t xml:space="preserve">2024-08-19T18:42:42.837+02:00</t>
  </si>
  <si>
    <t xml:space="preserve">2024-08-19T18:23:03.373+02:00</t>
  </si>
  <si>
    <t xml:space="preserve">2024-08-19T18:44:23.619+02:00</t>
  </si>
  <si>
    <t xml:space="preserve">2024-08-19T19:00:07.904+02:00</t>
  </si>
  <si>
    <t xml:space="preserve">2024-08-19T18:23:03.909+02:00</t>
  </si>
  <si>
    <t xml:space="preserve">2024-08-19T18:15:03.437+02:00</t>
  </si>
  <si>
    <t xml:space="preserve">2024-08-19T18:30:12.559+02:00</t>
  </si>
  <si>
    <t xml:space="preserve">2024-08-19T18:46:22.021+02:00</t>
  </si>
  <si>
    <t xml:space="preserve">2024-08-19T18:15:03.948+02:00</t>
  </si>
  <si>
    <t xml:space="preserve">2024-08-19T18:14:02.908+02:00</t>
  </si>
  <si>
    <t xml:space="preserve">2024-08-19T18:27:12.649+02:00</t>
  </si>
  <si>
    <t xml:space="preserve">2024-08-19T19:01:46.863+02:00</t>
  </si>
  <si>
    <t xml:space="preserve">2024-08-19T18:25:00.974+02:00</t>
  </si>
  <si>
    <t xml:space="preserve">2024-08-19T18:11:03.368+02:00</t>
  </si>
  <si>
    <t xml:space="preserve">2024-08-19T18:23:38.549+02:00</t>
  </si>
  <si>
    <t xml:space="preserve">2024-08-19T18:02:29.683+02:00</t>
  </si>
  <si>
    <t xml:space="preserve">2024-08-19T18:11:05.826+02:00</t>
  </si>
  <si>
    <t xml:space="preserve">2024-08-19T17:59:30.778+02:00</t>
  </si>
  <si>
    <t xml:space="preserve">2024-08-19T18:10:14.148+02:00</t>
  </si>
  <si>
    <t xml:space="preserve">2024-08-19T17:51:44.943+02:00</t>
  </si>
  <si>
    <t xml:space="preserve">2024-08-19T18:02:04.071+02:00</t>
  </si>
  <si>
    <t xml:space="preserve">2024-08-19T17:50:02.401+02:00</t>
  </si>
  <si>
    <t xml:space="preserve">2024-08-19T17:58:19.676+02:00</t>
  </si>
  <si>
    <t xml:space="preserve">2024-08-19T17:39:27.683+02:00</t>
  </si>
  <si>
    <t xml:space="preserve">2024-08-19T17:51:22.805+02:00</t>
  </si>
  <si>
    <t xml:space="preserve">2024-08-19T17:36:03.509+02:00</t>
  </si>
  <si>
    <t xml:space="preserve">2024-08-19T17:23:02.659+02:00</t>
  </si>
  <si>
    <t xml:space="preserve">2024-08-19T17:32:17.529+02:00</t>
  </si>
  <si>
    <t xml:space="preserve">2024-08-19T17:19:03.523+02:00</t>
  </si>
  <si>
    <t xml:space="preserve">2024-08-19T17:29:29.550+02:00</t>
  </si>
  <si>
    <t xml:space="preserve">2024-08-19T17:18:02.819+02:00</t>
  </si>
  <si>
    <t xml:space="preserve">2024-08-19T17:27:57.586+02:00</t>
  </si>
  <si>
    <t xml:space="preserve">2024-08-19T17:12:26.254+02:00</t>
  </si>
  <si>
    <t xml:space="preserve">2024-08-19T17:23:40.918+02:00</t>
  </si>
  <si>
    <t xml:space="preserve">Richard</t>
  </si>
  <si>
    <t xml:space="preserve">2024-08-19T16:55:12.931+02:00</t>
  </si>
  <si>
    <t xml:space="preserve">2024-08-19T17:07:14.988+02:00</t>
  </si>
  <si>
    <t xml:space="preserve">Ondřej Navrátil</t>
  </si>
  <si>
    <t xml:space="preserve">2024-08-19T16:18:04.281+02:00</t>
  </si>
  <si>
    <t xml:space="preserve">2024-08-19T16:25:21.622+02:00</t>
  </si>
  <si>
    <t xml:space="preserve">2024-08-19T16:37:28.975+02:00</t>
  </si>
  <si>
    <t xml:space="preserve">2024-08-19T16:18:04.869+02:00</t>
  </si>
  <si>
    <t xml:space="preserve">2024-08-19T16:12:30.605+02:00</t>
  </si>
  <si>
    <t xml:space="preserve">2024-08-19T16:24:06.817+02:00</t>
  </si>
  <si>
    <t xml:space="preserve">2024-08-19T16:09:03.598+02:00</t>
  </si>
  <si>
    <t xml:space="preserve">2024-08-19T16:19:16.644+02:00</t>
  </si>
  <si>
    <t xml:space="preserve">2024-08-19T16:32:14.009+02:00</t>
  </si>
  <si>
    <t xml:space="preserve">2024-08-19T16:09:04.394+02:00</t>
  </si>
  <si>
    <t xml:space="preserve">2024-08-19T16:04:26.278+02:00</t>
  </si>
  <si>
    <t xml:space="preserve">2024-08-19T16:14:55.919+02:00</t>
  </si>
  <si>
    <t xml:space="preserve">2024-08-19T15:41:03.255+02:00</t>
  </si>
  <si>
    <t xml:space="preserve">2024-08-19T15:52:31.578+02:00</t>
  </si>
  <si>
    <t xml:space="preserve">2024-08-19T15:24:02.185+02:00</t>
  </si>
  <si>
    <t xml:space="preserve">2024-08-19T15:38:20.583+02:00</t>
  </si>
  <si>
    <t xml:space="preserve">2024-08-19T15:53:24.675+02:00</t>
  </si>
  <si>
    <t xml:space="preserve">2024-08-19T15:24:02.705+02:00</t>
  </si>
  <si>
    <t xml:space="preserve">2024-08-19T15:03:19.776+02:00</t>
  </si>
  <si>
    <t xml:space="preserve">2024-08-19T15:11:48.768+02:00</t>
  </si>
  <si>
    <t xml:space="preserve">Anna</t>
  </si>
  <si>
    <t xml:space="preserve">2024-08-19T15:02:28.706+02:00</t>
  </si>
  <si>
    <t xml:space="preserve">2024-08-19T15:16:44.654+02:00</t>
  </si>
  <si>
    <t xml:space="preserve">2024-08-19T14:56:35.134+02:00</t>
  </si>
  <si>
    <t xml:space="preserve">2024-08-19T15:09:23.451+02:00</t>
  </si>
  <si>
    <t xml:space="preserve">2024-08-19T14:54:02.976+02:00</t>
  </si>
  <si>
    <t xml:space="preserve">2024-08-19T15:09:19.470+02:00</t>
  </si>
  <si>
    <t xml:space="preserve">2024-08-19T14:52:04.211+02:00</t>
  </si>
  <si>
    <t xml:space="preserve">2024-08-19T15:08:17.527+02:00</t>
  </si>
  <si>
    <t xml:space="preserve">2024-08-19T15:14:31.598+02:00</t>
  </si>
  <si>
    <t xml:space="preserve">2024-08-19T14:52:04.716+02:00</t>
  </si>
  <si>
    <t xml:space="preserve">2024-08-19T14:51:29.634+02:00</t>
  </si>
  <si>
    <t xml:space="preserve">2024-08-19T15:00:45.597+02:00</t>
  </si>
  <si>
    <t xml:space="preserve">2024-08-19T14:34:04.226+02:00</t>
  </si>
  <si>
    <t xml:space="preserve">2024-08-19T14:42:14.510+02:00</t>
  </si>
  <si>
    <t xml:space="preserve">2024-08-19T15:00:14.407+02:00</t>
  </si>
  <si>
    <t xml:space="preserve">2024-08-19T14:34:04.781+02:00</t>
  </si>
  <si>
    <t xml:space="preserve">2024-08-19T14:24:03.308+02:00</t>
  </si>
  <si>
    <t xml:space="preserve">2024-08-19T14:36:03.525+02:00</t>
  </si>
  <si>
    <t xml:space="preserve">2024-08-19T14:43:13.926+02:00</t>
  </si>
  <si>
    <t xml:space="preserve">2024-08-19T14:24:04.010+02:00</t>
  </si>
  <si>
    <t xml:space="preserve">2024-08-19T14:24:03.297+02:00</t>
  </si>
  <si>
    <t xml:space="preserve">2024-08-19T14:33:18.494+02:00</t>
  </si>
  <si>
    <t xml:space="preserve">Gabriela</t>
  </si>
  <si>
    <t xml:space="preserve">2024-08-19T14:16:24.678+02:00</t>
  </si>
  <si>
    <t xml:space="preserve">2024-08-19T14:23:04.770+02:00</t>
  </si>
  <si>
    <t xml:space="preserve">2024-08-19T14:12:59.986+02:00</t>
  </si>
  <si>
    <t xml:space="preserve">2024-08-19T14:20:02.916+02:00</t>
  </si>
  <si>
    <t xml:space="preserve">2024-08-19T13:58:42.893+02:00</t>
  </si>
  <si>
    <t xml:space="preserve">2024-08-19T14:15:22.853+02:00</t>
  </si>
  <si>
    <t xml:space="preserve">2024-08-19T13:56:24.775+02:00</t>
  </si>
  <si>
    <t xml:space="preserve">2024-08-19T14:13:24.833+02:00</t>
  </si>
  <si>
    <t xml:space="preserve">2024-08-19T13:53:01.768+02:00</t>
  </si>
  <si>
    <t xml:space="preserve">2024-08-19T14:04:31.287+02:00</t>
  </si>
  <si>
    <t xml:space="preserve">2024-08-19T13:52:02.981+02:00</t>
  </si>
  <si>
    <t xml:space="preserve">2024-08-19T14:08:47.513+02:00</t>
  </si>
  <si>
    <t xml:space="preserve">2024-08-19T14:37:36.283+02:00</t>
  </si>
  <si>
    <t xml:space="preserve">2024-08-19T14:04:39.371+02:00</t>
  </si>
  <si>
    <t xml:space="preserve">2024-08-19T13:43:52.654+02:00</t>
  </si>
  <si>
    <t xml:space="preserve">2024-08-19T13:54:34.484+02:00</t>
  </si>
  <si>
    <t xml:space="preserve">2024-08-19T13:41:30.691+02:00</t>
  </si>
  <si>
    <t xml:space="preserve">2024-08-19T13:58:03.114+02:00</t>
  </si>
  <si>
    <t xml:space="preserve">Mesl Petr</t>
  </si>
  <si>
    <t xml:space="preserve">2024-08-19T13:40:45.792+02:00</t>
  </si>
  <si>
    <t xml:space="preserve">2024-08-19T14:00:50.647+02:00</t>
  </si>
  <si>
    <t xml:space="preserve">2024-08-19T13:12:19.509+02:00</t>
  </si>
  <si>
    <t xml:space="preserve">2024-08-19T13:21:50.752+02:00</t>
  </si>
  <si>
    <t xml:space="preserve">2024-08-19T13:02:18.327+02:00</t>
  </si>
  <si>
    <t xml:space="preserve">2024-08-19T13:10:30.752+02:00</t>
  </si>
  <si>
    <t xml:space="preserve">2024-08-19T12:45:03.318+02:00</t>
  </si>
  <si>
    <t xml:space="preserve">2024-08-19T12:57:34.771+02:00</t>
  </si>
  <si>
    <t xml:space="preserve">2024-08-19T12:44:37.632+02:00</t>
  </si>
  <si>
    <t xml:space="preserve">2024-08-19T12:59:22.712+02:00</t>
  </si>
  <si>
    <t xml:space="preserve">Roman</t>
  </si>
  <si>
    <t xml:space="preserve">2024-08-19T12:40:26.846+02:00</t>
  </si>
  <si>
    <t xml:space="preserve">2024-08-19T12:48:59.698+02:00</t>
  </si>
  <si>
    <t xml:space="preserve">2024-08-19T12:25:45.907+02:00</t>
  </si>
  <si>
    <t xml:space="preserve">2024-08-19T12:34:36.784+02:00</t>
  </si>
  <si>
    <t xml:space="preserve">2024-08-19T12:06:58.182+02:00</t>
  </si>
  <si>
    <t xml:space="preserve">2024-08-19T12:18:50.833+02:00</t>
  </si>
  <si>
    <t xml:space="preserve">Petro</t>
  </si>
  <si>
    <t xml:space="preserve">2024-08-19T11:54:12.786+02:00</t>
  </si>
  <si>
    <t xml:space="preserve">2024-08-19T12:08:00.691+02:00</t>
  </si>
  <si>
    <t xml:space="preserve">2024-08-19T11:42:03.601+02:00</t>
  </si>
  <si>
    <t xml:space="preserve">2024-08-19T11:52:12.986+02:00</t>
  </si>
  <si>
    <t xml:space="preserve">2024-08-19T11:24:04.165+02:00</t>
  </si>
  <si>
    <t xml:space="preserve">2024-08-19T11:39:43.737+02:00</t>
  </si>
  <si>
    <t xml:space="preserve">Kanatbek</t>
  </si>
  <si>
    <t xml:space="preserve">2024-08-19T11:24:00.410+02:00</t>
  </si>
  <si>
    <t xml:space="preserve">2024-08-19T11:34:55.545+02:00</t>
  </si>
  <si>
    <t xml:space="preserve">2024-08-19T11:18:02.395+02:00</t>
  </si>
  <si>
    <t xml:space="preserve">2024-08-19T11:25:11.405+02:00</t>
  </si>
  <si>
    <t xml:space="preserve">2024-08-19T11:38:30.924+02:00</t>
  </si>
  <si>
    <t xml:space="preserve">2024-08-19T11:18:03.011+02:00</t>
  </si>
  <si>
    <t xml:space="preserve">Oleksandr</t>
  </si>
  <si>
    <t xml:space="preserve">2024-08-19T11:02:39.103+02:00</t>
  </si>
  <si>
    <t xml:space="preserve">2024-08-19T11:19:26.499+02:00</t>
  </si>
  <si>
    <t xml:space="preserve">2024-08-19T10:59:02.484+02:00</t>
  </si>
  <si>
    <t xml:space="preserve">2024-08-19T11:17:41.369+02:00</t>
  </si>
  <si>
    <t xml:space="preserve">2024-08-19T11:37:12.093+02:00</t>
  </si>
  <si>
    <t xml:space="preserve">2024-08-19T11:18:36.368+02:00</t>
  </si>
  <si>
    <t xml:space="preserve">2024-08-19T10:43:03.671+02:00</t>
  </si>
  <si>
    <t xml:space="preserve">2024-08-19T11:14:21.411+02:00</t>
  </si>
  <si>
    <t xml:space="preserve">2024-08-19T11:26:46.026+02:00</t>
  </si>
  <si>
    <t xml:space="preserve">2024-08-19T11:10:40.069+02:00</t>
  </si>
  <si>
    <t xml:space="preserve">accepted</t>
  </si>
  <si>
    <t xml:space="preserve">2024-08-30T00:54:27.998+02:00</t>
  </si>
  <si>
    <t xml:space="preserve">dispatched</t>
  </si>
  <si>
    <t xml:space="preserve">2024-08-30T00:42:02.445+02:00</t>
  </si>
  <si>
    <t xml:space="preserve">2024-08-30T00:52:42.266+02:00</t>
  </si>
  <si>
    <t xml:space="preserve">2024-08-30T00:50:15.266+02:00</t>
  </si>
  <si>
    <t xml:space="preserve">2024-08-30T00:15:32.115+02:00</t>
  </si>
  <si>
    <t xml:space="preserve">2024-08-30T00:29:06.350+02:00</t>
  </si>
  <si>
    <t xml:space="preserve">2024-08-30T00:13:32.704+02:00</t>
  </si>
  <si>
    <t xml:space="preserve">2024-08-30T00:18:39.400+02:00</t>
  </si>
  <si>
    <t xml:space="preserve">Vikas</t>
  </si>
  <si>
    <t xml:space="preserve">2024-08-30T00:06:37.712+02:00</t>
  </si>
  <si>
    <t xml:space="preserve">2024-08-30T00:14:07.190+02:00</t>
  </si>
  <si>
    <t xml:space="preserve">Hammer Jan</t>
  </si>
  <si>
    <t xml:space="preserve">2024-08-29T23:58:03.224+02:00</t>
  </si>
  <si>
    <t xml:space="preserve">2024-08-30T00:11:46.166+02:00</t>
  </si>
  <si>
    <t xml:space="preserve">2024-08-30T00:26:35.798+02:00</t>
  </si>
  <si>
    <t xml:space="preserve">2024-08-29T23:58:03.763+02:00</t>
  </si>
  <si>
    <t xml:space="preserve">2024-08-29T23:53:31.854+02:00</t>
  </si>
  <si>
    <t xml:space="preserve">2024-08-30T00:11:52.347+02:00</t>
  </si>
  <si>
    <t xml:space="preserve">2024-08-29T23:51:05.074+02:00</t>
  </si>
  <si>
    <t xml:space="preserve">2024-08-29T23:59:22.116+02:00</t>
  </si>
  <si>
    <t xml:space="preserve">2024-08-30T00:20:48.554+02:00</t>
  </si>
  <si>
    <t xml:space="preserve">2024-08-29T23:51:05.659+02:00</t>
  </si>
  <si>
    <t xml:space="preserve">2024-08-29T23:44:57.610+02:00</t>
  </si>
  <si>
    <t xml:space="preserve">2024-08-29T23:58:49.228+02:00</t>
  </si>
  <si>
    <t xml:space="preserve">2024-08-29T23:40:54.684+02:00</t>
  </si>
  <si>
    <t xml:space="preserve">2024-08-29T23:52:59.096+02:00</t>
  </si>
  <si>
    <t xml:space="preserve">2024-08-29T23:39:04.837+02:00</t>
  </si>
  <si>
    <t xml:space="preserve">2024-08-29T23:45:16.371+02:00</t>
  </si>
  <si>
    <t xml:space="preserve">2024-08-29T23:36:03.004+02:00</t>
  </si>
  <si>
    <t xml:space="preserve">2024-08-29T23:48:03.080+02:00</t>
  </si>
  <si>
    <t xml:space="preserve">2024-08-29T23:32:31.590+02:00</t>
  </si>
  <si>
    <t xml:space="preserve">2024-08-29T23:55:14.347+02:00</t>
  </si>
  <si>
    <t xml:space="preserve">Martin Sova</t>
  </si>
  <si>
    <t xml:space="preserve">2024-08-29T23:05:13.500+02:00</t>
  </si>
  <si>
    <t xml:space="preserve">2024-08-29T23:31:39.206+02:00</t>
  </si>
  <si>
    <t xml:space="preserve">Robert</t>
  </si>
  <si>
    <t xml:space="preserve">2024-08-29T22:58:03.478+02:00</t>
  </si>
  <si>
    <t xml:space="preserve">2024-08-29T23:14:28.189+02:00</t>
  </si>
  <si>
    <t xml:space="preserve">2024-08-29T22:57:31.320+02:00</t>
  </si>
  <si>
    <t xml:space="preserve">2024-08-29T23:14:50.341+02:00</t>
  </si>
  <si>
    <t xml:space="preserve">Daniel</t>
  </si>
  <si>
    <t xml:space="preserve">2024-08-29T22:56:17.583+02:00</t>
  </si>
  <si>
    <t xml:space="preserve">2024-08-29T23:06:00.222+02:00</t>
  </si>
  <si>
    <t xml:space="preserve">2024-08-29T22:53:30.721+02:00</t>
  </si>
  <si>
    <t xml:space="preserve">2024-08-29T23:14:40.417+02:00</t>
  </si>
  <si>
    <t xml:space="preserve">2024-08-29T22:41:04.150+02:00</t>
  </si>
  <si>
    <t xml:space="preserve">2024-08-29T22:50:53.071+02:00</t>
  </si>
  <si>
    <t xml:space="preserve">2024-08-29T23:04:55.347+02:00</t>
  </si>
  <si>
    <t xml:space="preserve">2024-08-29T22:41:04.716+02:00</t>
  </si>
  <si>
    <t xml:space="preserve">2024-08-29T22:30:03.902+02:00</t>
  </si>
  <si>
    <t xml:space="preserve">2024-08-29T22:44:33.107+02:00</t>
  </si>
  <si>
    <t xml:space="preserve">2024-08-29T22:57:27.786+02:00</t>
  </si>
  <si>
    <t xml:space="preserve">2024-08-29T22:30:04.456+02:00</t>
  </si>
  <si>
    <t xml:space="preserve">Beksultan</t>
  </si>
  <si>
    <t xml:space="preserve">2024-08-29T22:16:47.362+02:00</t>
  </si>
  <si>
    <t xml:space="preserve">2024-08-29T22:29:35.249+02:00</t>
  </si>
  <si>
    <t xml:space="preserve">2024-08-29T22:13:53.812+02:00</t>
  </si>
  <si>
    <t xml:space="preserve">2024-08-29T22:26:27.317+02:00</t>
  </si>
  <si>
    <t xml:space="preserve">2024-08-29T22:12:03.923+02:00</t>
  </si>
  <si>
    <t xml:space="preserve">2024-08-29T22:26:08.050+02:00</t>
  </si>
  <si>
    <t xml:space="preserve">Zbyněk Hyský</t>
  </si>
  <si>
    <t xml:space="preserve">2024-08-29T22:11:04.239+02:00</t>
  </si>
  <si>
    <t xml:space="preserve">2024-08-29T22:22:59.066+02:00</t>
  </si>
  <si>
    <t xml:space="preserve">2024-08-29T22:32:07.783+02:00</t>
  </si>
  <si>
    <t xml:space="preserve">2024-08-29T22:11:04.827+02:00</t>
  </si>
  <si>
    <t xml:space="preserve">Volodymyr</t>
  </si>
  <si>
    <t xml:space="preserve">2024-08-29T21:51:53.590+02:00</t>
  </si>
  <si>
    <t xml:space="preserve">2024-08-29T22:05:29.179+02:00</t>
  </si>
  <si>
    <t xml:space="preserve">2024-08-29T21:44:41.641+02:00</t>
  </si>
  <si>
    <t xml:space="preserve">2024-08-29T22:03:08.344+02:00</t>
  </si>
  <si>
    <t xml:space="preserve">2024-08-29T21:44:03.570+02:00</t>
  </si>
  <si>
    <t xml:space="preserve">2024-08-29T22:07:07.125+02:00</t>
  </si>
  <si>
    <t xml:space="preserve">2024-08-29T22:11:01.196+02:00</t>
  </si>
  <si>
    <t xml:space="preserve">2024-08-29T21:44:04.069+02:00</t>
  </si>
  <si>
    <t xml:space="preserve">ABDULLAEV</t>
  </si>
  <si>
    <t xml:space="preserve">2024-08-29T21:40:03.247+02:00</t>
  </si>
  <si>
    <t xml:space="preserve">2024-08-29T21:55:58.270+02:00</t>
  </si>
  <si>
    <t xml:space="preserve">2024-08-29T21:26:31.542+02:00</t>
  </si>
  <si>
    <t xml:space="preserve">2024-08-29T21:35:47.787+02:00</t>
  </si>
  <si>
    <t xml:space="preserve">2024-08-29T21:06:04.693+02:00</t>
  </si>
  <si>
    <t xml:space="preserve">2024-08-29T21:22:55.089+02:00</t>
  </si>
  <si>
    <t xml:space="preserve">2024-08-29T21:42:47.340+02:00</t>
  </si>
  <si>
    <t xml:space="preserve">2024-08-29T21:06:05.368+02:00</t>
  </si>
  <si>
    <t xml:space="preserve">2024-08-29T21:02:03.050+02:00</t>
  </si>
  <si>
    <t xml:space="preserve">2024-08-29T21:10:28.095+02:00</t>
  </si>
  <si>
    <t xml:space="preserve">2024-08-29T21:30:33.141+02:00</t>
  </si>
  <si>
    <t xml:space="preserve">2024-08-29T21:02:03.517+02:00</t>
  </si>
  <si>
    <t xml:space="preserve">2024-08-29T20:56:02.771+02:00</t>
  </si>
  <si>
    <t xml:space="preserve">2024-08-29T21:06:54.082+02:00</t>
  </si>
  <si>
    <t xml:space="preserve">2024-08-29T21:12:24.976+02:00</t>
  </si>
  <si>
    <t xml:space="preserve">2024-08-29T20:56:03.553+02:00</t>
  </si>
  <si>
    <t xml:space="preserve">2024-08-29T20:48:04.201+02:00</t>
  </si>
  <si>
    <t xml:space="preserve">2024-08-29T20:59:00.072+02:00</t>
  </si>
  <si>
    <t xml:space="preserve">2024-08-29T21:21:01.917+02:00</t>
  </si>
  <si>
    <t xml:space="preserve">2024-08-29T20:48:04.776+02:00</t>
  </si>
  <si>
    <t xml:space="preserve">2024-08-29T20:40:32.561+02:00</t>
  </si>
  <si>
    <t xml:space="preserve">2024-08-29T20:58:56.318+02:00</t>
  </si>
  <si>
    <t xml:space="preserve">2024-08-29T20:39:02.608+02:00</t>
  </si>
  <si>
    <t xml:space="preserve">2024-08-29T20:55:01.092+02:00</t>
  </si>
  <si>
    <t xml:space="preserve">2024-08-29T21:04:34.484+02:00</t>
  </si>
  <si>
    <t xml:space="preserve">2024-08-29T20:39:03.282+02:00</t>
  </si>
  <si>
    <t xml:space="preserve">2024-08-29T20:37:20.996+02:00</t>
  </si>
  <si>
    <t xml:space="preserve">2024-08-29T20:50:33.038+02:00</t>
  </si>
  <si>
    <t xml:space="preserve">2024-08-29T20:36:35.762+02:00</t>
  </si>
  <si>
    <t xml:space="preserve">2024-08-29T20:55:03.314+02:00</t>
  </si>
  <si>
    <t xml:space="preserve">2024-08-29T20:18:24.430+02:00</t>
  </si>
  <si>
    <t xml:space="preserve">2024-08-29T20:28:56.134+02:00</t>
  </si>
  <si>
    <t xml:space="preserve">2024-08-29T20:12:02.333+02:00</t>
  </si>
  <si>
    <t xml:space="preserve">2024-08-29T20:26:37.352+02:00</t>
  </si>
  <si>
    <t xml:space="preserve">2024-08-29T20:36:20.449+02:00</t>
  </si>
  <si>
    <t xml:space="preserve">2024-08-29T20:12:02.827+02:00</t>
  </si>
  <si>
    <t xml:space="preserve">2024-08-29T19:58:03.799+02:00</t>
  </si>
  <si>
    <t xml:space="preserve">2024-08-29T20:17:26.100+02:00</t>
  </si>
  <si>
    <t xml:space="preserve">2024-08-29T20:34:33.273+02:00</t>
  </si>
  <si>
    <t xml:space="preserve">2024-08-29T19:58:04.927+02:00</t>
  </si>
  <si>
    <t xml:space="preserve">2024-08-29T19:58:03.782+02:00</t>
  </si>
  <si>
    <t xml:space="preserve">2024-08-29T20:15:42.089+02:00</t>
  </si>
  <si>
    <t xml:space="preserve">2024-08-29T20:23:27.290+02:00</t>
  </si>
  <si>
    <t xml:space="preserve">2024-08-29T19:58:04.650+02:00</t>
  </si>
  <si>
    <t xml:space="preserve">2024-08-29T19:54:34.651+02:00</t>
  </si>
  <si>
    <t xml:space="preserve">2024-08-29T20:13:06.315+02:00</t>
  </si>
  <si>
    <t xml:space="preserve">2024-08-29T19:47:39.455+02:00</t>
  </si>
  <si>
    <t xml:space="preserve">2024-08-29T19:58:54.718+02:00</t>
  </si>
  <si>
    <t xml:space="preserve">2024-08-29T19:44:02.394+02:00</t>
  </si>
  <si>
    <t xml:space="preserve">2024-08-29T20:05:16.056+02:00</t>
  </si>
  <si>
    <t xml:space="preserve">2024-08-29T19:38:07.350+02:00</t>
  </si>
  <si>
    <t xml:space="preserve">2024-08-29T19:56:33.291+02:00</t>
  </si>
  <si>
    <t xml:space="preserve">Jawad Ali</t>
  </si>
  <si>
    <t xml:space="preserve">2024-08-29T19:36:14.873+02:00</t>
  </si>
  <si>
    <t xml:space="preserve">2024-08-29T19:54:01.156+02:00</t>
  </si>
  <si>
    <t xml:space="preserve">2024-08-29T19:29:36.442+02:00</t>
  </si>
  <si>
    <t xml:space="preserve">2024-08-29T19:52:20.459+02:00</t>
  </si>
  <si>
    <t xml:space="preserve">2024-08-29T19:28:40.574+02:00</t>
  </si>
  <si>
    <t xml:space="preserve">2024-08-29T19:47:06.393+02:00</t>
  </si>
  <si>
    <t xml:space="preserve">2024-08-29T19:25:30.660+02:00</t>
  </si>
  <si>
    <t xml:space="preserve">2024-08-29T19:45:57.968+02:00</t>
  </si>
  <si>
    <t xml:space="preserve">2024-08-29T19:15:31.708+02:00</t>
  </si>
  <si>
    <t xml:space="preserve">2024-08-29T19:35:00.446+02:00</t>
  </si>
  <si>
    <t xml:space="preserve">2024-08-29T19:15:26.753+02:00</t>
  </si>
  <si>
    <t xml:space="preserve">2024-08-29T19:43:49.349+02:00</t>
  </si>
  <si>
    <t xml:space="preserve">2024-08-29T19:11:03.518+02:00</t>
  </si>
  <si>
    <t xml:space="preserve">2024-08-29T19:24:21.316+02:00</t>
  </si>
  <si>
    <t xml:space="preserve">2024-08-29T19:10:32.603+02:00</t>
  </si>
  <si>
    <t xml:space="preserve">2024-08-29T19:29:37.315+02:00</t>
  </si>
  <si>
    <t xml:space="preserve">Oleksii</t>
  </si>
  <si>
    <t xml:space="preserve">2024-08-29T19:05:41.066+02:00</t>
  </si>
  <si>
    <t xml:space="preserve">2024-08-29T19:20:07.114+02:00</t>
  </si>
  <si>
    <t xml:space="preserve">2024-08-29T19:01:31.943+02:00</t>
  </si>
  <si>
    <t xml:space="preserve">2024-08-29T19:11:15.823+02:00</t>
  </si>
  <si>
    <t xml:space="preserve">2024-08-29T18:53:02.760+02:00</t>
  </si>
  <si>
    <t xml:space="preserve">2024-08-29T19:04:27.542+02:00</t>
  </si>
  <si>
    <t xml:space="preserve">2024-08-29T18:44:51.589+02:00</t>
  </si>
  <si>
    <t xml:space="preserve">2024-08-29T18:56:55.804+02:00</t>
  </si>
  <si>
    <t xml:space="preserve">2024-08-29T18:40:02.258+02:00</t>
  </si>
  <si>
    <t xml:space="preserve">2024-08-29T18:52:51.637+02:00</t>
  </si>
  <si>
    <t xml:space="preserve">2024-08-29T18:57:42.553+02:00</t>
  </si>
  <si>
    <t xml:space="preserve">2024-08-29T18:40:02.731+02:00</t>
  </si>
  <si>
    <t xml:space="preserve">2024-08-29T18:37:05.955+02:00</t>
  </si>
  <si>
    <t xml:space="preserve">2024-08-29T18:53:07.546+02:00</t>
  </si>
  <si>
    <t xml:space="preserve">2024-08-29T19:04:03.697+02:00</t>
  </si>
  <si>
    <t xml:space="preserve">2024-08-29T18:37:06.485+02:00</t>
  </si>
  <si>
    <t xml:space="preserve">2024-08-29T18:30:30.646+02:00</t>
  </si>
  <si>
    <t xml:space="preserve">2024-08-29T18:50:27.886+02:00</t>
  </si>
  <si>
    <t xml:space="preserve">2024-08-29T18:28:29.607+02:00</t>
  </si>
  <si>
    <t xml:space="preserve">2024-08-29T18:46:43.884+02:00</t>
  </si>
  <si>
    <t xml:space="preserve">2024-08-29T18:27:02.702+02:00</t>
  </si>
  <si>
    <t xml:space="preserve">2024-08-29T18:35:57.679+02:00</t>
  </si>
  <si>
    <t xml:space="preserve">2024-08-29T18:44:49.717+02:00</t>
  </si>
  <si>
    <t xml:space="preserve">2024-08-29T18:27:03.239+02:00</t>
  </si>
  <si>
    <t xml:space="preserve">2024-08-29T18:24:02.729+02:00</t>
  </si>
  <si>
    <t xml:space="preserve">2024-08-29T18:33:36.571+02:00</t>
  </si>
  <si>
    <t xml:space="preserve">2024-08-29T18:40:17.316+02:00</t>
  </si>
  <si>
    <t xml:space="preserve">2024-08-29T18:24:03.606+02:00</t>
  </si>
  <si>
    <t xml:space="preserve">2024-08-29T18:23:45.923+02:00</t>
  </si>
  <si>
    <t xml:space="preserve">2024-08-29T18:52:56.139+02:00</t>
  </si>
  <si>
    <t xml:space="preserve">2024-08-29T18:23:32.164+02:00</t>
  </si>
  <si>
    <t xml:space="preserve">2024-08-29T18:45:08.846+02:00</t>
  </si>
  <si>
    <t xml:space="preserve">2024-08-29T18:06:08.770+02:00</t>
  </si>
  <si>
    <t xml:space="preserve">2024-08-29T18:32:24.701+02:00</t>
  </si>
  <si>
    <t xml:space="preserve">2024-08-29T18:02:30.884+02:00</t>
  </si>
  <si>
    <t xml:space="preserve">2024-08-29T18:13:45.814+02:00</t>
  </si>
  <si>
    <t xml:space="preserve">2024-08-29T17:56:03.081+02:00</t>
  </si>
  <si>
    <t xml:space="preserve">2024-08-29T18:09:55.548+02:00</t>
  </si>
  <si>
    <t xml:space="preserve">2024-08-29T18:17:52.047+02:00</t>
  </si>
  <si>
    <t xml:space="preserve">2024-08-29T17:56:03.694+02:00</t>
  </si>
  <si>
    <t xml:space="preserve">2024-08-29T17:32:27.149+02:00</t>
  </si>
  <si>
    <t xml:space="preserve">2024-08-29T17:51:57.832+02:00</t>
  </si>
  <si>
    <t xml:space="preserve">2024-08-29T17:29:30.900+02:00</t>
  </si>
  <si>
    <t xml:space="preserve">2024-08-29T17:48:15.757+02:00</t>
  </si>
  <si>
    <t xml:space="preserve">2024-08-29T17:24:26.246+02:00</t>
  </si>
  <si>
    <t xml:space="preserve">2024-08-29T17:45:23.879+02:00</t>
  </si>
  <si>
    <t xml:space="preserve">2024-08-29T17:22:03.432+02:00</t>
  </si>
  <si>
    <t xml:space="preserve">2024-08-29T17:39:13.513+02:00</t>
  </si>
  <si>
    <t xml:space="preserve">2024-08-29T18:02:43.440+02:00</t>
  </si>
  <si>
    <t xml:space="preserve">2024-08-29T17:22:04.601+02:00</t>
  </si>
  <si>
    <t xml:space="preserve">2024-08-29T17:17:04.314+02:00</t>
  </si>
  <si>
    <t xml:space="preserve">2024-08-29T17:33:23.579+02:00</t>
  </si>
  <si>
    <t xml:space="preserve">2024-08-29T17:54:54.928+02:00</t>
  </si>
  <si>
    <t xml:space="preserve">2024-08-29T17:17:04.866+02:00</t>
  </si>
  <si>
    <t xml:space="preserve">2024-08-29T17:12:26.389+02:00</t>
  </si>
  <si>
    <t xml:space="preserve">2024-08-29T17:30:28.802+02:00</t>
  </si>
  <si>
    <t xml:space="preserve">2024-08-29T16:47:27.733+02:00</t>
  </si>
  <si>
    <t xml:space="preserve">2024-08-29T17:01:34.738+02:00</t>
  </si>
  <si>
    <t xml:space="preserve">2024-08-29T16:44:03.096+02:00</t>
  </si>
  <si>
    <t xml:space="preserve">2024-08-29T17:22:50.503+02:00</t>
  </si>
  <si>
    <t xml:space="preserve">2024-08-29T16:25:44.834+02:00</t>
  </si>
  <si>
    <t xml:space="preserve">2024-08-29T16:27:13.459+02:00</t>
  </si>
  <si>
    <t xml:space="preserve">2024-08-29T16:21:03.438+02:00</t>
  </si>
  <si>
    <t xml:space="preserve">2024-08-29T16:37:46.516+02:00</t>
  </si>
  <si>
    <t xml:space="preserve">2024-08-29T16:44:18.394+02:00</t>
  </si>
  <si>
    <t xml:space="preserve">2024-08-29T16:21:03.923+02:00</t>
  </si>
  <si>
    <t xml:space="preserve">2024-08-29T16:20:59.975+02:00</t>
  </si>
  <si>
    <t xml:space="preserve">2024-08-29T16:33:51.660+02:00</t>
  </si>
  <si>
    <t xml:space="preserve">2024-08-29T16:18:25.528+02:00</t>
  </si>
  <si>
    <t xml:space="preserve">2024-08-29T16:27:17.823+02:00</t>
  </si>
  <si>
    <t xml:space="preserve">2024-08-29T16:18:03.983+02:00</t>
  </si>
  <si>
    <t xml:space="preserve">2024-08-29T16:35:40.435+02:00</t>
  </si>
  <si>
    <t xml:space="preserve">2024-08-29T16:08:56.764+02:00</t>
  </si>
  <si>
    <t xml:space="preserve">2024-08-29T16:22:36.725+02:00</t>
  </si>
  <si>
    <t xml:space="preserve">Lukáš</t>
  </si>
  <si>
    <t xml:space="preserve">2024-08-29T16:08:17.216+02:00</t>
  </si>
  <si>
    <t xml:space="preserve">2024-08-29T16:20:40.862+02:00</t>
  </si>
  <si>
    <t xml:space="preserve">2024-08-29T15:37:02.777+02:00</t>
  </si>
  <si>
    <t xml:space="preserve">2024-08-29T15:46:42.313+02:00</t>
  </si>
  <si>
    <t xml:space="preserve">2024-08-29T15:23:21.692+02:00</t>
  </si>
  <si>
    <t xml:space="preserve">2024-08-29T15:44:19.682+02:00</t>
  </si>
  <si>
    <t xml:space="preserve">2024-08-29T15:16:03.139+02:00</t>
  </si>
  <si>
    <t xml:space="preserve">2024-08-29T15:31:04.364+02:00</t>
  </si>
  <si>
    <t xml:space="preserve">2024-08-29T15:06:03.806+02:00</t>
  </si>
  <si>
    <t xml:space="preserve">2024-08-29T15:15:07.396+02:00</t>
  </si>
  <si>
    <t xml:space="preserve">2024-08-29T15:29:51.085+02:00</t>
  </si>
  <si>
    <t xml:space="preserve">2024-08-29T15:11:30.429+02:00</t>
  </si>
  <si>
    <t xml:space="preserve">2024-08-29T14:57:34.435+02:00</t>
  </si>
  <si>
    <t xml:space="preserve">2024-08-29T15:11:24.457+02:00</t>
  </si>
  <si>
    <t xml:space="preserve">2024-08-29T14:44:33.789+02:00</t>
  </si>
  <si>
    <t xml:space="preserve">2024-08-29T15:08:01.578+02:00</t>
  </si>
  <si>
    <t xml:space="preserve">2024-08-29T14:41:23.437+02:00</t>
  </si>
  <si>
    <t xml:space="preserve">2024-08-29T14:59:56.899+02:00</t>
  </si>
  <si>
    <t xml:space="preserve">2024-08-29T14:40:03.298+02:00</t>
  </si>
  <si>
    <t xml:space="preserve">2024-08-29T14:55:02.362+02:00</t>
  </si>
  <si>
    <t xml:space="preserve">2024-08-29T15:45:21.026+02:00</t>
  </si>
  <si>
    <t xml:space="preserve">2024-08-29T14:52:01.967+02:00</t>
  </si>
  <si>
    <t xml:space="preserve">2024-08-29T14:18:29.691+02:00</t>
  </si>
  <si>
    <t xml:space="preserve">2024-08-29T14:24:51.542+02:00</t>
  </si>
  <si>
    <t xml:space="preserve">2024-08-29T14:14:08.507+02:00</t>
  </si>
  <si>
    <t xml:space="preserve">2024-08-29T14:23:40.287+02:00</t>
  </si>
  <si>
    <t xml:space="preserve">2024-08-29T14:09:07.312+02:00</t>
  </si>
  <si>
    <t xml:space="preserve">2024-08-29T14:15:57.014+02:00</t>
  </si>
  <si>
    <t xml:space="preserve">2024-08-29T13:58:23.039+02:00</t>
  </si>
  <si>
    <t xml:space="preserve">2024-08-29T14:12:53.862+02:00</t>
  </si>
  <si>
    <t xml:space="preserve">2024-08-29T13:56:44.636+02:00</t>
  </si>
  <si>
    <t xml:space="preserve">2024-08-29T14:11:19.415+02:00</t>
  </si>
  <si>
    <t xml:space="preserve">2024-08-29T13:51:24.899+02:00</t>
  </si>
  <si>
    <t xml:space="preserve">2024-08-29T14:02:02.803+02:00</t>
  </si>
  <si>
    <t xml:space="preserve">2024-08-29T13:47:05.037+02:00</t>
  </si>
  <si>
    <t xml:space="preserve">2024-08-29T13:57:11.541+02:00</t>
  </si>
  <si>
    <t xml:space="preserve">2024-08-29T13:26:47.286+02:00</t>
  </si>
  <si>
    <t xml:space="preserve">2024-08-29T13:37:51.355+02:00</t>
  </si>
  <si>
    <t xml:space="preserve">2024-08-29T13:25:50.116+02:00</t>
  </si>
  <si>
    <t xml:space="preserve">2024-08-29T13:34:47.189+02:00</t>
  </si>
  <si>
    <t xml:space="preserve">2024-08-29T13:03:10.593+02:00</t>
  </si>
  <si>
    <t xml:space="preserve">2024-08-29T13:11:15.223+02:00</t>
  </si>
  <si>
    <t xml:space="preserve">2024-08-29T12:59:28.463+02:00</t>
  </si>
  <si>
    <t xml:space="preserve">2024-08-29T13:13:25.511+02:00</t>
  </si>
  <si>
    <t xml:space="preserve">2024-08-29T12:59:02.973+02:00</t>
  </si>
  <si>
    <t xml:space="preserve">2024-08-29T13:21:15.266+02:00</t>
  </si>
  <si>
    <t xml:space="preserve">2024-08-29T12:38:03.197+02:00</t>
  </si>
  <si>
    <t xml:space="preserve">2024-08-29T12:57:26.258+02:00</t>
  </si>
  <si>
    <t xml:space="preserve">2024-08-29T13:09:01.658+02:00</t>
  </si>
  <si>
    <t xml:space="preserve">2024-08-29T12:38:03.410+02:00</t>
  </si>
  <si>
    <t xml:space="preserve">2024-08-29T12:28:47.505+02:00</t>
  </si>
  <si>
    <t xml:space="preserve">2024-08-29T12:48:41.996+02:00</t>
  </si>
  <si>
    <t xml:space="preserve">2024-08-29T12:05:02.483+02:00</t>
  </si>
  <si>
    <t xml:space="preserve">2024-08-29T12:15:22.213+02:00</t>
  </si>
  <si>
    <t xml:space="preserve">2024-08-29T12:29:03.822+02:00</t>
  </si>
  <si>
    <t xml:space="preserve">2024-08-29T12:05:02.725+02:00</t>
  </si>
  <si>
    <t xml:space="preserve">2024-08-29T12:02:48.735+02:00</t>
  </si>
  <si>
    <t xml:space="preserve">2024-08-29T12:12:14.418+02:00</t>
  </si>
  <si>
    <t xml:space="preserve">Ladislav</t>
  </si>
  <si>
    <t xml:space="preserve">2024-08-29T11:27:41.910+02:00</t>
  </si>
  <si>
    <t xml:space="preserve">2024-08-29T11:51:36.595+02:00</t>
  </si>
  <si>
    <t xml:space="preserve">Anton</t>
  </si>
  <si>
    <t xml:space="preserve">2024-08-29T11:22:56.008+02:00</t>
  </si>
  <si>
    <t xml:space="preserve">2024-08-29T11:38:55.413+02:00</t>
  </si>
  <si>
    <t xml:space="preserve">2024-08-29T11:20:36.846+02:00</t>
  </si>
  <si>
    <t xml:space="preserve">2024-08-29T11:29:27.423+02:00</t>
  </si>
  <si>
    <t xml:space="preserve">2024-08-29T11:15:02.666+02:00</t>
  </si>
  <si>
    <t xml:space="preserve">2024-08-29T11:43:18.242+02:00</t>
  </si>
  <si>
    <t xml:space="preserve">2024-08-29T12:10:17.255+02:00</t>
  </si>
  <si>
    <t xml:space="preserve">2024-08-29T11:35:33.571+02:00</t>
  </si>
  <si>
    <t xml:space="preserve">2024-08-29T11:09:26.570+02:00</t>
  </si>
  <si>
    <t xml:space="preserve">2024-08-29T11:19:42.438+02:00</t>
  </si>
  <si>
    <t xml:space="preserve">2024-08-29T10:57:03.290+02:00</t>
  </si>
  <si>
    <t xml:space="preserve">2024-08-29T11:17:00.181+02:00</t>
  </si>
  <si>
    <t xml:space="preserve">2024-08-29T11:22:24.291+02:00</t>
  </si>
  <si>
    <t xml:space="preserve">2024-08-29T10:57:03.497+02:00</t>
  </si>
  <si>
    <t xml:space="preserve">2024-08-29T10:39:03.367+02:00</t>
  </si>
  <si>
    <t xml:space="preserve">2024-08-29T11:28:24.180+02:00</t>
  </si>
  <si>
    <t xml:space="preserve">2024-08-29T11:36:16.283+02:00</t>
  </si>
  <si>
    <t xml:space="preserve">2024-08-29T10:39:03.794+02:00</t>
  </si>
  <si>
    <t xml:space="preserve">2024-08-31T02:43:04.038+02:00</t>
  </si>
  <si>
    <t xml:space="preserve">2024-08-31T02:51:09.663+02:00</t>
  </si>
  <si>
    <t xml:space="preserve">2024-08-31T02:47:18.443+02:00</t>
  </si>
  <si>
    <t xml:space="preserve">2024-08-31T02:28:03.161+02:00</t>
  </si>
  <si>
    <t xml:space="preserve">2024-08-31T02:42:14.653+02:00</t>
  </si>
  <si>
    <t xml:space="preserve">2024-08-31T02:40:58.714+02:00</t>
  </si>
  <si>
    <t xml:space="preserve">Damián</t>
  </si>
  <si>
    <t xml:space="preserve">2024-08-31T01:33:07.648+02:00</t>
  </si>
  <si>
    <t xml:space="preserve">2024-08-31T01:43:10.520+02:00</t>
  </si>
  <si>
    <t xml:space="preserve">2024-08-31T01:32:03.261+02:00</t>
  </si>
  <si>
    <t xml:space="preserve">2024-08-31T01:40:22.546+02:00</t>
  </si>
  <si>
    <t xml:space="preserve">2024-08-31T01:58:20.096+02:00</t>
  </si>
  <si>
    <t xml:space="preserve">2024-08-31T01:39:23.109+02:00</t>
  </si>
  <si>
    <t xml:space="preserve">George</t>
  </si>
  <si>
    <t xml:space="preserve">2024-08-31T01:29:33.453+02:00</t>
  </si>
  <si>
    <t xml:space="preserve">2024-08-31T01:38:13.561+02:00</t>
  </si>
  <si>
    <t xml:space="preserve">2024-08-31T00:54:02.302+02:00</t>
  </si>
  <si>
    <t xml:space="preserve">2024-08-31T01:00:56.857+02:00</t>
  </si>
  <si>
    <t xml:space="preserve">2024-08-31T00:43:02.928+02:00</t>
  </si>
  <si>
    <t xml:space="preserve">2024-08-31T00:49:59.695+02:00</t>
  </si>
  <si>
    <t xml:space="preserve">2024-08-31T00:33:47.902+02:00</t>
  </si>
  <si>
    <t xml:space="preserve">2024-08-31T00:45:17.686+02:00</t>
  </si>
  <si>
    <t xml:space="preserve">2024-08-31T00:29:00.968+02:00</t>
  </si>
  <si>
    <t xml:space="preserve">2024-08-31T00:35:47.930+02:00</t>
  </si>
  <si>
    <t xml:space="preserve">2024-08-31T00:20:01.149+02:00</t>
  </si>
  <si>
    <t xml:space="preserve">2024-08-31T00:28:50.763+02:00</t>
  </si>
  <si>
    <t xml:space="preserve">2024-08-31T00:16:45.870+02:00</t>
  </si>
  <si>
    <t xml:space="preserve">2024-08-31T00:27:10.729+02:00</t>
  </si>
  <si>
    <t xml:space="preserve">2024-08-31T00:05:32.173+02:00</t>
  </si>
  <si>
    <t xml:space="preserve">2024-08-31T00:12:45.695+02:00</t>
  </si>
  <si>
    <t xml:space="preserve">2024-08-30T23:54:55.688+02:00</t>
  </si>
  <si>
    <t xml:space="preserve">2024-08-31T00:07:33.651+02:00</t>
  </si>
  <si>
    <t xml:space="preserve">Ali</t>
  </si>
  <si>
    <t xml:space="preserve">2024-08-30T23:53:47.295+02:00</t>
  </si>
  <si>
    <t xml:space="preserve">2024-08-31T00:05:15.508+02:00</t>
  </si>
  <si>
    <t xml:space="preserve">2024-08-30T23:47:48.432+02:00</t>
  </si>
  <si>
    <t xml:space="preserve">2024-08-31T00:03:13.621+02:00</t>
  </si>
  <si>
    <t xml:space="preserve">2024-08-30T23:34:45.008+02:00</t>
  </si>
  <si>
    <t xml:space="preserve">2024-08-30T23:47:51.944+02:00</t>
  </si>
  <si>
    <t xml:space="preserve">2024-08-30T23:33:03.370+02:00</t>
  </si>
  <si>
    <t xml:space="preserve">2024-08-30T23:45:48.449+02:00</t>
  </si>
  <si>
    <t xml:space="preserve">2024-08-31T00:18:10.764+02:00</t>
  </si>
  <si>
    <t xml:space="preserve">2024-08-30T23:57:00.959+02:00</t>
  </si>
  <si>
    <t xml:space="preserve">2024-08-30T23:30:02.762+02:00</t>
  </si>
  <si>
    <t xml:space="preserve">2024-08-30T23:44:52.577+02:00</t>
  </si>
  <si>
    <t xml:space="preserve">2024-08-31T00:02:38.538+02:00</t>
  </si>
  <si>
    <t xml:space="preserve">2024-08-30T23:41:53.020+02:00</t>
  </si>
  <si>
    <t xml:space="preserve">2024-08-30T23:27:03.099+02:00</t>
  </si>
  <si>
    <t xml:space="preserve">2024-08-30T23:39:18.426+02:00</t>
  </si>
  <si>
    <t xml:space="preserve">2024-08-30T23:25:03.549+02:00</t>
  </si>
  <si>
    <t xml:space="preserve">2024-08-30T23:39:34.491+02:00</t>
  </si>
  <si>
    <t xml:space="preserve">2024-08-30T23:24:59.154+02:00</t>
  </si>
  <si>
    <t xml:space="preserve">2024-08-30T23:36:37.518+02:00</t>
  </si>
  <si>
    <t xml:space="preserve">2024-08-30T23:12:03.486+02:00</t>
  </si>
  <si>
    <t xml:space="preserve">2024-08-30T23:23:52.412+02:00</t>
  </si>
  <si>
    <t xml:space="preserve">2024-08-30T23:12:01.096+02:00</t>
  </si>
  <si>
    <t xml:space="preserve">2024-08-30T23:20:35.638+02:00</t>
  </si>
  <si>
    <t xml:space="preserve">2024-08-30T23:07:29.171+02:00</t>
  </si>
  <si>
    <t xml:space="preserve">2024-08-30T23:19:26.611+02:00</t>
  </si>
  <si>
    <t xml:space="preserve">2024-08-30T23:06:57.403+02:00</t>
  </si>
  <si>
    <t xml:space="preserve">2024-08-30T23:16:06.462+02:00</t>
  </si>
  <si>
    <t xml:space="preserve">2024-08-30T23:05:01.197+02:00</t>
  </si>
  <si>
    <t xml:space="preserve">2024-08-30T23:20:03.960+02:00</t>
  </si>
  <si>
    <t xml:space="preserve">2024-08-30T23:03:27.089+02:00</t>
  </si>
  <si>
    <t xml:space="preserve">2024-08-30T23:18:04.608+02:00</t>
  </si>
  <si>
    <t xml:space="preserve">2024-08-30T22:43:00.386+02:00</t>
  </si>
  <si>
    <t xml:space="preserve">2024-08-30T22:56:03.744+02:00</t>
  </si>
  <si>
    <t xml:space="preserve">2024-08-30T22:38:43.298+02:00</t>
  </si>
  <si>
    <t xml:space="preserve">2024-08-30T22:52:23.583+02:00</t>
  </si>
  <si>
    <t xml:space="preserve">2024-08-30T22:37:01.082+02:00</t>
  </si>
  <si>
    <t xml:space="preserve">2024-08-30T22:52:01.796+02:00</t>
  </si>
  <si>
    <t xml:space="preserve">2024-08-30T22:34:12.123+02:00</t>
  </si>
  <si>
    <t xml:space="preserve">2024-08-30T22:46:56.639+02:00</t>
  </si>
  <si>
    <t xml:space="preserve">2024-08-30T22:33:00.047+02:00</t>
  </si>
  <si>
    <t xml:space="preserve">2024-08-30T22:47:08.952+02:00</t>
  </si>
  <si>
    <t xml:space="preserve">2024-08-30T22:32:40.650+02:00</t>
  </si>
  <si>
    <t xml:space="preserve">2024-08-30T22:46:51.691+02:00</t>
  </si>
  <si>
    <t xml:space="preserve">2024-08-30T22:31:59.729+02:00</t>
  </si>
  <si>
    <t xml:space="preserve">2024-08-30T22:43:34.873+02:00</t>
  </si>
  <si>
    <t xml:space="preserve">2024-08-30T22:30:59.906+02:00</t>
  </si>
  <si>
    <t xml:space="preserve">2024-08-30T22:42:45.959+02:00</t>
  </si>
  <si>
    <t xml:space="preserve">2024-08-30T22:27:03.384+02:00</t>
  </si>
  <si>
    <t xml:space="preserve">2024-08-30T22:36:54.471+02:00</t>
  </si>
  <si>
    <t xml:space="preserve">2024-08-30T22:43:26.240+02:00</t>
  </si>
  <si>
    <t xml:space="preserve">2024-08-30T22:27:04.069+02:00</t>
  </si>
  <si>
    <t xml:space="preserve">2024-08-30T22:26:59.965+02:00</t>
  </si>
  <si>
    <t xml:space="preserve">2024-08-30T22:34:28.405+02:00</t>
  </si>
  <si>
    <t xml:space="preserve">2024-08-30T22:05:37.965+02:00</t>
  </si>
  <si>
    <t xml:space="preserve">2024-08-30T22:16:40.424+02:00</t>
  </si>
  <si>
    <t xml:space="preserve">2024-08-30T22:05:03.553+02:00</t>
  </si>
  <si>
    <t xml:space="preserve">2024-08-30T22:15:04.410+02:00</t>
  </si>
  <si>
    <t xml:space="preserve">2024-08-30T22:02:58.853+02:00</t>
  </si>
  <si>
    <t xml:space="preserve">2024-08-30T22:13:50.650+02:00</t>
  </si>
  <si>
    <t xml:space="preserve">2024-08-30T22:01:03.148+02:00</t>
  </si>
  <si>
    <t xml:space="preserve">2024-08-30T22:11:25.483+02:00</t>
  </si>
  <si>
    <t xml:space="preserve">2024-08-30T22:18:34.788+02:00</t>
  </si>
  <si>
    <t xml:space="preserve">2024-08-30T22:01:03.727+02:00</t>
  </si>
  <si>
    <t xml:space="preserve">2024-08-30T21:58:00.334+02:00</t>
  </si>
  <si>
    <t xml:space="preserve">2024-08-30T22:14:30.708+02:00</t>
  </si>
  <si>
    <t xml:space="preserve">2024-08-30T21:57:58.772+02:00</t>
  </si>
  <si>
    <t xml:space="preserve">2024-08-30T22:11:38.585+02:00</t>
  </si>
  <si>
    <t xml:space="preserve">2024-08-30T21:56:59.749+02:00</t>
  </si>
  <si>
    <t xml:space="preserve">2024-08-30T22:09:22.684+02:00</t>
  </si>
  <si>
    <t xml:space="preserve">2024-08-30T21:54:15.811+02:00</t>
  </si>
  <si>
    <t xml:space="preserve">2024-08-30T22:06:06.675+02:00</t>
  </si>
  <si>
    <t xml:space="preserve">2024-08-30T21:50:24.917+02:00</t>
  </si>
  <si>
    <t xml:space="preserve">2024-08-30T22:00:39.479+02:00</t>
  </si>
  <si>
    <t xml:space="preserve">Vladyslav</t>
  </si>
  <si>
    <t xml:space="preserve">2024-08-30T21:38:52.755+02:00</t>
  </si>
  <si>
    <t xml:space="preserve">2024-08-30T21:52:48.519+02:00</t>
  </si>
  <si>
    <t xml:space="preserve">2024-08-30T21:38:15.570+02:00</t>
  </si>
  <si>
    <t xml:space="preserve">2024-08-30T21:43:49.396+02:00</t>
  </si>
  <si>
    <t xml:space="preserve">Nazar</t>
  </si>
  <si>
    <t xml:space="preserve">2024-08-30T21:35:44.748+02:00</t>
  </si>
  <si>
    <t xml:space="preserve">2024-08-30T21:51:05.485+02:00</t>
  </si>
  <si>
    <t xml:space="preserve">2024-08-30T21:34:48.256+02:00</t>
  </si>
  <si>
    <t xml:space="preserve">2024-08-30T21:46:57.001+02:00</t>
  </si>
  <si>
    <t xml:space="preserve">2024-08-30T21:29:45.491+02:00</t>
  </si>
  <si>
    <t xml:space="preserve">2024-08-30T21:43:53.659+02:00</t>
  </si>
  <si>
    <t xml:space="preserve">2024-08-30T21:10:02.981+02:00</t>
  </si>
  <si>
    <t xml:space="preserve">2024-08-30T21:19:49.373+02:00</t>
  </si>
  <si>
    <t xml:space="preserve">2024-08-30T21:09:59.376+02:00</t>
  </si>
  <si>
    <t xml:space="preserve">2024-08-30T21:25:44.742+02:00</t>
  </si>
  <si>
    <t xml:space="preserve">Juraj</t>
  </si>
  <si>
    <t xml:space="preserve">2024-08-30T21:08:42.610+02:00</t>
  </si>
  <si>
    <t xml:space="preserve">2024-08-30T21:20:42.492+02:00</t>
  </si>
  <si>
    <t xml:space="preserve">2024-08-30T21:04:02.423+02:00</t>
  </si>
  <si>
    <t xml:space="preserve">2024-08-30T21:19:47.378+02:00</t>
  </si>
  <si>
    <t xml:space="preserve">2024-08-30T21:04:00.601+02:00</t>
  </si>
  <si>
    <t xml:space="preserve">2024-08-30T21:14:15.750+02:00</t>
  </si>
  <si>
    <t xml:space="preserve">2024-08-30T21:04:00.582+02:00</t>
  </si>
  <si>
    <t xml:space="preserve">2024-08-30T21:11:31.749+02:00</t>
  </si>
  <si>
    <t xml:space="preserve">2024-08-30T20:49:38.764+02:00</t>
  </si>
  <si>
    <t xml:space="preserve">2024-08-30T20:58:55.382+02:00</t>
  </si>
  <si>
    <t xml:space="preserve">2024-08-30T20:48:03.517+02:00</t>
  </si>
  <si>
    <t xml:space="preserve">2024-08-30T21:04:18.390+02:00</t>
  </si>
  <si>
    <t xml:space="preserve">2024-08-30T21:13:29.103+02:00</t>
  </si>
  <si>
    <t xml:space="preserve">2024-08-30T20:48:04.055+02:00</t>
  </si>
  <si>
    <t xml:space="preserve">2024-08-30T20:40:02.560+02:00</t>
  </si>
  <si>
    <t xml:space="preserve">2024-08-30T21:01:49.349+02:00</t>
  </si>
  <si>
    <t xml:space="preserve">Šarközi Dávid</t>
  </si>
  <si>
    <t xml:space="preserve">2024-08-30T20:38:03.440+02:00</t>
  </si>
  <si>
    <t xml:space="preserve">2024-08-30T20:58:39.448+02:00</t>
  </si>
  <si>
    <t xml:space="preserve">2024-08-30T21:05:50.956+02:00</t>
  </si>
  <si>
    <t xml:space="preserve">2024-08-30T20:38:03.998+02:00</t>
  </si>
  <si>
    <t xml:space="preserve">2024-08-30T20:36:02.245+02:00</t>
  </si>
  <si>
    <t xml:space="preserve">2024-08-30T20:54:33.378+02:00</t>
  </si>
  <si>
    <t xml:space="preserve">2024-08-30T21:16:51.597+02:00</t>
  </si>
  <si>
    <t xml:space="preserve">2024-08-30T20:36:02.913+02:00</t>
  </si>
  <si>
    <t xml:space="preserve">2024-08-30T20:31:02.424+02:00</t>
  </si>
  <si>
    <t xml:space="preserve">2024-08-30T20:47:38.610+02:00</t>
  </si>
  <si>
    <t xml:space="preserve">2024-08-30T20:30:03.153+02:00</t>
  </si>
  <si>
    <t xml:space="preserve">2024-08-30T20:42:54.421+02:00</t>
  </si>
  <si>
    <t xml:space="preserve">2024-08-30T20:48:46.229+02:00</t>
  </si>
  <si>
    <t xml:space="preserve">2024-08-30T20:30:03.676+02:00</t>
  </si>
  <si>
    <t xml:space="preserve">2024-08-30T20:22:02.597+02:00</t>
  </si>
  <si>
    <t xml:space="preserve">2024-08-30T20:38:23.401+02:00</t>
  </si>
  <si>
    <t xml:space="preserve">2024-08-30T20:48:47.781+02:00</t>
  </si>
  <si>
    <t xml:space="preserve">2024-08-30T20:22:03.228+02:00</t>
  </si>
  <si>
    <t xml:space="preserve">2024-08-30T20:22:01.311+02:00</t>
  </si>
  <si>
    <t xml:space="preserve">2024-08-30T20:52:55.613+02:00</t>
  </si>
  <si>
    <t xml:space="preserve">2024-08-30T20:21:22.057+02:00</t>
  </si>
  <si>
    <t xml:space="preserve">2024-08-30T20:44:40.945+02:00</t>
  </si>
  <si>
    <t xml:space="preserve">2024-08-30T20:19:01.181+02:00</t>
  </si>
  <si>
    <t xml:space="preserve">2024-08-30T20:37:16.754+02:00</t>
  </si>
  <si>
    <t xml:space="preserve">2024-08-30T20:17:21.546+02:00</t>
  </si>
  <si>
    <t xml:space="preserve">2024-08-30T20:31:18.653+02:00</t>
  </si>
  <si>
    <t xml:space="preserve">2024-08-30T20:02:53.385+02:00</t>
  </si>
  <si>
    <t xml:space="preserve">2024-08-30T20:14:57.513+02:00</t>
  </si>
  <si>
    <t xml:space="preserve">2024-08-30T20:02:03.954+02:00</t>
  </si>
  <si>
    <t xml:space="preserve">2024-08-30T20:10:36.349+02:00</t>
  </si>
  <si>
    <t xml:space="preserve">2024-08-30T20:02:01.119+02:00</t>
  </si>
  <si>
    <t xml:space="preserve">2024-08-30T20:14:56.591+02:00</t>
  </si>
  <si>
    <t xml:space="preserve">2024-08-30T20:00:02.555+02:00</t>
  </si>
  <si>
    <t xml:space="preserve">2024-08-30T20:08:13.348+02:00</t>
  </si>
  <si>
    <t xml:space="preserve">2024-08-30T20:15:57.741+02:00</t>
  </si>
  <si>
    <t xml:space="preserve">2024-08-30T20:00:03.067+02:00</t>
  </si>
  <si>
    <t xml:space="preserve">2024-08-30T19:38:02.037+02:00</t>
  </si>
  <si>
    <t xml:space="preserve">2024-08-30T19:48:29.609+02:00</t>
  </si>
  <si>
    <t xml:space="preserve">2024-08-30T19:34:12.667+02:00</t>
  </si>
  <si>
    <t xml:space="preserve">2024-08-30T19:45:47.732+02:00</t>
  </si>
  <si>
    <t xml:space="preserve">Emmanuel</t>
  </si>
  <si>
    <t xml:space="preserve">2024-08-30T19:29:32.043+02:00</t>
  </si>
  <si>
    <t xml:space="preserve">2024-08-30T19:43:30.760+02:00</t>
  </si>
  <si>
    <t xml:space="preserve">2024-08-30T19:28:06.157+02:00</t>
  </si>
  <si>
    <t xml:space="preserve">2024-08-30T19:39:40.581+02:00</t>
  </si>
  <si>
    <t xml:space="preserve">2024-08-30T19:21:00.397+02:00</t>
  </si>
  <si>
    <t xml:space="preserve">2024-08-30T19:34:26.667+02:00</t>
  </si>
  <si>
    <t xml:space="preserve">2024-08-30T19:19:03.101+02:00</t>
  </si>
  <si>
    <t xml:space="preserve">2024-08-30T19:53:53.320+02:00</t>
  </si>
  <si>
    <t xml:space="preserve">2024-08-30T19:17:39.046+02:00</t>
  </si>
  <si>
    <t xml:space="preserve">2024-08-30T19:29:27.571+02:00</t>
  </si>
  <si>
    <t xml:space="preserve">2024-08-30T19:15:44.758+02:00</t>
  </si>
  <si>
    <t xml:space="preserve">2024-08-30T19:29:45.538+02:00</t>
  </si>
  <si>
    <t xml:space="preserve">2024-08-30T19:14:10.230+02:00</t>
  </si>
  <si>
    <t xml:space="preserve">2024-08-30T19:27:42.540+02:00</t>
  </si>
  <si>
    <t xml:space="preserve">Khurshid</t>
  </si>
  <si>
    <t xml:space="preserve">2024-08-30T19:10:56.028+02:00</t>
  </si>
  <si>
    <t xml:space="preserve">2024-08-30T19:26:06.498+02:00</t>
  </si>
  <si>
    <t xml:space="preserve">2024-08-30T19:07:39.212+02:00</t>
  </si>
  <si>
    <t xml:space="preserve">2024-08-30T19:25:19.552+02:00</t>
  </si>
  <si>
    <t xml:space="preserve">2024-08-30T19:06:02.684+02:00</t>
  </si>
  <si>
    <t xml:space="preserve">2024-08-30T19:19:09.601+02:00</t>
  </si>
  <si>
    <t xml:space="preserve">2024-08-30T18:56:08.287+02:00</t>
  </si>
  <si>
    <t xml:space="preserve">2024-08-30T19:17:52.354+02:00</t>
  </si>
  <si>
    <t xml:space="preserve">2024-08-30T18:54:37.245+02:00</t>
  </si>
  <si>
    <t xml:space="preserve">2024-08-30T19:13:55.313+02:00</t>
  </si>
  <si>
    <t xml:space="preserve">2024-08-30T18:53:03.469+02:00</t>
  </si>
  <si>
    <t xml:space="preserve">2024-08-30T19:05:57.340+02:00</t>
  </si>
  <si>
    <t xml:space="preserve">2024-08-30T19:14:28.679+02:00</t>
  </si>
  <si>
    <t xml:space="preserve">2024-08-30T18:53:04.842+02:00</t>
  </si>
  <si>
    <t xml:space="preserve">2024-08-30T18:53:03.459+02:00</t>
  </si>
  <si>
    <t xml:space="preserve">2024-08-30T19:11:23.339+02:00</t>
  </si>
  <si>
    <t xml:space="preserve">2024-08-30T19:16:16.933+02:00</t>
  </si>
  <si>
    <t xml:space="preserve">2024-08-30T18:53:04.366+02:00</t>
  </si>
  <si>
    <t xml:space="preserve">2024-08-30T18:50:00.635+02:00</t>
  </si>
  <si>
    <t xml:space="preserve">2024-08-30T19:03:13.648+02:00</t>
  </si>
  <si>
    <t xml:space="preserve">2024-08-30T18:43:03.098+02:00</t>
  </si>
  <si>
    <t xml:space="preserve">2024-08-30T18:54:33.191+02:00</t>
  </si>
  <si>
    <t xml:space="preserve">2024-08-30T18:43:03.949+02:00</t>
  </si>
  <si>
    <t xml:space="preserve">2024-08-30T18:34:03.586+02:00</t>
  </si>
  <si>
    <t xml:space="preserve">2024-08-30T18:45:48.300+02:00</t>
  </si>
  <si>
    <t xml:space="preserve">2024-08-30T18:26:02.867+02:00</t>
  </si>
  <si>
    <t xml:space="preserve">2024-08-30T18:36:50.354+02:00</t>
  </si>
  <si>
    <t xml:space="preserve">2024-08-30T18:49:42.199+02:00</t>
  </si>
  <si>
    <t xml:space="preserve">2024-08-30T18:26:03.422+02:00</t>
  </si>
  <si>
    <t xml:space="preserve">2024-08-30T18:22:03.956+02:00</t>
  </si>
  <si>
    <t xml:space="preserve">2024-08-30T18:34:23.346+02:00</t>
  </si>
  <si>
    <t xml:space="preserve">2024-08-30T18:45:35.443+02:00</t>
  </si>
  <si>
    <t xml:space="preserve">2024-08-30T18:22:04.521+02:00</t>
  </si>
  <si>
    <t xml:space="preserve">2024-08-30T18:21:03.215+02:00</t>
  </si>
  <si>
    <t xml:space="preserve">2024-08-30T18:30:15.313+02:00</t>
  </si>
  <si>
    <t xml:space="preserve">2024-08-30T18:44:50.611+02:00</t>
  </si>
  <si>
    <t xml:space="preserve">2024-08-30T18:21:04.002+02:00</t>
  </si>
  <si>
    <t xml:space="preserve">2024-08-30T18:09:02.967+02:00</t>
  </si>
  <si>
    <t xml:space="preserve">2024-08-30T18:15:13.324+02:00</t>
  </si>
  <si>
    <t xml:space="preserve">2024-08-30T17:57:02.707+02:00</t>
  </si>
  <si>
    <t xml:space="preserve">2024-08-30T18:09:13.288+02:00</t>
  </si>
  <si>
    <t xml:space="preserve">2024-08-30T17:56:02.658+02:00</t>
  </si>
  <si>
    <t xml:space="preserve">2024-08-30T18:42:12.315+02:00</t>
  </si>
  <si>
    <t xml:space="preserve">2024-08-30T17:33:57.168+02:00</t>
  </si>
  <si>
    <t xml:space="preserve">2024-08-30T17:52:29.617+02:00</t>
  </si>
  <si>
    <t xml:space="preserve">2024-08-30T17:31:10.029+02:00</t>
  </si>
  <si>
    <t xml:space="preserve">2024-08-30T17:42:30.757+02:00</t>
  </si>
  <si>
    <t xml:space="preserve">2024-08-30T17:26:57.558+02:00</t>
  </si>
  <si>
    <t xml:space="preserve">2024-08-30T17:36:20.631+02:00</t>
  </si>
  <si>
    <t xml:space="preserve">2024-08-30T17:21:55.677+02:00</t>
  </si>
  <si>
    <t xml:space="preserve">2024-08-30T17:33:56.351+02:00</t>
  </si>
  <si>
    <t xml:space="preserve">Andrii</t>
  </si>
  <si>
    <t xml:space="preserve">2024-08-30T17:13:25.591+02:00</t>
  </si>
  <si>
    <t xml:space="preserve">2024-08-30T17:30:52.442+02:00</t>
  </si>
  <si>
    <t xml:space="preserve">Vasyl</t>
  </si>
  <si>
    <t xml:space="preserve">2024-08-30T17:13:09.585+02:00</t>
  </si>
  <si>
    <t xml:space="preserve">2024-08-30T17:27:49.436+02:00</t>
  </si>
  <si>
    <t xml:space="preserve">2024-08-30T17:10:02.611+02:00</t>
  </si>
  <si>
    <t xml:space="preserve">2024-08-30T17:24:38.328+02:00</t>
  </si>
  <si>
    <t xml:space="preserve">2024-08-30T17:30:47.451+02:00</t>
  </si>
  <si>
    <t xml:space="preserve">2024-08-30T17:10:03.279+02:00</t>
  </si>
  <si>
    <t xml:space="preserve">2024-08-30T16:57:58.046+02:00</t>
  </si>
  <si>
    <t xml:space="preserve">2024-08-30T17:07:54.494+02:00</t>
  </si>
  <si>
    <t xml:space="preserve">2024-08-30T16:54:55.624+02:00</t>
  </si>
  <si>
    <t xml:space="preserve">2024-08-30T17:05:10.545+02:00</t>
  </si>
  <si>
    <t xml:space="preserve">2024-08-30T16:47:55.351+02:00</t>
  </si>
  <si>
    <t xml:space="preserve">2024-08-30T17:01:55.539+02:00</t>
  </si>
  <si>
    <t xml:space="preserve">2024-08-30T16:42:01.560+02:00</t>
  </si>
  <si>
    <t xml:space="preserve">2024-08-30T16:56:45.396+02:00</t>
  </si>
  <si>
    <t xml:space="preserve">2024-08-30T16:36:53.516+02:00</t>
  </si>
  <si>
    <t xml:space="preserve">2024-08-30T16:54:04.598+02:00</t>
  </si>
  <si>
    <t xml:space="preserve">2024-08-30T16:35:53.477+02:00</t>
  </si>
  <si>
    <t xml:space="preserve">2024-08-30T16:51:49.698+02:00</t>
  </si>
  <si>
    <t xml:space="preserve">2024-08-30T16:26:56.118+02:00</t>
  </si>
  <si>
    <t xml:space="preserve">2024-08-30T16:30:03.262+02:00</t>
  </si>
  <si>
    <t xml:space="preserve">2024-08-30T16:26:29.957+02:00</t>
  </si>
  <si>
    <t xml:space="preserve">2024-08-30T16:36:50.557+02:00</t>
  </si>
  <si>
    <t xml:space="preserve">2024-08-30T16:26:03.370+02:00</t>
  </si>
  <si>
    <t xml:space="preserve">2024-08-30T16:43:05.461+02:00</t>
  </si>
  <si>
    <t xml:space="preserve">2024-08-30T17:09:39.484+02:00</t>
  </si>
  <si>
    <t xml:space="preserve">2024-08-30T16:37:26.784+02:00</t>
  </si>
  <si>
    <t xml:space="preserve">2024-08-30T16:20:04.060+02:00</t>
  </si>
  <si>
    <t xml:space="preserve">2024-08-30T16:46:53.288+02:00</t>
  </si>
  <si>
    <t xml:space="preserve">2024-08-30T16:18:02.287+02:00</t>
  </si>
  <si>
    <t xml:space="preserve">2024-08-30T16:46:55.049+02:00</t>
  </si>
  <si>
    <t xml:space="preserve">2024-08-30T16:18:02.989+02:00</t>
  </si>
  <si>
    <t xml:space="preserve">2024-08-30T16:07:03.528+02:00</t>
  </si>
  <si>
    <t xml:space="preserve">2024-08-30T16:18:04.298+02:00</t>
  </si>
  <si>
    <t xml:space="preserve">2024-08-30T16:37:10.335+02:00</t>
  </si>
  <si>
    <t xml:space="preserve">2024-08-30T16:07:04.462+02:00</t>
  </si>
  <si>
    <t xml:space="preserve">2024-08-30T16:06:39.404+02:00</t>
  </si>
  <si>
    <t xml:space="preserve">2024-08-30T16:17:05.464+02:00</t>
  </si>
  <si>
    <t xml:space="preserve">2024-08-30T16:05:03.635+02:00</t>
  </si>
  <si>
    <t xml:space="preserve">2024-08-30T16:13:59.305+02:00</t>
  </si>
  <si>
    <t xml:space="preserve">2024-08-30T15:30:02.729+02:00</t>
  </si>
  <si>
    <t xml:space="preserve">2024-08-30T17:50:59.310+02:00</t>
  </si>
  <si>
    <t xml:space="preserve">2024-08-30T17:56:18.888+02:00</t>
  </si>
  <si>
    <t xml:space="preserve">2024-08-30T15:30:03.637+02:00</t>
  </si>
  <si>
    <t xml:space="preserve">2024-08-30T15:29:56.838+02:00</t>
  </si>
  <si>
    <t xml:space="preserve">2024-08-30T15:38:58.561+02:00</t>
  </si>
  <si>
    <t xml:space="preserve">2024-08-30T15:27:02.117+02:00</t>
  </si>
  <si>
    <t xml:space="preserve">2024-08-30T15:34:11.259+02:00</t>
  </si>
  <si>
    <t xml:space="preserve">2024-08-30T16:05:59.204+02:00</t>
  </si>
  <si>
    <t xml:space="preserve">2024-08-30T15:27:02.618+02:00</t>
  </si>
  <si>
    <t xml:space="preserve">2024-08-30T15:20:52.881+02:00</t>
  </si>
  <si>
    <t xml:space="preserve">2024-08-30T15:29:58.523+02:00</t>
  </si>
  <si>
    <t xml:space="preserve">arrived_customer</t>
  </si>
  <si>
    <t xml:space="preserve">2024-08-30T15:11:04.259+02:00</t>
  </si>
  <si>
    <t xml:space="preserve">2024-08-30T15:19:30.372+02:00</t>
  </si>
  <si>
    <t xml:space="preserve">2024-08-30T15:40:49.164+02:00</t>
  </si>
  <si>
    <t xml:space="preserve">2024-08-30T15:11:04.784+02:00</t>
  </si>
  <si>
    <t xml:space="preserve">2024-08-30T15:01:02.294+02:00</t>
  </si>
  <si>
    <t xml:space="preserve">2024-08-30T15:12:12.218+02:00</t>
  </si>
  <si>
    <t xml:space="preserve">2024-08-30T14:44:55.365+02:00</t>
  </si>
  <si>
    <t xml:space="preserve">2024-08-30T14:51:53.521+02:00</t>
  </si>
  <si>
    <t xml:space="preserve">2024-08-30T14:41:52.369+02:00</t>
  </si>
  <si>
    <t xml:space="preserve">2024-08-30T14:51:11.625+02:00</t>
  </si>
  <si>
    <t xml:space="preserve">2024-08-30T14:21:52.404+02:00</t>
  </si>
  <si>
    <t xml:space="preserve">2024-08-30T14:31:46.896+02:00</t>
  </si>
  <si>
    <t xml:space="preserve">2024-08-30T14:10:02.918+02:00</t>
  </si>
  <si>
    <t xml:space="preserve">2024-08-30T14:19:39.268+02:00</t>
  </si>
  <si>
    <t xml:space="preserve">2024-08-30T14:35:49.381+02:00</t>
  </si>
  <si>
    <t xml:space="preserve">2024-08-30T14:10:03.620+02:00</t>
  </si>
  <si>
    <t xml:space="preserve">2024-08-30T14:03:55.117+02:00</t>
  </si>
  <si>
    <t xml:space="preserve">2024-08-30T14:14:29.819+02:00</t>
  </si>
  <si>
    <t xml:space="preserve">2024-08-30T13:57:59.483+02:00</t>
  </si>
  <si>
    <t xml:space="preserve">2024-08-30T14:08:23.256+02:00</t>
  </si>
  <si>
    <t xml:space="preserve">2024-08-30T13:55:51.288+02:00</t>
  </si>
  <si>
    <t xml:space="preserve">2024-08-30T14:05:27.496+02:00</t>
  </si>
  <si>
    <t xml:space="preserve">2024-08-30T13:48:29.085+02:00</t>
  </si>
  <si>
    <t xml:space="preserve">2024-08-30T14:02:31.215+02:00</t>
  </si>
  <si>
    <t xml:space="preserve">2024-08-30T13:47:04.152+02:00</t>
  </si>
  <si>
    <t xml:space="preserve">2024-08-30T13:56:39.241+02:00</t>
  </si>
  <si>
    <t xml:space="preserve">2024-08-30T14:12:16.303+02:00</t>
  </si>
  <si>
    <t xml:space="preserve">2024-08-30T13:47:04.715+02:00</t>
  </si>
  <si>
    <t xml:space="preserve">2024-08-30T13:34:03.740+02:00</t>
  </si>
  <si>
    <t xml:space="preserve">2024-08-30T13:44:43.246+02:00</t>
  </si>
  <si>
    <t xml:space="preserve">2024-08-30T13:56:27.783+02:00</t>
  </si>
  <si>
    <t xml:space="preserve">2024-08-30T13:34:04.408+02:00</t>
  </si>
  <si>
    <t xml:space="preserve">2024-08-30T13:32:02.956+02:00</t>
  </si>
  <si>
    <t xml:space="preserve">2024-08-30T13:43:23.254+02:00</t>
  </si>
  <si>
    <t xml:space="preserve">2024-08-30T14:14:08.639+02:00</t>
  </si>
  <si>
    <t xml:space="preserve">2024-08-30T13:32:03.474+02:00</t>
  </si>
  <si>
    <t xml:space="preserve">Pavel</t>
  </si>
  <si>
    <t xml:space="preserve">2024-08-30T13:16:02.264+02:00</t>
  </si>
  <si>
    <t xml:space="preserve">2024-08-30T13:26:02.617+02:00</t>
  </si>
  <si>
    <t xml:space="preserve">2024-08-30T12:59:36.603+02:00</t>
  </si>
  <si>
    <t xml:space="preserve">2024-08-30T13:09:17.254+02:00</t>
  </si>
  <si>
    <t xml:space="preserve">2024-08-30T12:56:24.204+02:00</t>
  </si>
  <si>
    <t xml:space="preserve">2024-08-30T13:03:12.198+02:00</t>
  </si>
  <si>
    <t xml:space="preserve">2024-08-30T12:50:05.322+02:00</t>
  </si>
  <si>
    <t xml:space="preserve">2024-08-30T13:07:12.518+02:00</t>
  </si>
  <si>
    <t xml:space="preserve">2024-08-30T12:50:05.311+02:00</t>
  </si>
  <si>
    <t xml:space="preserve">2024-08-30T12:59:06.515+02:00</t>
  </si>
  <si>
    <t xml:space="preserve">2024-08-30T12:24:02.558+02:00</t>
  </si>
  <si>
    <t xml:space="preserve">2024-08-30T12:36:14.267+02:00</t>
  </si>
  <si>
    <t xml:space="preserve">2024-08-30T12:21:02.269+02:00</t>
  </si>
  <si>
    <t xml:space="preserve">2024-08-30T12:32:09.220+02:00</t>
  </si>
  <si>
    <t xml:space="preserve">2024-08-30T12:12:39.888+02:00</t>
  </si>
  <si>
    <t xml:space="preserve">2024-08-30T12:22:26.221+02:00</t>
  </si>
  <si>
    <t xml:space="preserve">2024-08-30T12:11:57.642+02:00</t>
  </si>
  <si>
    <t xml:space="preserve">2024-08-30T12:20:58.203+02:00</t>
  </si>
  <si>
    <t xml:space="preserve">2024-08-30T12:11:56.635+02:00</t>
  </si>
  <si>
    <t xml:space="preserve">2024-08-30T12:26:08.587+02:00</t>
  </si>
  <si>
    <t xml:space="preserve">2024-08-30T12:11:03.383+02:00</t>
  </si>
  <si>
    <t xml:space="preserve">2024-08-30T12:23:40.489+02:00</t>
  </si>
  <si>
    <t xml:space="preserve">2024-08-30T12:42:33.039+02:00</t>
  </si>
  <si>
    <t xml:space="preserve">2024-08-30T12:11:03.869+02:00</t>
  </si>
  <si>
    <t xml:space="preserve">2024-08-30T12:05:34.699+02:00</t>
  </si>
  <si>
    <t xml:space="preserve">2024-08-30T12:14:54.384+02:00</t>
  </si>
  <si>
    <t xml:space="preserve">2024-08-30T11:41:02.305+02:00</t>
  </si>
  <si>
    <t xml:space="preserve">2024-08-30T11:51:56.209+02:00</t>
  </si>
  <si>
    <t xml:space="preserve">2024-08-30T12:04:56.925+02:00</t>
  </si>
  <si>
    <t xml:space="preserve">2024-08-30T11:41:02.901+02:00</t>
  </si>
  <si>
    <t xml:space="preserve">2024-08-30T11:34:02.767+02:00</t>
  </si>
  <si>
    <t xml:space="preserve">2024-08-30T11:41:11.217+02:00</t>
  </si>
  <si>
    <t xml:space="preserve">2024-08-30T12:01:49.987+02:00</t>
  </si>
  <si>
    <t xml:space="preserve">2024-08-30T11:34:03.469+02:00</t>
  </si>
  <si>
    <t xml:space="preserve">2024-08-30T11:27:02.434+02:00</t>
  </si>
  <si>
    <t xml:space="preserve">2024-08-30T11:38:52.182+02:00</t>
  </si>
  <si>
    <t xml:space="preserve">2024-08-30T11:26:02.518+02:00</t>
  </si>
  <si>
    <t xml:space="preserve">2024-08-30T11:35:36.232+02:00</t>
  </si>
  <si>
    <t xml:space="preserve">2024-08-30T11:50:26.943+02:00</t>
  </si>
  <si>
    <t xml:space="preserve">2024-08-30T11:26:03.319+02:00</t>
  </si>
  <si>
    <t xml:space="preserve">2024-08-30T11:13:19.385+02:00</t>
  </si>
  <si>
    <t xml:space="preserve">2024-08-30T11:31:20.491+02:00</t>
  </si>
  <si>
    <t xml:space="preserve">2024-08-30T11:09:55.200+02:00</t>
  </si>
  <si>
    <t xml:space="preserve">2024-08-30T11:30:29.531+02:00</t>
  </si>
  <si>
    <t xml:space="preserve">2024-08-30T11:08:51.285+02:00</t>
  </si>
  <si>
    <t xml:space="preserve">2024-08-30T11:28:35.445+02:00</t>
  </si>
  <si>
    <t xml:space="preserve">2024-08-30T11:07:12.622+02:00</t>
  </si>
  <si>
    <t xml:space="preserve">2024-08-30T11:25:35.390+02:00</t>
  </si>
  <si>
    <t xml:space="preserve">Jan Pelikán</t>
  </si>
  <si>
    <t xml:space="preserve">2024-08-30T11:04:51.770+02:00</t>
  </si>
  <si>
    <t xml:space="preserve">2024-08-30T11:23:00.655+02:00</t>
  </si>
  <si>
    <t xml:space="preserve">2024-08-30T10:57:03.669+02:00</t>
  </si>
  <si>
    <t xml:space="preserve">2024-08-30T11:07:02.072+02:00</t>
  </si>
  <si>
    <t xml:space="preserve">2024-08-30T11:32:43.718+02:00</t>
  </si>
  <si>
    <t xml:space="preserve">2024-08-30T11:07:00.787+02:00</t>
  </si>
  <si>
    <t xml:space="preserve">2024-08-30T10:22:03.266+02:00</t>
  </si>
  <si>
    <t xml:space="preserve">2024-08-30T11:17:42.443+02:00</t>
  </si>
  <si>
    <t xml:space="preserve">2024-08-30T11:37:13.498+02:00</t>
  </si>
  <si>
    <t xml:space="preserve">2024-08-30T11:07:03.893+02:00</t>
  </si>
  <si>
    <t xml:space="preserve">2024-09-01T02:42:32.209+02:00</t>
  </si>
  <si>
    <t xml:space="preserve">2024-09-01T02:50:20.814+02:00</t>
  </si>
  <si>
    <t xml:space="preserve">2024-09-01T02:11:03.936+02:00</t>
  </si>
  <si>
    <t xml:space="preserve">2024-09-01T02:24:00.219+02:00</t>
  </si>
  <si>
    <t xml:space="preserve">2024-09-01T02:47:48.801+02:00</t>
  </si>
  <si>
    <t xml:space="preserve">2024-09-01T02:17:45.840+02:00</t>
  </si>
  <si>
    <t xml:space="preserve">2024-09-01T02:08:23.244+02:00</t>
  </si>
  <si>
    <t xml:space="preserve">2024-09-01T02:21:30.459+02:00</t>
  </si>
  <si>
    <t xml:space="preserve">2024-09-01T01:43:20.603+02:00</t>
  </si>
  <si>
    <t xml:space="preserve">2024-09-01T01:51:12.029+02:00</t>
  </si>
  <si>
    <t xml:space="preserve">2024-09-01T01:42:15.733+02:00</t>
  </si>
  <si>
    <t xml:space="preserve">2024-09-01T01:20:22.472+02:00</t>
  </si>
  <si>
    <t xml:space="preserve">2024-09-01T01:35:26.375+02:00</t>
  </si>
  <si>
    <t xml:space="preserve">2024-09-01T01:20:22.059+02:00</t>
  </si>
  <si>
    <t xml:space="preserve">2024-09-01T01:31:05.259+02:00</t>
  </si>
  <si>
    <t xml:space="preserve">2024-09-01T01:05:22.168+02:00</t>
  </si>
  <si>
    <t xml:space="preserve">2024-09-01T01:19:18.275+02:00</t>
  </si>
  <si>
    <t xml:space="preserve">2024-09-01T01:03:21.392+02:00</t>
  </si>
  <si>
    <t xml:space="preserve">2024-09-01T01:18:01.369+02:00</t>
  </si>
  <si>
    <t xml:space="preserve">Daniil</t>
  </si>
  <si>
    <t xml:space="preserve">2024-09-01T00:44:28.505+02:00</t>
  </si>
  <si>
    <t xml:space="preserve">2024-09-01T00:59:48.182+02:00</t>
  </si>
  <si>
    <t xml:space="preserve">2024-09-01T00:43:03.258+02:00</t>
  </si>
  <si>
    <t xml:space="preserve">2024-09-01T00:59:38.075+02:00</t>
  </si>
  <si>
    <t xml:space="preserve">2024-09-01T00:30:03.472+02:00</t>
  </si>
  <si>
    <t xml:space="preserve">2024-09-01T00:42:40.061+02:00</t>
  </si>
  <si>
    <t xml:space="preserve">2024-09-01T00:24:34.503+02:00</t>
  </si>
  <si>
    <t xml:space="preserve">2024-09-01T00:40:31.160+02:00</t>
  </si>
  <si>
    <t xml:space="preserve">2024-09-01T00:15:21.144+02:00</t>
  </si>
  <si>
    <t xml:space="preserve">2024-09-01T00:39:02.678+02:00</t>
  </si>
  <si>
    <t xml:space="preserve">Bohdan</t>
  </si>
  <si>
    <t xml:space="preserve">2024-09-01T00:12:44.480+02:00</t>
  </si>
  <si>
    <t xml:space="preserve">2024-09-01T00:33:23.204+02:00</t>
  </si>
  <si>
    <t xml:space="preserve">2024-09-01T00:11:21.140+02:00</t>
  </si>
  <si>
    <t xml:space="preserve">2024-09-01T00:31:12.399+02:00</t>
  </si>
  <si>
    <t xml:space="preserve">2024-09-01T00:11:20.446+02:00</t>
  </si>
  <si>
    <t xml:space="preserve">2024-09-01T00:27:44.181+02:00</t>
  </si>
  <si>
    <t xml:space="preserve">2024-09-01T00:09:20.907+02:00</t>
  </si>
  <si>
    <t xml:space="preserve">2024-09-01T00:24:20.308+02:00</t>
  </si>
  <si>
    <t xml:space="preserve">2024-09-01T00:08:03.249+02:00</t>
  </si>
  <si>
    <t xml:space="preserve">2024-09-01T00:22:04.049+02:00</t>
  </si>
  <si>
    <t xml:space="preserve">2024-09-01T00:07:16.772+02:00</t>
  </si>
  <si>
    <t xml:space="preserve">2024-09-01T00:18:48.030+02:00</t>
  </si>
  <si>
    <t xml:space="preserve">2024-09-01T00:06:21.057+02:00</t>
  </si>
  <si>
    <t xml:space="preserve">2024-09-01T00:16:05.284+02:00</t>
  </si>
  <si>
    <t xml:space="preserve">2024-09-01T00:00:49.246+02:00</t>
  </si>
  <si>
    <t xml:space="preserve">2024-09-01T00:09:01.239+02:00</t>
  </si>
  <si>
    <t xml:space="preserve">2024-08-31T23:48:46.331+02:00</t>
  </si>
  <si>
    <t xml:space="preserve">2024-08-31T23:59:56.375+02:00</t>
  </si>
  <si>
    <t xml:space="preserve">2024-08-31T23:44:13.166+02:00</t>
  </si>
  <si>
    <t xml:space="preserve">2024-08-31T23:51:29.219+02:00</t>
  </si>
  <si>
    <t xml:space="preserve">2024-08-31T23:39:28.671+02:00</t>
  </si>
  <si>
    <t xml:space="preserve">2024-08-31T23:49:15.285+02:00</t>
  </si>
  <si>
    <t xml:space="preserve">2024-08-31T23:36:27.722+02:00</t>
  </si>
  <si>
    <t xml:space="preserve">2024-08-31T23:46:08.429+02:00</t>
  </si>
  <si>
    <t xml:space="preserve">2024-08-31T23:27:27.215+02:00</t>
  </si>
  <si>
    <t xml:space="preserve">2024-08-31T23:44:36.279+02:00</t>
  </si>
  <si>
    <t xml:space="preserve">2024-08-31T23:25:28.675+02:00</t>
  </si>
  <si>
    <t xml:space="preserve">2024-08-31T23:40:40.364+02:00</t>
  </si>
  <si>
    <t xml:space="preserve">2024-08-31T23:23:28.314+02:00</t>
  </si>
  <si>
    <t xml:space="preserve">2024-08-31T23:36:01.765+02:00</t>
  </si>
  <si>
    <t xml:space="preserve">2024-08-31T23:21:22.126+02:00</t>
  </si>
  <si>
    <t xml:space="preserve">2024-08-31T23:30:48.017+02:00</t>
  </si>
  <si>
    <t xml:space="preserve">2024-08-31T23:07:58.617+02:00</t>
  </si>
  <si>
    <t xml:space="preserve">2024-08-31T23:22:48.175+02:00</t>
  </si>
  <si>
    <t xml:space="preserve">Juraev</t>
  </si>
  <si>
    <t xml:space="preserve">2024-08-31T23:01:40.607+02:00</t>
  </si>
  <si>
    <t xml:space="preserve">2024-08-31T23:12:24.139+02:00</t>
  </si>
  <si>
    <t xml:space="preserve">2024-08-31T22:57:25.572+02:00</t>
  </si>
  <si>
    <t xml:space="preserve">2024-08-31T23:10:47.298+02:00</t>
  </si>
  <si>
    <t xml:space="preserve">2024-08-31T22:53:56.057+02:00</t>
  </si>
  <si>
    <t xml:space="preserve">2024-08-31T23:03:13.200+02:00</t>
  </si>
  <si>
    <t xml:space="preserve">2024-08-31T22:40:49.915+02:00</t>
  </si>
  <si>
    <t xml:space="preserve">2024-08-31T22:56:19.280+02:00</t>
  </si>
  <si>
    <t xml:space="preserve">2024-08-31T22:38:28.420+02:00</t>
  </si>
  <si>
    <t xml:space="preserve">2024-08-31T22:54:41.263+02:00</t>
  </si>
  <si>
    <t xml:space="preserve">Lanský Zoltan</t>
  </si>
  <si>
    <t xml:space="preserve">2024-08-31T22:38:03.661+02:00</t>
  </si>
  <si>
    <t xml:space="preserve">2024-08-31T23:19:25.056+02:00</t>
  </si>
  <si>
    <t xml:space="preserve">2024-08-31T23:33:41.608+02:00</t>
  </si>
  <si>
    <t xml:space="preserve">2024-08-31T22:38:04.357+02:00</t>
  </si>
  <si>
    <t xml:space="preserve">2024-08-31T22:35:27.474+02:00</t>
  </si>
  <si>
    <t xml:space="preserve">2024-08-31T22:53:02.377+02:00</t>
  </si>
  <si>
    <t xml:space="preserve">2024-08-31T22:32:03.276+02:00</t>
  </si>
  <si>
    <t xml:space="preserve">2024-08-31T22:51:34.018+02:00</t>
  </si>
  <si>
    <t xml:space="preserve">Daniel Alexandru</t>
  </si>
  <si>
    <t xml:space="preserve">2024-08-31T22:30:58.178+02:00</t>
  </si>
  <si>
    <t xml:space="preserve">2024-08-31T22:31:40.509+02:00</t>
  </si>
  <si>
    <t xml:space="preserve">2024-08-31T22:17:03.129+02:00</t>
  </si>
  <si>
    <t xml:space="preserve">2024-08-31T22:29:30.049+02:00</t>
  </si>
  <si>
    <t xml:space="preserve">2024-08-31T22:37:03.987+02:00</t>
  </si>
  <si>
    <t xml:space="preserve">2024-08-31T22:17:03.591+02:00</t>
  </si>
  <si>
    <t xml:space="preserve">2024-08-31T22:04:25.972+02:00</t>
  </si>
  <si>
    <t xml:space="preserve">2024-08-31T22:22:11.313+02:00</t>
  </si>
  <si>
    <t xml:space="preserve">2024-08-31T21:47:02.570+02:00</t>
  </si>
  <si>
    <t xml:space="preserve">2024-08-31T22:03:33.099+02:00</t>
  </si>
  <si>
    <t xml:space="preserve">2024-08-31T22:23:22.742+02:00</t>
  </si>
  <si>
    <t xml:space="preserve">2024-08-31T21:47:03.127+02:00</t>
  </si>
  <si>
    <t xml:space="preserve">2024-08-31T21:46:28.802+02:00</t>
  </si>
  <si>
    <t xml:space="preserve">2024-08-31T21:57:48.262+02:00</t>
  </si>
  <si>
    <t xml:space="preserve">2024-08-31T21:39:02.475+02:00</t>
  </si>
  <si>
    <t xml:space="preserve">2024-08-31T21:47:00.001+02:00</t>
  </si>
  <si>
    <t xml:space="preserve">2024-08-31T21:30:16.040+02:00</t>
  </si>
  <si>
    <t xml:space="preserve">2024-08-31T21:46:22.526+02:00</t>
  </si>
  <si>
    <t xml:space="preserve">2024-08-31T21:30:00.205+02:00</t>
  </si>
  <si>
    <t xml:space="preserve">2024-08-31T21:39:34.061+02:00</t>
  </si>
  <si>
    <t xml:space="preserve">2024-08-31T21:24:31.438+02:00</t>
  </si>
  <si>
    <t xml:space="preserve">2024-08-31T21:44:34.368+02:00</t>
  </si>
  <si>
    <t xml:space="preserve">2024-08-31T21:24:02.987+02:00</t>
  </si>
  <si>
    <t xml:space="preserve">2024-08-31T21:39:37.966+02:00</t>
  </si>
  <si>
    <t xml:space="preserve">2024-08-31T21:23:25.351+02:00</t>
  </si>
  <si>
    <t xml:space="preserve">2024-08-31T21:33:43.005+02:00</t>
  </si>
  <si>
    <t xml:space="preserve">Matej</t>
  </si>
  <si>
    <t xml:space="preserve">2024-08-31T21:19:45.986+02:00</t>
  </si>
  <si>
    <t xml:space="preserve">2024-08-31T21:31:07.121+02:00</t>
  </si>
  <si>
    <t xml:space="preserve">2024-08-31T21:17:23.843+02:00</t>
  </si>
  <si>
    <t xml:space="preserve">2024-08-31T21:26:59.277+02:00</t>
  </si>
  <si>
    <t xml:space="preserve">2024-08-31T21:09:01.497+02:00</t>
  </si>
  <si>
    <t xml:space="preserve">2024-08-31T21:21:37.996+02:00</t>
  </si>
  <si>
    <t xml:space="preserve">2024-08-31T21:08:50.155+02:00</t>
  </si>
  <si>
    <t xml:space="preserve">2024-08-31T21:26:29.212+02:00</t>
  </si>
  <si>
    <t xml:space="preserve">2024-08-31T21:05:18.868+02:00</t>
  </si>
  <si>
    <t xml:space="preserve">2024-08-31T21:22:56.241+02:00</t>
  </si>
  <si>
    <t xml:space="preserve">2024-08-31T21:03:03.334+02:00</t>
  </si>
  <si>
    <t xml:space="preserve">2024-08-31T21:21:27.017+02:00</t>
  </si>
  <si>
    <t xml:space="preserve">2024-08-31T20:48:33.667+02:00</t>
  </si>
  <si>
    <t xml:space="preserve">2024-08-31T20:59:29.263+02:00</t>
  </si>
  <si>
    <t xml:space="preserve">2024-08-31T20:33:44.220+02:00</t>
  </si>
  <si>
    <t xml:space="preserve">2024-08-31T20:46:14.200+02:00</t>
  </si>
  <si>
    <t xml:space="preserve">2024-08-31T20:33:39.760+02:00</t>
  </si>
  <si>
    <t xml:space="preserve">2024-08-31T20:43:25.130+02:00</t>
  </si>
  <si>
    <t xml:space="preserve">2024-08-31T20:25:03.215+02:00</t>
  </si>
  <si>
    <t xml:space="preserve">2024-08-31T20:34:31.016+02:00</t>
  </si>
  <si>
    <t xml:space="preserve">2024-08-31T20:46:41.124+02:00</t>
  </si>
  <si>
    <t xml:space="preserve">2024-08-31T20:25:03.745+02:00</t>
  </si>
  <si>
    <t xml:space="preserve">2024-08-31T20:17:23.776+02:00</t>
  </si>
  <si>
    <t xml:space="preserve">2024-08-31T20:28:01.491+02:00</t>
  </si>
  <si>
    <t xml:space="preserve">2024-08-31T20:15:59.656+02:00</t>
  </si>
  <si>
    <t xml:space="preserve">2024-08-31T20:29:35.156+02:00</t>
  </si>
  <si>
    <t xml:space="preserve">2024-08-31T20:14:02.697+02:00</t>
  </si>
  <si>
    <t xml:space="preserve">2024-08-31T20:28:21.072+02:00</t>
  </si>
  <si>
    <t xml:space="preserve">2024-08-31T20:35:22.012+02:00</t>
  </si>
  <si>
    <t xml:space="preserve">2024-08-31T20:14:03.255+02:00</t>
  </si>
  <si>
    <t xml:space="preserve">2024-08-31T20:09:02.744+02:00</t>
  </si>
  <si>
    <t xml:space="preserve">2024-08-31T20:20:06.999+02:00</t>
  </si>
  <si>
    <t xml:space="preserve">2024-08-31T20:07:02.439+02:00</t>
  </si>
  <si>
    <t xml:space="preserve">2024-08-31T20:28:35.014+02:00</t>
  </si>
  <si>
    <t xml:space="preserve">2024-08-31T20:47:48.138+02:00</t>
  </si>
  <si>
    <t xml:space="preserve">2024-08-31T20:07:03.022+02:00</t>
  </si>
  <si>
    <t xml:space="preserve">2024-08-31T20:04:02.890+02:00</t>
  </si>
  <si>
    <t xml:space="preserve">2024-08-31T20:17:31.976+02:00</t>
  </si>
  <si>
    <t xml:space="preserve">2024-08-31T20:03:03.551+02:00</t>
  </si>
  <si>
    <t xml:space="preserve">2024-08-31T20:15:58.159+02:00</t>
  </si>
  <si>
    <t xml:space="preserve">2024-08-31T19:59:39.703+02:00</t>
  </si>
  <si>
    <t xml:space="preserve">2024-08-31T20:19:08.247+02:00</t>
  </si>
  <si>
    <t xml:space="preserve">2024-08-31T19:47:28.289+02:00</t>
  </si>
  <si>
    <t xml:space="preserve">2024-08-31T19:58:43.978+02:00</t>
  </si>
  <si>
    <t xml:space="preserve">2024-08-31T19:46:24.448+02:00</t>
  </si>
  <si>
    <t xml:space="preserve">2024-08-31T20:05:03.240+02:00</t>
  </si>
  <si>
    <t xml:space="preserve">2024-08-31T19:45:38.654+02:00</t>
  </si>
  <si>
    <t xml:space="preserve">2024-08-31T20:03:58.275+02:00</t>
  </si>
  <si>
    <t xml:space="preserve">2024-08-31T19:41:02.745+02:00</t>
  </si>
  <si>
    <t xml:space="preserve">2024-08-31T19:55:23.964+02:00</t>
  </si>
  <si>
    <t xml:space="preserve">2024-08-31T19:34:02.571+02:00</t>
  </si>
  <si>
    <t xml:space="preserve">2024-08-31T19:46:31.099+02:00</t>
  </si>
  <si>
    <t xml:space="preserve">2024-08-31T19:26:03.050+02:00</t>
  </si>
  <si>
    <t xml:space="preserve">2024-08-31T19:54:55.020+02:00</t>
  </si>
  <si>
    <t xml:space="preserve">2024-08-31T20:08:18.942+02:00</t>
  </si>
  <si>
    <t xml:space="preserve">2024-08-31T19:26:04.299+02:00</t>
  </si>
  <si>
    <t xml:space="preserve">2024-08-31T19:26:03.038+02:00</t>
  </si>
  <si>
    <t xml:space="preserve">2024-08-31T19:39:58.014+02:00</t>
  </si>
  <si>
    <t xml:space="preserve">2024-08-31T20:11:43.952+02:00</t>
  </si>
  <si>
    <t xml:space="preserve">2024-08-31T19:26:03.823+02:00</t>
  </si>
  <si>
    <t xml:space="preserve">2024-08-31T19:25:38.250+02:00</t>
  </si>
  <si>
    <t xml:space="preserve">2024-08-31T19:44:48.311+02:00</t>
  </si>
  <si>
    <t xml:space="preserve">2024-08-31T19:17:03.085+02:00</t>
  </si>
  <si>
    <t xml:space="preserve">2024-08-31T19:33:48.987+02:00</t>
  </si>
  <si>
    <t xml:space="preserve">2024-08-31T19:14:02.748+02:00</t>
  </si>
  <si>
    <t xml:space="preserve">2024-08-31T19:31:20.975+02:00</t>
  </si>
  <si>
    <t xml:space="preserve">2024-08-31T19:13:03.275+02:00</t>
  </si>
  <si>
    <t xml:space="preserve">2024-08-31T19:24:07.956+02:00</t>
  </si>
  <si>
    <t xml:space="preserve">2024-08-31T19:28:56.586+02:00</t>
  </si>
  <si>
    <t xml:space="preserve">2024-08-31T19:13:03.812+02:00</t>
  </si>
  <si>
    <t xml:space="preserve">2024-08-31T19:12:03.552+02:00</t>
  </si>
  <si>
    <t xml:space="preserve">2024-08-31T19:27:31.986+02:00</t>
  </si>
  <si>
    <t xml:space="preserve">2024-08-31T19:59:04.673+02:00</t>
  </si>
  <si>
    <t xml:space="preserve">2024-08-31T19:12:04.312+02:00</t>
  </si>
  <si>
    <t xml:space="preserve">2024-08-31T19:11:42.880+02:00</t>
  </si>
  <si>
    <t xml:space="preserve">2024-08-31T19:38:12.242+02:00</t>
  </si>
  <si>
    <t xml:space="preserve">2024-08-31T19:05:02.573+02:00</t>
  </si>
  <si>
    <t xml:space="preserve">2024-08-31T19:19:47.003+02:00</t>
  </si>
  <si>
    <t xml:space="preserve">2024-08-31T18:59:02.560+02:00</t>
  </si>
  <si>
    <t xml:space="preserve">2024-08-31T19:12:04.958+02:00</t>
  </si>
  <si>
    <t xml:space="preserve">2024-08-31T19:41:33.891+02:00</t>
  </si>
  <si>
    <t xml:space="preserve">2024-08-31T18:59:03.221+02:00</t>
  </si>
  <si>
    <t xml:space="preserve">2024-08-31T18:53:02.422+02:00</t>
  </si>
  <si>
    <t xml:space="preserve">2024-08-31T19:01:39.749+02:00</t>
  </si>
  <si>
    <t xml:space="preserve">2024-08-31T18:52:34.526+02:00</t>
  </si>
  <si>
    <t xml:space="preserve">2024-08-31T19:10:01.029+02:00</t>
  </si>
  <si>
    <t xml:space="preserve">2024-08-31T18:37:27.396+02:00</t>
  </si>
  <si>
    <t xml:space="preserve">2024-08-31T18:52:26.014+02:00</t>
  </si>
  <si>
    <t xml:space="preserve">2024-08-31T18:36:29.693+02:00</t>
  </si>
  <si>
    <t xml:space="preserve">2024-08-31T18:46:18.047+02:00</t>
  </si>
  <si>
    <t xml:space="preserve">2024-08-31T18:30:03.001+02:00</t>
  </si>
  <si>
    <t xml:space="preserve">2024-08-31T18:41:37.818+02:00</t>
  </si>
  <si>
    <t xml:space="preserve">2024-08-31T18:49:10.644+02:00</t>
  </si>
  <si>
    <t xml:space="preserve">2024-08-31T18:30:03.649+02:00</t>
  </si>
  <si>
    <t xml:space="preserve">2024-08-31T18:05:02.992+02:00</t>
  </si>
  <si>
    <t xml:space="preserve">2024-08-31T18:17:08.798+02:00</t>
  </si>
  <si>
    <t xml:space="preserve">2024-08-31T18:27:32.483+02:00</t>
  </si>
  <si>
    <t xml:space="preserve">2024-08-31T18:05:03.538+02:00</t>
  </si>
  <si>
    <t xml:space="preserve">2024-08-31T18:04:02.716+02:00</t>
  </si>
  <si>
    <t xml:space="preserve">2024-08-31T18:13:46.780+02:00</t>
  </si>
  <si>
    <t xml:space="preserve">2024-08-31T18:41:48.481+02:00</t>
  </si>
  <si>
    <t xml:space="preserve">2024-08-31T18:04:03.303+02:00</t>
  </si>
  <si>
    <t xml:space="preserve">2024-08-31T18:00:43.088+02:00</t>
  </si>
  <si>
    <t xml:space="preserve">2024-08-31T18:15:25.866+02:00</t>
  </si>
  <si>
    <t xml:space="preserve">2024-08-31T17:44:03.238+02:00</t>
  </si>
  <si>
    <t xml:space="preserve">2024-08-31T17:54:32.998+02:00</t>
  </si>
  <si>
    <t xml:space="preserve">2024-08-31T18:18:50.088+02:00</t>
  </si>
  <si>
    <t xml:space="preserve">2024-08-31T17:50:29.867+02:00</t>
  </si>
  <si>
    <t xml:space="preserve">2024-08-31T17:38:02.760+02:00</t>
  </si>
  <si>
    <t xml:space="preserve">2024-08-31T17:49:38.813+02:00</t>
  </si>
  <si>
    <t xml:space="preserve">2024-08-31T17:55:54.018+02:00</t>
  </si>
  <si>
    <t xml:space="preserve">2024-08-31T17:38:03.226+02:00</t>
  </si>
  <si>
    <t xml:space="preserve">2024-08-31T17:33:59.832+02:00</t>
  </si>
  <si>
    <t xml:space="preserve">2024-08-31T17:44:38.203+02:00</t>
  </si>
  <si>
    <t xml:space="preserve">2024-08-31T17:31:02.214+02:00</t>
  </si>
  <si>
    <t xml:space="preserve">2024-08-31T17:42:41.792+02:00</t>
  </si>
  <si>
    <t xml:space="preserve">2024-08-31T18:05:09.673+02:00</t>
  </si>
  <si>
    <t xml:space="preserve">2024-08-31T17:31:02.723+02:00</t>
  </si>
  <si>
    <t xml:space="preserve">2024-08-31T17:29:33.492+02:00</t>
  </si>
  <si>
    <t xml:space="preserve">2024-08-31T17:35:57.017+02:00</t>
  </si>
  <si>
    <t xml:space="preserve">2024-08-31T17:27:48.449+02:00</t>
  </si>
  <si>
    <t xml:space="preserve">2024-08-31T17:30:41.744+02:00</t>
  </si>
  <si>
    <t xml:space="preserve">2024-08-31T17:13:02.139+02:00</t>
  </si>
  <si>
    <t xml:space="preserve">2024-08-31T17:27:36.790+02:00</t>
  </si>
  <si>
    <t xml:space="preserve">2024-08-31T17:37:07.693+02:00</t>
  </si>
  <si>
    <t xml:space="preserve">2024-08-31T17:13:02.665+02:00</t>
  </si>
  <si>
    <t xml:space="preserve">2024-08-31T17:11:24.977+02:00</t>
  </si>
  <si>
    <t xml:space="preserve">2024-08-31T17:24:54.371+02:00</t>
  </si>
  <si>
    <t xml:space="preserve">2024-08-31T17:05:08.689+02:00</t>
  </si>
  <si>
    <t xml:space="preserve">2024-08-31T17:16:54.120+02:00</t>
  </si>
  <si>
    <t xml:space="preserve">2024-08-31T16:59:03.779+02:00</t>
  </si>
  <si>
    <t xml:space="preserve">2024-08-31T17:14:32.427+02:00</t>
  </si>
  <si>
    <t xml:space="preserve">2024-08-31T16:29:32.771+02:00</t>
  </si>
  <si>
    <t xml:space="preserve">2024-08-31T16:39:39.768+02:00</t>
  </si>
  <si>
    <t xml:space="preserve">2024-08-31T16:27:02.671+02:00</t>
  </si>
  <si>
    <t xml:space="preserve">2024-08-31T16:36:56.819+02:00</t>
  </si>
  <si>
    <t xml:space="preserve">2024-08-31T16:57:15.226+02:00</t>
  </si>
  <si>
    <t xml:space="preserve">2024-08-31T16:27:03.218+02:00</t>
  </si>
  <si>
    <t xml:space="preserve">2024-08-31T16:26:03.539+02:00</t>
  </si>
  <si>
    <t xml:space="preserve">2024-08-31T16:35:22.776+02:00</t>
  </si>
  <si>
    <t xml:space="preserve">2024-08-31T16:43:11.604+02:00</t>
  </si>
  <si>
    <t xml:space="preserve">2024-08-31T16:26:04.193+02:00</t>
  </si>
  <si>
    <t xml:space="preserve">2024-08-31T16:01:21.531+02:00</t>
  </si>
  <si>
    <t xml:space="preserve">2024-08-31T16:17:36.268+02:00</t>
  </si>
  <si>
    <t xml:space="preserve">2024-08-31T15:59:23.241+02:00</t>
  </si>
  <si>
    <t xml:space="preserve">2024-08-31T16:14:36.011+02:00</t>
  </si>
  <si>
    <t xml:space="preserve">2024-08-31T15:45:22.225+02:00</t>
  </si>
  <si>
    <t xml:space="preserve">2024-08-31T15:52:26.982+02:00</t>
  </si>
  <si>
    <t xml:space="preserve">2024-08-31T15:32:19.844+02:00</t>
  </si>
  <si>
    <t xml:space="preserve">2024-08-31T15:50:20.025+02:00</t>
  </si>
  <si>
    <t xml:space="preserve">2024-08-31T15:20:02.484+02:00</t>
  </si>
  <si>
    <t xml:space="preserve">2024-08-31T15:32:32.780+02:00</t>
  </si>
  <si>
    <t xml:space="preserve">2024-08-31T15:45:25.791+02:00</t>
  </si>
  <si>
    <t xml:space="preserve">2024-08-31T15:20:03.107+02:00</t>
  </si>
  <si>
    <t xml:space="preserve">2024-08-31T15:09:23.874+02:00</t>
  </si>
  <si>
    <t xml:space="preserve">2024-08-31T15:20:13.206+02:00</t>
  </si>
  <si>
    <t xml:space="preserve">2024-08-31T15:07:32.275+02:00</t>
  </si>
  <si>
    <t xml:space="preserve">2024-08-31T15:15:29.179+02:00</t>
  </si>
  <si>
    <t xml:space="preserve">2024-08-31T14:51:03.359+02:00</t>
  </si>
  <si>
    <t xml:space="preserve">2024-08-31T14:57:39.868+02:00</t>
  </si>
  <si>
    <t xml:space="preserve">2024-08-31T15:02:35.340+02:00</t>
  </si>
  <si>
    <t xml:space="preserve">2024-08-31T14:51:04.014+02:00</t>
  </si>
  <si>
    <t xml:space="preserve">2024-08-31T14:43:12.176+02:00</t>
  </si>
  <si>
    <t xml:space="preserve">2024-08-31T14:54:32.884+02:00</t>
  </si>
  <si>
    <t xml:space="preserve">2024-08-31T14:42:23.968+02:00</t>
  </si>
  <si>
    <t xml:space="preserve">2024-08-31T14:52:17.016+02:00</t>
  </si>
  <si>
    <t xml:space="preserve">2024-08-31T14:38:04.383+02:00</t>
  </si>
  <si>
    <t xml:space="preserve">2024-08-31T14:49:19.076+02:00</t>
  </si>
  <si>
    <t xml:space="preserve">2024-08-31T14:32:20.569+02:00</t>
  </si>
  <si>
    <t xml:space="preserve">2024-08-31T14:44:09.137+02:00</t>
  </si>
  <si>
    <t xml:space="preserve">2024-08-31T13:58:03.248+02:00</t>
  </si>
  <si>
    <t xml:space="preserve">2024-08-31T14:08:59.803+02:00</t>
  </si>
  <si>
    <t xml:space="preserve">2024-08-31T13:56:23.618+02:00</t>
  </si>
  <si>
    <t xml:space="preserve">2024-08-31T14:06:35.267+02:00</t>
  </si>
  <si>
    <t xml:space="preserve">2024-08-31T13:44:40.684+02:00</t>
  </si>
  <si>
    <t xml:space="preserve">2024-08-31T13:54:31.740+02:00</t>
  </si>
  <si>
    <t xml:space="preserve">2024-08-31T13:23:03.154+02:00</t>
  </si>
  <si>
    <t xml:space="preserve">2024-08-31T13:36:43.899+02:00</t>
  </si>
  <si>
    <t xml:space="preserve">2024-08-31T13:53:52.922+02:00</t>
  </si>
  <si>
    <t xml:space="preserve">2024-08-31T13:23:03.758+02:00</t>
  </si>
  <si>
    <t xml:space="preserve">2024-08-31T13:22:03.173+02:00</t>
  </si>
  <si>
    <t xml:space="preserve">2024-08-31T13:42:21.804+02:00</t>
  </si>
  <si>
    <t xml:space="preserve">2024-08-31T14:04:27.779+02:00</t>
  </si>
  <si>
    <t xml:space="preserve">2024-08-31T13:35:03.476+02:00</t>
  </si>
  <si>
    <t xml:space="preserve">2024-08-31T13:20:25.388+02:00</t>
  </si>
  <si>
    <t xml:space="preserve">2024-08-31T13:44:43.991+02:00</t>
  </si>
  <si>
    <t xml:space="preserve">2024-08-31T13:20:02.260+02:00</t>
  </si>
  <si>
    <t xml:space="preserve">2024-08-31T13:33:08.781+02:00</t>
  </si>
  <si>
    <t xml:space="preserve">2024-08-31T13:49:30.953+02:00</t>
  </si>
  <si>
    <t xml:space="preserve">2024-08-31T13:20:03.017+02:00</t>
  </si>
  <si>
    <t xml:space="preserve">2024-08-31T13:20:02.248+02:00</t>
  </si>
  <si>
    <t xml:space="preserve">2024-08-31T13:31:11.735+02:00</t>
  </si>
  <si>
    <t xml:space="preserve">2024-08-31T13:41:48.411+02:00</t>
  </si>
  <si>
    <t xml:space="preserve">2024-08-31T13:20:03.255+02:00</t>
  </si>
  <si>
    <t xml:space="preserve">2024-08-31T13:11:02.771+02:00</t>
  </si>
  <si>
    <t xml:space="preserve">2024-08-31T13:27:46.775+02:00</t>
  </si>
  <si>
    <t xml:space="preserve">2024-08-31T13:34:59.753+02:00</t>
  </si>
  <si>
    <t xml:space="preserve">2024-08-31T13:11:03.263+02:00</t>
  </si>
  <si>
    <t xml:space="preserve">2024-08-31T13:10:12.522+02:00</t>
  </si>
  <si>
    <t xml:space="preserve">2024-08-31T13:28:30.803+02:00</t>
  </si>
  <si>
    <t xml:space="preserve">2024-08-31T13:06:13.076+02:00</t>
  </si>
  <si>
    <t xml:space="preserve">2024-08-31T13:23:26.697+02:00</t>
  </si>
  <si>
    <t xml:space="preserve">2024-08-31T13:05:04.604+02:00</t>
  </si>
  <si>
    <t xml:space="preserve">2024-08-31T13:21:56.745+02:00</t>
  </si>
  <si>
    <t xml:space="preserve">2024-08-31T13:02:21.169+02:00</t>
  </si>
  <si>
    <t xml:space="preserve">2024-08-31T13:18:19.024+02:00</t>
  </si>
  <si>
    <t xml:space="preserve">2024-08-31T13:00:54.844+02:00</t>
  </si>
  <si>
    <t xml:space="preserve">2024-08-31T13:09:47.690+02:00</t>
  </si>
  <si>
    <t xml:space="preserve">2024-08-31T12:57:21.531+02:00</t>
  </si>
  <si>
    <t xml:space="preserve">2024-08-31T13:07:57.060+02:00</t>
  </si>
  <si>
    <t xml:space="preserve">2024-08-31T12:54:47.745+02:00</t>
  </si>
  <si>
    <t xml:space="preserve">2024-08-31T13:06:25.703+02:00</t>
  </si>
  <si>
    <t xml:space="preserve">2024-08-31T12:50:20.158+02:00</t>
  </si>
  <si>
    <t xml:space="preserve">2024-08-31T13:02:31.970+02:00</t>
  </si>
  <si>
    <t xml:space="preserve">2024-08-31T12:44:05.817+02:00</t>
  </si>
  <si>
    <t xml:space="preserve">2024-08-31T12:53:10.003+02:00</t>
  </si>
  <si>
    <t xml:space="preserve">2024-08-31T12:23:30.024+02:00</t>
  </si>
  <si>
    <t xml:space="preserve">2024-08-31T12:32:27.949+02:00</t>
  </si>
  <si>
    <t xml:space="preserve">2024-08-31T12:16:18.577+02:00</t>
  </si>
  <si>
    <t xml:space="preserve">2024-08-31T12:30:13.004+02:00</t>
  </si>
  <si>
    <t xml:space="preserve">2024-08-31T12:15:22.573+02:00</t>
  </si>
  <si>
    <t xml:space="preserve">2024-08-31T12:27:51.958+02:00</t>
  </si>
  <si>
    <t xml:space="preserve">2024-08-31T12:04:03.602+02:00</t>
  </si>
  <si>
    <t xml:space="preserve">2024-08-31T12:13:22.889+02:00</t>
  </si>
  <si>
    <t xml:space="preserve">2024-08-31T12:23:07.390+02:00</t>
  </si>
  <si>
    <t xml:space="preserve">2024-08-31T12:04:04.118+02:00</t>
  </si>
  <si>
    <t xml:space="preserve">2024-08-31T12:01:02.266+02:00</t>
  </si>
  <si>
    <t xml:space="preserve">2024-08-31T12:18:43.823+02:00</t>
  </si>
  <si>
    <t xml:space="preserve">2024-08-31T11:56:22.575+02:00</t>
  </si>
  <si>
    <t xml:space="preserve">2024-08-31T12:09:28.923+02:00</t>
  </si>
  <si>
    <t xml:space="preserve">2024-08-31T11:54:26.284+02:00</t>
  </si>
  <si>
    <t xml:space="preserve">2024-08-31T12:04:32.689+02:00</t>
  </si>
  <si>
    <t xml:space="preserve">2024-08-31T11:49:21.086+02:00</t>
  </si>
  <si>
    <t xml:space="preserve">2024-08-31T12:02:28.914+02:00</t>
  </si>
  <si>
    <t xml:space="preserve">2024-08-31T11:18:14.446+02:00</t>
  </si>
  <si>
    <t xml:space="preserve">2024-08-31T11:26:40.435+02:00</t>
  </si>
  <si>
    <t xml:space="preserve">2024-08-31T11:13:47.498+02:00</t>
  </si>
  <si>
    <t xml:space="preserve">2024-08-31T11:24:23.737+02:00</t>
  </si>
  <si>
    <t xml:space="preserve">2024-08-31T11:12:47.493+02:00</t>
  </si>
  <si>
    <t xml:space="preserve">2024-08-31T11:22:08.635+02:00</t>
  </si>
  <si>
    <t xml:space="preserve">2024-08-31T11:05:07.172+02:00</t>
  </si>
  <si>
    <t xml:space="preserve">2024-08-31T11:19:15.618+02:00</t>
  </si>
  <si>
    <t xml:space="preserve">2024-08-31T10:59:04.335+02:00</t>
  </si>
  <si>
    <t xml:space="preserve">2024-08-31T11:15:12.830+02:00</t>
  </si>
  <si>
    <t xml:space="preserve">2024-08-31T11:20:49.124+02:00</t>
  </si>
  <si>
    <t xml:space="preserve">2024-08-31T10:59:04.929+02:00</t>
  </si>
  <si>
    <t xml:space="preserve">2024-08-31T10:32:02.511+02:00</t>
  </si>
  <si>
    <t xml:space="preserve">2024-08-31T11:13:06.728+02:00</t>
  </si>
  <si>
    <t xml:space="preserve">2024-08-31T11:28:29.422+02:00</t>
  </si>
  <si>
    <t xml:space="preserve">2024-08-31T10:32:03.471+02:00</t>
  </si>
  <si>
    <t xml:space="preserve">Vlastní vůz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</si>
  <si>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</si>
  <si>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</si>
  <si>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</si>
  <si>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</si>
  <si>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</si>
  <si>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</si>
  <si>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</si>
  <si>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</si>
  <si>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Čtvrtek</t>
  </si>
  <si>
    <t xml:space="preserve">Ahurieva Viktoriia</t>
  </si>
  <si>
    <t xml:space="preserve">21:00</t>
  </si>
  <si>
    <t xml:space="preserve">Jakub Coufal</t>
  </si>
  <si>
    <t xml:space="preserve">19:30</t>
  </si>
  <si>
    <t xml:space="preserve">02:30</t>
  </si>
  <si>
    <t xml:space="preserve">14:00</t>
  </si>
  <si>
    <t xml:space="preserve">03:00</t>
  </si>
  <si>
    <t xml:space="preserve">Pešová Hana</t>
  </si>
  <si>
    <t xml:space="preserve">01:00</t>
  </si>
  <si>
    <t xml:space="preserve">14 min 14 s</t>
  </si>
  <si>
    <t xml:space="preserve">15:00</t>
  </si>
  <si>
    <t xml:space="preserve">Hegedüs Erik</t>
  </si>
  <si>
    <t xml:space="preserve">03:30</t>
  </si>
  <si>
    <t xml:space="preserve">10:30</t>
  </si>
  <si>
    <t xml:space="preserve">Martin Jurkovič</t>
  </si>
  <si>
    <t xml:space="preserve">Hyský Aleš</t>
  </si>
  <si>
    <t xml:space="preserve">Eduard Doležal</t>
  </si>
  <si>
    <t xml:space="preserve">18:30</t>
  </si>
  <si>
    <t xml:space="preserve">3:00</t>
  </si>
  <si>
    <t xml:space="preserve">08:30</t>
  </si>
  <si>
    <t xml:space="preserve">17 min 37 s</t>
  </si>
  <si>
    <t xml:space="preserve">Sobota</t>
  </si>
  <si>
    <t xml:space="preserve">16:00</t>
  </si>
  <si>
    <t xml:space="preserve">05:00</t>
  </si>
  <si>
    <t xml:space="preserve">Vladimír Nekolný</t>
  </si>
  <si>
    <t xml:space="preserve">04:00</t>
  </si>
  <si>
    <t xml:space="preserve">14 min 00 s</t>
  </si>
  <si>
    <t xml:space="preserve">17:30</t>
  </si>
  <si>
    <t xml:space="preserve">07:30</t>
  </si>
  <si>
    <t xml:space="preserve">Hofmanová Jana</t>
  </si>
  <si>
    <t xml:space="preserve">13 min 48 s</t>
  </si>
  <si>
    <t xml:space="preserve">16 min 38 s</t>
  </si>
  <si>
    <t xml:space="preserve">13 min 36 s</t>
  </si>
  <si>
    <t xml:space="preserve">19:00</t>
  </si>
  <si>
    <t xml:space="preserve">22:30</t>
  </si>
  <si>
    <t xml:space="preserve">05:30</t>
  </si>
  <si>
    <t xml:space="preserve">15 min 30 s</t>
  </si>
  <si>
    <t xml:space="preserve">19 min 33 s</t>
  </si>
  <si>
    <t xml:space="preserve">04:30</t>
  </si>
  <si>
    <t xml:space="preserve">11 min 44 s</t>
  </si>
  <si>
    <t xml:space="preserve">06:30</t>
  </si>
  <si>
    <t xml:space="preserve">14 min 21 s</t>
  </si>
  <si>
    <t xml:space="preserve">13 min 37 s</t>
  </si>
  <si>
    <t xml:space="preserve">15:30</t>
  </si>
  <si>
    <t xml:space="preserve">17 min 36 s</t>
  </si>
  <si>
    <t xml:space="preserve">15 min 58 s</t>
  </si>
  <si>
    <t xml:space="preserve">13 min 59 s</t>
  </si>
  <si>
    <t xml:space="preserve">12 min 02 s</t>
  </si>
  <si>
    <t xml:space="preserve">02:00</t>
  </si>
  <si>
    <t xml:space="preserve">09:00</t>
  </si>
  <si>
    <t xml:space="preserve">14 min 22 s</t>
  </si>
  <si>
    <t xml:space="preserve">Pražák Aleš</t>
  </si>
  <si>
    <t xml:space="preserve">Lažek Jaroslav</t>
  </si>
  <si>
    <t xml:space="preserve">13 min 03 s</t>
  </si>
  <si>
    <t xml:space="preserve">21:30</t>
  </si>
  <si>
    <t xml:space="preserve">17 min 41 s</t>
  </si>
  <si>
    <t xml:space="preserve">12 min 57 s</t>
  </si>
  <si>
    <t xml:space="preserve">15 min 46 s</t>
  </si>
  <si>
    <t xml:space="preserve">13 min 51 s</t>
  </si>
  <si>
    <t xml:space="preserve">13 min 13 s</t>
  </si>
  <si>
    <t xml:space="preserve">12 min 31 s</t>
  </si>
  <si>
    <t xml:space="preserve">12 min 54 s</t>
  </si>
  <si>
    <t xml:space="preserve">14 min 34 s</t>
  </si>
  <si>
    <t xml:space="preserve">16:30</t>
  </si>
  <si>
    <t xml:space="preserve">14 min 45 s</t>
  </si>
  <si>
    <t xml:space="preserve">14 min 50 s</t>
  </si>
  <si>
    <t xml:space="preserve">15 min 01 s</t>
  </si>
  <si>
    <t xml:space="preserve">09:30</t>
  </si>
  <si>
    <t xml:space="preserve">15 min 32 s</t>
  </si>
  <si>
    <t xml:space="preserve">Chodov</t>
  </si>
  <si>
    <t xml:space="preserve">Online Platby</t>
  </si>
  <si>
    <t xml:space="preserve">Wolt</t>
  </si>
  <si>
    <t xml:space="preserve">Bolt</t>
  </si>
  <si>
    <t xml:space="preserve">Dáme jídlo</t>
  </si>
  <si>
    <t xml:space="preserve">     Napiš vzkaz  ⬇️    📖   Deník   📖     ⬇️ Včerejší vzkaz</t>
  </si>
  <si>
    <t xml:space="preserve">Web</t>
  </si>
  <si>
    <t xml:space="preserve">Wolt drive cash</t>
  </si>
  <si>
    <t xml:space="preserve">DJ Cash</t>
  </si>
  <si>
    <t xml:space="preserve">Instor</t>
  </si>
  <si>
    <t xml:space="preserve">Pokladna</t>
  </si>
  <si>
    <t xml:space="preserve">Jméno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</si>
  <si>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</si>
  <si>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</si>
  <si>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</si>
  <si>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</si>
  <si>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Sova Martin</t>
  </si>
  <si>
    <t xml:space="preserve">Výdaje</t>
  </si>
  <si>
    <t xml:space="preserve">Počet zpožděných našich rozvozů +5 min</t>
  </si>
  <si>
    <t xml:space="preserve">Počet rozvozů</t>
  </si>
  <si>
    <t xml:space="preserve">Vlastní vůz </t>
  </si>
  <si>
    <t xml:space="preserve">počet výdajových dokadů</t>
  </si>
  <si>
    <t xml:space="preserve">Navrátil Ondřej</t>
  </si>
  <si>
    <t xml:space="preserve">Woltrdive zpožděný kvůli našemu pozdnímu přiřazení</t>
  </si>
  <si>
    <t xml:space="preserve">Vyber datum    &lt;----------&gt;</t>
  </si>
  <si>
    <t xml:space="preserve">Celkem hodin Instor</t>
  </si>
  <si>
    <t xml:space="preserve">Celkem hodin Kurýr</t>
  </si>
  <si>
    <t xml:space="preserve">Počet dní</t>
  </si>
  <si>
    <t xml:space="preserve">136:00</t>
  </si>
  <si>
    <t xml:space="preserve">29:00</t>
  </si>
  <si>
    <t xml:space="preserve">100:00</t>
  </si>
  <si>
    <t xml:space="preserve">102:30</t>
  </si>
  <si>
    <t xml:space="preserve">Fabera Tomáš</t>
  </si>
  <si>
    <t xml:space="preserve">4:00</t>
  </si>
  <si>
    <t xml:space="preserve">Židek Petr</t>
  </si>
  <si>
    <t xml:space="preserve">95:00</t>
  </si>
  <si>
    <t xml:space="preserve">12:30</t>
  </si>
  <si>
    <t xml:space="preserve">Chlubnová Adéla</t>
  </si>
  <si>
    <t xml:space="preserve">80:00</t>
  </si>
  <si>
    <t xml:space="preserve">Chlubna Tomáš</t>
  </si>
  <si>
    <t xml:space="preserve">78:30</t>
  </si>
  <si>
    <t xml:space="preserve">7:00</t>
  </si>
  <si>
    <t xml:space="preserve">Nekolný Vladimír</t>
  </si>
  <si>
    <t xml:space="preserve">29:30</t>
  </si>
  <si>
    <t xml:space="preserve">42:00</t>
  </si>
  <si>
    <t xml:space="preserve">Fux Vojtěch</t>
  </si>
  <si>
    <t xml:space="preserve">51:30</t>
  </si>
  <si>
    <t xml:space="preserve">Hřebík Martin</t>
  </si>
  <si>
    <t xml:space="preserve">12 min 06 s</t>
  </si>
  <si>
    <t xml:space="preserve">Počet Wolt drive</t>
  </si>
  <si>
    <t xml:space="preserve">Manažeři</t>
  </si>
  <si>
    <t xml:space="preserve">Zamestnanci pobocky</t>
  </si>
  <si>
    <t xml:space="preserve"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</si>
  <si>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 xml:space="preserve">Pracovníci</t>
  </si>
  <si>
    <t xml:space="preserve">Hana Pešová</t>
  </si>
  <si>
    <t xml:space="preserve">10:00 - 17:00 (Instor)</t>
  </si>
  <si>
    <t xml:space="preserve">10:00 - 22:00 (Instor)</t>
  </si>
  <si>
    <t xml:space="preserve">17:00 - 1:00 (Instor)</t>
  </si>
  <si>
    <t xml:space="preserve">Tomáš Šebesta</t>
  </si>
  <si>
    <t xml:space="preserve">10:00 - 0:00 (Instor)</t>
  </si>
  <si>
    <t xml:space="preserve">18:00 - 23:00 (zdobič)</t>
  </si>
  <si>
    <t xml:space="preserve">Tomáš Chlubna</t>
  </si>
  <si>
    <t xml:space="preserve">11:00 - 17:00 (Kurýr)</t>
  </si>
  <si>
    <t xml:space="preserve">17:00 - 3:00 (Kurýr)</t>
  </si>
  <si>
    <t xml:space="preserve">17:00 - 0:00 (Kurýr)</t>
  </si>
  <si>
    <t xml:space="preserve">17:00 - 22:00 (Kurýr)</t>
  </si>
  <si>
    <t xml:space="preserve">Zoltan Lánský</t>
  </si>
  <si>
    <t xml:space="preserve">18:00 - 0:00 (Kurýr)</t>
  </si>
  <si>
    <t xml:space="preserve">17:00 - 23:00 (Kurýr)</t>
  </si>
  <si>
    <t xml:space="preserve">11:00 - 18:00 (Kurýr)</t>
  </si>
  <si>
    <t xml:space="preserve">17:00 - 3:00 (Instor)</t>
  </si>
  <si>
    <t xml:space="preserve">17:00 - 0:00 (Instor)</t>
  </si>
  <si>
    <t xml:space="preserve">Benjamín Szabó</t>
  </si>
  <si>
    <t xml:space="preserve">Jan Hammer</t>
  </si>
  <si>
    <t xml:space="preserve">18:00 - 1:00 (Kurýr)</t>
  </si>
  <si>
    <t xml:space="preserve">17:00 - 1:00 (Kurýr)</t>
  </si>
  <si>
    <t xml:space="preserve">Martin Hřebík</t>
  </si>
  <si>
    <t xml:space="preserve">11:00 - 0:00 (Kurýr)</t>
  </si>
  <si>
    <t xml:space="preserve">Petr Mesl</t>
  </si>
  <si>
    <t xml:space="preserve">Karolína Tomečková</t>
  </si>
  <si>
    <t xml:space="preserve">18:00 - 1:00 (Instor)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</si>
</sst>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/m/yyyy"/>
    <numFmt numFmtId="166" formatCode="dd/mm/yyyy"/>
    <numFmt numFmtId="167" formatCode="0.00"/>
    <numFmt numFmtId="168" formatCode="dd\-mm\-yyyy"/>
    <numFmt numFmtId="169" formatCode="0.00\ %"/>
    <numFmt numFmtId="170" formatCode="#,##0\ [$Kč-405]"/>
    <numFmt numFmtId="171" formatCode="\/d\/myy"/>
    <numFmt numFmtId="172" formatCode="h:mm"/>
    <numFmt numFmtId="173" formatCode="@"/>
    <numFmt numFmtId="174" formatCode="dd\-mm\-yyyy"/>
    <numFmt numFmtId="175" formatCode="0"/>
    <numFmt numFmtId="176" formatCode="h:mm:ss"/>
    <numFmt numFmtId="177" formatCode="#,##0"/>
    <numFmt numFmtId="178" formatCode="0.00E+00"/>
  </numFmts>
  <fonts count="29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  <font>
      <b val="true"/>
      <sz val="2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7"/>
      <color theme="1"/>
      <name val="&quot;Google Sans Mono&quot;"/>
      <family val="0"/>
      <charset val="1"/>
    </font>
    <font>
      <b val="true"/>
      <sz val="26"/>
      <color theme="1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25"/>
      <color rgb="FF000000"/>
      <name val="&quot;Google Sans Mono&quot;"/>
      <family val="0"/>
      <charset val="1"/>
    </font>
    <font>
      <b val="true"/>
      <sz val="12"/>
      <color theme="1"/>
      <name val="Arial"/>
      <family val="0"/>
      <charset val="1"/>
    </font>
    <font>
      <sz val="12"/>
      <color theme="1"/>
      <name val="Arial"/>
      <family val="0"/>
      <charset val="1"/>
    </font>
    <font>
      <b val="true"/>
      <sz val="21"/>
      <color theme="1"/>
      <name val="Arial"/>
      <family val="0"/>
      <charset val="1"/>
    </font>
    <font>
      <b val="true"/>
      <sz val="15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22"/>
      <color theme="1"/>
      <name val="Arial"/>
      <family val="0"/>
      <charset val="1"/>
    </font>
    <font>
      <b val="true"/>
      <sz val="23"/>
      <color theme="1"/>
      <name val="Arial"/>
      <family val="0"/>
      <charset val="1"/>
    </font>
    <font>
      <sz val="9"/>
      <color rgb="FF000000"/>
      <name val="&quot;Google Sans Mono&quot;"/>
      <family val="0"/>
      <charset val="1"/>
    </font>
    <font>
      <sz val="12"/>
      <color rgb="FF000000"/>
      <name val="Arial"/>
      <family val="0"/>
      <charset val="1"/>
    </font>
    <font>
      <sz val="11"/>
      <color rgb="FFCCCCCC"/>
      <name val="Arial"/>
      <family val="0"/>
      <charset val="1"/>
    </font>
    <font>
      <b val="true"/>
      <sz val="11"/>
      <color rgb="FFEFEFEF"/>
      <name val="Arial"/>
      <family val="0"/>
      <charset val="1"/>
    </font>
    <font>
      <b val="true"/>
      <sz val="16"/>
      <name val="Times New Roman"/>
      <family val="1"/>
      <charset val="238"/>
    </font>
    <font>
      <b val="true"/>
      <sz val="13"/>
      <name val="Times New Roman"/>
      <family val="1"/>
      <charset val="238"/>
    </font>
    <font>
      <b val="true"/>
      <sz val="14"/>
      <name val="Times New Roman"/>
      <family val="1"/>
      <charset val="238"/>
    </font>
    <font>
      <b val="true"/>
      <sz val="14"/>
      <color theme="1"/>
      <name val="&quot;Google Sans Mono&quot;"/>
      <family val="0"/>
      <charset val="1"/>
    </font>
    <font>
      <b val="true"/>
      <sz val="13"/>
      <color theme="1"/>
      <name val="&quot;Google Sans Mono&quot;"/>
      <family val="0"/>
      <charset val="1"/>
    </font>
    <font>
      <sz val="24"/>
      <name val="Times New Roman"/>
      <family val="1"/>
      <charset val="238"/>
    </font>
    <font>
      <sz val="9"/>
      <color theme="1"/>
      <name val="Google Sans Mono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EFEFEF"/>
      </patternFill>
    </fill>
    <fill>
      <patternFill patternType="solid">
        <fgColor rgb="FF6D9EEB"/>
        <bgColor rgb="FFB4A7D6"/>
      </patternFill>
    </fill>
    <fill>
      <patternFill patternType="solid">
        <fgColor rgb="FFF9CB9C"/>
        <bgColor rgb="FFFFE599"/>
      </patternFill>
    </fill>
    <fill>
      <patternFill patternType="solid">
        <fgColor rgb="FFFFE6DD"/>
        <bgColor rgb="FFFCE5CD"/>
      </patternFill>
    </fill>
    <fill>
      <patternFill patternType="solid">
        <fgColor rgb="FFFFE599"/>
        <bgColor rgb="FFFCE5CD"/>
      </patternFill>
    </fill>
    <fill>
      <patternFill patternType="solid">
        <fgColor rgb="FFCCCCCC"/>
        <bgColor rgb="FFD9D9D9"/>
      </patternFill>
    </fill>
    <fill>
      <patternFill patternType="solid">
        <fgColor rgb="FFC9DAF8"/>
        <bgColor rgb="FFCFE2F3"/>
      </patternFill>
    </fill>
    <fill>
      <patternFill patternType="solid">
        <fgColor rgb="FFD9D9D9"/>
        <bgColor rgb="FFD0E0E3"/>
      </patternFill>
    </fill>
    <fill>
      <patternFill patternType="solid">
        <fgColor rgb="FFB7E1CD"/>
        <bgColor rgb="FFD0E0E3"/>
      </patternFill>
    </fill>
    <fill>
      <patternFill patternType="solid">
        <fgColor rgb="FFFFF2CC"/>
        <bgColor rgb="FFFCE5CD"/>
      </patternFill>
    </fill>
    <fill>
      <patternFill patternType="solid">
        <fgColor rgb="FFB4A7D6"/>
        <bgColor rgb="FFCCCCCC"/>
      </patternFill>
    </fill>
    <fill>
      <patternFill patternType="solid">
        <fgColor rgb="FF000000"/>
        <bgColor rgb="FF003300"/>
      </patternFill>
    </fill>
    <fill>
      <patternFill patternType="solid">
        <fgColor rgb="FF9900FF"/>
        <bgColor rgb="FF80008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E6DD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0E0E3"/>
      </patternFill>
    </fill>
    <fill>
      <patternFill patternType="solid">
        <fgColor rgb="FFFF0000"/>
        <bgColor rgb="FF9933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D0E0E3"/>
      </patternFill>
    </fill>
    <fill>
      <patternFill patternType="solid">
        <fgColor rgb="FFD0E0E3"/>
        <bgColor rgb="FFCFE2F3"/>
      </patternFill>
    </fill>
    <fill>
      <patternFill patternType="solid">
        <fgColor rgb="FFFCE5CD"/>
        <bgColor rgb="FFFFE6DD"/>
      </patternFill>
    </fill>
  </fills>
  <borders count="37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/>
      <right style="thick"/>
      <top/>
      <bottom style="medium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/>
      <right style="thin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 style="thick"/>
      <right style="thin"/>
      <top style="thin"/>
      <bottom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ck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 style="thick"/>
      <right style="thin"/>
      <top style="thin"/>
      <bottom style="thick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1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4" fillId="12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8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6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9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1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1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5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1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4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4" fillId="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4" fillId="16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9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6" fontId="4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4" fillId="12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1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1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2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F0000"/>
        </patternFill>
      </fill>
    </dxf>
    <dxf>
      <fill>
        <patternFill>
          <bgColor rgb="FFFFFFFF"/>
        </patternFill>
      </fill>
    </dxf>
    <dxf>
      <fill>
        <patternFill>
          <bgColor rgb="FFB7E1CD"/>
        </patternFill>
      </fill>
    </dxf>
    <dxf>
      <fill>
        <patternFill>
          <bgColor rgb="FFCFE2F3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DD"/>
      <rgbColor rgb="FFFF00FF"/>
      <rgbColor rgb="FF00FFFF"/>
      <rgbColor rgb="FF800000"/>
      <rgbColor rgb="FF008000"/>
      <rgbColor rgb="FF000080"/>
      <rgbColor rgb="FF808000"/>
      <rgbColor rgb="FF9900FF"/>
      <rgbColor rgb="FF008080"/>
      <rgbColor rgb="FFCCCCCC"/>
      <rgbColor rgb="FF808080"/>
      <rgbColor rgb="FF6D9EEB"/>
      <rgbColor rgb="FF993366"/>
      <rgbColor rgb="FFFFF2CC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FE599"/>
      <rgbColor rgb="FFB7E1CD"/>
      <rgbColor rgb="FFD9D9D9"/>
      <rgbColor rgb="FFB4A7D6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D0E0E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657360</xdr:colOff>
      <xdr:row>16</xdr:row>
      <xdr:rowOff>198720</xdr:rowOff>
    </xdr:from>
    <xdr:to>
      <xdr:col>13</xdr:col>
      <xdr:colOff>153720</xdr:colOff>
      <xdr:row>21</xdr:row>
      <xdr:rowOff>36720</xdr:rowOff>
    </xdr:to>
    <xdr:sp>
      <xdr:nvSpPr>
        <xdr:cNvPr id="1" name="Shape 3"/>
        <xdr:cNvSpPr/>
      </xdr:nvSpPr>
      <xdr:spPr>
        <a:xfrm>
          <a:off x="9955800" y="3723120"/>
          <a:ext cx="1514160" cy="1009440"/>
        </a:xfrm>
        <a:prstGeom prst="rect">
          <a:avLst/>
        </a:prstGeom>
        <a:solidFill>
          <a:srgbClr val="FF9900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Vlož Restii</a:t>
          </a:r>
          <a:endParaRPr lang="cs-CZ" sz="16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0</xdr:colOff>
      <xdr:row>20</xdr:row>
      <xdr:rowOff>276120</xdr:rowOff>
    </xdr:from>
    <xdr:to>
      <xdr:col>3</xdr:col>
      <xdr:colOff>200880</xdr:colOff>
      <xdr:row>21</xdr:row>
      <xdr:rowOff>542520</xdr:rowOff>
    </xdr:to>
    <xdr:sp>
      <xdr:nvSpPr>
        <xdr:cNvPr id="2" name="Shape 4"/>
        <xdr:cNvSpPr/>
      </xdr:nvSpPr>
      <xdr:spPr>
        <a:xfrm>
          <a:off x="0" y="4676760"/>
          <a:ext cx="2447640" cy="561600"/>
        </a:xfrm>
        <a:prstGeom prst="rect">
          <a:avLst/>
        </a:prstGeom>
        <a:solidFill>
          <a:srgbClr val="FF9900"/>
        </a:solidFill>
        <a:ln w="762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300" b="1" u="none" strike="noStrike">
              <a:effectLst/>
              <a:uFillTx/>
              <a:latin typeface="Times New Roman"/>
            </a:rPr>
            <a:t>Nahraj dnešní směny</a:t>
          </a:r>
          <a:endParaRPr lang="cs-CZ" sz="13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343080</xdr:colOff>
      <xdr:row>20</xdr:row>
      <xdr:rowOff>266760</xdr:rowOff>
    </xdr:from>
    <xdr:to>
      <xdr:col>9</xdr:col>
      <xdr:colOff>134280</xdr:colOff>
      <xdr:row>21</xdr:row>
      <xdr:rowOff>552240</xdr:rowOff>
    </xdr:to>
    <xdr:sp>
      <xdr:nvSpPr>
        <xdr:cNvPr id="3" name="Shape 5"/>
        <xdr:cNvSpPr/>
      </xdr:nvSpPr>
      <xdr:spPr>
        <a:xfrm>
          <a:off x="6150960" y="4667400"/>
          <a:ext cx="1571400" cy="580680"/>
        </a:xfrm>
        <a:prstGeom prst="rect">
          <a:avLst/>
        </a:prstGeom>
        <a:solidFill>
          <a:srgbClr val="D5A6BD"/>
        </a:solidFill>
        <a:ln w="3810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400" b="1" u="none" strike="noStrike">
              <a:effectLst/>
              <a:uFillTx/>
              <a:latin typeface="Times New Roman"/>
            </a:rPr>
            <a:t>Vlož směny na celý týden</a:t>
          </a:r>
          <a:endParaRPr lang="cs-CZ" sz="1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977040</xdr:colOff>
      <xdr:row>0</xdr:row>
      <xdr:rowOff>0</xdr:rowOff>
    </xdr:from>
    <xdr:to>
      <xdr:col>4</xdr:col>
      <xdr:colOff>88920</xdr:colOff>
      <xdr:row>2</xdr:row>
      <xdr:rowOff>18720</xdr:rowOff>
    </xdr:to>
    <xdr:sp>
      <xdr:nvSpPr>
        <xdr:cNvPr id="4" name="Shape 6"/>
        <xdr:cNvSpPr/>
      </xdr:nvSpPr>
      <xdr:spPr>
        <a:xfrm>
          <a:off x="2070000" y="0"/>
          <a:ext cx="980640" cy="666360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tIns="91440" bIns="91440" anchor="ctr">
          <a:noAutofit/>
        </a:bodyPr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600" b="1" u="none" strike="noStrike">
              <a:effectLst/>
              <a:uFillTx/>
              <a:latin typeface="Times New Roman"/>
            </a:rPr>
            <a:t>Vyber datum</a:t>
          </a:r>
          <a:endParaRPr lang="cs-CZ" sz="16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2400" b="0" u="none" strike="noStrike">
              <a:effectLst/>
              <a:uFillTx/>
              <a:latin typeface="Times New Roman"/>
            </a:rPr>
            <a:t>&lt;&lt;  &gt;&gt;</a:t>
          </a:r>
          <a:endParaRPr lang="cs-CZ" sz="24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b">
        <f aca="false">TRUE()</f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customFormat="false" ht="15.75" hidden="false" customHeight="false" outlineLevel="0" collapsed="false">
      <c r="A2" s="3" t="n">
        <v>45499</v>
      </c>
      <c r="B2" s="1" t="s">
        <v>39</v>
      </c>
      <c r="C2" s="1" t="s">
        <v>40</v>
      </c>
      <c r="D2" s="1" t="s">
        <v>41</v>
      </c>
      <c r="E2" s="1" t="s">
        <v>42</v>
      </c>
      <c r="G2" s="1" t="s">
        <v>43</v>
      </c>
    </row>
    <row r="3" customFormat="false" ht="15.75" hidden="false" customHeight="false" outlineLevel="0" collapsed="false">
      <c r="A3" s="3" t="n">
        <v>45499</v>
      </c>
      <c r="B3" s="1" t="s">
        <v>39</v>
      </c>
      <c r="C3" s="1" t="s">
        <v>44</v>
      </c>
      <c r="D3" s="1" t="s">
        <v>45</v>
      </c>
      <c r="E3" s="1" t="s">
        <v>46</v>
      </c>
      <c r="G3" s="1" t="s">
        <v>47</v>
      </c>
    </row>
    <row r="4" customFormat="false" ht="15.75" hidden="false" customHeight="false" outlineLevel="0" collapsed="false">
      <c r="A4" s="3" t="n">
        <v>45499</v>
      </c>
      <c r="B4" s="1" t="s">
        <v>39</v>
      </c>
      <c r="C4" s="1" t="s">
        <v>48</v>
      </c>
      <c r="D4" s="1" t="s">
        <v>41</v>
      </c>
      <c r="E4" s="1" t="s">
        <v>49</v>
      </c>
      <c r="G4" s="1" t="s">
        <v>50</v>
      </c>
    </row>
    <row r="5" customFormat="false" ht="15.75" hidden="false" customHeight="false" outlineLevel="0" collapsed="false">
      <c r="A5" s="3" t="n">
        <v>45499</v>
      </c>
      <c r="B5" s="1" t="s">
        <v>39</v>
      </c>
      <c r="C5" s="1" t="s">
        <v>51</v>
      </c>
      <c r="D5" s="1" t="s">
        <v>41</v>
      </c>
      <c r="E5" s="1" t="s">
        <v>49</v>
      </c>
      <c r="G5" s="1" t="s">
        <v>50</v>
      </c>
    </row>
    <row r="6" customFormat="false" ht="15.75" hidden="false" customHeight="false" outlineLevel="0" collapsed="false">
      <c r="A6" s="3" t="n">
        <v>45499</v>
      </c>
      <c r="B6" s="1" t="s">
        <v>39</v>
      </c>
      <c r="C6" s="1" t="s">
        <v>52</v>
      </c>
      <c r="D6" s="1" t="s">
        <v>41</v>
      </c>
      <c r="E6" s="1" t="s">
        <v>45</v>
      </c>
      <c r="G6" s="1" t="s">
        <v>53</v>
      </c>
    </row>
    <row r="7" customFormat="false" ht="15.75" hidden="false" customHeight="false" outlineLevel="0" collapsed="false">
      <c r="A7" s="3" t="n">
        <v>45499</v>
      </c>
      <c r="B7" s="1" t="s">
        <v>39</v>
      </c>
      <c r="H7" s="1" t="s">
        <v>54</v>
      </c>
      <c r="I7" s="1" t="s">
        <v>45</v>
      </c>
      <c r="J7" s="1" t="s">
        <v>46</v>
      </c>
      <c r="L7" s="1" t="s">
        <v>47</v>
      </c>
      <c r="M7" s="1" t="n">
        <v>10</v>
      </c>
      <c r="N7" s="2" t="b">
        <f aca="false">TRUE()</f>
        <v>1</v>
      </c>
      <c r="O7" s="1" t="n">
        <v>400</v>
      </c>
    </row>
    <row r="8" customFormat="false" ht="15.75" hidden="false" customHeight="false" outlineLevel="0" collapsed="false">
      <c r="A8" s="3" t="n">
        <v>45499</v>
      </c>
      <c r="B8" s="1" t="s">
        <v>39</v>
      </c>
      <c r="H8" s="1" t="s">
        <v>55</v>
      </c>
      <c r="I8" s="1" t="s">
        <v>56</v>
      </c>
      <c r="J8" s="1" t="s">
        <v>57</v>
      </c>
      <c r="L8" s="1" t="s">
        <v>58</v>
      </c>
      <c r="M8" s="1" t="n">
        <v>1</v>
      </c>
    </row>
    <row r="9" customFormat="false" ht="15.75" hidden="false" customHeight="false" outlineLevel="0" collapsed="false">
      <c r="A9" s="3" t="n">
        <v>45499</v>
      </c>
      <c r="B9" s="1" t="s">
        <v>39</v>
      </c>
      <c r="S9" s="1" t="n">
        <v>10</v>
      </c>
      <c r="T9" s="1" t="n">
        <v>20</v>
      </c>
      <c r="U9" s="1" t="n">
        <v>30</v>
      </c>
      <c r="V9" s="1" t="n">
        <v>4</v>
      </c>
      <c r="W9" s="1" t="n">
        <v>5</v>
      </c>
      <c r="X9" s="1" t="n">
        <v>6</v>
      </c>
      <c r="Y9" s="1" t="n">
        <v>7</v>
      </c>
      <c r="Z9" s="1" t="n">
        <v>8</v>
      </c>
      <c r="AA9" s="1" t="n">
        <v>9</v>
      </c>
      <c r="AB9" s="1" t="n">
        <v>50000</v>
      </c>
      <c r="AC9" s="1" t="n">
        <v>-37157</v>
      </c>
      <c r="AD9" s="1" t="n">
        <v>0.492761570270968</v>
      </c>
      <c r="AE9" s="1" t="n">
        <v>11</v>
      </c>
      <c r="AF9" s="1" t="n">
        <v>111</v>
      </c>
      <c r="AG9" s="1" t="n">
        <v>1111</v>
      </c>
      <c r="AH9" s="1" t="n">
        <v>11111</v>
      </c>
      <c r="AI9" s="1" t="n">
        <v>400</v>
      </c>
      <c r="AL9" s="1" t="n">
        <v>5</v>
      </c>
      <c r="AM9" s="1" t="s">
        <v>59</v>
      </c>
      <c r="AN9" s="1" t="n">
        <v>1</v>
      </c>
    </row>
    <row r="10" customFormat="false" ht="15.75" hidden="false" customHeight="false" outlineLevel="0" collapsed="false">
      <c r="A10" s="3" t="n">
        <v>45499</v>
      </c>
      <c r="B10" s="1" t="s">
        <v>39</v>
      </c>
      <c r="AC10" s="1" t="n">
        <v>0</v>
      </c>
      <c r="AD10" s="1" t="s">
        <v>60</v>
      </c>
      <c r="AI10" s="1" t="n">
        <v>0</v>
      </c>
      <c r="AN10" s="1" t="n">
        <v>1</v>
      </c>
    </row>
    <row r="11" customFormat="false" ht="15.75" hidden="false" customHeight="false" outlineLevel="0" collapsed="false">
      <c r="A11" s="3" t="n">
        <v>45496</v>
      </c>
      <c r="B11" s="1" t="s">
        <v>61</v>
      </c>
      <c r="C11" s="1" t="s">
        <v>54</v>
      </c>
      <c r="D11" s="1" t="s">
        <v>41</v>
      </c>
      <c r="E11" s="1" t="s">
        <v>45</v>
      </c>
      <c r="G11" s="1" t="s">
        <v>53</v>
      </c>
      <c r="AJ11" s="1" t="n">
        <v>1</v>
      </c>
      <c r="AK11" s="1" t="n">
        <v>5</v>
      </c>
      <c r="AM11" s="1" t="s">
        <v>59</v>
      </c>
    </row>
    <row r="12" customFormat="false" ht="15.75" hidden="false" customHeight="false" outlineLevel="0" collapsed="false">
      <c r="A12" s="3" t="n">
        <v>45496</v>
      </c>
      <c r="B12" s="1" t="s">
        <v>61</v>
      </c>
      <c r="C12" s="1" t="s">
        <v>40</v>
      </c>
      <c r="D12" s="1" t="s">
        <v>41</v>
      </c>
      <c r="E12" s="1" t="s">
        <v>62</v>
      </c>
      <c r="G12" s="1" t="s">
        <v>41</v>
      </c>
      <c r="AJ12" s="1" t="n">
        <v>1</v>
      </c>
      <c r="AK12" s="1" t="n">
        <v>2</v>
      </c>
    </row>
    <row r="13" customFormat="false" ht="15.75" hidden="false" customHeight="false" outlineLevel="0" collapsed="false">
      <c r="A13" s="3" t="n">
        <v>45496</v>
      </c>
      <c r="B13" s="1" t="s">
        <v>61</v>
      </c>
      <c r="C13" s="1" t="s">
        <v>44</v>
      </c>
      <c r="D13" s="1" t="s">
        <v>45</v>
      </c>
      <c r="E13" s="1" t="s">
        <v>46</v>
      </c>
      <c r="G13" s="1" t="s">
        <v>47</v>
      </c>
      <c r="AJ13" s="1" t="n">
        <v>1</v>
      </c>
      <c r="AK13" s="1" t="n">
        <v>1</v>
      </c>
      <c r="AM13" s="1" t="s">
        <v>59</v>
      </c>
      <c r="AN13" s="1" t="n">
        <v>2</v>
      </c>
    </row>
    <row r="14" customFormat="false" ht="15.75" hidden="false" customHeight="false" outlineLevel="0" collapsed="false">
      <c r="A14" s="3" t="n">
        <v>45496</v>
      </c>
      <c r="B14" s="1" t="s">
        <v>61</v>
      </c>
      <c r="H14" s="1" t="s">
        <v>55</v>
      </c>
      <c r="I14" s="1" t="s">
        <v>63</v>
      </c>
      <c r="J14" s="1" t="s">
        <v>45</v>
      </c>
      <c r="L14" s="1" t="s">
        <v>64</v>
      </c>
    </row>
    <row r="15" customFormat="false" ht="15.75" hidden="false" customHeight="false" outlineLevel="0" collapsed="false">
      <c r="A15" s="3" t="n">
        <v>45496</v>
      </c>
      <c r="B15" s="1" t="s">
        <v>61</v>
      </c>
      <c r="H15" s="1" t="s">
        <v>65</v>
      </c>
      <c r="I15" s="1" t="s">
        <v>45</v>
      </c>
      <c r="J15" s="1" t="s">
        <v>46</v>
      </c>
      <c r="L15" s="1" t="s">
        <v>47</v>
      </c>
      <c r="M15" s="1" t="s">
        <v>66</v>
      </c>
    </row>
    <row r="16" customFormat="false" ht="15.75" hidden="false" customHeight="false" outlineLevel="0" collapsed="false">
      <c r="A16" s="3" t="n">
        <v>45496</v>
      </c>
      <c r="B16" s="1" t="s">
        <v>61</v>
      </c>
      <c r="S16" s="1" t="n">
        <v>9060</v>
      </c>
      <c r="T16" s="1" t="n">
        <v>3651</v>
      </c>
      <c r="U16" s="1" t="n">
        <v>14729</v>
      </c>
      <c r="V16" s="1" t="n">
        <v>10695</v>
      </c>
      <c r="W16" s="1" t="n">
        <v>374</v>
      </c>
      <c r="X16" s="1" t="n">
        <v>368</v>
      </c>
      <c r="AB16" s="1" t="n">
        <v>41872</v>
      </c>
      <c r="AC16" s="1" t="n">
        <v>-2995</v>
      </c>
      <c r="AD16" s="1" t="n">
        <v>0.238343671034304</v>
      </c>
      <c r="AI16" s="1" t="n">
        <v>0</v>
      </c>
      <c r="AN16" s="1" t="n">
        <v>0</v>
      </c>
    </row>
    <row r="17" customFormat="false" ht="15.75" hidden="false" customHeight="false" outlineLevel="0" collapsed="false">
      <c r="A17" s="3" t="n">
        <v>45501</v>
      </c>
      <c r="B17" s="1" t="s">
        <v>67</v>
      </c>
      <c r="C17" s="1" t="s">
        <v>40</v>
      </c>
      <c r="D17" s="1" t="s">
        <v>45</v>
      </c>
      <c r="E17" s="1" t="s">
        <v>68</v>
      </c>
      <c r="G17" s="1" t="s">
        <v>53</v>
      </c>
    </row>
    <row r="18" customFormat="false" ht="15.75" hidden="false" customHeight="false" outlineLevel="0" collapsed="false">
      <c r="A18" s="3" t="n">
        <v>45501</v>
      </c>
      <c r="B18" s="1" t="s">
        <v>67</v>
      </c>
      <c r="C18" s="1" t="s">
        <v>44</v>
      </c>
      <c r="D18" s="1" t="s">
        <v>45</v>
      </c>
      <c r="E18" s="1" t="s">
        <v>68</v>
      </c>
      <c r="G18" s="1" t="s">
        <v>53</v>
      </c>
    </row>
    <row r="19" customFormat="false" ht="15.75" hidden="false" customHeight="false" outlineLevel="0" collapsed="false">
      <c r="A19" s="3" t="n">
        <v>45501</v>
      </c>
      <c r="B19" s="1" t="s">
        <v>67</v>
      </c>
      <c r="H19" s="1" t="s">
        <v>54</v>
      </c>
      <c r="I19" s="1" t="s">
        <v>63</v>
      </c>
      <c r="J19" s="1" t="s">
        <v>45</v>
      </c>
      <c r="L19" s="1" t="s">
        <v>64</v>
      </c>
    </row>
    <row r="20" customFormat="false" ht="15.75" hidden="false" customHeight="false" outlineLevel="0" collapsed="false">
      <c r="A20" s="3" t="n">
        <v>45501</v>
      </c>
      <c r="B20" s="1" t="s">
        <v>67</v>
      </c>
      <c r="H20" s="1" t="s">
        <v>65</v>
      </c>
      <c r="I20" s="1" t="s">
        <v>45</v>
      </c>
      <c r="J20" s="1" t="s">
        <v>68</v>
      </c>
      <c r="L20" s="1" t="s">
        <v>53</v>
      </c>
    </row>
    <row r="21" customFormat="false" ht="15.75" hidden="false" customHeight="false" outlineLevel="0" collapsed="false">
      <c r="A21" s="3" t="n">
        <v>45501</v>
      </c>
      <c r="B21" s="1" t="s">
        <v>67</v>
      </c>
      <c r="AC21" s="1" t="n">
        <v>0</v>
      </c>
      <c r="AD21" s="1" t="s">
        <v>60</v>
      </c>
      <c r="AI21" s="1" t="n">
        <v>0</v>
      </c>
    </row>
    <row r="22" customFormat="false" ht="15.75" hidden="false" customHeight="false" outlineLevel="0" collapsed="false">
      <c r="A22" s="3" t="n">
        <v>45502</v>
      </c>
      <c r="B22" s="1" t="s">
        <v>69</v>
      </c>
      <c r="C22" s="1" t="s">
        <v>52</v>
      </c>
      <c r="D22" s="1" t="s">
        <v>45</v>
      </c>
      <c r="E22" s="1" t="s">
        <v>68</v>
      </c>
      <c r="G22" s="1" t="s">
        <v>53</v>
      </c>
    </row>
    <row r="23" customFormat="false" ht="15.75" hidden="false" customHeight="false" outlineLevel="0" collapsed="false">
      <c r="A23" s="3" t="n">
        <v>45502</v>
      </c>
      <c r="B23" s="1" t="s">
        <v>69</v>
      </c>
      <c r="C23" s="1" t="s">
        <v>55</v>
      </c>
      <c r="D23" s="1" t="s">
        <v>45</v>
      </c>
      <c r="E23" s="1" t="s">
        <v>68</v>
      </c>
      <c r="G23" s="1" t="s">
        <v>53</v>
      </c>
    </row>
    <row r="24" customFormat="false" ht="15.75" hidden="false" customHeight="false" outlineLevel="0" collapsed="false">
      <c r="A24" s="3" t="n">
        <v>45502</v>
      </c>
      <c r="B24" s="1" t="s">
        <v>69</v>
      </c>
      <c r="H24" s="1" t="s">
        <v>54</v>
      </c>
      <c r="I24" s="1" t="s">
        <v>63</v>
      </c>
      <c r="J24" s="1" t="s">
        <v>70</v>
      </c>
      <c r="L24" s="1" t="s">
        <v>53</v>
      </c>
    </row>
    <row r="25" customFormat="false" ht="15.75" hidden="false" customHeight="false" outlineLevel="0" collapsed="false">
      <c r="A25" s="3" t="n">
        <v>45502</v>
      </c>
      <c r="B25" s="1" t="s">
        <v>69</v>
      </c>
      <c r="H25" s="1" t="s">
        <v>71</v>
      </c>
      <c r="I25" s="1" t="s">
        <v>70</v>
      </c>
      <c r="J25" s="1" t="s">
        <v>68</v>
      </c>
      <c r="L25" s="1" t="s">
        <v>64</v>
      </c>
    </row>
    <row r="26" customFormat="false" ht="15.75" hidden="false" customHeight="false" outlineLevel="0" collapsed="false">
      <c r="A26" s="3" t="n">
        <v>45502</v>
      </c>
      <c r="B26" s="1" t="s">
        <v>69</v>
      </c>
      <c r="AC26" s="1" t="n">
        <v>0</v>
      </c>
      <c r="AD26" s="1" t="s">
        <v>60</v>
      </c>
      <c r="AI26" s="1" t="n">
        <v>0</v>
      </c>
    </row>
    <row r="27" customFormat="false" ht="15.75" hidden="false" customHeight="false" outlineLevel="0" collapsed="false">
      <c r="A27" s="3" t="n">
        <v>45503</v>
      </c>
      <c r="B27" s="1" t="s">
        <v>61</v>
      </c>
      <c r="C27" s="1" t="s">
        <v>54</v>
      </c>
      <c r="D27" s="1" t="s">
        <v>63</v>
      </c>
      <c r="E27" s="1" t="s">
        <v>45</v>
      </c>
      <c r="G27" s="1" t="s">
        <v>64</v>
      </c>
    </row>
    <row r="28" customFormat="false" ht="15.75" hidden="false" customHeight="false" outlineLevel="0" collapsed="false">
      <c r="A28" s="3" t="n">
        <v>45503</v>
      </c>
      <c r="B28" s="1" t="s">
        <v>61</v>
      </c>
      <c r="C28" s="1" t="s">
        <v>72</v>
      </c>
      <c r="D28" s="1" t="s">
        <v>41</v>
      </c>
      <c r="E28" s="1" t="s">
        <v>45</v>
      </c>
      <c r="G28" s="1" t="s">
        <v>53</v>
      </c>
    </row>
    <row r="29" customFormat="false" ht="15.75" hidden="false" customHeight="false" outlineLevel="0" collapsed="false">
      <c r="A29" s="3" t="n">
        <v>45503</v>
      </c>
      <c r="B29" s="1" t="s">
        <v>61</v>
      </c>
      <c r="C29" s="1" t="s">
        <v>40</v>
      </c>
      <c r="D29" s="1" t="s">
        <v>45</v>
      </c>
      <c r="E29" s="1" t="s">
        <v>68</v>
      </c>
      <c r="G29" s="1" t="s">
        <v>53</v>
      </c>
    </row>
    <row r="30" customFormat="false" ht="15.75" hidden="false" customHeight="false" outlineLevel="0" collapsed="false">
      <c r="A30" s="3" t="n">
        <v>45503</v>
      </c>
      <c r="B30" s="1" t="s">
        <v>61</v>
      </c>
      <c r="H30" s="1" t="s">
        <v>65</v>
      </c>
      <c r="I30" s="1" t="s">
        <v>45</v>
      </c>
      <c r="J30" s="1" t="s">
        <v>68</v>
      </c>
      <c r="L30" s="1" t="s">
        <v>53</v>
      </c>
    </row>
    <row r="31" customFormat="false" ht="15.75" hidden="false" customHeight="false" outlineLevel="0" collapsed="false">
      <c r="A31" s="3" t="n">
        <v>45503</v>
      </c>
      <c r="B31" s="1" t="s">
        <v>61</v>
      </c>
      <c r="AC31" s="1" t="n">
        <v>0</v>
      </c>
      <c r="AD31" s="1" t="s">
        <v>60</v>
      </c>
      <c r="AI31" s="1" t="n">
        <v>0</v>
      </c>
    </row>
    <row r="32" customFormat="false" ht="15.75" hidden="false" customHeight="false" outlineLevel="0" collapsed="false">
      <c r="A32" s="3" t="n">
        <v>45504</v>
      </c>
      <c r="B32" s="1" t="s">
        <v>73</v>
      </c>
      <c r="C32" s="1" t="s">
        <v>52</v>
      </c>
      <c r="D32" s="1" t="s">
        <v>45</v>
      </c>
      <c r="E32" s="1" t="s">
        <v>68</v>
      </c>
      <c r="G32" s="1" t="s">
        <v>53</v>
      </c>
    </row>
    <row r="33" customFormat="false" ht="15.75" hidden="false" customHeight="false" outlineLevel="0" collapsed="false">
      <c r="A33" s="3" t="n">
        <v>45504</v>
      </c>
      <c r="B33" s="1" t="s">
        <v>73</v>
      </c>
      <c r="H33" s="1" t="s">
        <v>65</v>
      </c>
      <c r="I33" s="1" t="s">
        <v>63</v>
      </c>
      <c r="J33" s="1" t="s">
        <v>70</v>
      </c>
      <c r="L33" s="1" t="s">
        <v>53</v>
      </c>
    </row>
    <row r="34" customFormat="false" ht="15.75" hidden="false" customHeight="false" outlineLevel="0" collapsed="false">
      <c r="A34" s="3" t="n">
        <v>45504</v>
      </c>
      <c r="B34" s="1" t="s">
        <v>73</v>
      </c>
      <c r="H34" s="1" t="s">
        <v>71</v>
      </c>
      <c r="L34" s="1" t="s">
        <v>68</v>
      </c>
      <c r="M34" s="1" t="n">
        <v>4</v>
      </c>
    </row>
    <row r="35" customFormat="false" ht="15.75" hidden="false" customHeight="false" outlineLevel="0" collapsed="false">
      <c r="A35" s="3" t="n">
        <v>45504</v>
      </c>
      <c r="B35" s="1" t="s">
        <v>73</v>
      </c>
      <c r="P35" s="1" t="n">
        <v>3</v>
      </c>
      <c r="S35" s="1" t="n">
        <v>9414</v>
      </c>
      <c r="T35" s="1" t="n">
        <v>3907</v>
      </c>
      <c r="U35" s="1" t="n">
        <v>9081</v>
      </c>
      <c r="V35" s="1" t="n">
        <v>4024</v>
      </c>
      <c r="W35" s="1" t="n">
        <v>1310</v>
      </c>
      <c r="X35" s="1" t="n">
        <v>2052</v>
      </c>
      <c r="AB35" s="1" t="n">
        <v>38044</v>
      </c>
      <c r="AC35" s="1" t="n">
        <v>-8256</v>
      </c>
      <c r="AD35" s="1" t="n">
        <v>0.254910822036284</v>
      </c>
      <c r="AI35" s="1" t="n">
        <v>0</v>
      </c>
      <c r="AN3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5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false" outlineLevel="0" collapsed="false">
      <c r="A2" s="4" t="n">
        <v>45531</v>
      </c>
      <c r="B2" s="1" t="s">
        <v>88</v>
      </c>
      <c r="C2" s="1" t="s">
        <v>89</v>
      </c>
      <c r="D2" s="1" t="n">
        <v>289</v>
      </c>
      <c r="E2" s="1" t="n">
        <v>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1" t="n">
        <v>-3</v>
      </c>
      <c r="O2" s="1" t="n">
        <v>11.8191</v>
      </c>
    </row>
    <row r="3" customFormat="false" ht="15.75" hidden="false" customHeight="false" outlineLevel="0" collapsed="false">
      <c r="A3" s="4" t="n">
        <v>45531</v>
      </c>
      <c r="B3" s="1" t="s">
        <v>95</v>
      </c>
      <c r="C3" s="1" t="s">
        <v>89</v>
      </c>
      <c r="D3" s="1" t="n">
        <v>400</v>
      </c>
      <c r="E3" s="1" t="n">
        <v>47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1" t="n">
        <v>0</v>
      </c>
      <c r="N3" s="1" t="n">
        <v>0.00943333333333333</v>
      </c>
      <c r="O3" s="1" t="n">
        <v>10.7414333333333</v>
      </c>
    </row>
    <row r="4" customFormat="false" ht="15.75" hidden="false" customHeight="false" outlineLevel="0" collapsed="false">
      <c r="A4" s="4" t="n">
        <v>45531</v>
      </c>
      <c r="B4" s="1" t="s">
        <v>88</v>
      </c>
      <c r="C4" s="1" t="s">
        <v>89</v>
      </c>
      <c r="D4" s="1" t="n">
        <v>464</v>
      </c>
      <c r="E4" s="1" t="n">
        <v>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1" t="n">
        <v>-4</v>
      </c>
      <c r="O4" s="1" t="n">
        <v>10.0414</v>
      </c>
    </row>
    <row r="5" customFormat="false" ht="15.75" hidden="false" customHeight="false" outlineLevel="0" collapsed="false">
      <c r="A5" s="4" t="n">
        <v>45531</v>
      </c>
      <c r="B5" s="1" t="s">
        <v>104</v>
      </c>
      <c r="C5" s="1" t="s">
        <v>105</v>
      </c>
      <c r="D5" s="1" t="n">
        <v>329</v>
      </c>
      <c r="E5" s="1" t="n">
        <v>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1" t="n">
        <v>-1</v>
      </c>
      <c r="O5" s="1" t="n">
        <v>13.0708</v>
      </c>
    </row>
    <row r="6" customFormat="false" ht="15.75" hidden="false" customHeight="false" outlineLevel="0" collapsed="false">
      <c r="A6" s="4" t="n">
        <v>45531</v>
      </c>
      <c r="B6" s="1" t="s">
        <v>104</v>
      </c>
      <c r="C6" s="1" t="s">
        <v>105</v>
      </c>
      <c r="D6" s="1" t="n">
        <v>329</v>
      </c>
      <c r="E6" s="1" t="n">
        <v>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1" t="n">
        <v>-6</v>
      </c>
      <c r="O6" s="1" t="n">
        <v>8.68665</v>
      </c>
    </row>
    <row r="7" customFormat="false" ht="15.75" hidden="false" customHeight="false" outlineLevel="0" collapsed="false">
      <c r="A7" s="4" t="n">
        <v>45531</v>
      </c>
      <c r="B7" s="1" t="s">
        <v>88</v>
      </c>
      <c r="C7" s="1" t="s">
        <v>89</v>
      </c>
      <c r="D7" s="1" t="n">
        <v>321</v>
      </c>
      <c r="E7" s="1" t="n">
        <v>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1" t="n">
        <v>-2</v>
      </c>
      <c r="O7" s="1" t="n">
        <v>13.3126</v>
      </c>
    </row>
    <row r="8" customFormat="false" ht="15.75" hidden="false" customHeight="false" outlineLevel="0" collapsed="false">
      <c r="A8" s="4" t="n">
        <v>45531</v>
      </c>
      <c r="B8" s="1" t="s">
        <v>104</v>
      </c>
      <c r="C8" s="1" t="s">
        <v>105</v>
      </c>
      <c r="D8" s="1" t="n">
        <v>321</v>
      </c>
      <c r="E8" s="1" t="n">
        <v>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1" t="n">
        <v>-2</v>
      </c>
      <c r="O8" s="1" t="n">
        <v>12.273</v>
      </c>
    </row>
    <row r="9" customFormat="false" ht="15.75" hidden="false" customHeight="false" outlineLevel="0" collapsed="false">
      <c r="A9" s="4" t="n">
        <v>45531</v>
      </c>
      <c r="B9" s="1" t="s">
        <v>95</v>
      </c>
      <c r="C9" s="1" t="s">
        <v>89</v>
      </c>
      <c r="D9" s="1" t="n">
        <v>299</v>
      </c>
      <c r="E9" s="1" t="n">
        <v>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1" t="n">
        <v>10</v>
      </c>
      <c r="N9" s="1" t="n">
        <v>0.0101</v>
      </c>
      <c r="O9" s="1" t="n">
        <v>11.6734</v>
      </c>
    </row>
    <row r="10" customFormat="false" ht="15.75" hidden="false" customHeight="false" outlineLevel="0" collapsed="false">
      <c r="A10" s="4" t="n">
        <v>45531</v>
      </c>
      <c r="B10" s="1" t="s">
        <v>95</v>
      </c>
      <c r="C10" s="1" t="s">
        <v>89</v>
      </c>
      <c r="D10" s="1" t="n">
        <v>288</v>
      </c>
      <c r="E10" s="1" t="n">
        <v>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1" t="n">
        <v>-1</v>
      </c>
      <c r="N10" s="1" t="n">
        <v>0.00828333333333333</v>
      </c>
      <c r="O10" s="1" t="n">
        <v>10.4290333333333</v>
      </c>
    </row>
    <row r="11" customFormat="false" ht="15.75" hidden="false" customHeight="false" outlineLevel="0" collapsed="false">
      <c r="A11" s="4" t="n">
        <v>45531</v>
      </c>
      <c r="B11" s="1" t="s">
        <v>88</v>
      </c>
      <c r="C11" s="1" t="s">
        <v>89</v>
      </c>
      <c r="D11" s="1" t="n">
        <v>394</v>
      </c>
      <c r="E11" s="1" t="n">
        <v>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1" t="n">
        <v>1</v>
      </c>
      <c r="O11" s="1" t="n">
        <v>16.4414</v>
      </c>
    </row>
    <row r="12" customFormat="false" ht="15.75" hidden="false" customHeight="false" outlineLevel="0" collapsed="false">
      <c r="A12" s="4" t="n">
        <v>45531</v>
      </c>
      <c r="B12" s="1" t="s">
        <v>127</v>
      </c>
      <c r="C12" s="1" t="s">
        <v>105</v>
      </c>
      <c r="D12" s="1" t="n">
        <v>264</v>
      </c>
      <c r="E12" s="1" t="n">
        <v>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1" t="n">
        <v>1</v>
      </c>
      <c r="O12" s="1" t="n">
        <v>11.8416666666667</v>
      </c>
    </row>
    <row r="13" customFormat="false" ht="15.75" hidden="false" customHeight="false" outlineLevel="0" collapsed="false">
      <c r="A13" s="4" t="n">
        <v>45531</v>
      </c>
      <c r="B13" s="1" t="s">
        <v>127</v>
      </c>
      <c r="C13" s="1" t="s">
        <v>105</v>
      </c>
      <c r="D13" s="1" t="n">
        <v>264</v>
      </c>
      <c r="E13" s="1" t="n">
        <v>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1" t="n">
        <v>0</v>
      </c>
      <c r="O13" s="1" t="n">
        <v>9.89213333333333</v>
      </c>
    </row>
    <row r="14" customFormat="false" ht="15.75" hidden="false" customHeight="false" outlineLevel="0" collapsed="false">
      <c r="A14" s="4" t="n">
        <v>45531</v>
      </c>
      <c r="B14" s="1" t="s">
        <v>95</v>
      </c>
      <c r="C14" s="1" t="s">
        <v>89</v>
      </c>
      <c r="D14" s="1" t="n">
        <v>309</v>
      </c>
      <c r="E14" s="1" t="n">
        <v>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1" t="n">
        <v>1</v>
      </c>
      <c r="N14" s="1" t="n">
        <v>0.0082</v>
      </c>
      <c r="O14" s="1" t="n">
        <v>11.1105333333333</v>
      </c>
    </row>
    <row r="15" customFormat="false" ht="15.75" hidden="false" customHeight="false" outlineLevel="0" collapsed="false">
      <c r="A15" s="4" t="n">
        <v>45531</v>
      </c>
      <c r="B15" s="1" t="s">
        <v>95</v>
      </c>
      <c r="C15" s="1" t="s">
        <v>89</v>
      </c>
      <c r="D15" s="1" t="n">
        <v>250</v>
      </c>
      <c r="E15" s="1" t="n">
        <v>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1" t="n">
        <v>-5</v>
      </c>
      <c r="N15" s="1" t="n">
        <v>0.0089</v>
      </c>
      <c r="O15" s="1" t="n">
        <v>11.5456</v>
      </c>
    </row>
    <row r="16" customFormat="false" ht="15.75" hidden="false" customHeight="false" outlineLevel="0" collapsed="false">
      <c r="A16" s="4" t="n">
        <v>45531</v>
      </c>
      <c r="B16" s="1" t="s">
        <v>127</v>
      </c>
      <c r="C16" s="1" t="s">
        <v>89</v>
      </c>
      <c r="D16" s="1" t="n">
        <v>394</v>
      </c>
      <c r="E16" s="1" t="n">
        <v>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1" t="n">
        <v>0</v>
      </c>
      <c r="O16" s="1" t="n">
        <v>13.0193</v>
      </c>
    </row>
    <row r="17" customFormat="false" ht="15.75" hidden="false" customHeight="false" outlineLevel="0" collapsed="false">
      <c r="A17" s="4" t="n">
        <v>45531</v>
      </c>
      <c r="B17" s="1" t="s">
        <v>127</v>
      </c>
      <c r="C17" s="1" t="s">
        <v>89</v>
      </c>
      <c r="D17" s="1" t="n">
        <v>358</v>
      </c>
      <c r="E17" s="1" t="n">
        <v>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1" t="n">
        <v>0</v>
      </c>
      <c r="O17" s="1" t="n">
        <v>11.0244833333333</v>
      </c>
    </row>
    <row r="18" customFormat="false" ht="15.75" hidden="false" customHeight="false" outlineLevel="0" collapsed="false">
      <c r="A18" s="4" t="n">
        <v>45531</v>
      </c>
      <c r="B18" s="1" t="s">
        <v>104</v>
      </c>
      <c r="C18" s="1" t="s">
        <v>105</v>
      </c>
      <c r="D18" s="1" t="n">
        <v>329</v>
      </c>
      <c r="E18" s="1" t="n">
        <v>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1" t="n">
        <v>-3</v>
      </c>
      <c r="O18" s="1" t="n">
        <v>11.4780666666667</v>
      </c>
    </row>
    <row r="19" customFormat="false" ht="15.75" hidden="false" customHeight="false" outlineLevel="0" collapsed="false">
      <c r="A19" s="4" t="n">
        <v>45531</v>
      </c>
      <c r="B19" s="1" t="s">
        <v>88</v>
      </c>
      <c r="C19" s="1" t="s">
        <v>89</v>
      </c>
      <c r="D19" s="1" t="n">
        <v>264</v>
      </c>
      <c r="E19" s="1" t="n">
        <v>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1" t="n">
        <v>-4</v>
      </c>
      <c r="O19" s="1" t="n">
        <v>10.5161166666667</v>
      </c>
    </row>
    <row r="20" customFormat="false" ht="15.75" hidden="false" customHeight="false" outlineLevel="0" collapsed="false">
      <c r="A20" s="4" t="n">
        <v>45531</v>
      </c>
      <c r="B20" s="1" t="s">
        <v>95</v>
      </c>
      <c r="C20" s="1" t="s">
        <v>89</v>
      </c>
      <c r="D20" s="1" t="n">
        <v>267</v>
      </c>
      <c r="E20" s="1" t="n">
        <v>67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1" t="n">
        <v>-8</v>
      </c>
      <c r="O20" s="1" t="n">
        <v>8.571</v>
      </c>
    </row>
    <row r="21" customFormat="false" ht="15.75" hidden="false" customHeight="false" outlineLevel="0" collapsed="false">
      <c r="A21" s="4" t="n">
        <v>45531</v>
      </c>
      <c r="B21" s="1" t="s">
        <v>95</v>
      </c>
      <c r="C21" s="1" t="s">
        <v>152</v>
      </c>
      <c r="D21" s="1" t="n">
        <v>267</v>
      </c>
      <c r="E21" s="1" t="n">
        <v>67</v>
      </c>
      <c r="G21" s="1" t="s">
        <v>149</v>
      </c>
      <c r="H21" s="1" t="s">
        <v>153</v>
      </c>
      <c r="I21" s="1" t="s">
        <v>154</v>
      </c>
      <c r="M21" s="1" t="n">
        <v>0</v>
      </c>
    </row>
    <row r="22" customFormat="false" ht="15.75" hidden="false" customHeight="false" outlineLevel="0" collapsed="false">
      <c r="A22" s="4" t="n">
        <v>45531</v>
      </c>
      <c r="B22" s="1" t="s">
        <v>127</v>
      </c>
      <c r="C22" s="1" t="s">
        <v>105</v>
      </c>
      <c r="D22" s="1" t="n">
        <v>394</v>
      </c>
      <c r="E22" s="1" t="n">
        <v>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1" t="n">
        <v>-2</v>
      </c>
      <c r="O22" s="1" t="n">
        <v>10.2971</v>
      </c>
    </row>
    <row r="23" customFormat="false" ht="15.75" hidden="false" customHeight="false" outlineLevel="0" collapsed="false">
      <c r="A23" s="4" t="n">
        <v>45531</v>
      </c>
      <c r="B23" s="1" t="s">
        <v>88</v>
      </c>
      <c r="C23" s="1" t="s">
        <v>89</v>
      </c>
      <c r="D23" s="1" t="n">
        <v>264</v>
      </c>
      <c r="E23" s="1" t="n">
        <v>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1" t="n">
        <v>-6</v>
      </c>
      <c r="O23" s="1" t="n">
        <v>8.06711666666667</v>
      </c>
    </row>
    <row r="24" customFormat="false" ht="15.75" hidden="false" customHeight="false" outlineLevel="0" collapsed="false">
      <c r="A24" s="4" t="n">
        <v>45531</v>
      </c>
      <c r="B24" s="1" t="s">
        <v>127</v>
      </c>
      <c r="C24" s="1" t="s">
        <v>105</v>
      </c>
      <c r="D24" s="1" t="n">
        <v>368</v>
      </c>
      <c r="E24" s="1" t="n">
        <v>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1" t="n">
        <v>-2</v>
      </c>
      <c r="O24" s="1" t="n">
        <v>9.60866666666667</v>
      </c>
    </row>
    <row r="25" customFormat="false" ht="15.75" hidden="false" customHeight="false" outlineLevel="0" collapsed="false">
      <c r="A25" s="4" t="n">
        <v>45531</v>
      </c>
      <c r="B25" s="1" t="s">
        <v>95</v>
      </c>
      <c r="C25" s="1" t="s">
        <v>89</v>
      </c>
      <c r="D25" s="1" t="n">
        <v>426</v>
      </c>
      <c r="E25" s="1" t="n">
        <v>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1" t="n">
        <v>15</v>
      </c>
      <c r="N25" s="1" t="n">
        <v>0.01095</v>
      </c>
      <c r="O25" s="1" t="n">
        <v>11.4656333333333</v>
      </c>
    </row>
    <row r="26" customFormat="false" ht="15.75" hidden="false" customHeight="false" outlineLevel="0" collapsed="false">
      <c r="A26" s="4" t="n">
        <v>45531</v>
      </c>
      <c r="B26" s="1" t="s">
        <v>95</v>
      </c>
      <c r="C26" s="1" t="s">
        <v>89</v>
      </c>
      <c r="D26" s="1" t="n">
        <v>329</v>
      </c>
      <c r="E26" s="1" t="n">
        <v>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1" t="n">
        <v>0</v>
      </c>
      <c r="N26" s="1" t="n">
        <v>0.0108166666666667</v>
      </c>
      <c r="O26" s="1" t="n">
        <v>9.00351666666667</v>
      </c>
    </row>
    <row r="27" customFormat="false" ht="15.75" hidden="false" customHeight="false" outlineLevel="0" collapsed="false">
      <c r="A27" s="4" t="n">
        <v>45531</v>
      </c>
      <c r="B27" s="1" t="s">
        <v>169</v>
      </c>
      <c r="C27" s="1" t="s">
        <v>89</v>
      </c>
      <c r="D27" s="1" t="n">
        <v>90</v>
      </c>
      <c r="E27" s="1" t="n">
        <v>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1" t="n">
        <v>-4</v>
      </c>
      <c r="O27" s="1" t="n">
        <v>0.630266666666667</v>
      </c>
    </row>
    <row r="28" customFormat="false" ht="15.75" hidden="false" customHeight="false" outlineLevel="0" collapsed="false">
      <c r="A28" s="4" t="n">
        <v>45531</v>
      </c>
      <c r="B28" s="1" t="s">
        <v>95</v>
      </c>
      <c r="C28" s="1" t="s">
        <v>89</v>
      </c>
      <c r="D28" s="1" t="n">
        <v>374</v>
      </c>
      <c r="E28" s="1" t="n">
        <v>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1" t="n">
        <v>-3</v>
      </c>
      <c r="N28" s="1" t="n">
        <v>0.00818333333333333</v>
      </c>
      <c r="O28" s="1" t="n">
        <v>10.1439333333333</v>
      </c>
    </row>
    <row r="29" customFormat="false" ht="15.75" hidden="false" customHeight="false" outlineLevel="0" collapsed="false">
      <c r="A29" s="4" t="n">
        <v>45531</v>
      </c>
      <c r="B29" s="1" t="s">
        <v>127</v>
      </c>
      <c r="C29" s="1" t="s">
        <v>105</v>
      </c>
      <c r="D29" s="1" t="n">
        <v>264</v>
      </c>
      <c r="E29" s="1" t="n">
        <v>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1" t="n">
        <v>-1</v>
      </c>
      <c r="O29" s="1" t="n">
        <v>8.99686666666667</v>
      </c>
    </row>
    <row r="30" customFormat="false" ht="15.75" hidden="false" customHeight="false" outlineLevel="0" collapsed="false">
      <c r="A30" s="4" t="n">
        <v>45531</v>
      </c>
      <c r="B30" s="1" t="s">
        <v>127</v>
      </c>
      <c r="C30" s="1" t="s">
        <v>105</v>
      </c>
      <c r="D30" s="1" t="n">
        <v>294</v>
      </c>
      <c r="E30" s="1" t="n">
        <v>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1" t="n">
        <v>-2</v>
      </c>
      <c r="O30" s="1" t="n">
        <v>9.25065</v>
      </c>
    </row>
    <row r="31" customFormat="false" ht="15.75" hidden="false" customHeight="false" outlineLevel="0" collapsed="false">
      <c r="A31" s="4" t="n">
        <v>45531</v>
      </c>
      <c r="B31" s="1" t="s">
        <v>104</v>
      </c>
      <c r="C31" s="1" t="s">
        <v>105</v>
      </c>
      <c r="D31" s="1" t="n">
        <v>368</v>
      </c>
      <c r="E31" s="1" t="n">
        <v>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1" t="n">
        <v>-3</v>
      </c>
      <c r="O31" s="1" t="n">
        <v>11.3167333333333</v>
      </c>
    </row>
    <row r="32" customFormat="false" ht="15.75" hidden="false" customHeight="false" outlineLevel="0" collapsed="false">
      <c r="A32" s="4" t="n">
        <v>45531</v>
      </c>
      <c r="B32" s="1" t="s">
        <v>127</v>
      </c>
      <c r="C32" s="1" t="s">
        <v>105</v>
      </c>
      <c r="D32" s="1" t="n">
        <v>264</v>
      </c>
      <c r="E32" s="1" t="n">
        <v>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1" t="n">
        <v>0</v>
      </c>
      <c r="O32" s="1" t="n">
        <v>11.13275</v>
      </c>
    </row>
    <row r="33" customFormat="false" ht="15.75" hidden="false" customHeight="false" outlineLevel="0" collapsed="false">
      <c r="A33" s="4" t="n">
        <v>45531</v>
      </c>
      <c r="B33" s="1" t="s">
        <v>88</v>
      </c>
      <c r="C33" s="1" t="s">
        <v>89</v>
      </c>
      <c r="D33" s="1" t="n">
        <v>258</v>
      </c>
      <c r="E33" s="1" t="n">
        <v>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1" t="n">
        <v>-14</v>
      </c>
      <c r="O33" s="1" t="n">
        <v>0.901983333333333</v>
      </c>
    </row>
    <row r="34" customFormat="false" ht="15.75" hidden="false" customHeight="false" outlineLevel="0" collapsed="false">
      <c r="A34" s="4" t="n">
        <v>45531</v>
      </c>
      <c r="B34" s="1" t="s">
        <v>169</v>
      </c>
      <c r="C34" s="1" t="s">
        <v>89</v>
      </c>
      <c r="D34" s="1" t="n">
        <v>309</v>
      </c>
      <c r="E34" s="1" t="n">
        <v>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1" t="n">
        <v>8</v>
      </c>
      <c r="O34" s="1" t="n">
        <v>13.98825</v>
      </c>
    </row>
    <row r="35" customFormat="false" ht="15.75" hidden="false" customHeight="false" outlineLevel="0" collapsed="false">
      <c r="A35" s="4" t="n">
        <v>45531</v>
      </c>
      <c r="B35" s="1" t="s">
        <v>169</v>
      </c>
      <c r="C35" s="1" t="s">
        <v>89</v>
      </c>
      <c r="D35" s="1" t="n">
        <v>209</v>
      </c>
      <c r="E35" s="1" t="n">
        <v>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1" t="n">
        <v>6</v>
      </c>
      <c r="O35" s="1" t="n">
        <v>11.8711166666667</v>
      </c>
    </row>
    <row r="36" customFormat="false" ht="15.75" hidden="false" customHeight="false" outlineLevel="0" collapsed="false">
      <c r="A36" s="4" t="n">
        <v>45531</v>
      </c>
      <c r="B36" s="1" t="s">
        <v>95</v>
      </c>
      <c r="C36" s="1" t="s">
        <v>89</v>
      </c>
      <c r="D36" s="1" t="n">
        <v>199</v>
      </c>
      <c r="E36" s="1" t="n">
        <v>50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1" t="n">
        <v>-4</v>
      </c>
      <c r="O36" s="1" t="n">
        <v>15.2469333333333</v>
      </c>
    </row>
    <row r="37" customFormat="false" ht="15.75" hidden="false" customHeight="false" outlineLevel="0" collapsed="false">
      <c r="A37" s="4" t="n">
        <v>45531</v>
      </c>
      <c r="B37" s="1" t="s">
        <v>95</v>
      </c>
      <c r="C37" s="1" t="s">
        <v>89</v>
      </c>
      <c r="D37" s="1" t="n">
        <v>279</v>
      </c>
      <c r="E37" s="1" t="n">
        <v>70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1" t="n">
        <v>-4</v>
      </c>
      <c r="O37" s="1" t="n">
        <v>14.9709833333333</v>
      </c>
    </row>
    <row r="38" customFormat="false" ht="15.75" hidden="false" customHeight="false" outlineLevel="0" collapsed="false">
      <c r="A38" s="4" t="n">
        <v>45531</v>
      </c>
      <c r="B38" s="1" t="s">
        <v>169</v>
      </c>
      <c r="C38" s="1" t="s">
        <v>152</v>
      </c>
      <c r="D38" s="1" t="n">
        <v>249</v>
      </c>
      <c r="E38" s="1" t="n">
        <v>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1" t="n">
        <v>7</v>
      </c>
      <c r="O38" s="1" t="n">
        <v>12.8638166666667</v>
      </c>
    </row>
    <row r="39" customFormat="false" ht="15.75" hidden="false" customHeight="false" outlineLevel="0" collapsed="false">
      <c r="A39" s="4" t="n">
        <v>45531</v>
      </c>
      <c r="B39" s="1" t="s">
        <v>95</v>
      </c>
      <c r="C39" s="1" t="s">
        <v>89</v>
      </c>
      <c r="D39" s="1" t="n">
        <v>247</v>
      </c>
      <c r="E39" s="1" t="n">
        <v>62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1" t="n">
        <v>-6</v>
      </c>
      <c r="O39" s="1" t="n">
        <v>12.6944333333333</v>
      </c>
    </row>
    <row r="40" customFormat="false" ht="15.75" hidden="false" customHeight="false" outlineLevel="0" collapsed="false">
      <c r="A40" s="4" t="n">
        <v>45531</v>
      </c>
      <c r="B40" s="1" t="s">
        <v>88</v>
      </c>
      <c r="C40" s="1" t="s">
        <v>89</v>
      </c>
      <c r="D40" s="1" t="n">
        <v>313</v>
      </c>
      <c r="E40" s="1" t="n">
        <v>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1" t="n">
        <v>4</v>
      </c>
      <c r="O40" s="1" t="n">
        <v>19.7770333333333</v>
      </c>
    </row>
    <row r="41" customFormat="false" ht="15.75" hidden="false" customHeight="false" outlineLevel="0" collapsed="false">
      <c r="A41" s="4" t="n">
        <v>45531</v>
      </c>
      <c r="B41" s="1" t="s">
        <v>127</v>
      </c>
      <c r="C41" s="1" t="s">
        <v>105</v>
      </c>
      <c r="D41" s="1" t="n">
        <v>693</v>
      </c>
      <c r="E41" s="1" t="n">
        <v>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1" t="n">
        <v>0</v>
      </c>
      <c r="O41" s="1" t="n">
        <v>14.46005</v>
      </c>
    </row>
    <row r="42" customFormat="false" ht="15.75" hidden="false" customHeight="false" outlineLevel="0" collapsed="false">
      <c r="A42" s="4" t="n">
        <v>45531</v>
      </c>
      <c r="B42" s="1" t="s">
        <v>104</v>
      </c>
      <c r="C42" s="1" t="s">
        <v>105</v>
      </c>
      <c r="D42" s="1" t="n">
        <v>356</v>
      </c>
      <c r="E42" s="1" t="n">
        <v>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1" t="n">
        <v>0</v>
      </c>
      <c r="O42" s="1" t="n">
        <v>15.28745</v>
      </c>
    </row>
    <row r="43" customFormat="false" ht="15.75" hidden="false" customHeight="false" outlineLevel="0" collapsed="false">
      <c r="A43" s="4" t="n">
        <v>45531</v>
      </c>
      <c r="B43" s="1" t="s">
        <v>95</v>
      </c>
      <c r="C43" s="1" t="s">
        <v>89</v>
      </c>
      <c r="D43" s="1" t="n">
        <v>379</v>
      </c>
      <c r="E43" s="1" t="n">
        <v>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1" t="n">
        <v>-5</v>
      </c>
      <c r="O43" s="1" t="n">
        <v>12.6108833333333</v>
      </c>
    </row>
    <row r="44" customFormat="false" ht="15.75" hidden="false" customHeight="false" outlineLevel="0" collapsed="false">
      <c r="A44" s="4" t="n">
        <v>45531</v>
      </c>
      <c r="B44" s="1" t="s">
        <v>95</v>
      </c>
      <c r="C44" s="1" t="s">
        <v>89</v>
      </c>
      <c r="D44" s="1" t="n">
        <v>247</v>
      </c>
      <c r="E44" s="1" t="n">
        <v>62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1" t="n">
        <v>-8</v>
      </c>
      <c r="O44" s="1" t="n">
        <v>10.5260833333333</v>
      </c>
    </row>
    <row r="45" customFormat="false" ht="15.75" hidden="false" customHeight="false" outlineLevel="0" collapsed="false">
      <c r="A45" s="4" t="n">
        <v>45531</v>
      </c>
      <c r="B45" s="1" t="s">
        <v>95</v>
      </c>
      <c r="C45" s="1" t="s">
        <v>89</v>
      </c>
      <c r="D45" s="1" t="n">
        <v>245</v>
      </c>
      <c r="E45" s="1" t="n">
        <v>61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1" t="n">
        <v>-9</v>
      </c>
      <c r="O45" s="1" t="n">
        <v>9.18448333333333</v>
      </c>
    </row>
    <row r="46" customFormat="false" ht="15.75" hidden="false" customHeight="false" outlineLevel="0" collapsed="false">
      <c r="A46" s="4" t="n">
        <v>45531</v>
      </c>
      <c r="B46" s="1" t="s">
        <v>88</v>
      </c>
      <c r="C46" s="1" t="s">
        <v>89</v>
      </c>
      <c r="D46" s="1" t="n">
        <v>321</v>
      </c>
      <c r="E46" s="1" t="n">
        <v>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1" t="n">
        <v>8</v>
      </c>
      <c r="O46" s="1" t="n">
        <v>24.1852166666667</v>
      </c>
    </row>
    <row r="47" customFormat="false" ht="15.75" hidden="false" customHeight="false" outlineLevel="0" collapsed="false">
      <c r="A47" s="4" t="n">
        <v>45531</v>
      </c>
      <c r="B47" s="1" t="s">
        <v>95</v>
      </c>
      <c r="C47" s="1" t="s">
        <v>89</v>
      </c>
      <c r="D47" s="1" t="n">
        <v>274</v>
      </c>
      <c r="E47" s="1" t="n">
        <v>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1" t="n">
        <v>-6</v>
      </c>
      <c r="N47" s="1" t="n">
        <v>0.00846666666666667</v>
      </c>
      <c r="O47" s="1" t="n">
        <v>16.0681833333333</v>
      </c>
    </row>
    <row r="48" customFormat="false" ht="15.75" hidden="false" customHeight="false" outlineLevel="0" collapsed="false">
      <c r="A48" s="4" t="n">
        <v>45531</v>
      </c>
      <c r="B48" s="1" t="s">
        <v>127</v>
      </c>
      <c r="C48" s="1" t="s">
        <v>89</v>
      </c>
      <c r="D48" s="1" t="n">
        <v>582</v>
      </c>
      <c r="E48" s="1" t="n">
        <v>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1" t="n">
        <v>0</v>
      </c>
      <c r="O48" s="1" t="n">
        <v>15.7037</v>
      </c>
    </row>
    <row r="49" customFormat="false" ht="15.75" hidden="false" customHeight="false" outlineLevel="0" collapsed="false">
      <c r="A49" s="4" t="n">
        <v>45531</v>
      </c>
      <c r="B49" s="1" t="s">
        <v>127</v>
      </c>
      <c r="C49" s="1" t="s">
        <v>105</v>
      </c>
      <c r="D49" s="1" t="n">
        <v>214</v>
      </c>
      <c r="E49" s="1" t="n">
        <v>50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1" t="n">
        <v>11</v>
      </c>
      <c r="O49" s="1" t="n">
        <v>22.53465</v>
      </c>
    </row>
    <row r="50" customFormat="false" ht="15.75" hidden="false" customHeight="false" outlineLevel="0" collapsed="false">
      <c r="A50" s="4" t="n">
        <v>45531</v>
      </c>
      <c r="B50" s="1" t="s">
        <v>95</v>
      </c>
      <c r="C50" s="1" t="s">
        <v>89</v>
      </c>
      <c r="D50" s="1" t="n">
        <v>797</v>
      </c>
      <c r="E50" s="1" t="n">
        <v>199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1" t="n">
        <v>0</v>
      </c>
      <c r="O50" s="1" t="n">
        <v>19.6758</v>
      </c>
    </row>
    <row r="51" customFormat="false" ht="15.75" hidden="false" customHeight="false" outlineLevel="0" collapsed="false">
      <c r="A51" s="4" t="n">
        <v>45531</v>
      </c>
      <c r="B51" s="1" t="s">
        <v>127</v>
      </c>
      <c r="C51" s="1" t="s">
        <v>105</v>
      </c>
      <c r="D51" s="1" t="n">
        <v>368</v>
      </c>
      <c r="E51" s="1" t="n">
        <v>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1" t="n">
        <v>9</v>
      </c>
      <c r="O51" s="1" t="n">
        <v>22.38985</v>
      </c>
    </row>
    <row r="52" customFormat="false" ht="15.75" hidden="false" customHeight="false" outlineLevel="0" collapsed="false">
      <c r="A52" s="4" t="n">
        <v>45531</v>
      </c>
      <c r="B52" s="1" t="s">
        <v>127</v>
      </c>
      <c r="C52" s="1" t="s">
        <v>105</v>
      </c>
      <c r="D52" s="1" t="n">
        <v>264</v>
      </c>
      <c r="E52" s="1" t="n">
        <v>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1" t="n">
        <v>-3</v>
      </c>
      <c r="O52" s="1" t="n">
        <v>7.4117</v>
      </c>
    </row>
    <row r="53" customFormat="false" ht="15.75" hidden="false" customHeight="false" outlineLevel="0" collapsed="false">
      <c r="A53" s="4" t="n">
        <v>45531</v>
      </c>
      <c r="B53" s="1" t="s">
        <v>95</v>
      </c>
      <c r="C53" s="1" t="s">
        <v>89</v>
      </c>
      <c r="D53" s="1" t="n">
        <v>336</v>
      </c>
      <c r="E53" s="1" t="n">
        <v>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1" t="n">
        <v>1</v>
      </c>
      <c r="N53" s="1" t="n">
        <v>12.3929</v>
      </c>
      <c r="O53" s="1" t="n">
        <v>14.58575</v>
      </c>
    </row>
    <row r="54" customFormat="false" ht="15.75" hidden="false" customHeight="false" outlineLevel="0" collapsed="false">
      <c r="A54" s="4" t="n">
        <v>45531</v>
      </c>
      <c r="B54" s="1" t="s">
        <v>95</v>
      </c>
      <c r="C54" s="1" t="s">
        <v>152</v>
      </c>
      <c r="D54" s="1" t="n">
        <v>299</v>
      </c>
      <c r="E54" s="1" t="n">
        <v>75</v>
      </c>
      <c r="G54" s="1" t="s">
        <v>149</v>
      </c>
      <c r="H54" s="1" t="s">
        <v>153</v>
      </c>
      <c r="I54" s="1" t="s">
        <v>232</v>
      </c>
      <c r="M54" s="1" t="n">
        <v>0</v>
      </c>
    </row>
    <row r="55" customFormat="false" ht="15.75" hidden="false" customHeight="false" outlineLevel="0" collapsed="false">
      <c r="A55" s="4" t="n">
        <v>45531</v>
      </c>
      <c r="B55" s="1" t="s">
        <v>104</v>
      </c>
      <c r="C55" s="1" t="s">
        <v>105</v>
      </c>
      <c r="D55" s="1" t="n">
        <v>553</v>
      </c>
      <c r="E55" s="1" t="n">
        <v>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1" t="n">
        <v>-5</v>
      </c>
      <c r="O55" s="1" t="n">
        <v>13.1886666666667</v>
      </c>
    </row>
    <row r="56" customFormat="false" ht="15.75" hidden="false" customHeight="false" outlineLevel="0" collapsed="false">
      <c r="A56" s="4" t="n">
        <v>45531</v>
      </c>
      <c r="B56" s="1" t="s">
        <v>169</v>
      </c>
      <c r="C56" s="1" t="s">
        <v>89</v>
      </c>
      <c r="D56" s="1" t="n">
        <v>168</v>
      </c>
      <c r="E56" s="1" t="n">
        <v>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1" t="n">
        <v>3</v>
      </c>
      <c r="O56" s="1" t="n">
        <v>8.54645</v>
      </c>
    </row>
    <row r="57" customFormat="false" ht="15.75" hidden="false" customHeight="false" outlineLevel="0" collapsed="false">
      <c r="A57" s="4" t="n">
        <v>45531</v>
      </c>
      <c r="B57" s="1" t="s">
        <v>127</v>
      </c>
      <c r="C57" s="1" t="s">
        <v>105</v>
      </c>
      <c r="D57" s="1" t="n">
        <v>528</v>
      </c>
      <c r="E57" s="1" t="n">
        <v>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1" t="n">
        <v>-1</v>
      </c>
      <c r="O57" s="1" t="n">
        <v>12.7908666666667</v>
      </c>
    </row>
    <row r="58" customFormat="false" ht="15.75" hidden="false" customHeight="false" outlineLevel="0" collapsed="false">
      <c r="A58" s="4" t="n">
        <v>45531</v>
      </c>
      <c r="B58" s="1" t="s">
        <v>95</v>
      </c>
      <c r="C58" s="1" t="s">
        <v>89</v>
      </c>
      <c r="D58" s="1" t="n">
        <v>299</v>
      </c>
      <c r="E58" s="1" t="n">
        <v>75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1" t="n">
        <v>-7</v>
      </c>
      <c r="O58" s="1" t="n">
        <v>12.0556166666667</v>
      </c>
    </row>
    <row r="59" customFormat="false" ht="15.75" hidden="false" customHeight="false" outlineLevel="0" collapsed="false">
      <c r="A59" s="4" t="n">
        <v>45531</v>
      </c>
      <c r="B59" s="1" t="s">
        <v>95</v>
      </c>
      <c r="C59" s="1" t="s">
        <v>89</v>
      </c>
      <c r="D59" s="1" t="n">
        <v>683</v>
      </c>
      <c r="E59" s="1" t="n">
        <v>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1" t="n">
        <v>10</v>
      </c>
      <c r="N59" s="1" t="n">
        <v>0.0126833333333333</v>
      </c>
      <c r="O59" s="1" t="n">
        <v>14.5651333333333</v>
      </c>
    </row>
    <row r="60" customFormat="false" ht="15.75" hidden="false" customHeight="false" outlineLevel="0" collapsed="false">
      <c r="A60" s="4" t="n">
        <v>45531</v>
      </c>
      <c r="B60" s="1" t="s">
        <v>104</v>
      </c>
      <c r="C60" s="1" t="s">
        <v>89</v>
      </c>
      <c r="D60" s="1" t="n">
        <v>329</v>
      </c>
      <c r="E60" s="1" t="n">
        <v>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1" t="n">
        <v>2</v>
      </c>
      <c r="O60" s="1" t="n">
        <v>17.60875</v>
      </c>
    </row>
    <row r="61" customFormat="false" ht="15.75" hidden="false" customHeight="false" outlineLevel="0" collapsed="false">
      <c r="A61" s="4" t="n">
        <v>45531</v>
      </c>
      <c r="B61" s="1" t="s">
        <v>95</v>
      </c>
      <c r="C61" s="1" t="s">
        <v>89</v>
      </c>
      <c r="D61" s="1" t="n">
        <v>575</v>
      </c>
      <c r="E61" s="1" t="n">
        <v>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1" t="n">
        <v>3</v>
      </c>
      <c r="N61" s="1" t="n">
        <v>0.0099</v>
      </c>
      <c r="O61" s="1" t="n">
        <v>11.0292666666667</v>
      </c>
    </row>
    <row r="62" customFormat="false" ht="15.75" hidden="false" customHeight="false" outlineLevel="0" collapsed="false">
      <c r="A62" s="4" t="n">
        <v>45531</v>
      </c>
      <c r="B62" s="1" t="s">
        <v>127</v>
      </c>
      <c r="C62" s="1" t="s">
        <v>105</v>
      </c>
      <c r="D62" s="1" t="n">
        <v>653</v>
      </c>
      <c r="E62" s="1" t="n">
        <v>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1" t="n">
        <v>-4</v>
      </c>
      <c r="O62" s="1" t="n">
        <v>10.7769833333333</v>
      </c>
    </row>
    <row r="63" customFormat="false" ht="15.75" hidden="false" customHeight="false" outlineLevel="0" collapsed="false">
      <c r="A63" s="4" t="n">
        <v>45531</v>
      </c>
      <c r="B63" s="1" t="s">
        <v>169</v>
      </c>
      <c r="C63" s="1" t="s">
        <v>89</v>
      </c>
      <c r="D63" s="1" t="n">
        <v>398</v>
      </c>
      <c r="E63" s="1" t="n">
        <v>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1" t="n">
        <v>4</v>
      </c>
      <c r="O63" s="1" t="n">
        <v>9.67945</v>
      </c>
    </row>
    <row r="64" customFormat="false" ht="15.75" hidden="false" customHeight="false" outlineLevel="0" collapsed="false">
      <c r="A64" s="4" t="n">
        <v>45531</v>
      </c>
      <c r="B64" s="1" t="s">
        <v>95</v>
      </c>
      <c r="C64" s="1" t="s">
        <v>89</v>
      </c>
      <c r="D64" s="1" t="n">
        <v>366</v>
      </c>
      <c r="E64" s="1" t="n">
        <v>62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1" t="n">
        <v>-8</v>
      </c>
      <c r="O64" s="1" t="n">
        <v>89.6491666666667</v>
      </c>
    </row>
    <row r="65" customFormat="false" ht="15.75" hidden="false" customHeight="false" outlineLevel="0" collapsed="false">
      <c r="A65" s="4" t="n">
        <v>45531</v>
      </c>
      <c r="B65" s="1" t="s">
        <v>169</v>
      </c>
      <c r="C65" s="1" t="s">
        <v>89</v>
      </c>
      <c r="D65" s="1" t="n">
        <v>348</v>
      </c>
      <c r="E65" s="1" t="n">
        <v>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1" t="n">
        <v>7</v>
      </c>
      <c r="O65" s="1" t="n">
        <v>12.3883</v>
      </c>
    </row>
    <row r="66" customFormat="false" ht="15.75" hidden="false" customHeight="false" outlineLevel="0" collapsed="false">
      <c r="A66" s="4" t="n">
        <v>45531</v>
      </c>
      <c r="B66" s="1" t="s">
        <v>104</v>
      </c>
      <c r="C66" s="1" t="s">
        <v>105</v>
      </c>
      <c r="D66" s="1" t="n">
        <v>588</v>
      </c>
      <c r="E66" s="1" t="n">
        <v>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1" t="n">
        <v>0</v>
      </c>
      <c r="O66" s="1" t="n">
        <v>18.05265</v>
      </c>
    </row>
    <row r="67" customFormat="false" ht="15.75" hidden="false" customHeight="false" outlineLevel="0" collapsed="false">
      <c r="A67" s="4" t="n">
        <v>45531</v>
      </c>
      <c r="B67" s="1" t="s">
        <v>95</v>
      </c>
      <c r="C67" s="1" t="s">
        <v>89</v>
      </c>
      <c r="D67" s="1" t="n">
        <v>329</v>
      </c>
      <c r="E67" s="1" t="n">
        <v>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1" t="n">
        <v>9</v>
      </c>
      <c r="N67" s="1" t="n">
        <v>0.00893333333333333</v>
      </c>
      <c r="O67" s="1" t="n">
        <v>21.3374333333333</v>
      </c>
    </row>
    <row r="68" customFormat="false" ht="15.75" hidden="false" customHeight="false" outlineLevel="0" collapsed="false">
      <c r="A68" s="4" t="n">
        <v>45531</v>
      </c>
      <c r="B68" s="1" t="s">
        <v>95</v>
      </c>
      <c r="C68" s="1" t="s">
        <v>89</v>
      </c>
      <c r="D68" s="1" t="n">
        <v>374</v>
      </c>
      <c r="E68" s="1" t="n">
        <v>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1" t="n">
        <v>2</v>
      </c>
      <c r="N68" s="1" t="n">
        <v>0.00851666666666667</v>
      </c>
      <c r="O68" s="1" t="n">
        <v>15.1520333333333</v>
      </c>
    </row>
    <row r="69" customFormat="false" ht="15.75" hidden="false" customHeight="false" outlineLevel="0" collapsed="false">
      <c r="A69" s="4" t="n">
        <v>45531</v>
      </c>
      <c r="B69" s="1" t="s">
        <v>95</v>
      </c>
      <c r="C69" s="1" t="s">
        <v>89</v>
      </c>
      <c r="D69" s="1" t="n">
        <v>523</v>
      </c>
      <c r="E69" s="1" t="n">
        <v>32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1" t="n">
        <v>18</v>
      </c>
      <c r="N69" s="1" t="n">
        <v>10.9677666666667</v>
      </c>
      <c r="O69" s="1" t="n">
        <v>13.16235</v>
      </c>
    </row>
    <row r="70" customFormat="false" ht="15.75" hidden="false" customHeight="false" outlineLevel="0" collapsed="false">
      <c r="A70" s="4" t="n">
        <v>45531</v>
      </c>
      <c r="B70" s="1" t="s">
        <v>95</v>
      </c>
      <c r="C70" s="1" t="s">
        <v>89</v>
      </c>
      <c r="D70" s="1" t="n">
        <v>168</v>
      </c>
      <c r="E70" s="1" t="n">
        <v>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1" t="n">
        <v>-6</v>
      </c>
      <c r="O70" s="1" t="n">
        <v>12.58635</v>
      </c>
    </row>
    <row r="71" customFormat="false" ht="15.75" hidden="false" customHeight="false" outlineLevel="0" collapsed="false">
      <c r="A71" s="4" t="n">
        <v>45531</v>
      </c>
      <c r="B71" s="1" t="s">
        <v>127</v>
      </c>
      <c r="C71" s="1" t="s">
        <v>105</v>
      </c>
      <c r="D71" s="1" t="n">
        <v>264</v>
      </c>
      <c r="E71" s="1" t="n">
        <v>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1" t="n">
        <v>-2</v>
      </c>
      <c r="O71" s="1" t="n">
        <v>8.60238333333333</v>
      </c>
    </row>
    <row r="72" customFormat="false" ht="15.75" hidden="false" customHeight="false" outlineLevel="0" collapsed="false">
      <c r="A72" s="4" t="n">
        <v>45531</v>
      </c>
      <c r="B72" s="1" t="s">
        <v>127</v>
      </c>
      <c r="C72" s="1" t="s">
        <v>105</v>
      </c>
      <c r="D72" s="1" t="n">
        <v>429</v>
      </c>
      <c r="E72" s="1" t="n">
        <v>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1" t="n">
        <v>-2</v>
      </c>
      <c r="O72" s="1" t="n">
        <v>10.7228333333333</v>
      </c>
    </row>
    <row r="73" customFormat="false" ht="15.75" hidden="false" customHeight="false" outlineLevel="0" collapsed="false">
      <c r="A73" s="4" t="n">
        <v>45531</v>
      </c>
      <c r="B73" s="1" t="s">
        <v>88</v>
      </c>
      <c r="C73" s="1" t="s">
        <v>89</v>
      </c>
      <c r="D73" s="1" t="n">
        <v>593</v>
      </c>
      <c r="E73" s="1" t="n">
        <v>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1" t="n">
        <v>-4</v>
      </c>
      <c r="O73" s="1" t="n">
        <v>10.3188</v>
      </c>
    </row>
    <row r="74" customFormat="false" ht="15.75" hidden="false" customHeight="false" outlineLevel="0" collapsed="false">
      <c r="A74" s="4" t="n">
        <v>45531</v>
      </c>
      <c r="B74" s="1" t="s">
        <v>95</v>
      </c>
      <c r="C74" s="1" t="s">
        <v>89</v>
      </c>
      <c r="D74" s="1" t="n">
        <v>219</v>
      </c>
      <c r="E74" s="1" t="n">
        <v>55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1" t="n">
        <v>-11</v>
      </c>
      <c r="O74" s="1" t="n">
        <v>8.28791666666667</v>
      </c>
    </row>
    <row r="75" customFormat="false" ht="15.75" hidden="false" customHeight="false" outlineLevel="0" collapsed="false">
      <c r="A75" s="4" t="n">
        <v>45531</v>
      </c>
      <c r="B75" s="1" t="s">
        <v>127</v>
      </c>
      <c r="C75" s="1" t="s">
        <v>105</v>
      </c>
      <c r="D75" s="1" t="n">
        <v>553</v>
      </c>
      <c r="E75" s="1" t="n">
        <v>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1" t="n">
        <v>-2</v>
      </c>
      <c r="O75" s="1" t="n">
        <v>11.9187</v>
      </c>
    </row>
    <row r="76" customFormat="false" ht="15.75" hidden="false" customHeight="false" outlineLevel="0" collapsed="false">
      <c r="A76" s="4" t="n">
        <v>45531</v>
      </c>
      <c r="B76" s="1" t="s">
        <v>95</v>
      </c>
      <c r="C76" s="1" t="s">
        <v>152</v>
      </c>
      <c r="D76" s="1" t="n">
        <v>267</v>
      </c>
      <c r="E76" s="1" t="n">
        <v>62</v>
      </c>
      <c r="G76" s="1" t="s">
        <v>149</v>
      </c>
      <c r="H76" s="1" t="s">
        <v>153</v>
      </c>
      <c r="I76" s="1" t="s">
        <v>286</v>
      </c>
      <c r="M76" s="1" t="n">
        <v>0</v>
      </c>
    </row>
    <row r="77" customFormat="false" ht="15.75" hidden="false" customHeight="false" outlineLevel="0" collapsed="false">
      <c r="A77" s="4" t="n">
        <v>45531</v>
      </c>
      <c r="B77" s="1" t="s">
        <v>95</v>
      </c>
      <c r="C77" s="1" t="s">
        <v>89</v>
      </c>
      <c r="D77" s="1" t="n">
        <v>267</v>
      </c>
      <c r="E77" s="1" t="n">
        <v>62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1" t="n">
        <v>-10</v>
      </c>
      <c r="O77" s="1" t="n">
        <v>9.24783333333333</v>
      </c>
    </row>
    <row r="78" customFormat="false" ht="15.75" hidden="false" customHeight="false" outlineLevel="0" collapsed="false">
      <c r="A78" s="4" t="n">
        <v>45531</v>
      </c>
      <c r="B78" s="1" t="s">
        <v>95</v>
      </c>
      <c r="C78" s="1" t="s">
        <v>89</v>
      </c>
      <c r="D78" s="1" t="n">
        <v>267</v>
      </c>
      <c r="E78" s="1" t="n">
        <v>62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1" t="n">
        <v>-8</v>
      </c>
      <c r="O78" s="1" t="n">
        <v>10.4337833333333</v>
      </c>
    </row>
    <row r="79" customFormat="false" ht="15.75" hidden="false" customHeight="false" outlineLevel="0" collapsed="false">
      <c r="A79" s="4" t="n">
        <v>45531</v>
      </c>
      <c r="B79" s="1" t="s">
        <v>95</v>
      </c>
      <c r="C79" s="1" t="s">
        <v>89</v>
      </c>
      <c r="D79" s="1" t="n">
        <v>324</v>
      </c>
      <c r="E79" s="1" t="n">
        <v>69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1" t="n">
        <v>-9</v>
      </c>
      <c r="O79" s="1" t="n">
        <v>9.91278333333333</v>
      </c>
    </row>
    <row r="80" customFormat="false" ht="15.75" hidden="false" customHeight="false" outlineLevel="0" collapsed="false">
      <c r="A80" s="4" t="n">
        <v>45531</v>
      </c>
      <c r="B80" s="1" t="s">
        <v>127</v>
      </c>
      <c r="C80" s="1" t="s">
        <v>105</v>
      </c>
      <c r="D80" s="1" t="n">
        <v>573</v>
      </c>
      <c r="E80" s="1" t="n">
        <v>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1" t="n">
        <v>-2</v>
      </c>
      <c r="O80" s="1" t="n">
        <v>11.2444</v>
      </c>
    </row>
    <row r="81" customFormat="false" ht="15.75" hidden="false" customHeight="false" outlineLevel="0" collapsed="false">
      <c r="A81" s="4" t="n">
        <v>45531</v>
      </c>
      <c r="B81" s="1" t="s">
        <v>104</v>
      </c>
      <c r="C81" s="1" t="s">
        <v>105</v>
      </c>
      <c r="D81" s="1" t="n">
        <v>788</v>
      </c>
      <c r="E81" s="1" t="n">
        <v>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1" t="n">
        <v>-6</v>
      </c>
      <c r="O81" s="1" t="n">
        <v>12.0342833333333</v>
      </c>
    </row>
    <row r="82" customFormat="false" ht="15.75" hidden="false" customHeight="false" outlineLevel="0" collapsed="false">
      <c r="A82" s="4" t="n">
        <v>45531</v>
      </c>
      <c r="B82" s="1" t="s">
        <v>95</v>
      </c>
      <c r="C82" s="1" t="s">
        <v>89</v>
      </c>
      <c r="D82" s="1" t="n">
        <v>289</v>
      </c>
      <c r="E82" s="1" t="n">
        <v>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1" t="n">
        <v>-9</v>
      </c>
      <c r="N82" s="1" t="n">
        <v>0.0098</v>
      </c>
      <c r="O82" s="1" t="n">
        <v>7.28901666666667</v>
      </c>
    </row>
    <row r="83" customFormat="false" ht="15.75" hidden="false" customHeight="false" outlineLevel="0" collapsed="false">
      <c r="A83" s="4" t="n">
        <v>45531</v>
      </c>
      <c r="B83" s="1" t="s">
        <v>127</v>
      </c>
      <c r="C83" s="1" t="s">
        <v>89</v>
      </c>
      <c r="D83" s="1" t="n">
        <v>294</v>
      </c>
      <c r="E83" s="1" t="n">
        <v>100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1" t="n">
        <v>-1</v>
      </c>
      <c r="O83" s="1" t="n">
        <v>11.6035333333333</v>
      </c>
    </row>
    <row r="84" customFormat="false" ht="15.75" hidden="false" customHeight="false" outlineLevel="0" collapsed="false">
      <c r="A84" s="4" t="n">
        <v>45531</v>
      </c>
      <c r="B84" s="1" t="s">
        <v>95</v>
      </c>
      <c r="C84" s="1" t="s">
        <v>89</v>
      </c>
      <c r="D84" s="1" t="n">
        <v>575</v>
      </c>
      <c r="E84" s="1" t="n">
        <v>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1" t="n">
        <v>-3</v>
      </c>
      <c r="N84" s="1" t="n">
        <v>0.0132666666666667</v>
      </c>
      <c r="O84" s="1" t="n">
        <v>10.2174333333333</v>
      </c>
    </row>
    <row r="85" customFormat="false" ht="15.75" hidden="false" customHeight="false" outlineLevel="0" collapsed="false">
      <c r="A85" s="4" t="n">
        <v>45531</v>
      </c>
      <c r="B85" s="1" t="s">
        <v>127</v>
      </c>
      <c r="C85" s="1" t="s">
        <v>89</v>
      </c>
      <c r="D85" s="1" t="n">
        <v>665</v>
      </c>
      <c r="E85" s="1" t="n">
        <v>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1" t="n">
        <v>-3</v>
      </c>
      <c r="O85" s="1" t="n">
        <v>10.4940166666667</v>
      </c>
    </row>
    <row r="86" customFormat="false" ht="15.75" hidden="false" customHeight="false" outlineLevel="0" collapsed="false">
      <c r="A86" s="4" t="n">
        <v>45531</v>
      </c>
      <c r="B86" s="1" t="s">
        <v>95</v>
      </c>
      <c r="C86" s="1" t="s">
        <v>89</v>
      </c>
      <c r="D86" s="1" t="n">
        <v>285</v>
      </c>
      <c r="E86" s="1" t="n">
        <v>61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1" t="n">
        <v>-7</v>
      </c>
      <c r="O86" s="1" t="n">
        <v>11.47205</v>
      </c>
    </row>
    <row r="87" customFormat="false" ht="15.75" hidden="false" customHeight="false" outlineLevel="0" collapsed="false">
      <c r="A87" s="4" t="n">
        <v>45531</v>
      </c>
      <c r="B87" s="1" t="s">
        <v>95</v>
      </c>
      <c r="C87" s="1" t="s">
        <v>89</v>
      </c>
      <c r="D87" s="1" t="n">
        <v>309</v>
      </c>
      <c r="E87" s="1" t="n">
        <v>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1" t="n">
        <v>0</v>
      </c>
      <c r="N87" s="1" t="n">
        <v>0.00866666666666667</v>
      </c>
      <c r="O87" s="1" t="n">
        <v>14.3066333333333</v>
      </c>
    </row>
    <row r="88" customFormat="false" ht="15.75" hidden="false" customHeight="false" outlineLevel="0" collapsed="false">
      <c r="A88" s="4" t="n">
        <v>45531</v>
      </c>
      <c r="B88" s="1" t="s">
        <v>88</v>
      </c>
      <c r="C88" s="1" t="s">
        <v>89</v>
      </c>
      <c r="D88" s="1" t="n">
        <v>406</v>
      </c>
      <c r="E88" s="1" t="n">
        <v>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1" t="n">
        <v>-6</v>
      </c>
      <c r="O88" s="1" t="n">
        <v>8.4832</v>
      </c>
    </row>
    <row r="89" customFormat="false" ht="15.75" hidden="false" customHeight="false" outlineLevel="0" collapsed="false">
      <c r="A89" s="4" t="n">
        <v>45531</v>
      </c>
      <c r="B89" s="1" t="s">
        <v>104</v>
      </c>
      <c r="C89" s="1" t="s">
        <v>105</v>
      </c>
      <c r="D89" s="1" t="n">
        <v>553</v>
      </c>
      <c r="E89" s="1" t="n">
        <v>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1" t="n">
        <v>-1</v>
      </c>
      <c r="O89" s="1" t="n">
        <v>14.2658</v>
      </c>
    </row>
    <row r="90" customFormat="false" ht="15.75" hidden="false" customHeight="false" outlineLevel="0" collapsed="false">
      <c r="A90" s="4" t="n">
        <v>45531</v>
      </c>
      <c r="B90" s="1" t="s">
        <v>169</v>
      </c>
      <c r="C90" s="1" t="s">
        <v>89</v>
      </c>
      <c r="D90" s="1" t="n">
        <v>119</v>
      </c>
      <c r="E90" s="1" t="n">
        <v>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1" t="n">
        <v>7</v>
      </c>
      <c r="O90" s="1" t="n">
        <v>12.8052833333333</v>
      </c>
    </row>
    <row r="91" customFormat="false" ht="15.75" hidden="false" customHeight="false" outlineLevel="0" collapsed="false">
      <c r="A91" s="4" t="n">
        <v>45531</v>
      </c>
      <c r="B91" s="1" t="s">
        <v>95</v>
      </c>
      <c r="C91" s="1" t="s">
        <v>89</v>
      </c>
      <c r="D91" s="1" t="n">
        <v>357</v>
      </c>
      <c r="E91" s="1" t="n">
        <v>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1" t="n">
        <v>-5</v>
      </c>
      <c r="O91" s="1" t="n">
        <v>15.2749</v>
      </c>
    </row>
    <row r="92" customFormat="false" ht="15.75" hidden="false" customHeight="false" outlineLevel="0" collapsed="false">
      <c r="A92" s="4" t="n">
        <v>45531</v>
      </c>
      <c r="B92" s="1" t="s">
        <v>95</v>
      </c>
      <c r="C92" s="1" t="s">
        <v>89</v>
      </c>
      <c r="D92" s="1" t="n">
        <v>331</v>
      </c>
      <c r="E92" s="1" t="n">
        <v>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1" t="n">
        <v>-6</v>
      </c>
      <c r="N92" s="1" t="n">
        <v>0.00841666666666667</v>
      </c>
      <c r="O92" s="1" t="n">
        <v>16.2219333333333</v>
      </c>
    </row>
    <row r="93" customFormat="false" ht="15.75" hidden="false" customHeight="false" outlineLevel="0" collapsed="false">
      <c r="A93" s="4" t="n">
        <v>45531</v>
      </c>
      <c r="B93" s="1" t="s">
        <v>169</v>
      </c>
      <c r="C93" s="1" t="s">
        <v>89</v>
      </c>
      <c r="D93" s="1" t="n">
        <v>45</v>
      </c>
      <c r="E93" s="1" t="n">
        <v>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1" t="n">
        <v>4</v>
      </c>
      <c r="O93" s="1" t="n">
        <v>9.26605</v>
      </c>
    </row>
    <row r="94" customFormat="false" ht="15.75" hidden="false" customHeight="false" outlineLevel="0" collapsed="false">
      <c r="A94" s="4" t="n">
        <v>45531</v>
      </c>
      <c r="B94" s="1" t="s">
        <v>95</v>
      </c>
      <c r="C94" s="1" t="s">
        <v>89</v>
      </c>
      <c r="D94" s="1" t="n">
        <v>358</v>
      </c>
      <c r="E94" s="1" t="n">
        <v>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1" t="n">
        <v>-2</v>
      </c>
      <c r="N94" s="1" t="n">
        <v>0.00925</v>
      </c>
      <c r="O94" s="1" t="n">
        <v>8.1714</v>
      </c>
    </row>
    <row r="95" customFormat="false" ht="15.75" hidden="false" customHeight="false" outlineLevel="0" collapsed="false">
      <c r="A95" s="4" t="n">
        <v>45531</v>
      </c>
      <c r="B95" s="1" t="s">
        <v>95</v>
      </c>
      <c r="C95" s="1" t="s">
        <v>89</v>
      </c>
      <c r="D95" s="1" t="n">
        <v>339</v>
      </c>
      <c r="E95" s="1" t="n">
        <v>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1" t="n">
        <v>-9</v>
      </c>
      <c r="N95" s="1" t="n">
        <v>0.0117</v>
      </c>
      <c r="O95" s="1" t="n">
        <v>12.0036166666667</v>
      </c>
    </row>
    <row r="96" customFormat="false" ht="15.75" hidden="false" customHeight="false" outlineLevel="0" collapsed="false">
      <c r="A96" s="4" t="n">
        <v>45531</v>
      </c>
      <c r="B96" s="1" t="s">
        <v>95</v>
      </c>
      <c r="C96" s="1" t="s">
        <v>89</v>
      </c>
      <c r="D96" s="1" t="n">
        <v>247</v>
      </c>
      <c r="E96" s="1" t="n">
        <v>62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1" t="n">
        <v>-10</v>
      </c>
      <c r="O96" s="1" t="n">
        <v>9.25328333333333</v>
      </c>
    </row>
    <row r="97" customFormat="false" ht="15.75" hidden="false" customHeight="false" outlineLevel="0" collapsed="false">
      <c r="A97" s="4" t="n">
        <v>45531</v>
      </c>
      <c r="B97" s="1" t="s">
        <v>104</v>
      </c>
      <c r="C97" s="1" t="s">
        <v>105</v>
      </c>
      <c r="D97" s="1" t="n">
        <v>264</v>
      </c>
      <c r="E97" s="1" t="n">
        <v>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1" t="n">
        <v>-8</v>
      </c>
      <c r="O97" s="1" t="n">
        <v>6.6682</v>
      </c>
    </row>
    <row r="98" customFormat="false" ht="15.75" hidden="false" customHeight="false" outlineLevel="0" collapsed="false">
      <c r="A98" s="4" t="n">
        <v>45531</v>
      </c>
      <c r="B98" s="1" t="s">
        <v>88</v>
      </c>
      <c r="C98" s="1" t="s">
        <v>89</v>
      </c>
      <c r="D98" s="1" t="n">
        <v>321</v>
      </c>
      <c r="E98" s="1" t="n">
        <v>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1" t="n">
        <v>-7</v>
      </c>
      <c r="O98" s="1" t="n">
        <v>7.04883333333333</v>
      </c>
    </row>
    <row r="99" customFormat="false" ht="15.75" hidden="false" customHeight="false" outlineLevel="0" collapsed="false">
      <c r="A99" s="4" t="n">
        <v>45531</v>
      </c>
      <c r="B99" s="1" t="s">
        <v>127</v>
      </c>
      <c r="C99" s="1" t="s">
        <v>105</v>
      </c>
      <c r="D99" s="1" t="n">
        <v>321</v>
      </c>
      <c r="E99" s="1" t="n">
        <v>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1" t="n">
        <v>4</v>
      </c>
      <c r="O99" s="1" t="n">
        <v>16.666</v>
      </c>
    </row>
    <row r="100" customFormat="false" ht="15.75" hidden="false" customHeight="false" outlineLevel="0" collapsed="false">
      <c r="A100" s="4" t="n">
        <v>45531</v>
      </c>
      <c r="B100" s="1" t="s">
        <v>127</v>
      </c>
      <c r="C100" s="1" t="s">
        <v>105</v>
      </c>
      <c r="D100" s="1" t="n">
        <v>423</v>
      </c>
      <c r="E100" s="1" t="n">
        <v>150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1" t="n">
        <v>3</v>
      </c>
      <c r="O100" s="1" t="n">
        <v>17.0009666666667</v>
      </c>
    </row>
    <row r="101" customFormat="false" ht="15.75" hidden="false" customHeight="false" outlineLevel="0" collapsed="false">
      <c r="A101" s="4" t="n">
        <v>45531</v>
      </c>
      <c r="B101" s="1" t="s">
        <v>169</v>
      </c>
      <c r="C101" s="1" t="s">
        <v>89</v>
      </c>
      <c r="D101" s="1" t="n">
        <v>249</v>
      </c>
      <c r="E101" s="1" t="n">
        <v>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1" t="n">
        <v>6</v>
      </c>
      <c r="O101" s="1" t="n">
        <v>11.4919833333333</v>
      </c>
    </row>
    <row r="102" customFormat="false" ht="15.75" hidden="false" customHeight="false" outlineLevel="0" collapsed="false">
      <c r="A102" s="4" t="n">
        <v>45531</v>
      </c>
      <c r="B102" s="1" t="s">
        <v>95</v>
      </c>
      <c r="C102" s="1" t="s">
        <v>89</v>
      </c>
      <c r="D102" s="1" t="n">
        <v>653</v>
      </c>
      <c r="E102" s="1" t="n">
        <v>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1" t="n">
        <v>15</v>
      </c>
      <c r="N102" s="1" t="n">
        <v>12.6065</v>
      </c>
      <c r="O102" s="1" t="n">
        <v>16.7422</v>
      </c>
    </row>
    <row r="103" customFormat="false" ht="15.75" hidden="false" customHeight="false" outlineLevel="0" collapsed="false">
      <c r="A103" s="4" t="n">
        <v>45531</v>
      </c>
      <c r="B103" s="1" t="s">
        <v>169</v>
      </c>
      <c r="C103" s="1" t="s">
        <v>89</v>
      </c>
      <c r="D103" s="1" t="n">
        <v>119</v>
      </c>
      <c r="E103" s="1" t="n">
        <v>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1" t="n">
        <v>5</v>
      </c>
      <c r="O103" s="1" t="n">
        <v>10.6971666666667</v>
      </c>
    </row>
    <row r="104" customFormat="false" ht="15.75" hidden="false" customHeight="false" outlineLevel="0" collapsed="false">
      <c r="A104" s="4" t="n">
        <v>45531</v>
      </c>
      <c r="B104" s="1" t="s">
        <v>127</v>
      </c>
      <c r="C104" s="1" t="s">
        <v>105</v>
      </c>
      <c r="D104" s="1" t="n">
        <v>429</v>
      </c>
      <c r="E104" s="1" t="n">
        <v>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1" t="n">
        <v>4</v>
      </c>
      <c r="O104" s="1" t="n">
        <v>16.5403833333333</v>
      </c>
    </row>
    <row r="105" customFormat="false" ht="15.75" hidden="false" customHeight="false" outlineLevel="0" collapsed="false">
      <c r="A105" s="4" t="n">
        <v>45531</v>
      </c>
      <c r="B105" s="1" t="s">
        <v>104</v>
      </c>
      <c r="C105" s="1" t="s">
        <v>105</v>
      </c>
      <c r="D105" s="1" t="n">
        <v>596</v>
      </c>
      <c r="E105" s="1" t="n">
        <v>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1" t="n">
        <v>3</v>
      </c>
      <c r="O105" s="1" t="n">
        <v>20.0809166666667</v>
      </c>
    </row>
    <row r="106" customFormat="false" ht="15.75" hidden="false" customHeight="false" outlineLevel="0" collapsed="false">
      <c r="A106" s="4" t="n">
        <v>45531</v>
      </c>
      <c r="B106" s="1" t="s">
        <v>88</v>
      </c>
      <c r="C106" s="1" t="s">
        <v>89</v>
      </c>
      <c r="D106" s="1" t="n">
        <v>264</v>
      </c>
      <c r="E106" s="1" t="n">
        <v>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1" t="n">
        <v>-5</v>
      </c>
      <c r="O106" s="1" t="n">
        <v>9.52071666666667</v>
      </c>
    </row>
    <row r="107" customFormat="false" ht="15.75" hidden="false" customHeight="false" outlineLevel="0" collapsed="false">
      <c r="A107" s="4" t="n">
        <v>45531</v>
      </c>
      <c r="B107" s="1" t="s">
        <v>88</v>
      </c>
      <c r="C107" s="1" t="s">
        <v>89</v>
      </c>
      <c r="D107" s="1" t="n">
        <v>348</v>
      </c>
      <c r="E107" s="1" t="n">
        <v>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1" t="n">
        <v>-6</v>
      </c>
      <c r="O107" s="1" t="n">
        <v>8.20708333333333</v>
      </c>
    </row>
    <row r="108" customFormat="false" ht="15.75" hidden="false" customHeight="false" outlineLevel="0" collapsed="false">
      <c r="A108" s="4" t="n">
        <v>45531</v>
      </c>
      <c r="B108" s="1" t="s">
        <v>95</v>
      </c>
      <c r="C108" s="1" t="s">
        <v>89</v>
      </c>
      <c r="D108" s="1" t="n">
        <v>494</v>
      </c>
      <c r="E108" s="1" t="n">
        <v>124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1" t="n">
        <v>-6</v>
      </c>
      <c r="O108" s="1" t="n">
        <v>12.5242166666667</v>
      </c>
    </row>
    <row r="109" customFormat="false" ht="15.75" hidden="false" customHeight="false" outlineLevel="0" collapsed="false">
      <c r="A109" s="4" t="n">
        <v>45531</v>
      </c>
      <c r="B109" s="1" t="s">
        <v>127</v>
      </c>
      <c r="C109" s="1" t="s">
        <v>105</v>
      </c>
      <c r="D109" s="1" t="n">
        <v>279</v>
      </c>
      <c r="E109" s="1" t="n">
        <v>50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1" t="n">
        <v>1</v>
      </c>
      <c r="O109" s="1" t="n">
        <v>14.7513333333333</v>
      </c>
    </row>
    <row r="110" customFormat="false" ht="15.75" hidden="false" customHeight="false" outlineLevel="0" collapsed="false">
      <c r="A110" s="4" t="n">
        <v>45531</v>
      </c>
      <c r="B110" s="1" t="s">
        <v>104</v>
      </c>
      <c r="C110" s="1" t="s">
        <v>105</v>
      </c>
      <c r="D110" s="1" t="n">
        <v>299</v>
      </c>
      <c r="E110" s="1" t="n">
        <v>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1" t="n">
        <v>-6</v>
      </c>
      <c r="O110" s="1" t="n">
        <v>8.54753333333333</v>
      </c>
    </row>
    <row r="111" customFormat="false" ht="15.75" hidden="false" customHeight="false" outlineLevel="0" collapsed="false">
      <c r="A111" s="4" t="n">
        <v>45531</v>
      </c>
      <c r="B111" s="1" t="s">
        <v>127</v>
      </c>
      <c r="C111" s="1" t="s">
        <v>105</v>
      </c>
      <c r="D111" s="1" t="n">
        <v>334</v>
      </c>
      <c r="E111" s="1" t="n">
        <v>100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1" t="n">
        <v>-4</v>
      </c>
      <c r="O111" s="1" t="n">
        <v>8.84795</v>
      </c>
    </row>
    <row r="112" customFormat="false" ht="15.75" hidden="false" customHeight="false" outlineLevel="0" collapsed="false">
      <c r="A112" s="4" t="n">
        <v>45531</v>
      </c>
      <c r="B112" s="1" t="s">
        <v>127</v>
      </c>
      <c r="C112" s="1" t="s">
        <v>105</v>
      </c>
      <c r="D112" s="1" t="n">
        <v>321</v>
      </c>
      <c r="E112" s="1" t="n">
        <v>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1" t="n">
        <v>0</v>
      </c>
      <c r="O112" s="1" t="n">
        <v>11.8775166666667</v>
      </c>
    </row>
    <row r="113" customFormat="false" ht="15.75" hidden="false" customHeight="false" outlineLevel="0" collapsed="false">
      <c r="A113" s="4" t="n">
        <v>45531</v>
      </c>
      <c r="B113" s="1" t="s">
        <v>104</v>
      </c>
      <c r="C113" s="1" t="s">
        <v>105</v>
      </c>
      <c r="D113" s="1" t="n">
        <v>313</v>
      </c>
      <c r="E113" s="1" t="n">
        <v>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1" t="n">
        <v>-1</v>
      </c>
      <c r="O113" s="1" t="n">
        <v>13.7984166666667</v>
      </c>
    </row>
    <row r="114" customFormat="false" ht="15.75" hidden="false" customHeight="false" outlineLevel="0" collapsed="false">
      <c r="A114" s="4" t="n">
        <v>45531</v>
      </c>
      <c r="B114" s="1" t="s">
        <v>127</v>
      </c>
      <c r="C114" s="1" t="s">
        <v>105</v>
      </c>
      <c r="D114" s="1" t="n">
        <v>393</v>
      </c>
      <c r="E114" s="1" t="n">
        <v>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1" t="n">
        <v>-2</v>
      </c>
      <c r="O114" s="1" t="n">
        <v>10.1564166666667</v>
      </c>
    </row>
    <row r="115" customFormat="false" ht="15.75" hidden="false" customHeight="false" outlineLevel="0" collapsed="false">
      <c r="A115" s="4" t="n">
        <v>45531</v>
      </c>
      <c r="B115" s="1" t="s">
        <v>127</v>
      </c>
      <c r="C115" s="1" t="s">
        <v>105</v>
      </c>
      <c r="D115" s="1" t="n">
        <v>466</v>
      </c>
      <c r="E115" s="1" t="n">
        <v>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1" t="n">
        <v>2</v>
      </c>
      <c r="O115" s="1" t="n">
        <v>15.6595333333333</v>
      </c>
    </row>
    <row r="116" customFormat="false" ht="15.75" hidden="false" customHeight="false" outlineLevel="0" collapsed="false">
      <c r="A116" s="4" t="n">
        <v>45531</v>
      </c>
      <c r="B116" s="1" t="s">
        <v>104</v>
      </c>
      <c r="C116" s="1" t="s">
        <v>105</v>
      </c>
      <c r="D116" s="1" t="n">
        <v>329</v>
      </c>
      <c r="E116" s="1" t="n">
        <v>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1" t="n">
        <v>-4</v>
      </c>
      <c r="O116" s="1" t="n">
        <v>10.9189166666667</v>
      </c>
    </row>
    <row r="117" customFormat="false" ht="15.75" hidden="false" customHeight="false" outlineLevel="0" collapsed="false">
      <c r="A117" s="4" t="n">
        <v>45531</v>
      </c>
      <c r="B117" s="1" t="s">
        <v>95</v>
      </c>
      <c r="C117" s="1" t="s">
        <v>89</v>
      </c>
      <c r="D117" s="1" t="n">
        <v>270</v>
      </c>
      <c r="E117" s="1" t="n">
        <v>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1" t="n">
        <v>-21</v>
      </c>
      <c r="N117" s="1" t="n">
        <v>0.0102666666666667</v>
      </c>
      <c r="O117" s="1" t="n">
        <v>7.15016666666667</v>
      </c>
    </row>
    <row r="118" customFormat="false" ht="15.75" hidden="false" customHeight="false" outlineLevel="0" collapsed="false">
      <c r="A118" s="4" t="n">
        <v>45531</v>
      </c>
      <c r="B118" s="1" t="s">
        <v>104</v>
      </c>
      <c r="C118" s="1" t="s">
        <v>105</v>
      </c>
      <c r="D118" s="1" t="n">
        <v>329</v>
      </c>
      <c r="E118" s="1" t="n">
        <v>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1" t="n">
        <v>1</v>
      </c>
      <c r="O118" s="1" t="n">
        <v>16.7899333333333</v>
      </c>
    </row>
    <row r="119" customFormat="false" ht="15.75" hidden="false" customHeight="false" outlineLevel="0" collapsed="false">
      <c r="A119" s="4" t="n">
        <v>45531</v>
      </c>
      <c r="B119" s="1" t="s">
        <v>95</v>
      </c>
      <c r="C119" s="1" t="s">
        <v>89</v>
      </c>
      <c r="D119" s="1" t="n">
        <v>368</v>
      </c>
      <c r="E119" s="1" t="n">
        <v>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1" t="n">
        <v>7</v>
      </c>
      <c r="N119" s="1" t="n">
        <v>19.5647333333333</v>
      </c>
      <c r="O119" s="1" t="n">
        <v>18.6480833333333</v>
      </c>
    </row>
    <row r="120" customFormat="false" ht="15.75" hidden="false" customHeight="false" outlineLevel="0" collapsed="false">
      <c r="A120" s="4" t="n">
        <v>45531</v>
      </c>
      <c r="B120" s="1" t="s">
        <v>95</v>
      </c>
      <c r="C120" s="1" t="s">
        <v>89</v>
      </c>
      <c r="D120" s="1" t="n">
        <v>423</v>
      </c>
      <c r="E120" s="1" t="n">
        <v>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1" t="n">
        <v>-3</v>
      </c>
      <c r="N120" s="1" t="n">
        <v>27.6066333333333</v>
      </c>
      <c r="O120" s="1" t="n">
        <v>31.2956666666667</v>
      </c>
    </row>
    <row r="121" customFormat="false" ht="15.75" hidden="false" customHeight="false" outlineLevel="0" collapsed="false">
      <c r="A121" s="4" t="n">
        <v>45532</v>
      </c>
      <c r="F121" s="1" t="s">
        <v>78</v>
      </c>
    </row>
    <row r="122" customFormat="false" ht="15.75" hidden="false" customHeight="false" outlineLevel="0" collapsed="false">
      <c r="A122" s="4" t="n">
        <v>45533</v>
      </c>
      <c r="B122" s="1" t="s">
        <v>169</v>
      </c>
      <c r="C122" s="1" t="s">
        <v>404</v>
      </c>
      <c r="D122" s="1" t="n">
        <v>49</v>
      </c>
      <c r="E122" s="1" t="n">
        <v>0</v>
      </c>
      <c r="G122" s="1" t="s">
        <v>149</v>
      </c>
      <c r="H122" s="1" t="s">
        <v>116</v>
      </c>
      <c r="I122" s="1" t="s">
        <v>405</v>
      </c>
      <c r="M122" s="1" t="n">
        <v>0</v>
      </c>
    </row>
    <row r="123" customFormat="false" ht="15.75" hidden="false" customHeight="false" outlineLevel="0" collapsed="false">
      <c r="A123" s="4" t="n">
        <v>45533</v>
      </c>
      <c r="B123" s="1" t="s">
        <v>95</v>
      </c>
      <c r="C123" s="1" t="s">
        <v>406</v>
      </c>
      <c r="D123" s="1" t="n">
        <v>299</v>
      </c>
      <c r="E123" s="1" t="n">
        <v>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1" t="n">
        <v>0</v>
      </c>
      <c r="N123" s="1" t="n">
        <v>8.21368333333333</v>
      </c>
      <c r="O123" s="1" t="n">
        <v>10.6636833333333</v>
      </c>
    </row>
    <row r="124" customFormat="false" ht="15.75" hidden="false" customHeight="false" outlineLevel="0" collapsed="false">
      <c r="A124" s="4" t="n">
        <v>45533</v>
      </c>
      <c r="B124" s="1" t="s">
        <v>127</v>
      </c>
      <c r="C124" s="1" t="s">
        <v>105</v>
      </c>
      <c r="D124" s="1" t="n">
        <v>364</v>
      </c>
      <c r="E124" s="1" t="n">
        <v>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1" t="n">
        <v>1</v>
      </c>
      <c r="O124" s="1" t="n">
        <v>13.5705833333333</v>
      </c>
    </row>
    <row r="125" customFormat="false" ht="15.75" hidden="false" customHeight="false" outlineLevel="0" collapsed="false">
      <c r="A125" s="4" t="n">
        <v>45533</v>
      </c>
      <c r="B125" s="1" t="s">
        <v>127</v>
      </c>
      <c r="C125" s="1" t="s">
        <v>105</v>
      </c>
      <c r="D125" s="1" t="n">
        <v>144</v>
      </c>
      <c r="E125" s="1" t="n">
        <v>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1" t="n">
        <v>-3</v>
      </c>
      <c r="O125" s="1" t="n">
        <v>5.1116</v>
      </c>
    </row>
    <row r="126" customFormat="false" ht="15.75" hidden="false" customHeight="false" outlineLevel="0" collapsed="false">
      <c r="A126" s="4" t="n">
        <v>45533</v>
      </c>
      <c r="B126" s="1" t="s">
        <v>104</v>
      </c>
      <c r="C126" s="1" t="s">
        <v>105</v>
      </c>
      <c r="D126" s="1" t="n">
        <v>264</v>
      </c>
      <c r="E126" s="1" t="n">
        <v>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1" t="n">
        <v>-7</v>
      </c>
      <c r="O126" s="1" t="n">
        <v>7.4913</v>
      </c>
    </row>
    <row r="127" customFormat="false" ht="15.75" hidden="false" customHeight="false" outlineLevel="0" collapsed="false">
      <c r="A127" s="4" t="n">
        <v>45533</v>
      </c>
      <c r="B127" s="1" t="s">
        <v>95</v>
      </c>
      <c r="C127" s="1" t="s">
        <v>89</v>
      </c>
      <c r="D127" s="1" t="n">
        <v>368</v>
      </c>
      <c r="E127" s="1" t="n">
        <v>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1" t="n">
        <v>0</v>
      </c>
      <c r="N127" s="1" t="n">
        <v>0.00898333333333333</v>
      </c>
      <c r="O127" s="1" t="n">
        <v>13.7157</v>
      </c>
    </row>
    <row r="128" customFormat="false" ht="15.75" hidden="false" customHeight="false" outlineLevel="0" collapsed="false">
      <c r="A128" s="4" t="n">
        <v>45533</v>
      </c>
      <c r="B128" s="1" t="s">
        <v>127</v>
      </c>
      <c r="C128" s="1" t="s">
        <v>105</v>
      </c>
      <c r="D128" s="1" t="n">
        <v>833</v>
      </c>
      <c r="E128" s="1" t="n">
        <v>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1" t="n">
        <v>3</v>
      </c>
      <c r="O128" s="1" t="n">
        <v>18.34155</v>
      </c>
    </row>
    <row r="129" customFormat="false" ht="15.75" hidden="false" customHeight="false" outlineLevel="0" collapsed="false">
      <c r="A129" s="4" t="n">
        <v>45533</v>
      </c>
      <c r="B129" s="1" t="s">
        <v>95</v>
      </c>
      <c r="C129" s="1" t="s">
        <v>89</v>
      </c>
      <c r="D129" s="1" t="n">
        <v>323</v>
      </c>
      <c r="E129" s="1" t="n">
        <v>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1" t="n">
        <v>0</v>
      </c>
      <c r="N129" s="1" t="n">
        <v>0.00975</v>
      </c>
      <c r="O129" s="1" t="n">
        <v>8.28403333333333</v>
      </c>
    </row>
    <row r="130" customFormat="false" ht="15.75" hidden="false" customHeight="false" outlineLevel="0" collapsed="false">
      <c r="A130" s="4" t="n">
        <v>45533</v>
      </c>
      <c r="B130" s="1" t="s">
        <v>104</v>
      </c>
      <c r="C130" s="1" t="s">
        <v>105</v>
      </c>
      <c r="D130" s="1" t="n">
        <v>324</v>
      </c>
      <c r="E130" s="1" t="n">
        <v>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1" t="n">
        <v>-1</v>
      </c>
      <c r="O130" s="1" t="n">
        <v>13.8603</v>
      </c>
    </row>
    <row r="131" customFormat="false" ht="15.75" hidden="false" customHeight="false" outlineLevel="0" collapsed="false">
      <c r="A131" s="4" t="n">
        <v>45533</v>
      </c>
      <c r="B131" s="1" t="s">
        <v>169</v>
      </c>
      <c r="C131" s="1" t="s">
        <v>105</v>
      </c>
      <c r="D131" s="1" t="n">
        <v>329</v>
      </c>
      <c r="E131" s="1" t="n">
        <v>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1" t="n">
        <v>7</v>
      </c>
      <c r="O131" s="1" t="n">
        <v>12.0735333333333</v>
      </c>
    </row>
    <row r="132" customFormat="false" ht="15.75" hidden="false" customHeight="false" outlineLevel="0" collapsed="false">
      <c r="A132" s="4" t="n">
        <v>45533</v>
      </c>
      <c r="B132" s="1" t="s">
        <v>88</v>
      </c>
      <c r="C132" s="1" t="s">
        <v>89</v>
      </c>
      <c r="D132" s="1" t="n">
        <v>289</v>
      </c>
      <c r="E132" s="1" t="n">
        <v>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1" t="n">
        <v>-8</v>
      </c>
      <c r="O132" s="1" t="n">
        <v>6.19223333333333</v>
      </c>
    </row>
    <row r="133" customFormat="false" ht="15.75" hidden="false" customHeight="false" outlineLevel="0" collapsed="false">
      <c r="A133" s="4" t="n">
        <v>45533</v>
      </c>
      <c r="B133" s="1" t="s">
        <v>95</v>
      </c>
      <c r="C133" s="1" t="s">
        <v>105</v>
      </c>
      <c r="D133" s="1" t="n">
        <v>199</v>
      </c>
      <c r="E133" s="1" t="n">
        <v>50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1" t="n">
        <v>-7</v>
      </c>
      <c r="O133" s="1" t="n">
        <v>12.0012666666667</v>
      </c>
    </row>
    <row r="134" customFormat="false" ht="15.75" hidden="false" customHeight="false" outlineLevel="0" collapsed="false">
      <c r="A134" s="4" t="n">
        <v>45533</v>
      </c>
      <c r="B134" s="1" t="s">
        <v>88</v>
      </c>
      <c r="C134" s="1" t="s">
        <v>89</v>
      </c>
      <c r="D134" s="1" t="n">
        <v>470</v>
      </c>
      <c r="E134" s="1" t="n">
        <v>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1" t="n">
        <v>7</v>
      </c>
      <c r="O134" s="1" t="n">
        <v>22.7126166666667</v>
      </c>
    </row>
    <row r="135" customFormat="false" ht="15.75" hidden="false" customHeight="false" outlineLevel="0" collapsed="false">
      <c r="A135" s="4" t="n">
        <v>45533</v>
      </c>
      <c r="B135" s="1" t="s">
        <v>104</v>
      </c>
      <c r="C135" s="1" t="s">
        <v>105</v>
      </c>
      <c r="D135" s="1" t="n">
        <v>642</v>
      </c>
      <c r="E135" s="1" t="n">
        <v>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1" t="n">
        <v>6</v>
      </c>
      <c r="O135" s="1" t="n">
        <v>26.4284333333333</v>
      </c>
    </row>
    <row r="136" customFormat="false" ht="15.75" hidden="false" customHeight="false" outlineLevel="0" collapsed="false">
      <c r="A136" s="4" t="n">
        <v>45533</v>
      </c>
      <c r="B136" s="1" t="s">
        <v>104</v>
      </c>
      <c r="C136" s="1" t="s">
        <v>105</v>
      </c>
      <c r="D136" s="1" t="n">
        <v>329</v>
      </c>
      <c r="E136" s="1" t="n">
        <v>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1" t="n">
        <v>1</v>
      </c>
      <c r="O136" s="1" t="n">
        <v>16.41185</v>
      </c>
    </row>
    <row r="137" customFormat="false" ht="15.75" hidden="false" customHeight="false" outlineLevel="0" collapsed="false">
      <c r="A137" s="4" t="n">
        <v>45533</v>
      </c>
      <c r="B137" s="1" t="s">
        <v>127</v>
      </c>
      <c r="C137" s="1" t="s">
        <v>105</v>
      </c>
      <c r="D137" s="1" t="n">
        <v>264</v>
      </c>
      <c r="E137" s="1" t="n">
        <v>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1" t="n">
        <v>6</v>
      </c>
      <c r="O137" s="1" t="n">
        <v>17.3170166666667</v>
      </c>
    </row>
    <row r="138" customFormat="false" ht="15.75" hidden="false" customHeight="false" outlineLevel="0" collapsed="false">
      <c r="A138" s="4" t="n">
        <v>45533</v>
      </c>
      <c r="B138" s="1" t="s">
        <v>104</v>
      </c>
      <c r="C138" s="1" t="s">
        <v>105</v>
      </c>
      <c r="D138" s="1" t="n">
        <v>303</v>
      </c>
      <c r="E138" s="1" t="n">
        <v>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1" t="n">
        <v>-5</v>
      </c>
      <c r="O138" s="1" t="n">
        <v>9.71065</v>
      </c>
    </row>
    <row r="139" customFormat="false" ht="15.75" hidden="false" customHeight="false" outlineLevel="0" collapsed="false">
      <c r="A139" s="4" t="n">
        <v>45533</v>
      </c>
      <c r="B139" s="1" t="s">
        <v>127</v>
      </c>
      <c r="C139" s="1" t="s">
        <v>105</v>
      </c>
      <c r="D139" s="1" t="n">
        <v>433</v>
      </c>
      <c r="E139" s="1" t="n">
        <v>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1" t="n">
        <v>9</v>
      </c>
      <c r="O139" s="1" t="n">
        <v>21.1616</v>
      </c>
    </row>
    <row r="140" customFormat="false" ht="15.75" hidden="false" customHeight="false" outlineLevel="0" collapsed="false">
      <c r="A140" s="4" t="n">
        <v>45533</v>
      </c>
      <c r="B140" s="1" t="s">
        <v>95</v>
      </c>
      <c r="C140" s="1" t="s">
        <v>89</v>
      </c>
      <c r="D140" s="1" t="n">
        <v>299</v>
      </c>
      <c r="E140" s="1" t="n">
        <v>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1" t="n">
        <v>-5</v>
      </c>
      <c r="N140" s="1" t="n">
        <v>0.00943333333333333</v>
      </c>
      <c r="O140" s="1" t="n">
        <v>9.81535</v>
      </c>
    </row>
    <row r="141" customFormat="false" ht="15.75" hidden="false" customHeight="false" outlineLevel="0" collapsed="false">
      <c r="A141" s="4" t="n">
        <v>45533</v>
      </c>
      <c r="B141" s="1" t="s">
        <v>95</v>
      </c>
      <c r="C141" s="1" t="s">
        <v>89</v>
      </c>
      <c r="D141" s="1" t="n">
        <v>398</v>
      </c>
      <c r="E141" s="1" t="n">
        <v>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1" t="n">
        <v>-2</v>
      </c>
      <c r="N141" s="1" t="n">
        <v>0.00923333333333333</v>
      </c>
      <c r="O141" s="1" t="n">
        <v>14.48675</v>
      </c>
    </row>
    <row r="142" customFormat="false" ht="15.75" hidden="false" customHeight="false" outlineLevel="0" collapsed="false">
      <c r="A142" s="4" t="n">
        <v>45533</v>
      </c>
      <c r="B142" s="1" t="s">
        <v>104</v>
      </c>
      <c r="C142" s="1" t="s">
        <v>105</v>
      </c>
      <c r="D142" s="1" t="n">
        <v>329</v>
      </c>
      <c r="E142" s="1" t="n">
        <v>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1" t="n">
        <v>-2</v>
      </c>
      <c r="O142" s="1" t="n">
        <v>12.7981166666667</v>
      </c>
    </row>
    <row r="143" customFormat="false" ht="15.75" hidden="false" customHeight="false" outlineLevel="0" collapsed="false">
      <c r="A143" s="4" t="n">
        <v>45533</v>
      </c>
      <c r="B143" s="1" t="s">
        <v>88</v>
      </c>
      <c r="C143" s="1" t="s">
        <v>89</v>
      </c>
      <c r="D143" s="1" t="n">
        <v>179</v>
      </c>
      <c r="E143" s="1" t="n">
        <v>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1" t="n">
        <v>-2</v>
      </c>
      <c r="O143" s="1" t="n">
        <v>12.5584166666667</v>
      </c>
    </row>
    <row r="144" customFormat="false" ht="15.75" hidden="false" customHeight="false" outlineLevel="0" collapsed="false">
      <c r="A144" s="4" t="n">
        <v>45533</v>
      </c>
      <c r="B144" s="1" t="s">
        <v>95</v>
      </c>
      <c r="C144" s="1" t="s">
        <v>105</v>
      </c>
      <c r="D144" s="1" t="n">
        <v>247</v>
      </c>
      <c r="E144" s="1" t="n">
        <v>62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1" t="n">
        <v>-4</v>
      </c>
      <c r="O144" s="1" t="n">
        <v>14.0687833333333</v>
      </c>
    </row>
    <row r="145" customFormat="false" ht="15.75" hidden="false" customHeight="false" outlineLevel="0" collapsed="false">
      <c r="A145" s="4" t="n">
        <v>45533</v>
      </c>
      <c r="B145" s="1" t="s">
        <v>95</v>
      </c>
      <c r="C145" s="1" t="s">
        <v>89</v>
      </c>
      <c r="D145" s="1" t="n">
        <v>378</v>
      </c>
      <c r="E145" s="1" t="n">
        <v>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1" t="n">
        <v>-7</v>
      </c>
      <c r="N145" s="1" t="n">
        <v>0.0098</v>
      </c>
      <c r="O145" s="1" t="n">
        <v>11.9137833333333</v>
      </c>
    </row>
    <row r="146" customFormat="false" ht="15.75" hidden="false" customHeight="false" outlineLevel="0" collapsed="false">
      <c r="A146" s="4" t="n">
        <v>45533</v>
      </c>
      <c r="B146" s="1" t="s">
        <v>104</v>
      </c>
      <c r="C146" s="1" t="s">
        <v>89</v>
      </c>
      <c r="D146" s="1" t="n">
        <v>264</v>
      </c>
      <c r="E146" s="1" t="n">
        <v>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1" t="n">
        <v>-1</v>
      </c>
      <c r="O146" s="1" t="n">
        <v>13.59315</v>
      </c>
    </row>
    <row r="147" customFormat="false" ht="15.75" hidden="false" customHeight="false" outlineLevel="0" collapsed="false">
      <c r="A147" s="4" t="n">
        <v>45533</v>
      </c>
      <c r="B147" s="1" t="s">
        <v>88</v>
      </c>
      <c r="C147" s="1" t="s">
        <v>89</v>
      </c>
      <c r="D147" s="1" t="n">
        <v>234</v>
      </c>
      <c r="E147" s="1" t="n">
        <v>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1" t="n">
        <v>3</v>
      </c>
      <c r="O147" s="1" t="n">
        <v>18.44505</v>
      </c>
    </row>
    <row r="148" customFormat="false" ht="15.75" hidden="false" customHeight="false" outlineLevel="0" collapsed="false">
      <c r="A148" s="4" t="n">
        <v>45533</v>
      </c>
      <c r="B148" s="1" t="s">
        <v>95</v>
      </c>
      <c r="C148" s="1" t="s">
        <v>89</v>
      </c>
      <c r="D148" s="1" t="n">
        <v>306</v>
      </c>
      <c r="E148" s="1" t="n">
        <v>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1" t="n">
        <v>-18</v>
      </c>
      <c r="N148" s="1" t="n">
        <v>0.00831666666666667</v>
      </c>
      <c r="O148" s="1" t="n">
        <v>23.05925</v>
      </c>
    </row>
    <row r="149" customFormat="false" ht="15.75" hidden="false" customHeight="false" outlineLevel="0" collapsed="false">
      <c r="A149" s="4" t="n">
        <v>45533</v>
      </c>
      <c r="B149" s="1" t="s">
        <v>104</v>
      </c>
      <c r="C149" s="1" t="s">
        <v>89</v>
      </c>
      <c r="D149" s="1" t="n">
        <v>418</v>
      </c>
      <c r="E149" s="1" t="n">
        <v>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1" t="n">
        <v>0</v>
      </c>
      <c r="O149" s="1" t="n">
        <v>15.91705</v>
      </c>
    </row>
    <row r="150" customFormat="false" ht="15.75" hidden="false" customHeight="false" outlineLevel="0" collapsed="false">
      <c r="A150" s="4" t="n">
        <v>45533</v>
      </c>
      <c r="B150" s="1" t="s">
        <v>127</v>
      </c>
      <c r="C150" s="1" t="s">
        <v>105</v>
      </c>
      <c r="D150" s="1" t="n">
        <v>328</v>
      </c>
      <c r="E150" s="1" t="n">
        <v>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1" t="n">
        <v>-1</v>
      </c>
      <c r="O150" s="1" t="n">
        <v>9.27075</v>
      </c>
    </row>
    <row r="151" customFormat="false" ht="15.75" hidden="false" customHeight="false" outlineLevel="0" collapsed="false">
      <c r="A151" s="4" t="n">
        <v>45533</v>
      </c>
      <c r="B151" s="1" t="s">
        <v>95</v>
      </c>
      <c r="C151" s="1" t="s">
        <v>89</v>
      </c>
      <c r="D151" s="1" t="n">
        <v>299</v>
      </c>
      <c r="E151" s="1" t="n">
        <v>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1" t="n">
        <v>8</v>
      </c>
      <c r="N151" s="1" t="n">
        <v>0.01125</v>
      </c>
      <c r="O151" s="1" t="n">
        <v>16.8399333333333</v>
      </c>
    </row>
    <row r="152" customFormat="false" ht="15.75" hidden="false" customHeight="false" outlineLevel="0" collapsed="false">
      <c r="A152" s="4" t="n">
        <v>45533</v>
      </c>
      <c r="B152" s="1" t="s">
        <v>95</v>
      </c>
      <c r="C152" s="1" t="s">
        <v>89</v>
      </c>
      <c r="D152" s="1" t="n">
        <v>319</v>
      </c>
      <c r="E152" s="1" t="n">
        <v>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1" t="n">
        <v>0</v>
      </c>
      <c r="N152" s="1" t="n">
        <v>0.00778333333333333</v>
      </c>
      <c r="O152" s="1" t="n">
        <v>8.41741666666667</v>
      </c>
    </row>
    <row r="153" customFormat="false" ht="15.75" hidden="false" customHeight="false" outlineLevel="0" collapsed="false">
      <c r="A153" s="4" t="n">
        <v>45533</v>
      </c>
      <c r="B153" s="1" t="s">
        <v>95</v>
      </c>
      <c r="C153" s="1" t="s">
        <v>89</v>
      </c>
      <c r="D153" s="1" t="n">
        <v>569</v>
      </c>
      <c r="E153" s="1" t="n">
        <v>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1" t="n">
        <v>-10</v>
      </c>
      <c r="N153" s="1" t="n">
        <v>0.0130333333333333</v>
      </c>
      <c r="O153" s="1" t="n">
        <v>10.8551833333333</v>
      </c>
    </row>
    <row r="154" customFormat="false" ht="15.75" hidden="false" customHeight="false" outlineLevel="0" collapsed="false">
      <c r="A154" s="4" t="n">
        <v>45533</v>
      </c>
      <c r="B154" s="1" t="s">
        <v>95</v>
      </c>
      <c r="C154" s="1" t="s">
        <v>89</v>
      </c>
      <c r="D154" s="1" t="n">
        <v>358</v>
      </c>
      <c r="E154" s="1" t="n">
        <v>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1" t="n">
        <v>3</v>
      </c>
      <c r="N154" s="1" t="n">
        <v>0.00958333333333333</v>
      </c>
      <c r="O154" s="1" t="n">
        <v>10.9311833333333</v>
      </c>
    </row>
    <row r="155" customFormat="false" ht="15.75" hidden="false" customHeight="false" outlineLevel="0" collapsed="false">
      <c r="A155" s="4" t="n">
        <v>45533</v>
      </c>
      <c r="B155" s="1" t="s">
        <v>127</v>
      </c>
      <c r="C155" s="1" t="s">
        <v>105</v>
      </c>
      <c r="D155" s="1" t="n">
        <v>313</v>
      </c>
      <c r="E155" s="1" t="n">
        <v>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1" t="n">
        <v>6</v>
      </c>
      <c r="O155" s="1" t="n">
        <v>18.39595</v>
      </c>
    </row>
    <row r="156" customFormat="false" ht="15.75" hidden="false" customHeight="false" outlineLevel="0" collapsed="false">
      <c r="A156" s="4" t="n">
        <v>45533</v>
      </c>
      <c r="B156" s="1" t="s">
        <v>95</v>
      </c>
      <c r="C156" s="1" t="s">
        <v>89</v>
      </c>
      <c r="D156" s="1" t="n">
        <v>278</v>
      </c>
      <c r="E156" s="1" t="n">
        <v>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1" t="n">
        <v>-3</v>
      </c>
      <c r="N156" s="1" t="n">
        <v>0.0112333333333333</v>
      </c>
      <c r="O156" s="1" t="n">
        <v>15.9747333333333</v>
      </c>
    </row>
    <row r="157" customFormat="false" ht="15.75" hidden="false" customHeight="false" outlineLevel="0" collapsed="false">
      <c r="A157" s="4" t="n">
        <v>45533</v>
      </c>
      <c r="B157" s="1" t="s">
        <v>169</v>
      </c>
      <c r="C157" s="1" t="s">
        <v>89</v>
      </c>
      <c r="D157" s="1" t="n">
        <v>258</v>
      </c>
      <c r="E157" s="1" t="n">
        <v>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1" t="n">
        <v>8</v>
      </c>
      <c r="O157" s="1" t="n">
        <v>13.2007</v>
      </c>
    </row>
    <row r="158" customFormat="false" ht="15.75" hidden="false" customHeight="false" outlineLevel="0" collapsed="false">
      <c r="A158" s="4" t="n">
        <v>45533</v>
      </c>
      <c r="B158" s="1" t="s">
        <v>127</v>
      </c>
      <c r="C158" s="1" t="s">
        <v>105</v>
      </c>
      <c r="D158" s="1" t="n">
        <v>254</v>
      </c>
      <c r="E158" s="1" t="n">
        <v>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1" t="n">
        <v>8</v>
      </c>
      <c r="O158" s="1" t="n">
        <v>18.4592</v>
      </c>
    </row>
    <row r="159" customFormat="false" ht="15.75" hidden="false" customHeight="false" outlineLevel="0" collapsed="false">
      <c r="A159" s="4" t="n">
        <v>45533</v>
      </c>
      <c r="B159" s="1" t="s">
        <v>169</v>
      </c>
      <c r="C159" s="1" t="s">
        <v>89</v>
      </c>
      <c r="D159" s="1" t="n">
        <v>119</v>
      </c>
      <c r="E159" s="1" t="n">
        <v>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1" t="n">
        <v>5</v>
      </c>
      <c r="O159" s="1" t="n">
        <v>10.5284</v>
      </c>
    </row>
    <row r="160" customFormat="false" ht="15.75" hidden="false" customHeight="false" outlineLevel="0" collapsed="false">
      <c r="A160" s="4" t="n">
        <v>45533</v>
      </c>
      <c r="B160" s="1" t="s">
        <v>95</v>
      </c>
      <c r="C160" s="1" t="s">
        <v>89</v>
      </c>
      <c r="D160" s="1" t="n">
        <v>328</v>
      </c>
      <c r="E160" s="1" t="n">
        <v>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1" t="n">
        <v>-5</v>
      </c>
      <c r="N160" s="1" t="n">
        <v>0.00823333333333333</v>
      </c>
      <c r="O160" s="1" t="n">
        <v>14.58365</v>
      </c>
    </row>
    <row r="161" customFormat="false" ht="15.75" hidden="false" customHeight="false" outlineLevel="0" collapsed="false">
      <c r="A161" s="4" t="n">
        <v>45533</v>
      </c>
      <c r="B161" s="1" t="s">
        <v>95</v>
      </c>
      <c r="C161" s="1" t="s">
        <v>89</v>
      </c>
      <c r="D161" s="1" t="n">
        <v>657</v>
      </c>
      <c r="E161" s="1" t="n">
        <v>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1" t="n">
        <v>8</v>
      </c>
      <c r="N161" s="1" t="n">
        <v>0.0188</v>
      </c>
      <c r="O161" s="1" t="n">
        <v>19.3716833333333</v>
      </c>
    </row>
    <row r="162" customFormat="false" ht="15.75" hidden="false" customHeight="false" outlineLevel="0" collapsed="false">
      <c r="A162" s="4" t="n">
        <v>45533</v>
      </c>
      <c r="B162" s="1" t="s">
        <v>95</v>
      </c>
      <c r="C162" s="1" t="s">
        <v>89</v>
      </c>
      <c r="D162" s="1" t="n">
        <v>394</v>
      </c>
      <c r="E162" s="1" t="n">
        <v>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1" t="n">
        <v>-3</v>
      </c>
      <c r="N162" s="1" t="n">
        <v>0.0144666666666667</v>
      </c>
      <c r="O162" s="1" t="n">
        <v>17.63845</v>
      </c>
    </row>
    <row r="163" customFormat="false" ht="15.75" hidden="false" customHeight="false" outlineLevel="0" collapsed="false">
      <c r="A163" s="4" t="n">
        <v>45533</v>
      </c>
      <c r="B163" s="1" t="s">
        <v>127</v>
      </c>
      <c r="C163" s="1" t="s">
        <v>105</v>
      </c>
      <c r="D163" s="1" t="n">
        <v>658</v>
      </c>
      <c r="E163" s="1" t="n">
        <v>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1" t="n">
        <v>3</v>
      </c>
      <c r="O163" s="1" t="n">
        <v>18.5277333333333</v>
      </c>
    </row>
    <row r="164" customFormat="false" ht="15.75" hidden="false" customHeight="false" outlineLevel="0" collapsed="false">
      <c r="A164" s="4" t="n">
        <v>45533</v>
      </c>
      <c r="B164" s="1" t="s">
        <v>88</v>
      </c>
      <c r="C164" s="1" t="s">
        <v>89</v>
      </c>
      <c r="D164" s="1" t="n">
        <v>264</v>
      </c>
      <c r="E164" s="1" t="n">
        <v>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1" t="n">
        <v>-3</v>
      </c>
      <c r="O164" s="1" t="n">
        <v>11.2543833333333</v>
      </c>
    </row>
    <row r="165" customFormat="false" ht="15.75" hidden="false" customHeight="false" outlineLevel="0" collapsed="false">
      <c r="A165" s="4" t="n">
        <v>45533</v>
      </c>
      <c r="B165" s="1" t="s">
        <v>95</v>
      </c>
      <c r="C165" s="1" t="s">
        <v>89</v>
      </c>
      <c r="D165" s="1" t="n">
        <v>418</v>
      </c>
      <c r="E165" s="1" t="n">
        <v>105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1" t="n">
        <v>1</v>
      </c>
      <c r="O165" s="1" t="n">
        <v>21.2277</v>
      </c>
    </row>
    <row r="166" customFormat="false" ht="15.75" hidden="false" customHeight="false" outlineLevel="0" collapsed="false">
      <c r="A166" s="4" t="n">
        <v>45533</v>
      </c>
      <c r="B166" s="1" t="s">
        <v>88</v>
      </c>
      <c r="C166" s="1" t="s">
        <v>89</v>
      </c>
      <c r="D166" s="1" t="n">
        <v>264</v>
      </c>
      <c r="E166" s="1" t="n">
        <v>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1" t="n">
        <v>3</v>
      </c>
      <c r="O166" s="1" t="n">
        <v>18.43235</v>
      </c>
    </row>
    <row r="167" customFormat="false" ht="15.75" hidden="false" customHeight="false" outlineLevel="0" collapsed="false">
      <c r="A167" s="4" t="n">
        <v>45533</v>
      </c>
      <c r="B167" s="1" t="s">
        <v>104</v>
      </c>
      <c r="C167" s="1" t="s">
        <v>105</v>
      </c>
      <c r="D167" s="1" t="n">
        <v>358</v>
      </c>
      <c r="E167" s="1" t="n">
        <v>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1" t="n">
        <v>1</v>
      </c>
      <c r="O167" s="1" t="n">
        <v>17.7713833333333</v>
      </c>
    </row>
    <row r="168" customFormat="false" ht="15.75" hidden="false" customHeight="false" outlineLevel="0" collapsed="false">
      <c r="A168" s="4" t="n">
        <v>45533</v>
      </c>
      <c r="B168" s="1" t="s">
        <v>127</v>
      </c>
      <c r="C168" s="1" t="s">
        <v>105</v>
      </c>
      <c r="D168" s="1" t="n">
        <v>597</v>
      </c>
      <c r="E168" s="1" t="n">
        <v>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1" t="n">
        <v>6</v>
      </c>
      <c r="O168" s="1" t="n">
        <v>22.7336166666667</v>
      </c>
    </row>
    <row r="169" customFormat="false" ht="15.75" hidden="false" customHeight="false" outlineLevel="0" collapsed="false">
      <c r="A169" s="4" t="n">
        <v>45533</v>
      </c>
      <c r="B169" s="1" t="s">
        <v>127</v>
      </c>
      <c r="C169" s="1" t="s">
        <v>105</v>
      </c>
      <c r="D169" s="1" t="n">
        <v>439</v>
      </c>
      <c r="E169" s="1" t="n">
        <v>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1" t="n">
        <v>3</v>
      </c>
      <c r="O169" s="1" t="n">
        <v>18.4303166666667</v>
      </c>
    </row>
    <row r="170" customFormat="false" ht="15.75" hidden="false" customHeight="false" outlineLevel="0" collapsed="false">
      <c r="A170" s="4" t="n">
        <v>45533</v>
      </c>
      <c r="B170" s="1" t="s">
        <v>127</v>
      </c>
      <c r="C170" s="1" t="s">
        <v>105</v>
      </c>
      <c r="D170" s="1" t="n">
        <v>321</v>
      </c>
      <c r="E170" s="1" t="n">
        <v>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1" t="n">
        <v>7</v>
      </c>
      <c r="O170" s="1" t="n">
        <v>20.4551333333333</v>
      </c>
    </row>
    <row r="171" customFormat="false" ht="15.75" hidden="false" customHeight="false" outlineLevel="0" collapsed="false">
      <c r="A171" s="4" t="n">
        <v>45533</v>
      </c>
      <c r="B171" s="1" t="s">
        <v>127</v>
      </c>
      <c r="C171" s="1" t="s">
        <v>105</v>
      </c>
      <c r="D171" s="1" t="n">
        <v>483</v>
      </c>
      <c r="E171" s="1" t="n">
        <v>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1" t="n">
        <v>5</v>
      </c>
      <c r="O171" s="1" t="n">
        <v>19.4789666666667</v>
      </c>
    </row>
    <row r="172" customFormat="false" ht="15.75" hidden="false" customHeight="false" outlineLevel="0" collapsed="false">
      <c r="A172" s="4" t="n">
        <v>45533</v>
      </c>
      <c r="B172" s="1" t="s">
        <v>88</v>
      </c>
      <c r="C172" s="1" t="s">
        <v>89</v>
      </c>
      <c r="D172" s="1" t="n">
        <v>528</v>
      </c>
      <c r="E172" s="1" t="n">
        <v>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1" t="n">
        <v>13</v>
      </c>
      <c r="O172" s="1" t="n">
        <v>28.3766</v>
      </c>
    </row>
    <row r="173" customFormat="false" ht="15.75" hidden="false" customHeight="false" outlineLevel="0" collapsed="false">
      <c r="A173" s="4" t="n">
        <v>45533</v>
      </c>
      <c r="B173" s="1" t="s">
        <v>95</v>
      </c>
      <c r="C173" s="1" t="s">
        <v>89</v>
      </c>
      <c r="D173" s="1" t="n">
        <v>363</v>
      </c>
      <c r="E173" s="1" t="n">
        <v>96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1" t="n">
        <v>-5</v>
      </c>
      <c r="O173" s="1" t="n">
        <v>13.2966333333333</v>
      </c>
    </row>
    <row r="174" customFormat="false" ht="15.75" hidden="false" customHeight="false" outlineLevel="0" collapsed="false">
      <c r="A174" s="4" t="n">
        <v>45533</v>
      </c>
      <c r="B174" s="1" t="s">
        <v>127</v>
      </c>
      <c r="C174" s="1" t="s">
        <v>105</v>
      </c>
      <c r="D174" s="1" t="n">
        <v>658</v>
      </c>
      <c r="E174" s="1" t="n">
        <v>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1" t="n">
        <v>4</v>
      </c>
      <c r="O174" s="1" t="n">
        <v>19.0785333333333</v>
      </c>
    </row>
    <row r="175" customFormat="false" ht="15.75" hidden="false" customHeight="false" outlineLevel="0" collapsed="false">
      <c r="A175" s="4" t="n">
        <v>45533</v>
      </c>
      <c r="B175" s="1" t="s">
        <v>104</v>
      </c>
      <c r="C175" s="1" t="s">
        <v>105</v>
      </c>
      <c r="D175" s="1" t="n">
        <v>872</v>
      </c>
      <c r="E175" s="1" t="n">
        <v>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1" t="n">
        <v>-6</v>
      </c>
      <c r="O175" s="1" t="n">
        <v>14.4341333333333</v>
      </c>
    </row>
    <row r="176" customFormat="false" ht="15.75" hidden="false" customHeight="false" outlineLevel="0" collapsed="false">
      <c r="A176" s="4" t="n">
        <v>45533</v>
      </c>
      <c r="B176" s="1" t="s">
        <v>127</v>
      </c>
      <c r="C176" s="1" t="s">
        <v>105</v>
      </c>
      <c r="D176" s="1" t="n">
        <v>434</v>
      </c>
      <c r="E176" s="1" t="n">
        <v>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1" t="n">
        <v>-3</v>
      </c>
      <c r="O176" s="1" t="n">
        <v>9.73133333333333</v>
      </c>
    </row>
    <row r="177" customFormat="false" ht="15.75" hidden="false" customHeight="false" outlineLevel="0" collapsed="false">
      <c r="A177" s="4" t="n">
        <v>45533</v>
      </c>
      <c r="B177" s="1" t="s">
        <v>95</v>
      </c>
      <c r="C177" s="1" t="s">
        <v>89</v>
      </c>
      <c r="D177" s="1" t="n">
        <v>247</v>
      </c>
      <c r="E177" s="1" t="n">
        <v>62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1" t="n">
        <v>-8</v>
      </c>
      <c r="O177" s="1" t="n">
        <v>11.4130333333333</v>
      </c>
    </row>
    <row r="178" customFormat="false" ht="15.75" hidden="false" customHeight="false" outlineLevel="0" collapsed="false">
      <c r="A178" s="4" t="n">
        <v>45533</v>
      </c>
      <c r="B178" s="1" t="s">
        <v>88</v>
      </c>
      <c r="C178" s="1" t="s">
        <v>89</v>
      </c>
      <c r="D178" s="1" t="n">
        <v>264</v>
      </c>
      <c r="E178" s="1" t="n">
        <v>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1" t="n">
        <v>-2</v>
      </c>
      <c r="O178" s="1" t="n">
        <v>12.07025</v>
      </c>
    </row>
    <row r="179" customFormat="false" ht="15.75" hidden="false" customHeight="false" outlineLevel="0" collapsed="false">
      <c r="A179" s="4" t="n">
        <v>45533</v>
      </c>
      <c r="B179" s="1" t="s">
        <v>95</v>
      </c>
      <c r="C179" s="1" t="s">
        <v>89</v>
      </c>
      <c r="D179" s="1" t="n">
        <v>250</v>
      </c>
      <c r="E179" s="1" t="n">
        <v>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1" t="n">
        <v>-11</v>
      </c>
      <c r="N179" s="1" t="n">
        <v>0.00788333333333333</v>
      </c>
      <c r="O179" s="1" t="n">
        <v>12.8229833333333</v>
      </c>
    </row>
    <row r="180" customFormat="false" ht="15.75" hidden="false" customHeight="false" outlineLevel="0" collapsed="false">
      <c r="A180" s="4" t="n">
        <v>45533</v>
      </c>
      <c r="B180" s="1" t="s">
        <v>95</v>
      </c>
      <c r="C180" s="1" t="s">
        <v>89</v>
      </c>
      <c r="D180" s="1" t="n">
        <v>329</v>
      </c>
      <c r="E180" s="1" t="n">
        <v>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1" t="n">
        <v>-2</v>
      </c>
      <c r="N180" s="1" t="n">
        <v>0.00883333333333333</v>
      </c>
      <c r="O180" s="1" t="n">
        <v>16.0265166666667</v>
      </c>
    </row>
    <row r="181" customFormat="false" ht="15.75" hidden="false" customHeight="false" outlineLevel="0" collapsed="false">
      <c r="A181" s="4" t="n">
        <v>45533</v>
      </c>
      <c r="B181" s="1" t="s">
        <v>127</v>
      </c>
      <c r="C181" s="1" t="s">
        <v>105</v>
      </c>
      <c r="D181" s="1" t="n">
        <v>583</v>
      </c>
      <c r="E181" s="1" t="n">
        <v>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1" t="n">
        <v>4</v>
      </c>
      <c r="O181" s="1" t="n">
        <v>19.954</v>
      </c>
    </row>
    <row r="182" customFormat="false" ht="15.75" hidden="false" customHeight="false" outlineLevel="0" collapsed="false">
      <c r="A182" s="4" t="n">
        <v>45533</v>
      </c>
      <c r="B182" s="1" t="s">
        <v>127</v>
      </c>
      <c r="C182" s="1" t="s">
        <v>105</v>
      </c>
      <c r="D182" s="1" t="n">
        <v>264</v>
      </c>
      <c r="E182" s="1" t="n">
        <v>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1" t="n">
        <v>7</v>
      </c>
      <c r="O182" s="1" t="n">
        <v>18.23795</v>
      </c>
    </row>
    <row r="183" customFormat="false" ht="15.75" hidden="false" customHeight="false" outlineLevel="0" collapsed="false">
      <c r="A183" s="4" t="n">
        <v>45533</v>
      </c>
      <c r="B183" s="1" t="s">
        <v>95</v>
      </c>
      <c r="C183" s="1" t="s">
        <v>89</v>
      </c>
      <c r="D183" s="1" t="n">
        <v>323</v>
      </c>
      <c r="E183" s="1" t="n">
        <v>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1" t="n">
        <v>-11</v>
      </c>
      <c r="N183" s="1" t="n">
        <v>0.00895</v>
      </c>
      <c r="O183" s="1" t="n">
        <v>8.91628333333333</v>
      </c>
    </row>
    <row r="184" customFormat="false" ht="15.75" hidden="false" customHeight="false" outlineLevel="0" collapsed="false">
      <c r="A184" s="4" t="n">
        <v>45533</v>
      </c>
      <c r="B184" s="1" t="s">
        <v>95</v>
      </c>
      <c r="C184" s="1" t="s">
        <v>89</v>
      </c>
      <c r="D184" s="1" t="n">
        <v>291</v>
      </c>
      <c r="E184" s="1" t="n">
        <v>15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1" t="n">
        <v>-12</v>
      </c>
      <c r="N184" s="1" t="n">
        <v>0.0146166666666667</v>
      </c>
      <c r="O184" s="1" t="n">
        <v>9.56403333333333</v>
      </c>
    </row>
    <row r="185" customFormat="false" ht="15.75" hidden="false" customHeight="false" outlineLevel="0" collapsed="false">
      <c r="A185" s="4" t="n">
        <v>45533</v>
      </c>
      <c r="B185" s="1" t="s">
        <v>88</v>
      </c>
      <c r="C185" s="1" t="s">
        <v>89</v>
      </c>
      <c r="D185" s="1" t="n">
        <v>726</v>
      </c>
      <c r="E185" s="1" t="n">
        <v>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1" t="n">
        <v>1</v>
      </c>
      <c r="O185" s="1" t="n">
        <v>29.1702666666667</v>
      </c>
    </row>
    <row r="186" customFormat="false" ht="15.75" hidden="false" customHeight="false" outlineLevel="0" collapsed="false">
      <c r="A186" s="4" t="n">
        <v>45533</v>
      </c>
      <c r="B186" s="1" t="s">
        <v>127</v>
      </c>
      <c r="C186" s="1" t="s">
        <v>105</v>
      </c>
      <c r="D186" s="1" t="n">
        <v>1187</v>
      </c>
      <c r="E186" s="1" t="n">
        <v>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1" t="n">
        <v>3</v>
      </c>
      <c r="O186" s="1" t="n">
        <v>21.6113666666667</v>
      </c>
    </row>
    <row r="187" customFormat="false" ht="15.75" hidden="false" customHeight="false" outlineLevel="0" collapsed="false">
      <c r="A187" s="4" t="n">
        <v>45533</v>
      </c>
      <c r="B187" s="1" t="s">
        <v>104</v>
      </c>
      <c r="C187" s="1" t="s">
        <v>105</v>
      </c>
      <c r="D187" s="1" t="n">
        <v>364</v>
      </c>
      <c r="E187" s="1" t="n">
        <v>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1" t="n">
        <v>10</v>
      </c>
      <c r="O187" s="1" t="n">
        <v>26.2655166666667</v>
      </c>
    </row>
    <row r="188" customFormat="false" ht="15.75" hidden="false" customHeight="false" outlineLevel="0" collapsed="false">
      <c r="A188" s="4" t="n">
        <v>45533</v>
      </c>
      <c r="B188" s="1" t="s">
        <v>127</v>
      </c>
      <c r="C188" s="1" t="s">
        <v>105</v>
      </c>
      <c r="D188" s="1" t="n">
        <v>602</v>
      </c>
      <c r="E188" s="1" t="n">
        <v>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1" t="n">
        <v>-2</v>
      </c>
      <c r="O188" s="1" t="n">
        <v>11.2488333333333</v>
      </c>
    </row>
    <row r="189" customFormat="false" ht="15.75" hidden="false" customHeight="false" outlineLevel="0" collapsed="false">
      <c r="A189" s="4" t="n">
        <v>45533</v>
      </c>
      <c r="B189" s="1" t="s">
        <v>95</v>
      </c>
      <c r="C189" s="1" t="s">
        <v>89</v>
      </c>
      <c r="D189" s="1" t="n">
        <v>257</v>
      </c>
      <c r="E189" s="1" t="n">
        <v>52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1" t="n">
        <v>-7</v>
      </c>
      <c r="N189" s="1" t="n">
        <v>0.0102166666666667</v>
      </c>
      <c r="O189" s="1" t="n">
        <v>13.87445</v>
      </c>
    </row>
    <row r="190" customFormat="false" ht="15.75" hidden="false" customHeight="false" outlineLevel="0" collapsed="false">
      <c r="A190" s="4" t="n">
        <v>45533</v>
      </c>
      <c r="B190" s="1" t="s">
        <v>127</v>
      </c>
      <c r="C190" s="1" t="s">
        <v>105</v>
      </c>
      <c r="D190" s="1" t="n">
        <v>593</v>
      </c>
      <c r="E190" s="1" t="n">
        <v>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1" t="n">
        <v>4</v>
      </c>
      <c r="O190" s="1" t="n">
        <v>19.5113833333333</v>
      </c>
    </row>
    <row r="191" customFormat="false" ht="15.75" hidden="false" customHeight="false" outlineLevel="0" collapsed="false">
      <c r="A191" s="4" t="n">
        <v>45533</v>
      </c>
      <c r="B191" s="1" t="s">
        <v>127</v>
      </c>
      <c r="C191" s="1" t="s">
        <v>105</v>
      </c>
      <c r="D191" s="1" t="n">
        <v>610</v>
      </c>
      <c r="E191" s="1" t="n">
        <v>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1" t="n">
        <v>3</v>
      </c>
      <c r="O191" s="1" t="n">
        <v>18.7476166666667</v>
      </c>
    </row>
    <row r="192" customFormat="false" ht="15.75" hidden="false" customHeight="false" outlineLevel="0" collapsed="false">
      <c r="A192" s="4" t="n">
        <v>45533</v>
      </c>
      <c r="B192" s="1" t="s">
        <v>127</v>
      </c>
      <c r="C192" s="1" t="s">
        <v>105</v>
      </c>
      <c r="D192" s="1" t="n">
        <v>346</v>
      </c>
      <c r="E192" s="1" t="n">
        <v>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1" t="n">
        <v>8</v>
      </c>
      <c r="O192" s="1" t="n">
        <v>20.96055</v>
      </c>
    </row>
    <row r="193" customFormat="false" ht="15.75" hidden="false" customHeight="false" outlineLevel="0" collapsed="false">
      <c r="A193" s="4" t="n">
        <v>45533</v>
      </c>
      <c r="B193" s="1" t="s">
        <v>95</v>
      </c>
      <c r="C193" s="1" t="s">
        <v>89</v>
      </c>
      <c r="D193" s="1" t="n">
        <v>885</v>
      </c>
      <c r="E193" s="1" t="n">
        <v>18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1" t="n">
        <v>11</v>
      </c>
      <c r="N193" s="1" t="n">
        <v>0.0194833333333333</v>
      </c>
      <c r="O193" s="1" t="n">
        <v>17.1680166666667</v>
      </c>
    </row>
    <row r="194" customFormat="false" ht="15.75" hidden="false" customHeight="false" outlineLevel="0" collapsed="false">
      <c r="A194" s="4" t="n">
        <v>45533</v>
      </c>
      <c r="B194" s="1" t="s">
        <v>95</v>
      </c>
      <c r="C194" s="1" t="s">
        <v>89</v>
      </c>
      <c r="D194" s="1" t="n">
        <v>548</v>
      </c>
      <c r="E194" s="1" t="n">
        <v>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1" t="n">
        <v>9</v>
      </c>
      <c r="N194" s="1" t="n">
        <v>0.0092</v>
      </c>
      <c r="O194" s="1" t="n">
        <v>16.3210833333333</v>
      </c>
    </row>
    <row r="195" customFormat="false" ht="15.75" hidden="false" customHeight="false" outlineLevel="0" collapsed="false">
      <c r="A195" s="4" t="n">
        <v>45533</v>
      </c>
      <c r="B195" s="1" t="s">
        <v>127</v>
      </c>
      <c r="C195" s="1" t="s">
        <v>105</v>
      </c>
      <c r="D195" s="1" t="n">
        <v>294</v>
      </c>
      <c r="E195" s="1" t="n">
        <v>100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1" t="n">
        <v>6</v>
      </c>
      <c r="O195" s="1" t="n">
        <v>18.0402166666667</v>
      </c>
    </row>
    <row r="196" customFormat="false" ht="15.75" hidden="false" customHeight="false" outlineLevel="0" collapsed="false">
      <c r="A196" s="4" t="n">
        <v>45533</v>
      </c>
      <c r="B196" s="1" t="s">
        <v>127</v>
      </c>
      <c r="C196" s="1" t="s">
        <v>89</v>
      </c>
      <c r="D196" s="1" t="n">
        <v>528</v>
      </c>
      <c r="E196" s="1" t="n">
        <v>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1" t="n">
        <v>1</v>
      </c>
      <c r="O196" s="1" t="n">
        <v>14.11675</v>
      </c>
    </row>
    <row r="197" customFormat="false" ht="15.75" hidden="false" customHeight="false" outlineLevel="0" collapsed="false">
      <c r="A197" s="4" t="n">
        <v>45533</v>
      </c>
      <c r="B197" s="1" t="s">
        <v>95</v>
      </c>
      <c r="C197" s="1" t="s">
        <v>89</v>
      </c>
      <c r="D197" s="1" t="n">
        <v>666</v>
      </c>
      <c r="E197" s="1" t="n">
        <v>105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1" t="n">
        <v>-7</v>
      </c>
      <c r="O197" s="1" t="n">
        <v>38.7901166666667</v>
      </c>
    </row>
    <row r="198" customFormat="false" ht="15.75" hidden="false" customHeight="false" outlineLevel="0" collapsed="false">
      <c r="A198" s="4" t="n">
        <v>45533</v>
      </c>
      <c r="B198" s="1" t="s">
        <v>169</v>
      </c>
      <c r="C198" s="1" t="s">
        <v>89</v>
      </c>
      <c r="D198" s="1" t="n">
        <v>39</v>
      </c>
      <c r="E198" s="1" t="n">
        <v>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1" t="n">
        <v>-3</v>
      </c>
      <c r="O198" s="1" t="n">
        <v>1.47708333333333</v>
      </c>
    </row>
    <row r="199" customFormat="false" ht="15.75" hidden="false" customHeight="false" outlineLevel="0" collapsed="false">
      <c r="A199" s="4" t="n">
        <v>45533</v>
      </c>
      <c r="B199" s="1" t="s">
        <v>95</v>
      </c>
      <c r="C199" s="1" t="s">
        <v>89</v>
      </c>
      <c r="D199" s="1" t="n">
        <v>269</v>
      </c>
      <c r="E199" s="1" t="n">
        <v>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1" t="n">
        <v>-5</v>
      </c>
      <c r="N199" s="1" t="n">
        <v>0.00808333333333333</v>
      </c>
      <c r="O199" s="1" t="n">
        <v>16.7179666666667</v>
      </c>
    </row>
    <row r="200" customFormat="false" ht="15.75" hidden="false" customHeight="false" outlineLevel="0" collapsed="false">
      <c r="A200" s="4" t="n">
        <v>45533</v>
      </c>
      <c r="B200" s="1" t="s">
        <v>88</v>
      </c>
      <c r="C200" s="1" t="s">
        <v>89</v>
      </c>
      <c r="D200" s="1" t="n">
        <v>675</v>
      </c>
      <c r="E200" s="1" t="n">
        <v>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1" t="n">
        <v>-2</v>
      </c>
      <c r="O200" s="1" t="n">
        <v>12.8614166666667</v>
      </c>
    </row>
    <row r="201" customFormat="false" ht="15.75" hidden="false" customHeight="false" outlineLevel="0" collapsed="false">
      <c r="A201" s="4" t="n">
        <v>45533</v>
      </c>
      <c r="B201" s="1" t="s">
        <v>127</v>
      </c>
      <c r="C201" s="1" t="s">
        <v>105</v>
      </c>
      <c r="D201" s="1" t="n">
        <v>321</v>
      </c>
      <c r="E201" s="1" t="n">
        <v>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1" t="n">
        <v>-2</v>
      </c>
      <c r="O201" s="1" t="n">
        <v>8.87158333333333</v>
      </c>
    </row>
    <row r="202" customFormat="false" ht="15.75" hidden="false" customHeight="false" outlineLevel="0" collapsed="false">
      <c r="A202" s="4" t="n">
        <v>45533</v>
      </c>
      <c r="B202" s="1" t="s">
        <v>95</v>
      </c>
      <c r="C202" s="1" t="s">
        <v>89</v>
      </c>
      <c r="D202" s="1" t="n">
        <v>219</v>
      </c>
      <c r="E202" s="1" t="n">
        <v>50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1" t="n">
        <v>-9</v>
      </c>
      <c r="O202" s="1" t="n">
        <v>17.6075333333333</v>
      </c>
    </row>
    <row r="203" customFormat="false" ht="15.75" hidden="false" customHeight="false" outlineLevel="0" collapsed="false">
      <c r="A203" s="4" t="n">
        <v>45533</v>
      </c>
      <c r="B203" s="1" t="s">
        <v>88</v>
      </c>
      <c r="C203" s="1" t="s">
        <v>89</v>
      </c>
      <c r="D203" s="1" t="n">
        <v>264</v>
      </c>
      <c r="E203" s="1" t="n">
        <v>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1" t="n">
        <v>-1</v>
      </c>
      <c r="O203" s="1" t="n">
        <v>13.6660166666667</v>
      </c>
    </row>
    <row r="204" customFormat="false" ht="15.75" hidden="false" customHeight="false" outlineLevel="0" collapsed="false">
      <c r="A204" s="4" t="n">
        <v>45533</v>
      </c>
      <c r="B204" s="1" t="s">
        <v>104</v>
      </c>
      <c r="C204" s="1" t="s">
        <v>105</v>
      </c>
      <c r="D204" s="1" t="n">
        <v>329</v>
      </c>
      <c r="E204" s="1" t="n">
        <v>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1" t="n">
        <v>-2</v>
      </c>
      <c r="O204" s="1" t="n">
        <v>12.3941</v>
      </c>
    </row>
    <row r="205" customFormat="false" ht="15.75" hidden="false" customHeight="false" outlineLevel="0" collapsed="false">
      <c r="A205" s="4" t="n">
        <v>45533</v>
      </c>
      <c r="B205" s="1" t="s">
        <v>95</v>
      </c>
      <c r="C205" s="1" t="s">
        <v>89</v>
      </c>
      <c r="D205" s="1" t="n">
        <v>211</v>
      </c>
      <c r="E205" s="1" t="n">
        <v>53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1" t="n">
        <v>-9</v>
      </c>
      <c r="O205" s="1" t="n">
        <v>9.65893333333333</v>
      </c>
    </row>
    <row r="206" customFormat="false" ht="15.75" hidden="false" customHeight="false" outlineLevel="0" collapsed="false">
      <c r="A206" s="4" t="n">
        <v>45533</v>
      </c>
      <c r="B206" s="1" t="s">
        <v>127</v>
      </c>
      <c r="C206" s="1" t="s">
        <v>89</v>
      </c>
      <c r="D206" s="1" t="n">
        <v>658</v>
      </c>
      <c r="E206" s="1" t="n">
        <v>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1" t="n">
        <v>6</v>
      </c>
      <c r="O206" s="1" t="n">
        <v>20.9665</v>
      </c>
    </row>
    <row r="207" customFormat="false" ht="15.75" hidden="false" customHeight="false" outlineLevel="0" collapsed="false">
      <c r="A207" s="4" t="n">
        <v>45533</v>
      </c>
      <c r="B207" s="1" t="s">
        <v>95</v>
      </c>
      <c r="C207" s="1" t="s">
        <v>89</v>
      </c>
      <c r="D207" s="1" t="n">
        <v>199</v>
      </c>
      <c r="E207" s="1" t="n">
        <v>50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1" t="n">
        <v>-4</v>
      </c>
      <c r="O207" s="1" t="n">
        <v>15.0204166666667</v>
      </c>
    </row>
    <row r="208" customFormat="false" ht="15.75" hidden="false" customHeight="false" outlineLevel="0" collapsed="false">
      <c r="A208" s="4" t="n">
        <v>45533</v>
      </c>
      <c r="B208" s="1" t="s">
        <v>95</v>
      </c>
      <c r="C208" s="1" t="s">
        <v>89</v>
      </c>
      <c r="D208" s="1" t="n">
        <v>341</v>
      </c>
      <c r="E208" s="1" t="n">
        <v>17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1" t="n">
        <v>-4</v>
      </c>
      <c r="N208" s="1" t="n">
        <v>5.44371666666667</v>
      </c>
      <c r="O208" s="1" t="n">
        <v>9.05983333333333</v>
      </c>
    </row>
    <row r="209" customFormat="false" ht="15.75" hidden="false" customHeight="false" outlineLevel="0" collapsed="false">
      <c r="A209" s="4" t="n">
        <v>45533</v>
      </c>
      <c r="B209" s="1" t="s">
        <v>88</v>
      </c>
      <c r="C209" s="1" t="s">
        <v>89</v>
      </c>
      <c r="D209" s="1" t="n">
        <v>488</v>
      </c>
      <c r="E209" s="1" t="n">
        <v>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1" t="n">
        <v>-1</v>
      </c>
      <c r="O209" s="1" t="n">
        <v>13.8337</v>
      </c>
    </row>
    <row r="210" customFormat="false" ht="15.75" hidden="false" customHeight="false" outlineLevel="0" collapsed="false">
      <c r="A210" s="4" t="n">
        <v>45533</v>
      </c>
      <c r="B210" s="1" t="s">
        <v>88</v>
      </c>
      <c r="C210" s="1" t="s">
        <v>89</v>
      </c>
      <c r="D210" s="1" t="n">
        <v>499</v>
      </c>
      <c r="E210" s="1" t="n">
        <v>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1" t="n">
        <v>8</v>
      </c>
      <c r="O210" s="1" t="n">
        <v>23.46315</v>
      </c>
    </row>
    <row r="211" customFormat="false" ht="15.75" hidden="false" customHeight="false" outlineLevel="0" collapsed="false">
      <c r="A211" s="4" t="n">
        <v>45533</v>
      </c>
      <c r="B211" s="1" t="s">
        <v>127</v>
      </c>
      <c r="C211" s="1" t="s">
        <v>89</v>
      </c>
      <c r="D211" s="1" t="n">
        <v>278</v>
      </c>
      <c r="E211" s="1" t="n">
        <v>100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1" t="n">
        <v>6</v>
      </c>
      <c r="O211" s="1" t="n">
        <v>18.5577</v>
      </c>
    </row>
    <row r="212" customFormat="false" ht="15.75" hidden="false" customHeight="false" outlineLevel="0" collapsed="false">
      <c r="A212" s="4" t="n">
        <v>45533</v>
      </c>
      <c r="B212" s="1" t="s">
        <v>95</v>
      </c>
      <c r="C212" s="1" t="s">
        <v>89</v>
      </c>
      <c r="D212" s="1" t="n">
        <v>309</v>
      </c>
      <c r="E212" s="1" t="n">
        <v>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1" t="n">
        <v>37</v>
      </c>
      <c r="N212" s="1" t="n">
        <v>11.9778166666667</v>
      </c>
      <c r="O212" s="1" t="n">
        <v>14.9844</v>
      </c>
    </row>
    <row r="213" customFormat="false" ht="15.75" hidden="false" customHeight="false" outlineLevel="0" collapsed="false">
      <c r="A213" s="4" t="n">
        <v>45533</v>
      </c>
      <c r="B213" s="1" t="s">
        <v>88</v>
      </c>
      <c r="C213" s="1" t="s">
        <v>89</v>
      </c>
      <c r="D213" s="1" t="n">
        <v>313</v>
      </c>
      <c r="E213" s="1" t="n">
        <v>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1" t="n">
        <v>-8</v>
      </c>
      <c r="O213" s="1" t="n">
        <v>6.36418333333333</v>
      </c>
    </row>
    <row r="214" customFormat="false" ht="15.75" hidden="false" customHeight="false" outlineLevel="0" collapsed="false">
      <c r="A214" s="4" t="n">
        <v>45533</v>
      </c>
      <c r="B214" s="1" t="s">
        <v>169</v>
      </c>
      <c r="C214" s="1" t="s">
        <v>89</v>
      </c>
      <c r="D214" s="1" t="n">
        <v>249</v>
      </c>
      <c r="E214" s="1" t="n">
        <v>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1" t="n">
        <v>4</v>
      </c>
      <c r="O214" s="1" t="n">
        <v>9.52966666666667</v>
      </c>
    </row>
    <row r="215" customFormat="false" ht="15.75" hidden="false" customHeight="false" outlineLevel="0" collapsed="false">
      <c r="A215" s="4" t="n">
        <v>45533</v>
      </c>
      <c r="B215" s="1" t="s">
        <v>127</v>
      </c>
      <c r="C215" s="1" t="s">
        <v>89</v>
      </c>
      <c r="D215" s="1" t="n">
        <v>214</v>
      </c>
      <c r="E215" s="1" t="n">
        <v>50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1" t="n">
        <v>-4</v>
      </c>
      <c r="O215" s="1" t="n">
        <v>6.82836666666667</v>
      </c>
    </row>
    <row r="216" customFormat="false" ht="15.75" hidden="false" customHeight="false" outlineLevel="0" collapsed="false">
      <c r="A216" s="4" t="n">
        <v>45533</v>
      </c>
      <c r="B216" s="1" t="s">
        <v>127</v>
      </c>
      <c r="C216" s="1" t="s">
        <v>89</v>
      </c>
      <c r="D216" s="1" t="n">
        <v>456</v>
      </c>
      <c r="E216" s="1" t="n">
        <v>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1" t="n">
        <v>1</v>
      </c>
      <c r="O216" s="1" t="n">
        <v>14.5137166666667</v>
      </c>
    </row>
    <row r="217" customFormat="false" ht="15.75" hidden="false" customHeight="false" outlineLevel="0" collapsed="false">
      <c r="A217" s="4" t="n">
        <v>45533</v>
      </c>
      <c r="B217" s="1" t="s">
        <v>104</v>
      </c>
      <c r="C217" s="1" t="s">
        <v>89</v>
      </c>
      <c r="D217" s="1" t="n">
        <v>803</v>
      </c>
      <c r="E217" s="1" t="n">
        <v>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1" t="n">
        <v>-2</v>
      </c>
      <c r="O217" s="1" t="n">
        <v>14.57965</v>
      </c>
    </row>
    <row r="218" customFormat="false" ht="15.75" hidden="false" customHeight="false" outlineLevel="0" collapsed="false">
      <c r="A218" s="4" t="n">
        <v>45533</v>
      </c>
      <c r="B218" s="1" t="s">
        <v>127</v>
      </c>
      <c r="C218" s="1" t="s">
        <v>105</v>
      </c>
      <c r="D218" s="1" t="n">
        <v>268</v>
      </c>
      <c r="E218" s="1" t="n">
        <v>100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1" t="n">
        <v>0</v>
      </c>
      <c r="O218" s="1" t="n">
        <v>10.6317333333333</v>
      </c>
    </row>
    <row r="219" customFormat="false" ht="15.75" hidden="false" customHeight="false" outlineLevel="0" collapsed="false">
      <c r="A219" s="4" t="n">
        <v>45533</v>
      </c>
      <c r="B219" s="1" t="s">
        <v>95</v>
      </c>
      <c r="C219" s="1" t="s">
        <v>89</v>
      </c>
      <c r="D219" s="1" t="n">
        <v>199</v>
      </c>
      <c r="E219" s="1" t="n">
        <v>50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1" t="n">
        <v>-9</v>
      </c>
      <c r="O219" s="1" t="n">
        <v>10.1084</v>
      </c>
    </row>
    <row r="220" customFormat="false" ht="15.75" hidden="false" customHeight="false" outlineLevel="0" collapsed="false">
      <c r="A220" s="4" t="n">
        <v>45533</v>
      </c>
      <c r="B220" s="1" t="s">
        <v>104</v>
      </c>
      <c r="C220" s="1" t="s">
        <v>105</v>
      </c>
      <c r="D220" s="1" t="n">
        <v>321</v>
      </c>
      <c r="E220" s="1" t="n">
        <v>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1" t="n">
        <v>-3</v>
      </c>
      <c r="O220" s="1" t="n">
        <v>11.0678166666667</v>
      </c>
    </row>
    <row r="221" customFormat="false" ht="15.75" hidden="false" customHeight="false" outlineLevel="0" collapsed="false">
      <c r="A221" s="4" t="n">
        <v>45533</v>
      </c>
      <c r="B221" s="1" t="s">
        <v>169</v>
      </c>
      <c r="C221" s="1" t="s">
        <v>89</v>
      </c>
      <c r="D221" s="1" t="n">
        <v>547</v>
      </c>
      <c r="E221" s="1" t="n">
        <v>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1" t="n">
        <v>3</v>
      </c>
      <c r="O221" s="1" t="n">
        <v>8.95121666666667</v>
      </c>
    </row>
    <row r="222" customFormat="false" ht="15.75" hidden="false" customHeight="false" outlineLevel="0" collapsed="false">
      <c r="A222" s="4" t="n">
        <v>45533</v>
      </c>
      <c r="B222" s="1" t="s">
        <v>169</v>
      </c>
      <c r="C222" s="1" t="s">
        <v>89</v>
      </c>
      <c r="D222" s="1" t="n">
        <v>119</v>
      </c>
      <c r="E222" s="1" t="n">
        <v>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1" t="n">
        <v>3</v>
      </c>
      <c r="O222" s="1" t="n">
        <v>8.07716666666667</v>
      </c>
    </row>
    <row r="223" customFormat="false" ht="15.75" hidden="false" customHeight="false" outlineLevel="0" collapsed="false">
      <c r="A223" s="4" t="n">
        <v>45533</v>
      </c>
      <c r="B223" s="1" t="s">
        <v>127</v>
      </c>
      <c r="C223" s="1" t="s">
        <v>89</v>
      </c>
      <c r="D223" s="1" t="n">
        <v>462</v>
      </c>
      <c r="E223" s="1" t="n">
        <v>150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1" t="n">
        <v>0</v>
      </c>
      <c r="O223" s="1" t="n">
        <v>13.9508</v>
      </c>
    </row>
    <row r="224" customFormat="false" ht="15.75" hidden="false" customHeight="false" outlineLevel="0" collapsed="false">
      <c r="A224" s="4" t="n">
        <v>45533</v>
      </c>
      <c r="B224" s="1" t="s">
        <v>95</v>
      </c>
      <c r="C224" s="1" t="s">
        <v>89</v>
      </c>
      <c r="D224" s="1" t="n">
        <v>566</v>
      </c>
      <c r="E224" s="1" t="n">
        <v>141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1" t="n">
        <v>2</v>
      </c>
      <c r="O224" s="1" t="n">
        <v>22.2048833333333</v>
      </c>
    </row>
    <row r="225" customFormat="false" ht="15.75" hidden="false" customHeight="false" outlineLevel="0" collapsed="false">
      <c r="A225" s="4" t="n">
        <v>45533</v>
      </c>
      <c r="B225" s="1" t="s">
        <v>95</v>
      </c>
      <c r="C225" s="1" t="s">
        <v>89</v>
      </c>
      <c r="D225" s="1" t="n">
        <v>512</v>
      </c>
      <c r="E225" s="1" t="n">
        <v>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1" t="n">
        <v>1</v>
      </c>
      <c r="N225" s="1" t="n">
        <v>0.00355</v>
      </c>
      <c r="O225" s="1" t="n">
        <v>19.38435</v>
      </c>
    </row>
    <row r="226" customFormat="false" ht="15.75" hidden="false" customHeight="false" outlineLevel="0" collapsed="false">
      <c r="A226" s="4" t="n">
        <v>45533</v>
      </c>
      <c r="B226" s="1" t="s">
        <v>127</v>
      </c>
      <c r="C226" s="1" t="s">
        <v>89</v>
      </c>
      <c r="D226" s="1" t="n">
        <v>313</v>
      </c>
      <c r="E226" s="1" t="n">
        <v>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1" t="n">
        <v>8</v>
      </c>
      <c r="O226" s="1" t="n">
        <v>19.9081833333333</v>
      </c>
    </row>
    <row r="227" customFormat="false" ht="15.75" hidden="false" customHeight="false" outlineLevel="0" collapsed="false">
      <c r="A227" s="4" t="n">
        <v>45533</v>
      </c>
      <c r="B227" s="1" t="s">
        <v>95</v>
      </c>
      <c r="C227" s="1" t="s">
        <v>89</v>
      </c>
      <c r="D227" s="1" t="n">
        <v>355</v>
      </c>
      <c r="E227" s="1" t="n">
        <v>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1" t="n">
        <v>-4</v>
      </c>
      <c r="N227" s="1" t="n">
        <v>0.00403333333333333</v>
      </c>
      <c r="O227" s="1" t="n">
        <v>10.3288333333333</v>
      </c>
    </row>
    <row r="228" customFormat="false" ht="15.75" hidden="false" customHeight="false" outlineLevel="0" collapsed="false">
      <c r="A228" s="4" t="n">
        <v>45533</v>
      </c>
      <c r="B228" s="1" t="s">
        <v>127</v>
      </c>
      <c r="C228" s="1" t="s">
        <v>89</v>
      </c>
      <c r="D228" s="1" t="n">
        <v>268</v>
      </c>
      <c r="E228" s="1" t="n">
        <v>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1" t="n">
        <v>-1</v>
      </c>
      <c r="O228" s="1" t="n">
        <v>9.42805</v>
      </c>
    </row>
    <row r="229" customFormat="false" ht="15.75" hidden="false" customHeight="false" outlineLevel="0" collapsed="false">
      <c r="A229" s="4" t="n">
        <v>45533</v>
      </c>
      <c r="B229" s="1" t="s">
        <v>104</v>
      </c>
      <c r="C229" s="1" t="s">
        <v>89</v>
      </c>
      <c r="D229" s="1" t="n">
        <v>388</v>
      </c>
      <c r="E229" s="1" t="n">
        <v>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1" t="n">
        <v>8</v>
      </c>
      <c r="O229" s="1" t="n">
        <v>23.9114166666667</v>
      </c>
    </row>
    <row r="230" customFormat="false" ht="15.75" hidden="false" customHeight="false" outlineLevel="0" collapsed="false">
      <c r="A230" s="4" t="n">
        <v>45533</v>
      </c>
      <c r="B230" s="1" t="s">
        <v>104</v>
      </c>
      <c r="C230" s="1" t="s">
        <v>89</v>
      </c>
      <c r="D230" s="1" t="n">
        <v>653</v>
      </c>
      <c r="E230" s="1" t="n">
        <v>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1" t="n">
        <v>0</v>
      </c>
      <c r="O230" s="1" t="n">
        <v>15.9900833333333</v>
      </c>
    </row>
    <row r="231" customFormat="false" ht="15.75" hidden="false" customHeight="false" outlineLevel="0" collapsed="false">
      <c r="A231" s="4" t="n">
        <v>45533</v>
      </c>
      <c r="B231" s="1" t="s">
        <v>88</v>
      </c>
      <c r="C231" s="1" t="s">
        <v>89</v>
      </c>
      <c r="D231" s="1" t="n">
        <v>289</v>
      </c>
      <c r="E231" s="1" t="n">
        <v>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1" t="n">
        <v>-6</v>
      </c>
      <c r="O231" s="1" t="n">
        <v>8.84295</v>
      </c>
    </row>
    <row r="232" customFormat="false" ht="15.75" hidden="false" customHeight="false" outlineLevel="0" collapsed="false">
      <c r="A232" s="4" t="n">
        <v>45533</v>
      </c>
      <c r="B232" s="1" t="s">
        <v>95</v>
      </c>
      <c r="C232" s="1" t="s">
        <v>89</v>
      </c>
      <c r="D232" s="1" t="n">
        <v>385</v>
      </c>
      <c r="E232" s="1" t="n">
        <v>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1" t="n">
        <v>10</v>
      </c>
      <c r="N232" s="1" t="n">
        <v>20.5150833333333</v>
      </c>
      <c r="O232" s="1" t="n">
        <v>28.2596</v>
      </c>
    </row>
    <row r="233" customFormat="false" ht="15.75" hidden="false" customHeight="false" outlineLevel="0" collapsed="false">
      <c r="A233" s="4" t="n">
        <v>45533</v>
      </c>
      <c r="B233" s="1" t="s">
        <v>127</v>
      </c>
      <c r="C233" s="1" t="s">
        <v>89</v>
      </c>
      <c r="D233" s="1" t="n">
        <v>329</v>
      </c>
      <c r="E233" s="1" t="n">
        <v>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1" t="n">
        <v>0</v>
      </c>
      <c r="O233" s="1" t="n">
        <v>10.2644666666667</v>
      </c>
    </row>
    <row r="234" customFormat="false" ht="15.75" hidden="false" customHeight="false" outlineLevel="0" collapsed="false">
      <c r="A234" s="4" t="n">
        <v>45533</v>
      </c>
      <c r="B234" s="1" t="s">
        <v>95</v>
      </c>
      <c r="C234" s="1" t="s">
        <v>89</v>
      </c>
      <c r="D234" s="1" t="n">
        <v>309</v>
      </c>
      <c r="E234" s="1" t="n">
        <v>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1" t="n">
        <v>-7</v>
      </c>
      <c r="N234" s="1" t="n">
        <v>0.00345</v>
      </c>
      <c r="O234" s="1" t="n">
        <v>19.9481833333333</v>
      </c>
    </row>
    <row r="235" customFormat="false" ht="15.75" hidden="false" customHeight="false" outlineLevel="0" collapsed="false">
      <c r="A235" s="4" t="n">
        <v>45533</v>
      </c>
      <c r="B235" s="1" t="s">
        <v>95</v>
      </c>
      <c r="C235" s="1" t="s">
        <v>89</v>
      </c>
      <c r="D235" s="1" t="n">
        <v>672</v>
      </c>
      <c r="E235" s="1" t="n">
        <v>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1" t="n">
        <v>6</v>
      </c>
      <c r="N235" s="1" t="n">
        <v>0.00711666666666667</v>
      </c>
      <c r="O235" s="1" t="n">
        <v>49.3468833333333</v>
      </c>
    </row>
    <row r="236" customFormat="false" ht="15.75" hidden="false" customHeight="false" outlineLevel="0" collapsed="false">
      <c r="A236" s="4" t="n">
        <v>45534</v>
      </c>
      <c r="B236" s="1" t="s">
        <v>95</v>
      </c>
      <c r="C236" s="1" t="s">
        <v>406</v>
      </c>
      <c r="D236" s="1" t="n">
        <v>279</v>
      </c>
      <c r="E236" s="1" t="n">
        <v>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1" t="n">
        <v>0</v>
      </c>
      <c r="N236" s="1" t="n">
        <v>4.24008333333333</v>
      </c>
      <c r="O236" s="1" t="n">
        <v>8.09375</v>
      </c>
    </row>
    <row r="237" customFormat="false" ht="15.75" hidden="false" customHeight="false" outlineLevel="0" collapsed="false">
      <c r="A237" s="4" t="n">
        <v>45534</v>
      </c>
      <c r="B237" s="1" t="s">
        <v>95</v>
      </c>
      <c r="C237" s="1" t="s">
        <v>406</v>
      </c>
      <c r="D237" s="1" t="n">
        <v>483</v>
      </c>
      <c r="E237" s="1" t="n">
        <v>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1" t="n">
        <v>0</v>
      </c>
      <c r="N237" s="1" t="n">
        <v>12.9258833333333</v>
      </c>
      <c r="O237" s="1" t="n">
        <v>14.1915333333333</v>
      </c>
    </row>
    <row r="238" customFormat="false" ht="15.75" hidden="false" customHeight="false" outlineLevel="0" collapsed="false">
      <c r="A238" s="4" t="n">
        <v>45534</v>
      </c>
      <c r="B238" s="1" t="s">
        <v>104</v>
      </c>
      <c r="C238" s="1" t="s">
        <v>105</v>
      </c>
      <c r="D238" s="1" t="n">
        <v>828</v>
      </c>
      <c r="E238" s="1" t="n">
        <v>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1" t="n">
        <v>-8</v>
      </c>
      <c r="O238" s="1" t="n">
        <v>10.0478666666667</v>
      </c>
    </row>
    <row r="239" customFormat="false" ht="15.75" hidden="false" customHeight="false" outlineLevel="0" collapsed="false">
      <c r="A239" s="4" t="n">
        <v>45534</v>
      </c>
      <c r="B239" s="1" t="s">
        <v>95</v>
      </c>
      <c r="C239" s="1" t="s">
        <v>89</v>
      </c>
      <c r="D239" s="1" t="n">
        <v>269</v>
      </c>
      <c r="E239" s="1" t="n">
        <v>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1" t="n">
        <v>-2</v>
      </c>
      <c r="N239" s="1" t="n">
        <v>7.3308</v>
      </c>
      <c r="O239" s="1" t="n">
        <v>8.32141666666667</v>
      </c>
    </row>
    <row r="240" customFormat="false" ht="15.75" hidden="false" customHeight="false" outlineLevel="0" collapsed="false">
      <c r="A240" s="4" t="n">
        <v>45534</v>
      </c>
      <c r="B240" s="1" t="s">
        <v>104</v>
      </c>
      <c r="C240" s="1" t="s">
        <v>105</v>
      </c>
      <c r="D240" s="1" t="n">
        <v>329</v>
      </c>
      <c r="E240" s="1" t="n">
        <v>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1" t="n">
        <v>-6</v>
      </c>
      <c r="O240" s="1" t="n">
        <v>8.66846666666667</v>
      </c>
    </row>
    <row r="241" customFormat="false" ht="15.75" hidden="false" customHeight="false" outlineLevel="0" collapsed="false">
      <c r="A241" s="4" t="n">
        <v>45534</v>
      </c>
      <c r="B241" s="1" t="s">
        <v>127</v>
      </c>
      <c r="C241" s="1" t="s">
        <v>105</v>
      </c>
      <c r="D241" s="1" t="n">
        <v>214</v>
      </c>
      <c r="E241" s="1" t="n">
        <v>50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1" t="n">
        <v>-3</v>
      </c>
      <c r="O241" s="1" t="n">
        <v>6.90925</v>
      </c>
    </row>
    <row r="242" customFormat="false" ht="15.75" hidden="false" customHeight="false" outlineLevel="0" collapsed="false">
      <c r="A242" s="4" t="n">
        <v>45534</v>
      </c>
      <c r="B242" s="1" t="s">
        <v>95</v>
      </c>
      <c r="C242" s="1" t="s">
        <v>89</v>
      </c>
      <c r="D242" s="1" t="n">
        <v>268</v>
      </c>
      <c r="E242" s="1" t="n">
        <v>50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1" t="n">
        <v>-11</v>
      </c>
      <c r="O242" s="1" t="n">
        <v>6.94611666666667</v>
      </c>
    </row>
    <row r="243" customFormat="false" ht="15.75" hidden="false" customHeight="false" outlineLevel="0" collapsed="false">
      <c r="A243" s="4" t="n">
        <v>45534</v>
      </c>
      <c r="B243" s="1" t="s">
        <v>88</v>
      </c>
      <c r="C243" s="1" t="s">
        <v>89</v>
      </c>
      <c r="D243" s="1" t="n">
        <v>364</v>
      </c>
      <c r="E243" s="1" t="n">
        <v>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1" t="n">
        <v>-3</v>
      </c>
      <c r="O243" s="1" t="n">
        <v>11.4964</v>
      </c>
    </row>
    <row r="244" customFormat="false" ht="15.75" hidden="false" customHeight="false" outlineLevel="0" collapsed="false">
      <c r="A244" s="4" t="n">
        <v>45534</v>
      </c>
      <c r="B244" s="1" t="s">
        <v>127</v>
      </c>
      <c r="C244" s="1" t="s">
        <v>105</v>
      </c>
      <c r="D244" s="1" t="n">
        <v>264</v>
      </c>
      <c r="E244" s="1" t="n">
        <v>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1" t="n">
        <v>-4</v>
      </c>
      <c r="O244" s="1" t="n">
        <v>6.7827</v>
      </c>
    </row>
    <row r="245" customFormat="false" ht="15.75" hidden="false" customHeight="false" outlineLevel="0" collapsed="false">
      <c r="A245" s="4" t="n">
        <v>45534</v>
      </c>
      <c r="B245" s="1" t="s">
        <v>127</v>
      </c>
      <c r="C245" s="1" t="s">
        <v>105</v>
      </c>
      <c r="D245" s="1" t="n">
        <v>269</v>
      </c>
      <c r="E245" s="1" t="n">
        <v>100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1" t="n">
        <v>-3</v>
      </c>
      <c r="O245" s="1" t="n">
        <v>8.8269</v>
      </c>
    </row>
    <row r="246" customFormat="false" ht="15.75" hidden="false" customHeight="false" outlineLevel="0" collapsed="false">
      <c r="A246" s="4" t="n">
        <v>45534</v>
      </c>
      <c r="B246" s="1" t="s">
        <v>127</v>
      </c>
      <c r="C246" s="1" t="s">
        <v>105</v>
      </c>
      <c r="D246" s="1" t="n">
        <v>264</v>
      </c>
      <c r="E246" s="1" t="n">
        <v>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1" t="n">
        <v>0</v>
      </c>
      <c r="O246" s="1" t="n">
        <v>10.4143166666667</v>
      </c>
    </row>
    <row r="247" customFormat="false" ht="15.75" hidden="false" customHeight="false" outlineLevel="0" collapsed="false">
      <c r="A247" s="4" t="n">
        <v>45534</v>
      </c>
      <c r="B247" s="1" t="s">
        <v>88</v>
      </c>
      <c r="C247" s="1" t="s">
        <v>89</v>
      </c>
      <c r="D247" s="1" t="n">
        <v>258</v>
      </c>
      <c r="E247" s="1" t="n">
        <v>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1" t="n">
        <v>-7</v>
      </c>
      <c r="O247" s="1" t="n">
        <v>7.22536666666667</v>
      </c>
    </row>
    <row r="248" customFormat="false" ht="15.75" hidden="false" customHeight="false" outlineLevel="0" collapsed="false">
      <c r="A248" s="4" t="n">
        <v>45534</v>
      </c>
      <c r="B248" s="1" t="s">
        <v>88</v>
      </c>
      <c r="C248" s="1" t="s">
        <v>89</v>
      </c>
      <c r="D248" s="1" t="n">
        <v>264</v>
      </c>
      <c r="E248" s="1" t="n">
        <v>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1" t="n">
        <v>-2</v>
      </c>
      <c r="O248" s="1" t="n">
        <v>12.6327166666667</v>
      </c>
    </row>
    <row r="249" customFormat="false" ht="15.75" hidden="false" customHeight="false" outlineLevel="0" collapsed="false">
      <c r="A249" s="4" t="n">
        <v>45534</v>
      </c>
      <c r="B249" s="1" t="s">
        <v>104</v>
      </c>
      <c r="C249" s="1" t="s">
        <v>105</v>
      </c>
      <c r="D249" s="1" t="n">
        <v>329</v>
      </c>
      <c r="E249" s="1" t="n">
        <v>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1" t="n">
        <v>-3</v>
      </c>
      <c r="O249" s="1" t="n">
        <v>11.4702166666667</v>
      </c>
    </row>
    <row r="250" customFormat="false" ht="15.75" hidden="false" customHeight="false" outlineLevel="0" collapsed="false">
      <c r="A250" s="4" t="n">
        <v>45534</v>
      </c>
      <c r="B250" s="1" t="s">
        <v>88</v>
      </c>
      <c r="C250" s="1" t="s">
        <v>89</v>
      </c>
      <c r="D250" s="1" t="n">
        <v>329</v>
      </c>
      <c r="E250" s="1" t="n">
        <v>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1" t="n">
        <v>0</v>
      </c>
      <c r="O250" s="1" t="n">
        <v>15.4198166666667</v>
      </c>
    </row>
    <row r="251" customFormat="false" ht="15.75" hidden="false" customHeight="false" outlineLevel="0" collapsed="false">
      <c r="A251" s="4" t="n">
        <v>45534</v>
      </c>
      <c r="B251" s="1" t="s">
        <v>127</v>
      </c>
      <c r="C251" s="1" t="s">
        <v>105</v>
      </c>
      <c r="D251" s="1" t="n">
        <v>264</v>
      </c>
      <c r="E251" s="1" t="n">
        <v>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1" t="n">
        <v>3</v>
      </c>
      <c r="O251" s="1" t="n">
        <v>13.1156</v>
      </c>
    </row>
    <row r="252" customFormat="false" ht="15.75" hidden="false" customHeight="false" outlineLevel="0" collapsed="false">
      <c r="A252" s="4" t="n">
        <v>45534</v>
      </c>
      <c r="B252" s="1" t="s">
        <v>95</v>
      </c>
      <c r="C252" s="1" t="s">
        <v>89</v>
      </c>
      <c r="D252" s="1" t="n">
        <v>299</v>
      </c>
      <c r="E252" s="1" t="n">
        <v>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1" t="n">
        <v>15</v>
      </c>
      <c r="N252" s="1" t="n">
        <v>23.9598166666667</v>
      </c>
      <c r="O252" s="1" t="n">
        <v>12.7513166666667</v>
      </c>
    </row>
    <row r="253" customFormat="false" ht="15.75" hidden="false" customHeight="false" outlineLevel="0" collapsed="false">
      <c r="A253" s="4" t="n">
        <v>45534</v>
      </c>
      <c r="B253" s="1" t="s">
        <v>95</v>
      </c>
      <c r="C253" s="1" t="s">
        <v>89</v>
      </c>
      <c r="D253" s="1" t="n">
        <v>944</v>
      </c>
      <c r="E253" s="1" t="n">
        <v>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1" t="n">
        <v>5</v>
      </c>
      <c r="N253" s="1" t="n">
        <v>11.8376333333333</v>
      </c>
      <c r="O253" s="1" t="n">
        <v>14.83025</v>
      </c>
    </row>
    <row r="254" customFormat="false" ht="15.75" hidden="false" customHeight="false" outlineLevel="0" collapsed="false">
      <c r="A254" s="4" t="n">
        <v>45534</v>
      </c>
      <c r="B254" s="1" t="s">
        <v>95</v>
      </c>
      <c r="C254" s="1" t="s">
        <v>89</v>
      </c>
      <c r="D254" s="1" t="n">
        <v>498</v>
      </c>
      <c r="E254" s="1" t="n">
        <v>125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1" t="n">
        <v>-7</v>
      </c>
      <c r="O254" s="1" t="n">
        <v>12.25545</v>
      </c>
    </row>
    <row r="255" customFormat="false" ht="15.75" hidden="false" customHeight="false" outlineLevel="0" collapsed="false">
      <c r="A255" s="4" t="n">
        <v>45534</v>
      </c>
      <c r="B255" s="1" t="s">
        <v>95</v>
      </c>
      <c r="C255" s="1" t="s">
        <v>89</v>
      </c>
      <c r="D255" s="1" t="n">
        <v>299</v>
      </c>
      <c r="E255" s="1" t="n">
        <v>75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1" t="n">
        <v>-5</v>
      </c>
      <c r="O255" s="1" t="n">
        <v>14.5157</v>
      </c>
    </row>
    <row r="256" customFormat="false" ht="15.75" hidden="false" customHeight="false" outlineLevel="0" collapsed="false">
      <c r="A256" s="4" t="n">
        <v>45534</v>
      </c>
      <c r="B256" s="1" t="s">
        <v>104</v>
      </c>
      <c r="C256" s="1" t="s">
        <v>105</v>
      </c>
      <c r="D256" s="1" t="n">
        <v>329</v>
      </c>
      <c r="E256" s="1" t="n">
        <v>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1" t="n">
        <v>-3</v>
      </c>
      <c r="O256" s="1" t="n">
        <v>11.6394</v>
      </c>
    </row>
    <row r="257" customFormat="false" ht="15.75" hidden="false" customHeight="false" outlineLevel="0" collapsed="false">
      <c r="A257" s="4" t="n">
        <v>45534</v>
      </c>
      <c r="B257" s="1" t="s">
        <v>95</v>
      </c>
      <c r="C257" s="1" t="s">
        <v>89</v>
      </c>
      <c r="D257" s="1" t="n">
        <v>319</v>
      </c>
      <c r="E257" s="1" t="n">
        <v>75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1" t="n">
        <v>-6</v>
      </c>
      <c r="O257" s="1" t="n">
        <v>11.8154333333333</v>
      </c>
    </row>
    <row r="258" customFormat="false" ht="15.75" hidden="false" customHeight="false" outlineLevel="0" collapsed="false">
      <c r="A258" s="4" t="n">
        <v>45534</v>
      </c>
      <c r="B258" s="1" t="s">
        <v>127</v>
      </c>
      <c r="C258" s="1" t="s">
        <v>105</v>
      </c>
      <c r="D258" s="1" t="n">
        <v>313</v>
      </c>
      <c r="E258" s="1" t="n">
        <v>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1" t="n">
        <v>-3</v>
      </c>
      <c r="O258" s="1" t="n">
        <v>8.5757</v>
      </c>
    </row>
    <row r="259" customFormat="false" ht="15.75" hidden="false" customHeight="false" outlineLevel="0" collapsed="false">
      <c r="A259" s="4" t="n">
        <v>45534</v>
      </c>
      <c r="B259" s="1" t="s">
        <v>88</v>
      </c>
      <c r="C259" s="1" t="s">
        <v>89</v>
      </c>
      <c r="D259" s="1" t="n">
        <v>264</v>
      </c>
      <c r="E259" s="1" t="n">
        <v>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1" t="n">
        <v>-3</v>
      </c>
      <c r="O259" s="1" t="n">
        <v>11.9573333333333</v>
      </c>
    </row>
    <row r="260" customFormat="false" ht="15.75" hidden="false" customHeight="false" outlineLevel="0" collapsed="false">
      <c r="A260" s="4" t="n">
        <v>45534</v>
      </c>
      <c r="B260" s="1" t="s">
        <v>169</v>
      </c>
      <c r="C260" s="1" t="s">
        <v>89</v>
      </c>
      <c r="D260" s="1" t="n">
        <v>249</v>
      </c>
      <c r="E260" s="1" t="n">
        <v>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1" t="n">
        <v>4</v>
      </c>
      <c r="O260" s="1" t="n">
        <v>9.15098333333333</v>
      </c>
    </row>
    <row r="261" customFormat="false" ht="15.75" hidden="false" customHeight="false" outlineLevel="0" collapsed="false">
      <c r="A261" s="4" t="n">
        <v>45534</v>
      </c>
      <c r="B261" s="1" t="s">
        <v>127</v>
      </c>
      <c r="C261" s="1" t="s">
        <v>105</v>
      </c>
      <c r="D261" s="1" t="n">
        <v>498</v>
      </c>
      <c r="E261" s="1" t="n">
        <v>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1" t="n">
        <v>2</v>
      </c>
      <c r="O261" s="1" t="n">
        <v>15.04605</v>
      </c>
    </row>
    <row r="262" customFormat="false" ht="15.75" hidden="false" customHeight="false" outlineLevel="0" collapsed="false">
      <c r="A262" s="4" t="n">
        <v>45534</v>
      </c>
      <c r="B262" s="1" t="s">
        <v>104</v>
      </c>
      <c r="C262" s="1" t="s">
        <v>105</v>
      </c>
      <c r="D262" s="1" t="n">
        <v>434</v>
      </c>
      <c r="E262" s="1" t="n">
        <v>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1" t="n">
        <v>-1</v>
      </c>
      <c r="O262" s="1" t="n">
        <v>14.6253166666667</v>
      </c>
    </row>
    <row r="263" customFormat="false" ht="15.75" hidden="false" customHeight="false" outlineLevel="0" collapsed="false">
      <c r="A263" s="4" t="n">
        <v>45534</v>
      </c>
      <c r="B263" s="1" t="s">
        <v>127</v>
      </c>
      <c r="C263" s="1" t="s">
        <v>89</v>
      </c>
      <c r="D263" s="1" t="n">
        <v>528</v>
      </c>
      <c r="E263" s="1" t="n">
        <v>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1" t="n">
        <v>-1</v>
      </c>
      <c r="O263" s="1" t="n">
        <v>13.0559666666667</v>
      </c>
    </row>
    <row r="264" customFormat="false" ht="15.75" hidden="false" customHeight="false" outlineLevel="0" collapsed="false">
      <c r="A264" s="4" t="n">
        <v>45534</v>
      </c>
      <c r="B264" s="1" t="s">
        <v>88</v>
      </c>
      <c r="C264" s="1" t="s">
        <v>89</v>
      </c>
      <c r="D264" s="1" t="n">
        <v>354</v>
      </c>
      <c r="E264" s="1" t="n">
        <v>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1" t="n">
        <v>-1</v>
      </c>
      <c r="O264" s="1" t="n">
        <v>13.6714166666667</v>
      </c>
    </row>
    <row r="265" customFormat="false" ht="15.75" hidden="false" customHeight="false" outlineLevel="0" collapsed="false">
      <c r="A265" s="4" t="n">
        <v>45534</v>
      </c>
      <c r="B265" s="1" t="s">
        <v>127</v>
      </c>
      <c r="C265" s="1" t="s">
        <v>89</v>
      </c>
      <c r="D265" s="1" t="n">
        <v>509</v>
      </c>
      <c r="E265" s="1" t="n">
        <v>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1" t="n">
        <v>0</v>
      </c>
      <c r="O265" s="1" t="n">
        <v>15.0119</v>
      </c>
    </row>
    <row r="266" customFormat="false" ht="15.75" hidden="false" customHeight="false" outlineLevel="0" collapsed="false">
      <c r="A266" s="4" t="n">
        <v>45534</v>
      </c>
      <c r="B266" s="1" t="s">
        <v>88</v>
      </c>
      <c r="C266" s="1" t="s">
        <v>89</v>
      </c>
      <c r="D266" s="1" t="n">
        <v>321</v>
      </c>
      <c r="E266" s="1" t="n">
        <v>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1" t="n">
        <v>-2</v>
      </c>
      <c r="O266" s="1" t="n">
        <v>12.7419333333333</v>
      </c>
    </row>
    <row r="267" customFormat="false" ht="15.75" hidden="false" customHeight="false" outlineLevel="0" collapsed="false">
      <c r="A267" s="4" t="n">
        <v>45534</v>
      </c>
      <c r="B267" s="1" t="s">
        <v>127</v>
      </c>
      <c r="C267" s="1" t="s">
        <v>89</v>
      </c>
      <c r="D267" s="1" t="n">
        <v>299</v>
      </c>
      <c r="E267" s="1" t="n">
        <v>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1" t="n">
        <v>2</v>
      </c>
      <c r="O267" s="1" t="n">
        <v>14.1484166666667</v>
      </c>
    </row>
    <row r="268" customFormat="false" ht="15.75" hidden="false" customHeight="false" outlineLevel="0" collapsed="false">
      <c r="A268" s="4" t="n">
        <v>45534</v>
      </c>
      <c r="B268" s="1" t="s">
        <v>88</v>
      </c>
      <c r="C268" s="1" t="s">
        <v>89</v>
      </c>
      <c r="D268" s="1" t="n">
        <v>376</v>
      </c>
      <c r="E268" s="1" t="n">
        <v>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1" t="n">
        <v>0</v>
      </c>
      <c r="O268" s="1" t="n">
        <v>14.1840166666667</v>
      </c>
    </row>
    <row r="269" customFormat="false" ht="15.75" hidden="false" customHeight="false" outlineLevel="0" collapsed="false">
      <c r="A269" s="4" t="n">
        <v>45534</v>
      </c>
      <c r="B269" s="1" t="s">
        <v>127</v>
      </c>
      <c r="C269" s="1" t="s">
        <v>89</v>
      </c>
      <c r="D269" s="1" t="n">
        <v>442</v>
      </c>
      <c r="E269" s="1" t="n">
        <v>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1" t="n">
        <v>-1</v>
      </c>
      <c r="O269" s="1" t="n">
        <v>11.5857333333333</v>
      </c>
    </row>
    <row r="270" customFormat="false" ht="15.75" hidden="false" customHeight="false" outlineLevel="0" collapsed="false">
      <c r="A270" s="4" t="n">
        <v>45534</v>
      </c>
      <c r="B270" s="1" t="s">
        <v>127</v>
      </c>
      <c r="C270" s="1" t="s">
        <v>89</v>
      </c>
      <c r="D270" s="1" t="n">
        <v>694</v>
      </c>
      <c r="E270" s="1" t="n">
        <v>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1" t="n">
        <v>-3</v>
      </c>
      <c r="O270" s="1" t="n">
        <v>11.76755</v>
      </c>
    </row>
    <row r="271" customFormat="false" ht="15.75" hidden="false" customHeight="false" outlineLevel="0" collapsed="false">
      <c r="A271" s="4" t="n">
        <v>45534</v>
      </c>
      <c r="B271" s="1" t="s">
        <v>95</v>
      </c>
      <c r="C271" s="1" t="s">
        <v>89</v>
      </c>
      <c r="D271" s="1" t="n">
        <v>402</v>
      </c>
      <c r="E271" s="1" t="n">
        <v>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1" t="n">
        <v>-11</v>
      </c>
      <c r="N271" s="1" t="n">
        <v>0.0114166666666667</v>
      </c>
      <c r="O271" s="1" t="n">
        <v>9.85145</v>
      </c>
    </row>
    <row r="272" customFormat="false" ht="15.75" hidden="false" customHeight="false" outlineLevel="0" collapsed="false">
      <c r="A272" s="4" t="n">
        <v>45534</v>
      </c>
      <c r="B272" s="1" t="s">
        <v>169</v>
      </c>
      <c r="C272" s="1" t="s">
        <v>89</v>
      </c>
      <c r="D272" s="1" t="n">
        <v>124.5</v>
      </c>
      <c r="E272" s="1" t="n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1" t="n">
        <v>2</v>
      </c>
      <c r="O272" s="1" t="n">
        <v>7.474</v>
      </c>
    </row>
    <row r="273" customFormat="false" ht="15.75" hidden="false" customHeight="false" outlineLevel="0" collapsed="false">
      <c r="A273" s="4" t="n">
        <v>45534</v>
      </c>
      <c r="B273" s="1" t="s">
        <v>169</v>
      </c>
      <c r="C273" s="1" t="s">
        <v>89</v>
      </c>
      <c r="D273" s="1" t="n">
        <v>269</v>
      </c>
      <c r="E273" s="1" t="n">
        <v>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1" t="n">
        <v>6</v>
      </c>
      <c r="O273" s="1" t="n">
        <v>11.0409833333333</v>
      </c>
    </row>
    <row r="274" customFormat="false" ht="15.75" hidden="false" customHeight="false" outlineLevel="0" collapsed="false">
      <c r="A274" s="4" t="n">
        <v>45534</v>
      </c>
      <c r="B274" s="1" t="s">
        <v>95</v>
      </c>
      <c r="C274" s="1" t="s">
        <v>89</v>
      </c>
      <c r="D274" s="1" t="n">
        <v>219</v>
      </c>
      <c r="E274" s="1" t="n">
        <v>50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1" t="n">
        <v>-9</v>
      </c>
      <c r="O274" s="1" t="n">
        <v>10.0142833333333</v>
      </c>
    </row>
    <row r="275" customFormat="false" ht="15.75" hidden="false" customHeight="false" outlineLevel="0" collapsed="false">
      <c r="A275" s="4" t="n">
        <v>45534</v>
      </c>
      <c r="B275" s="1" t="s">
        <v>127</v>
      </c>
      <c r="C275" s="1" t="s">
        <v>105</v>
      </c>
      <c r="D275" s="1" t="n">
        <v>264</v>
      </c>
      <c r="E275" s="1" t="n">
        <v>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1" t="n">
        <v>0</v>
      </c>
      <c r="O275" s="1" t="n">
        <v>10.8632833333333</v>
      </c>
    </row>
    <row r="276" customFormat="false" ht="15.75" hidden="false" customHeight="false" outlineLevel="0" collapsed="false">
      <c r="A276" s="4" t="n">
        <v>45534</v>
      </c>
      <c r="B276" s="1" t="s">
        <v>95</v>
      </c>
      <c r="C276" s="1" t="s">
        <v>89</v>
      </c>
      <c r="D276" s="1" t="n">
        <v>280</v>
      </c>
      <c r="E276" s="1" t="n">
        <v>19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1" t="n">
        <v>-11</v>
      </c>
      <c r="N276" s="1" t="n">
        <v>0.00965</v>
      </c>
      <c r="O276" s="1" t="n">
        <v>10.37225</v>
      </c>
    </row>
    <row r="277" customFormat="false" ht="15.75" hidden="false" customHeight="false" outlineLevel="0" collapsed="false">
      <c r="A277" s="4" t="n">
        <v>45534</v>
      </c>
      <c r="B277" s="1" t="s">
        <v>127</v>
      </c>
      <c r="C277" s="1" t="s">
        <v>105</v>
      </c>
      <c r="D277" s="1" t="n">
        <v>329</v>
      </c>
      <c r="E277" s="1" t="n">
        <v>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1" t="n">
        <v>4</v>
      </c>
      <c r="O277" s="1" t="n">
        <v>16.5062333333333</v>
      </c>
    </row>
    <row r="278" customFormat="false" ht="15.75" hidden="false" customHeight="false" outlineLevel="0" collapsed="false">
      <c r="A278" s="4" t="n">
        <v>45534</v>
      </c>
      <c r="B278" s="1" t="s">
        <v>88</v>
      </c>
      <c r="C278" s="1" t="s">
        <v>89</v>
      </c>
      <c r="D278" s="1" t="n">
        <v>357</v>
      </c>
      <c r="E278" s="1" t="n">
        <v>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1" t="n">
        <v>-1</v>
      </c>
      <c r="O278" s="1" t="n">
        <v>13.66355</v>
      </c>
    </row>
    <row r="279" customFormat="false" ht="15.75" hidden="false" customHeight="false" outlineLevel="0" collapsed="false">
      <c r="A279" s="4" t="n">
        <v>45534</v>
      </c>
      <c r="B279" s="1" t="s">
        <v>127</v>
      </c>
      <c r="C279" s="1" t="s">
        <v>105</v>
      </c>
      <c r="D279" s="1" t="n">
        <v>395</v>
      </c>
      <c r="E279" s="1" t="n">
        <v>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1" t="n">
        <v>0</v>
      </c>
      <c r="O279" s="1" t="n">
        <v>12.38225</v>
      </c>
    </row>
    <row r="280" customFormat="false" ht="15.75" hidden="false" customHeight="false" outlineLevel="0" collapsed="false">
      <c r="A280" s="4" t="n">
        <v>45534</v>
      </c>
      <c r="B280" s="1" t="s">
        <v>88</v>
      </c>
      <c r="C280" s="1" t="s">
        <v>89</v>
      </c>
      <c r="D280" s="1" t="n">
        <v>433</v>
      </c>
      <c r="E280" s="1" t="n">
        <v>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1" t="n">
        <v>-3</v>
      </c>
      <c r="O280" s="1" t="n">
        <v>11.8477333333333</v>
      </c>
    </row>
    <row r="281" customFormat="false" ht="15.75" hidden="false" customHeight="false" outlineLevel="0" collapsed="false">
      <c r="A281" s="4" t="n">
        <v>45534</v>
      </c>
      <c r="B281" s="1" t="s">
        <v>169</v>
      </c>
      <c r="C281" s="1" t="s">
        <v>89</v>
      </c>
      <c r="D281" s="1" t="n">
        <v>329</v>
      </c>
      <c r="E281" s="1" t="n">
        <v>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1" t="n">
        <v>5</v>
      </c>
      <c r="O281" s="1" t="n">
        <v>10.2427</v>
      </c>
    </row>
    <row r="282" customFormat="false" ht="15.75" hidden="false" customHeight="false" outlineLevel="0" collapsed="false">
      <c r="A282" s="4" t="n">
        <v>45534</v>
      </c>
      <c r="B282" s="1" t="s">
        <v>104</v>
      </c>
      <c r="C282" s="1" t="s">
        <v>105</v>
      </c>
      <c r="D282" s="1" t="n">
        <v>551</v>
      </c>
      <c r="E282" s="1" t="n">
        <v>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1" t="n">
        <v>-4</v>
      </c>
      <c r="O282" s="1" t="n">
        <v>13.9294</v>
      </c>
    </row>
    <row r="283" customFormat="false" ht="15.75" hidden="false" customHeight="false" outlineLevel="0" collapsed="false">
      <c r="A283" s="4" t="n">
        <v>45534</v>
      </c>
      <c r="B283" s="1" t="s">
        <v>169</v>
      </c>
      <c r="C283" s="1" t="s">
        <v>89</v>
      </c>
      <c r="D283" s="1" t="n">
        <v>49</v>
      </c>
      <c r="E283" s="1" t="n">
        <v>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1" t="n">
        <v>0</v>
      </c>
      <c r="O283" s="1" t="n">
        <v>5.56376666666667</v>
      </c>
    </row>
    <row r="284" customFormat="false" ht="15.75" hidden="false" customHeight="false" outlineLevel="0" collapsed="false">
      <c r="A284" s="4" t="n">
        <v>45534</v>
      </c>
      <c r="B284" s="1" t="s">
        <v>104</v>
      </c>
      <c r="C284" s="1" t="s">
        <v>105</v>
      </c>
      <c r="D284" s="1" t="n">
        <v>987</v>
      </c>
      <c r="E284" s="1" t="n">
        <v>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1" t="n">
        <v>-4</v>
      </c>
      <c r="O284" s="1" t="n">
        <v>15.3456166666667</v>
      </c>
    </row>
    <row r="285" customFormat="false" ht="15.75" hidden="false" customHeight="false" outlineLevel="0" collapsed="false">
      <c r="A285" s="4" t="n">
        <v>45534</v>
      </c>
      <c r="B285" s="1" t="s">
        <v>88</v>
      </c>
      <c r="C285" s="1" t="s">
        <v>89</v>
      </c>
      <c r="D285" s="1" t="n">
        <v>627</v>
      </c>
      <c r="E285" s="1" t="n">
        <v>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1" t="n">
        <v>-2</v>
      </c>
      <c r="O285" s="1" t="n">
        <v>12.14575</v>
      </c>
    </row>
    <row r="286" customFormat="false" ht="15.75" hidden="false" customHeight="false" outlineLevel="0" collapsed="false">
      <c r="A286" s="4" t="n">
        <v>45534</v>
      </c>
      <c r="B286" s="1" t="s">
        <v>127</v>
      </c>
      <c r="C286" s="1" t="s">
        <v>105</v>
      </c>
      <c r="D286" s="1" t="n">
        <v>299</v>
      </c>
      <c r="E286" s="1" t="n">
        <v>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1" t="n">
        <v>3</v>
      </c>
      <c r="O286" s="1" t="n">
        <v>14.1361333333333</v>
      </c>
    </row>
    <row r="287" customFormat="false" ht="15.75" hidden="false" customHeight="false" outlineLevel="0" collapsed="false">
      <c r="A287" s="4" t="n">
        <v>45534</v>
      </c>
      <c r="B287" s="1" t="s">
        <v>95</v>
      </c>
      <c r="C287" s="1" t="s">
        <v>89</v>
      </c>
      <c r="D287" s="1" t="n">
        <v>219</v>
      </c>
      <c r="E287" s="1" t="n">
        <v>55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1" t="n">
        <v>-9</v>
      </c>
      <c r="O287" s="1" t="n">
        <v>9.7732</v>
      </c>
    </row>
    <row r="288" customFormat="false" ht="15.75" hidden="false" customHeight="false" outlineLevel="0" collapsed="false">
      <c r="A288" s="4" t="n">
        <v>45534</v>
      </c>
      <c r="B288" s="1" t="s">
        <v>127</v>
      </c>
      <c r="C288" s="1" t="s">
        <v>105</v>
      </c>
      <c r="D288" s="1" t="n">
        <v>672</v>
      </c>
      <c r="E288" s="1" t="n">
        <v>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1" t="n">
        <v>0</v>
      </c>
      <c r="O288" s="1" t="n">
        <v>15.7561</v>
      </c>
    </row>
    <row r="289" customFormat="false" ht="15.75" hidden="false" customHeight="false" outlineLevel="0" collapsed="false">
      <c r="A289" s="4" t="n">
        <v>45534</v>
      </c>
      <c r="B289" s="1" t="s">
        <v>104</v>
      </c>
      <c r="C289" s="1" t="s">
        <v>105</v>
      </c>
      <c r="D289" s="1" t="n">
        <v>329</v>
      </c>
      <c r="E289" s="1" t="n">
        <v>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1" t="n">
        <v>-3</v>
      </c>
      <c r="O289" s="1" t="n">
        <v>11.9980333333333</v>
      </c>
    </row>
    <row r="290" customFormat="false" ht="15.75" hidden="false" customHeight="false" outlineLevel="0" collapsed="false">
      <c r="A290" s="4" t="n">
        <v>45534</v>
      </c>
      <c r="B290" s="1" t="s">
        <v>95</v>
      </c>
      <c r="C290" s="1" t="s">
        <v>89</v>
      </c>
      <c r="D290" s="1" t="n">
        <v>444</v>
      </c>
      <c r="E290" s="1" t="n">
        <v>111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1" t="n">
        <v>-3</v>
      </c>
      <c r="O290" s="1" t="n">
        <v>15.74925</v>
      </c>
    </row>
    <row r="291" customFormat="false" ht="15.75" hidden="false" customHeight="false" outlineLevel="0" collapsed="false">
      <c r="A291" s="4" t="n">
        <v>45534</v>
      </c>
      <c r="B291" s="1" t="s">
        <v>127</v>
      </c>
      <c r="C291" s="1" t="s">
        <v>105</v>
      </c>
      <c r="D291" s="1" t="n">
        <v>513</v>
      </c>
      <c r="E291" s="1" t="n">
        <v>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1" t="n">
        <v>-2</v>
      </c>
      <c r="O291" s="1" t="n">
        <v>10.2524833333333</v>
      </c>
    </row>
    <row r="292" customFormat="false" ht="15.75" hidden="false" customHeight="false" outlineLevel="0" collapsed="false">
      <c r="A292" s="4" t="n">
        <v>45534</v>
      </c>
      <c r="B292" s="1" t="s">
        <v>127</v>
      </c>
      <c r="C292" s="1" t="s">
        <v>105</v>
      </c>
      <c r="D292" s="1" t="n">
        <v>364</v>
      </c>
      <c r="E292" s="1" t="n">
        <v>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1" t="n">
        <v>-3</v>
      </c>
      <c r="O292" s="1" t="n">
        <v>7.51945</v>
      </c>
    </row>
    <row r="293" customFormat="false" ht="15.75" hidden="false" customHeight="false" outlineLevel="0" collapsed="false">
      <c r="A293" s="4" t="n">
        <v>45534</v>
      </c>
      <c r="B293" s="1" t="s">
        <v>169</v>
      </c>
      <c r="C293" s="1" t="s">
        <v>89</v>
      </c>
      <c r="D293" s="1" t="n">
        <v>39</v>
      </c>
      <c r="E293" s="1" t="n">
        <v>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1" t="n">
        <v>4</v>
      </c>
      <c r="O293" s="1" t="n">
        <v>9.27696666666667</v>
      </c>
    </row>
    <row r="294" customFormat="false" ht="15.75" hidden="false" customHeight="false" outlineLevel="0" collapsed="false">
      <c r="A294" s="4" t="n">
        <v>45534</v>
      </c>
      <c r="B294" s="1" t="s">
        <v>95</v>
      </c>
      <c r="C294" s="1" t="s">
        <v>89</v>
      </c>
      <c r="D294" s="1" t="n">
        <v>368</v>
      </c>
      <c r="E294" s="1" t="n">
        <v>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1" t="n">
        <v>-3</v>
      </c>
      <c r="N294" s="1" t="n">
        <v>0.00896666666666667</v>
      </c>
      <c r="O294" s="1" t="n">
        <v>16.2478833333333</v>
      </c>
    </row>
    <row r="295" customFormat="false" ht="15.75" hidden="false" customHeight="false" outlineLevel="0" collapsed="false">
      <c r="A295" s="4" t="n">
        <v>45534</v>
      </c>
      <c r="B295" s="1" t="s">
        <v>95</v>
      </c>
      <c r="C295" s="1" t="s">
        <v>89</v>
      </c>
      <c r="D295" s="1" t="n">
        <v>267</v>
      </c>
      <c r="E295" s="1" t="n">
        <v>62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1" t="n">
        <v>2</v>
      </c>
      <c r="O295" s="1" t="n">
        <v>21.7798166666667</v>
      </c>
    </row>
    <row r="296" customFormat="false" ht="15.75" hidden="false" customHeight="false" outlineLevel="0" collapsed="false">
      <c r="A296" s="4" t="n">
        <v>45534</v>
      </c>
      <c r="B296" s="1" t="s">
        <v>95</v>
      </c>
      <c r="C296" s="1" t="s">
        <v>89</v>
      </c>
      <c r="D296" s="1" t="n">
        <v>398</v>
      </c>
      <c r="E296" s="1" t="n">
        <v>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1" t="n">
        <v>0</v>
      </c>
      <c r="N296" s="1" t="n">
        <v>0.0093</v>
      </c>
      <c r="O296" s="1" t="n">
        <v>20.6001333333333</v>
      </c>
    </row>
    <row r="297" customFormat="false" ht="15.75" hidden="false" customHeight="false" outlineLevel="0" collapsed="false">
      <c r="A297" s="4" t="n">
        <v>45534</v>
      </c>
      <c r="B297" s="1" t="s">
        <v>95</v>
      </c>
      <c r="C297" s="1" t="s">
        <v>89</v>
      </c>
      <c r="D297" s="1" t="n">
        <v>1132</v>
      </c>
      <c r="E297" s="1" t="n">
        <v>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1" t="n">
        <v>11</v>
      </c>
      <c r="N297" s="1" t="n">
        <v>0.0111333333333333</v>
      </c>
      <c r="O297" s="1" t="n">
        <v>18.5188833333333</v>
      </c>
    </row>
    <row r="298" customFormat="false" ht="15.75" hidden="false" customHeight="false" outlineLevel="0" collapsed="false">
      <c r="A298" s="4" t="n">
        <v>45534</v>
      </c>
      <c r="B298" s="1" t="s">
        <v>127</v>
      </c>
      <c r="C298" s="1" t="s">
        <v>105</v>
      </c>
      <c r="D298" s="1" t="n">
        <v>474</v>
      </c>
      <c r="E298" s="1" t="n">
        <v>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1" t="n">
        <v>2</v>
      </c>
      <c r="O298" s="1" t="n">
        <v>16.6031</v>
      </c>
    </row>
    <row r="299" customFormat="false" ht="15.75" hidden="false" customHeight="false" outlineLevel="0" collapsed="false">
      <c r="A299" s="4" t="n">
        <v>45534</v>
      </c>
      <c r="B299" s="1" t="s">
        <v>95</v>
      </c>
      <c r="C299" s="1" t="s">
        <v>89</v>
      </c>
      <c r="D299" s="1" t="n">
        <v>329</v>
      </c>
      <c r="E299" s="1" t="n">
        <v>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1" t="n">
        <v>-9</v>
      </c>
      <c r="N299" s="1" t="n">
        <v>0.00871666666666667</v>
      </c>
      <c r="O299" s="1" t="n">
        <v>12.8544666666667</v>
      </c>
    </row>
    <row r="300" customFormat="false" ht="15.75" hidden="false" customHeight="false" outlineLevel="0" collapsed="false">
      <c r="A300" s="4" t="n">
        <v>45534</v>
      </c>
      <c r="B300" s="1" t="s">
        <v>95</v>
      </c>
      <c r="C300" s="1" t="s">
        <v>89</v>
      </c>
      <c r="D300" s="1" t="n">
        <v>473</v>
      </c>
      <c r="E300" s="1" t="n">
        <v>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1" t="n">
        <v>-2</v>
      </c>
      <c r="N300" s="1" t="n">
        <v>0.0105166666666667</v>
      </c>
      <c r="O300" s="1" t="n">
        <v>16.3467333333333</v>
      </c>
    </row>
    <row r="301" customFormat="false" ht="15.75" hidden="false" customHeight="false" outlineLevel="0" collapsed="false">
      <c r="A301" s="4" t="n">
        <v>45534</v>
      </c>
      <c r="B301" s="1" t="s">
        <v>127</v>
      </c>
      <c r="C301" s="1" t="s">
        <v>105</v>
      </c>
      <c r="D301" s="1" t="n">
        <v>394</v>
      </c>
      <c r="E301" s="1" t="n">
        <v>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1" t="n">
        <v>17</v>
      </c>
      <c r="O301" s="1" t="n">
        <v>30.9050333333333</v>
      </c>
    </row>
    <row r="302" customFormat="false" ht="15.75" hidden="false" customHeight="false" outlineLevel="0" collapsed="false">
      <c r="A302" s="4" t="n">
        <v>45534</v>
      </c>
      <c r="B302" s="1" t="s">
        <v>127</v>
      </c>
      <c r="C302" s="1" t="s">
        <v>105</v>
      </c>
      <c r="D302" s="1" t="n">
        <v>398</v>
      </c>
      <c r="E302" s="1" t="n">
        <v>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1" t="n">
        <v>10</v>
      </c>
      <c r="O302" s="1" t="n">
        <v>23.3148</v>
      </c>
    </row>
    <row r="303" customFormat="false" ht="15.75" hidden="false" customHeight="false" outlineLevel="0" collapsed="false">
      <c r="A303" s="4" t="n">
        <v>45534</v>
      </c>
      <c r="B303" s="1" t="s">
        <v>127</v>
      </c>
      <c r="C303" s="1" t="s">
        <v>105</v>
      </c>
      <c r="D303" s="1" t="n">
        <v>765</v>
      </c>
      <c r="E303" s="1" t="n">
        <v>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1" t="n">
        <v>3</v>
      </c>
      <c r="O303" s="1" t="n">
        <v>18.25955</v>
      </c>
    </row>
    <row r="304" customFormat="false" ht="15.75" hidden="false" customHeight="false" outlineLevel="0" collapsed="false">
      <c r="A304" s="4" t="n">
        <v>45534</v>
      </c>
      <c r="B304" s="1" t="s">
        <v>88</v>
      </c>
      <c r="C304" s="1" t="s">
        <v>89</v>
      </c>
      <c r="D304" s="1" t="n">
        <v>996</v>
      </c>
      <c r="E304" s="1" t="n">
        <v>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1" t="n">
        <v>-1</v>
      </c>
      <c r="O304" s="1" t="n">
        <v>13.9517833333333</v>
      </c>
    </row>
    <row r="305" customFormat="false" ht="15.75" hidden="false" customHeight="false" outlineLevel="0" collapsed="false">
      <c r="A305" s="4" t="n">
        <v>45534</v>
      </c>
      <c r="B305" s="1" t="s">
        <v>88</v>
      </c>
      <c r="C305" s="1" t="s">
        <v>89</v>
      </c>
      <c r="D305" s="1" t="n">
        <v>264</v>
      </c>
      <c r="E305" s="1" t="n">
        <v>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1" t="n">
        <v>-2</v>
      </c>
      <c r="O305" s="1" t="n">
        <v>12.0688</v>
      </c>
    </row>
    <row r="306" customFormat="false" ht="15.75" hidden="false" customHeight="false" outlineLevel="0" collapsed="false">
      <c r="A306" s="4" t="n">
        <v>45534</v>
      </c>
      <c r="B306" s="1" t="s">
        <v>95</v>
      </c>
      <c r="C306" s="1" t="s">
        <v>89</v>
      </c>
      <c r="D306" s="1" t="n">
        <v>199</v>
      </c>
      <c r="E306" s="1" t="n">
        <v>50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1" t="n">
        <v>-10</v>
      </c>
      <c r="O306" s="1" t="n">
        <v>8.53991666666667</v>
      </c>
    </row>
    <row r="307" customFormat="false" ht="15.75" hidden="false" customHeight="false" outlineLevel="0" collapsed="false">
      <c r="A307" s="4" t="n">
        <v>45534</v>
      </c>
      <c r="B307" s="1" t="s">
        <v>127</v>
      </c>
      <c r="C307" s="1" t="s">
        <v>105</v>
      </c>
      <c r="D307" s="1" t="n">
        <v>593</v>
      </c>
      <c r="E307" s="1" t="n">
        <v>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1" t="n">
        <v>-1</v>
      </c>
      <c r="O307" s="1" t="n">
        <v>12.9245333333333</v>
      </c>
    </row>
    <row r="308" customFormat="false" ht="15.75" hidden="false" customHeight="false" outlineLevel="0" collapsed="false">
      <c r="A308" s="4" t="n">
        <v>45534</v>
      </c>
      <c r="B308" s="1" t="s">
        <v>95</v>
      </c>
      <c r="C308" s="1" t="s">
        <v>89</v>
      </c>
      <c r="D308" s="1" t="n">
        <v>304</v>
      </c>
      <c r="E308" s="1" t="n">
        <v>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1" t="n">
        <v>-12</v>
      </c>
      <c r="N308" s="1" t="n">
        <v>0.00853333333333333</v>
      </c>
      <c r="O308" s="1" t="n">
        <v>8.17988333333333</v>
      </c>
    </row>
    <row r="309" customFormat="false" ht="15.75" hidden="false" customHeight="false" outlineLevel="0" collapsed="false">
      <c r="A309" s="4" t="n">
        <v>45534</v>
      </c>
      <c r="B309" s="1" t="s">
        <v>127</v>
      </c>
      <c r="C309" s="1" t="s">
        <v>105</v>
      </c>
      <c r="D309" s="1" t="n">
        <v>469</v>
      </c>
      <c r="E309" s="1" t="n">
        <v>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1" t="n">
        <v>-3</v>
      </c>
      <c r="O309" s="1" t="n">
        <v>10.4595333333333</v>
      </c>
    </row>
    <row r="310" customFormat="false" ht="15.75" hidden="false" customHeight="false" outlineLevel="0" collapsed="false">
      <c r="A310" s="4" t="n">
        <v>45534</v>
      </c>
      <c r="B310" s="1" t="s">
        <v>127</v>
      </c>
      <c r="C310" s="1" t="s">
        <v>105</v>
      </c>
      <c r="D310" s="1" t="n">
        <v>443</v>
      </c>
      <c r="E310" s="1" t="n">
        <v>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1" t="n">
        <v>-1</v>
      </c>
      <c r="O310" s="1" t="n">
        <v>11.5844166666667</v>
      </c>
    </row>
    <row r="311" customFormat="false" ht="15.75" hidden="false" customHeight="false" outlineLevel="0" collapsed="false">
      <c r="A311" s="4" t="n">
        <v>45534</v>
      </c>
      <c r="B311" s="1" t="s">
        <v>104</v>
      </c>
      <c r="C311" s="1" t="s">
        <v>105</v>
      </c>
      <c r="D311" s="1" t="n">
        <v>329</v>
      </c>
      <c r="E311" s="1" t="n">
        <v>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1" t="n">
        <v>-1</v>
      </c>
      <c r="O311" s="1" t="n">
        <v>13.9786166666667</v>
      </c>
    </row>
    <row r="312" customFormat="false" ht="15.75" hidden="false" customHeight="false" outlineLevel="0" collapsed="false">
      <c r="A312" s="4" t="n">
        <v>45534</v>
      </c>
      <c r="B312" s="1" t="s">
        <v>88</v>
      </c>
      <c r="C312" s="1" t="s">
        <v>89</v>
      </c>
      <c r="D312" s="1" t="n">
        <v>346</v>
      </c>
      <c r="E312" s="1" t="n">
        <v>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1" t="n">
        <v>-3</v>
      </c>
      <c r="O312" s="1" t="n">
        <v>11.5737333333333</v>
      </c>
    </row>
    <row r="313" customFormat="false" ht="15.75" hidden="false" customHeight="false" outlineLevel="0" collapsed="false">
      <c r="A313" s="4" t="n">
        <v>45534</v>
      </c>
      <c r="B313" s="1" t="s">
        <v>127</v>
      </c>
      <c r="C313" s="1" t="s">
        <v>105</v>
      </c>
      <c r="D313" s="1" t="n">
        <v>593</v>
      </c>
      <c r="E313" s="1" t="n">
        <v>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1" t="n">
        <v>0</v>
      </c>
      <c r="O313" s="1" t="n">
        <v>13.4378333333333</v>
      </c>
    </row>
    <row r="314" customFormat="false" ht="15.75" hidden="false" customHeight="false" outlineLevel="0" collapsed="false">
      <c r="A314" s="4" t="n">
        <v>45534</v>
      </c>
      <c r="B314" s="1" t="s">
        <v>95</v>
      </c>
      <c r="C314" s="1" t="s">
        <v>89</v>
      </c>
      <c r="D314" s="1" t="n">
        <v>286</v>
      </c>
      <c r="E314" s="1" t="n">
        <v>62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1" t="n">
        <v>-21</v>
      </c>
      <c r="O314" s="1" t="n">
        <v>34.8369833333333</v>
      </c>
    </row>
    <row r="315" customFormat="false" ht="15.75" hidden="false" customHeight="false" outlineLevel="0" collapsed="false">
      <c r="A315" s="4" t="n">
        <v>45534</v>
      </c>
      <c r="B315" s="1" t="s">
        <v>88</v>
      </c>
      <c r="C315" s="1" t="s">
        <v>89</v>
      </c>
      <c r="D315" s="1" t="n">
        <v>329</v>
      </c>
      <c r="E315" s="1" t="n">
        <v>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1" t="n">
        <v>-3</v>
      </c>
      <c r="O315" s="1" t="n">
        <v>11.80875</v>
      </c>
    </row>
    <row r="316" customFormat="false" ht="15.75" hidden="false" customHeight="false" outlineLevel="0" collapsed="false">
      <c r="A316" s="4" t="n">
        <v>45534</v>
      </c>
      <c r="B316" s="1" t="s">
        <v>88</v>
      </c>
      <c r="C316" s="1" t="s">
        <v>89</v>
      </c>
      <c r="D316" s="1" t="n">
        <v>264</v>
      </c>
      <c r="E316" s="1" t="n">
        <v>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1" t="n">
        <v>0</v>
      </c>
      <c r="O316" s="1" t="n">
        <v>14.013</v>
      </c>
    </row>
    <row r="317" customFormat="false" ht="15.75" hidden="false" customHeight="false" outlineLevel="0" collapsed="false">
      <c r="A317" s="4" t="n">
        <v>45534</v>
      </c>
      <c r="B317" s="1" t="s">
        <v>88</v>
      </c>
      <c r="C317" s="1" t="s">
        <v>89</v>
      </c>
      <c r="D317" s="1" t="n">
        <v>289</v>
      </c>
      <c r="E317" s="1" t="n">
        <v>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1" t="n">
        <v>-1</v>
      </c>
      <c r="O317" s="1" t="n">
        <v>13.5385</v>
      </c>
    </row>
    <row r="318" customFormat="false" ht="15.75" hidden="false" customHeight="false" outlineLevel="0" collapsed="false">
      <c r="A318" s="4" t="n">
        <v>45534</v>
      </c>
      <c r="B318" s="1" t="s">
        <v>104</v>
      </c>
      <c r="C318" s="1" t="s">
        <v>105</v>
      </c>
      <c r="D318" s="1" t="n">
        <v>289</v>
      </c>
      <c r="E318" s="1" t="n">
        <v>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1" t="n">
        <v>0</v>
      </c>
      <c r="O318" s="1" t="n">
        <v>15.1745</v>
      </c>
    </row>
    <row r="319" customFormat="false" ht="15.75" hidden="false" customHeight="false" outlineLevel="0" collapsed="false">
      <c r="A319" s="4" t="n">
        <v>45534</v>
      </c>
      <c r="B319" s="1" t="s">
        <v>88</v>
      </c>
      <c r="C319" s="1" t="s">
        <v>89</v>
      </c>
      <c r="D319" s="1" t="n">
        <v>723</v>
      </c>
      <c r="E319" s="1" t="n">
        <v>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1" t="n">
        <v>2</v>
      </c>
      <c r="O319" s="1" t="n">
        <v>17.6723333333333</v>
      </c>
    </row>
    <row r="320" customFormat="false" ht="15.75" hidden="false" customHeight="false" outlineLevel="0" collapsed="false">
      <c r="A320" s="4" t="n">
        <v>45534</v>
      </c>
      <c r="B320" s="1" t="s">
        <v>127</v>
      </c>
      <c r="C320" s="1" t="s">
        <v>105</v>
      </c>
      <c r="D320" s="1" t="n">
        <v>585</v>
      </c>
      <c r="E320" s="1" t="n">
        <v>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1" t="n">
        <v>0</v>
      </c>
      <c r="O320" s="1" t="n">
        <v>13.1152833333333</v>
      </c>
    </row>
    <row r="321" customFormat="false" ht="15.75" hidden="false" customHeight="false" outlineLevel="0" collapsed="false">
      <c r="A321" s="4" t="n">
        <v>45534</v>
      </c>
      <c r="B321" s="1" t="s">
        <v>169</v>
      </c>
      <c r="C321" s="1" t="s">
        <v>89</v>
      </c>
      <c r="D321" s="1" t="n">
        <v>555</v>
      </c>
      <c r="E321" s="1" t="n">
        <v>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1" t="n">
        <v>16</v>
      </c>
      <c r="O321" s="1" t="n">
        <v>21.73445</v>
      </c>
    </row>
    <row r="322" customFormat="false" ht="15.75" hidden="false" customHeight="false" outlineLevel="0" collapsed="false">
      <c r="A322" s="4" t="n">
        <v>45534</v>
      </c>
      <c r="B322" s="1" t="s">
        <v>169</v>
      </c>
      <c r="C322" s="1" t="s">
        <v>89</v>
      </c>
      <c r="D322" s="1" t="n">
        <v>344</v>
      </c>
      <c r="E322" s="1" t="n">
        <v>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1" t="n">
        <v>14</v>
      </c>
      <c r="O322" s="1" t="n">
        <v>19.3011333333333</v>
      </c>
    </row>
    <row r="323" customFormat="false" ht="15.75" hidden="false" customHeight="false" outlineLevel="0" collapsed="false">
      <c r="A323" s="4" t="n">
        <v>45534</v>
      </c>
      <c r="B323" s="1" t="s">
        <v>95</v>
      </c>
      <c r="C323" s="1" t="s">
        <v>89</v>
      </c>
      <c r="D323" s="1" t="n">
        <v>603</v>
      </c>
      <c r="E323" s="1" t="n">
        <v>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1" t="n">
        <v>-7</v>
      </c>
      <c r="N323" s="1" t="n">
        <v>0.0228833333333333</v>
      </c>
      <c r="O323" s="1" t="n">
        <v>12.89785</v>
      </c>
    </row>
    <row r="324" customFormat="false" ht="15.75" hidden="false" customHeight="false" outlineLevel="0" collapsed="false">
      <c r="A324" s="4" t="n">
        <v>45534</v>
      </c>
      <c r="B324" s="1" t="s">
        <v>95</v>
      </c>
      <c r="C324" s="1" t="s">
        <v>89</v>
      </c>
      <c r="D324" s="1" t="n">
        <v>705</v>
      </c>
      <c r="E324" s="1" t="n">
        <v>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1" t="n">
        <v>-5</v>
      </c>
      <c r="N324" s="1" t="n">
        <v>0.0151166666666667</v>
      </c>
      <c r="O324" s="1" t="n">
        <v>18.3313333333333</v>
      </c>
    </row>
    <row r="325" customFormat="false" ht="15.75" hidden="false" customHeight="false" outlineLevel="0" collapsed="false">
      <c r="A325" s="4" t="n">
        <v>45534</v>
      </c>
      <c r="B325" s="1" t="s">
        <v>127</v>
      </c>
      <c r="C325" s="1" t="s">
        <v>105</v>
      </c>
      <c r="D325" s="1" t="n">
        <v>460</v>
      </c>
      <c r="E325" s="1" t="n">
        <v>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1" t="n">
        <v>0</v>
      </c>
      <c r="O325" s="1" t="n">
        <v>13.2168833333333</v>
      </c>
    </row>
    <row r="326" customFormat="false" ht="15.75" hidden="false" customHeight="false" outlineLevel="0" collapsed="false">
      <c r="A326" s="4" t="n">
        <v>45534</v>
      </c>
      <c r="B326" s="1" t="s">
        <v>95</v>
      </c>
      <c r="C326" s="1" t="s">
        <v>89</v>
      </c>
      <c r="D326" s="1" t="n">
        <v>375</v>
      </c>
      <c r="E326" s="1" t="n">
        <v>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1" t="n">
        <v>-17</v>
      </c>
      <c r="N326" s="1" t="n">
        <v>0.0141833333333333</v>
      </c>
    </row>
    <row r="327" customFormat="false" ht="15.75" hidden="false" customHeight="false" outlineLevel="0" collapsed="false">
      <c r="A327" s="4" t="n">
        <v>45534</v>
      </c>
      <c r="B327" s="1" t="s">
        <v>95</v>
      </c>
      <c r="C327" s="1" t="s">
        <v>89</v>
      </c>
      <c r="D327" s="1" t="n">
        <v>495</v>
      </c>
      <c r="E327" s="1" t="n">
        <v>102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1" t="n">
        <v>-6</v>
      </c>
      <c r="O327" s="1" t="n">
        <v>11.7452333333333</v>
      </c>
    </row>
    <row r="328" customFormat="false" ht="15.75" hidden="false" customHeight="false" outlineLevel="0" collapsed="false">
      <c r="A328" s="4" t="n">
        <v>45534</v>
      </c>
      <c r="B328" s="1" t="s">
        <v>95</v>
      </c>
      <c r="C328" s="1" t="s">
        <v>89</v>
      </c>
      <c r="D328" s="1" t="n">
        <v>458</v>
      </c>
      <c r="E328" s="1" t="n">
        <v>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1" t="n">
        <v>-5</v>
      </c>
      <c r="N328" s="1" t="n">
        <v>0.00925</v>
      </c>
      <c r="O328" s="1" t="n">
        <v>10.79145</v>
      </c>
    </row>
    <row r="329" customFormat="false" ht="15.75" hidden="false" customHeight="false" outlineLevel="0" collapsed="false">
      <c r="A329" s="4" t="n">
        <v>45534</v>
      </c>
      <c r="B329" s="1" t="s">
        <v>95</v>
      </c>
      <c r="C329" s="1" t="s">
        <v>89</v>
      </c>
      <c r="D329" s="1" t="n">
        <v>585</v>
      </c>
      <c r="E329" s="1" t="n">
        <v>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1" t="n">
        <v>-5</v>
      </c>
      <c r="N329" s="1" t="n">
        <v>0.00941666666666667</v>
      </c>
      <c r="O329" s="1" t="n">
        <v>12.3231666666667</v>
      </c>
    </row>
    <row r="330" customFormat="false" ht="15.75" hidden="false" customHeight="false" outlineLevel="0" collapsed="false">
      <c r="A330" s="4" t="n">
        <v>45534</v>
      </c>
      <c r="B330" s="1" t="s">
        <v>95</v>
      </c>
      <c r="C330" s="1" t="s">
        <v>89</v>
      </c>
      <c r="D330" s="1" t="n">
        <v>418</v>
      </c>
      <c r="E330" s="1" t="n">
        <v>20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1" t="n">
        <v>0</v>
      </c>
      <c r="N330" s="1" t="n">
        <v>0.0131166666666667</v>
      </c>
      <c r="O330" s="1" t="n">
        <v>9.20163333333333</v>
      </c>
    </row>
    <row r="331" customFormat="false" ht="15.75" hidden="false" customHeight="false" outlineLevel="0" collapsed="false">
      <c r="A331" s="4" t="n">
        <v>45534</v>
      </c>
      <c r="B331" s="1" t="s">
        <v>95</v>
      </c>
      <c r="C331" s="1" t="s">
        <v>89</v>
      </c>
      <c r="D331" s="1" t="n">
        <v>199</v>
      </c>
      <c r="E331" s="1" t="n">
        <v>50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1" t="n">
        <v>-13</v>
      </c>
      <c r="O331" s="1" t="n">
        <v>6.17261666666667</v>
      </c>
    </row>
    <row r="332" customFormat="false" ht="15.75" hidden="false" customHeight="false" outlineLevel="0" collapsed="false">
      <c r="A332" s="4" t="n">
        <v>45534</v>
      </c>
      <c r="B332" s="1" t="s">
        <v>95</v>
      </c>
      <c r="C332" s="1" t="s">
        <v>89</v>
      </c>
      <c r="D332" s="1" t="n">
        <v>247</v>
      </c>
      <c r="E332" s="1" t="n">
        <v>62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1" t="n">
        <v>-7</v>
      </c>
      <c r="O332" s="1" t="n">
        <v>12.17635</v>
      </c>
    </row>
    <row r="333" customFormat="false" ht="15.75" hidden="false" customHeight="false" outlineLevel="0" collapsed="false">
      <c r="A333" s="4" t="n">
        <v>45534</v>
      </c>
      <c r="B333" s="1" t="s">
        <v>95</v>
      </c>
      <c r="C333" s="1" t="s">
        <v>89</v>
      </c>
      <c r="D333" s="1" t="n">
        <v>275</v>
      </c>
      <c r="E333" s="1" t="n">
        <v>69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1" t="n">
        <v>-47</v>
      </c>
      <c r="O333" s="1" t="n">
        <v>46.16095</v>
      </c>
    </row>
    <row r="334" customFormat="false" ht="15.75" hidden="false" customHeight="false" outlineLevel="0" collapsed="false">
      <c r="A334" s="4" t="n">
        <v>45534</v>
      </c>
      <c r="B334" s="1" t="s">
        <v>127</v>
      </c>
      <c r="C334" s="1" t="s">
        <v>105</v>
      </c>
      <c r="D334" s="1" t="n">
        <v>264</v>
      </c>
      <c r="E334" s="1" t="n">
        <v>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1" t="n">
        <v>7</v>
      </c>
      <c r="O334" s="1" t="n">
        <v>18.5408166666667</v>
      </c>
    </row>
    <row r="335" customFormat="false" ht="15.75" hidden="false" customHeight="false" outlineLevel="0" collapsed="false">
      <c r="A335" s="4" t="n">
        <v>45534</v>
      </c>
      <c r="B335" s="1" t="s">
        <v>88</v>
      </c>
      <c r="C335" s="1" t="s">
        <v>89</v>
      </c>
      <c r="D335" s="1" t="n">
        <v>746</v>
      </c>
      <c r="E335" s="1" t="n">
        <v>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1" t="n">
        <v>-6</v>
      </c>
      <c r="O335" s="1" t="n">
        <v>11.3454666666667</v>
      </c>
    </row>
    <row r="336" customFormat="false" ht="15.75" hidden="false" customHeight="false" outlineLevel="0" collapsed="false">
      <c r="A336" s="4" t="n">
        <v>45534</v>
      </c>
      <c r="B336" s="1" t="s">
        <v>127</v>
      </c>
      <c r="C336" s="1" t="s">
        <v>105</v>
      </c>
      <c r="D336" s="1" t="n">
        <v>273</v>
      </c>
      <c r="E336" s="1" t="n">
        <v>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1" t="n">
        <v>-1</v>
      </c>
      <c r="O336" s="1" t="n">
        <v>9.38455</v>
      </c>
    </row>
    <row r="337" customFormat="false" ht="15.75" hidden="false" customHeight="false" outlineLevel="0" collapsed="false">
      <c r="A337" s="4" t="n">
        <v>45534</v>
      </c>
      <c r="B337" s="1" t="s">
        <v>127</v>
      </c>
      <c r="C337" s="1" t="s">
        <v>105</v>
      </c>
      <c r="D337" s="1" t="n">
        <v>199</v>
      </c>
      <c r="E337" s="1" t="n">
        <v>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1" t="n">
        <v>3</v>
      </c>
      <c r="O337" s="1" t="n">
        <v>12.0112333333333</v>
      </c>
    </row>
    <row r="338" customFormat="false" ht="15.75" hidden="false" customHeight="false" outlineLevel="0" collapsed="false">
      <c r="A338" s="4" t="n">
        <v>45534</v>
      </c>
      <c r="B338" s="1" t="s">
        <v>104</v>
      </c>
      <c r="C338" s="1" t="s">
        <v>105</v>
      </c>
      <c r="D338" s="1" t="n">
        <v>658</v>
      </c>
      <c r="E338" s="1" t="n">
        <v>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1" t="n">
        <v>0</v>
      </c>
      <c r="O338" s="1" t="n">
        <v>17.4475166666667</v>
      </c>
    </row>
    <row r="339" customFormat="false" ht="15.75" hidden="false" customHeight="false" outlineLevel="0" collapsed="false">
      <c r="A339" s="4" t="n">
        <v>45534</v>
      </c>
      <c r="B339" s="1" t="s">
        <v>104</v>
      </c>
      <c r="C339" s="1" t="s">
        <v>105</v>
      </c>
      <c r="D339" s="1" t="n">
        <v>329</v>
      </c>
      <c r="E339" s="1" t="n">
        <v>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1" t="n">
        <v>0</v>
      </c>
      <c r="O339" s="1" t="n">
        <v>14.6641833333333</v>
      </c>
    </row>
    <row r="340" customFormat="false" ht="15.75" hidden="false" customHeight="false" outlineLevel="0" collapsed="false">
      <c r="A340" s="4" t="n">
        <v>45534</v>
      </c>
      <c r="B340" s="1" t="s">
        <v>95</v>
      </c>
      <c r="C340" s="1" t="s">
        <v>89</v>
      </c>
      <c r="D340" s="1" t="n">
        <v>588</v>
      </c>
      <c r="E340" s="1" t="n">
        <v>35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1" t="n">
        <v>-5</v>
      </c>
      <c r="N340" s="1" t="n">
        <v>0.0111333333333333</v>
      </c>
      <c r="O340" s="1" t="n">
        <v>14.5952833333333</v>
      </c>
    </row>
    <row r="341" customFormat="false" ht="15.75" hidden="false" customHeight="false" outlineLevel="0" collapsed="false">
      <c r="A341" s="4" t="n">
        <v>45534</v>
      </c>
      <c r="B341" s="1" t="s">
        <v>88</v>
      </c>
      <c r="C341" s="1" t="s">
        <v>89</v>
      </c>
      <c r="D341" s="1" t="n">
        <v>528</v>
      </c>
      <c r="E341" s="1" t="n">
        <v>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1" t="n">
        <v>-5</v>
      </c>
      <c r="O341" s="1" t="n">
        <v>9.9408</v>
      </c>
    </row>
    <row r="342" customFormat="false" ht="15.75" hidden="false" customHeight="false" outlineLevel="0" collapsed="false">
      <c r="A342" s="4" t="n">
        <v>45534</v>
      </c>
      <c r="B342" s="1" t="s">
        <v>127</v>
      </c>
      <c r="C342" s="1" t="s">
        <v>105</v>
      </c>
      <c r="D342" s="1" t="n">
        <v>264</v>
      </c>
      <c r="E342" s="1" t="n">
        <v>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1" t="n">
        <v>-1</v>
      </c>
      <c r="O342" s="1" t="n">
        <v>10.2486833333333</v>
      </c>
    </row>
    <row r="343" customFormat="false" ht="15.75" hidden="false" customHeight="false" outlineLevel="0" collapsed="false">
      <c r="A343" s="4" t="n">
        <v>45534</v>
      </c>
      <c r="B343" s="1" t="s">
        <v>127</v>
      </c>
      <c r="C343" s="1" t="s">
        <v>105</v>
      </c>
      <c r="D343" s="1" t="n">
        <v>522</v>
      </c>
      <c r="E343" s="1" t="n">
        <v>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1" t="n">
        <v>1</v>
      </c>
      <c r="O343" s="1" t="n">
        <v>14.0031333333333</v>
      </c>
    </row>
    <row r="344" customFormat="false" ht="15.75" hidden="false" customHeight="false" outlineLevel="0" collapsed="false">
      <c r="A344" s="4" t="n">
        <v>45534</v>
      </c>
      <c r="B344" s="1" t="s">
        <v>104</v>
      </c>
      <c r="C344" s="1" t="s">
        <v>105</v>
      </c>
      <c r="D344" s="1" t="n">
        <v>329</v>
      </c>
      <c r="E344" s="1" t="n">
        <v>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1" t="n">
        <v>0</v>
      </c>
      <c r="O344" s="1" t="n">
        <v>14.7306</v>
      </c>
    </row>
    <row r="345" customFormat="false" ht="15.75" hidden="false" customHeight="false" outlineLevel="0" collapsed="false">
      <c r="A345" s="4" t="n">
        <v>45534</v>
      </c>
      <c r="B345" s="1" t="s">
        <v>127</v>
      </c>
      <c r="C345" s="1" t="s">
        <v>105</v>
      </c>
      <c r="D345" s="1" t="n">
        <v>279</v>
      </c>
      <c r="E345" s="1" t="n">
        <v>50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1" t="n">
        <v>6</v>
      </c>
      <c r="O345" s="1" t="n">
        <v>17.1847</v>
      </c>
    </row>
    <row r="346" customFormat="false" ht="15.75" hidden="false" customHeight="false" outlineLevel="0" collapsed="false">
      <c r="A346" s="4" t="n">
        <v>45534</v>
      </c>
      <c r="B346" s="1" t="s">
        <v>127</v>
      </c>
      <c r="C346" s="1" t="s">
        <v>105</v>
      </c>
      <c r="D346" s="1" t="n">
        <v>492</v>
      </c>
      <c r="E346" s="1" t="n">
        <v>150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1" t="n">
        <v>1</v>
      </c>
      <c r="O346" s="1" t="n">
        <v>15.9370166666667</v>
      </c>
    </row>
    <row r="347" customFormat="false" ht="15.75" hidden="false" customHeight="false" outlineLevel="0" collapsed="false">
      <c r="A347" s="4" t="n">
        <v>45534</v>
      </c>
      <c r="B347" s="1" t="s">
        <v>169</v>
      </c>
      <c r="C347" s="1" t="s">
        <v>89</v>
      </c>
      <c r="D347" s="1" t="n">
        <v>45</v>
      </c>
      <c r="E347" s="1" t="n">
        <v>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1" t="n">
        <v>-1</v>
      </c>
      <c r="O347" s="1" t="n">
        <v>3.11906666666667</v>
      </c>
    </row>
    <row r="348" customFormat="false" ht="15.75" hidden="false" customHeight="false" outlineLevel="0" collapsed="false">
      <c r="A348" s="4" t="n">
        <v>45534</v>
      </c>
      <c r="B348" s="1" t="s">
        <v>169</v>
      </c>
      <c r="C348" s="1" t="s">
        <v>89</v>
      </c>
      <c r="D348" s="1" t="n">
        <v>747</v>
      </c>
      <c r="E348" s="1" t="n">
        <v>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1" t="n">
        <v>5</v>
      </c>
      <c r="O348" s="1" t="n">
        <v>10.3433333333333</v>
      </c>
    </row>
    <row r="349" customFormat="false" ht="15.75" hidden="false" customHeight="false" outlineLevel="0" collapsed="false">
      <c r="A349" s="4" t="n">
        <v>45534</v>
      </c>
      <c r="B349" s="1" t="s">
        <v>95</v>
      </c>
      <c r="C349" s="1" t="s">
        <v>89</v>
      </c>
      <c r="D349" s="1" t="n">
        <v>703</v>
      </c>
      <c r="E349" s="1" t="n">
        <v>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1" t="n">
        <v>17</v>
      </c>
      <c r="N349" s="1" t="n">
        <v>11.3902333333333</v>
      </c>
      <c r="O349" s="1" t="n">
        <v>17.03485</v>
      </c>
    </row>
    <row r="350" customFormat="false" ht="15.75" hidden="false" customHeight="false" outlineLevel="0" collapsed="false">
      <c r="A350" s="4" t="n">
        <v>45534</v>
      </c>
      <c r="B350" s="1" t="s">
        <v>95</v>
      </c>
      <c r="C350" s="1" t="s">
        <v>89</v>
      </c>
      <c r="D350" s="1" t="n">
        <v>318</v>
      </c>
      <c r="E350" s="1" t="n">
        <v>50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1" t="n">
        <v>-13</v>
      </c>
      <c r="O350" s="1" t="n">
        <v>26.8204666666667</v>
      </c>
    </row>
    <row r="351" customFormat="false" ht="15.75" hidden="false" customHeight="false" outlineLevel="0" collapsed="false">
      <c r="A351" s="4" t="n">
        <v>45534</v>
      </c>
      <c r="B351" s="1" t="s">
        <v>95</v>
      </c>
      <c r="C351" s="1" t="s">
        <v>89</v>
      </c>
      <c r="D351" s="1" t="n">
        <v>463</v>
      </c>
      <c r="E351" s="1" t="n">
        <v>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1" t="n">
        <v>0</v>
      </c>
      <c r="N351" s="1" t="n">
        <v>0.0117</v>
      </c>
    </row>
    <row r="352" customFormat="false" ht="15.75" hidden="false" customHeight="false" outlineLevel="0" collapsed="false">
      <c r="A352" s="4" t="n">
        <v>45534</v>
      </c>
      <c r="B352" s="1" t="s">
        <v>95</v>
      </c>
      <c r="C352" s="1" t="s">
        <v>89</v>
      </c>
      <c r="D352" s="1" t="n">
        <v>239</v>
      </c>
      <c r="E352" s="1" t="n">
        <v>11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1" t="n">
        <v>0</v>
      </c>
      <c r="N352" s="1" t="n">
        <v>0.0155666666666667</v>
      </c>
      <c r="O352" s="1" t="n">
        <v>11.0128333333333</v>
      </c>
    </row>
    <row r="353" customFormat="false" ht="15.75" hidden="false" customHeight="false" outlineLevel="0" collapsed="false">
      <c r="A353" s="4" t="n">
        <v>45534</v>
      </c>
      <c r="B353" s="1" t="s">
        <v>88</v>
      </c>
      <c r="C353" s="1" t="s">
        <v>89</v>
      </c>
      <c r="D353" s="1" t="n">
        <v>264</v>
      </c>
      <c r="E353" s="1" t="n">
        <v>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1" t="n">
        <v>-4</v>
      </c>
      <c r="O353" s="1" t="n">
        <v>10.4343333333333</v>
      </c>
    </row>
    <row r="354" customFormat="false" ht="15.75" hidden="false" customHeight="false" outlineLevel="0" collapsed="false">
      <c r="A354" s="4" t="n">
        <v>45534</v>
      </c>
      <c r="B354" s="1" t="s">
        <v>95</v>
      </c>
      <c r="C354" s="1" t="s">
        <v>89</v>
      </c>
      <c r="D354" s="1" t="n">
        <v>223</v>
      </c>
      <c r="E354" s="1" t="n">
        <v>56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1" t="n">
        <v>-10</v>
      </c>
      <c r="O354" s="1" t="n">
        <v>8.92783333333333</v>
      </c>
    </row>
    <row r="355" customFormat="false" ht="15.75" hidden="false" customHeight="false" outlineLevel="0" collapsed="false">
      <c r="A355" s="4" t="n">
        <v>45534</v>
      </c>
      <c r="B355" s="1" t="s">
        <v>95</v>
      </c>
      <c r="C355" s="1" t="s">
        <v>89</v>
      </c>
      <c r="D355" s="1" t="n">
        <v>1157</v>
      </c>
      <c r="E355" s="1" t="n">
        <v>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1" t="n">
        <v>-3</v>
      </c>
      <c r="N355" s="1" t="n">
        <v>0.0151333333333333</v>
      </c>
      <c r="O355" s="1" t="n">
        <v>140.943016666667</v>
      </c>
    </row>
    <row r="356" customFormat="false" ht="15.75" hidden="false" customHeight="false" outlineLevel="0" collapsed="false">
      <c r="A356" s="4" t="n">
        <v>45534</v>
      </c>
      <c r="B356" s="1" t="s">
        <v>127</v>
      </c>
      <c r="C356" s="1" t="s">
        <v>105</v>
      </c>
      <c r="D356" s="1" t="n">
        <v>575</v>
      </c>
      <c r="E356" s="1" t="n">
        <v>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1" t="n">
        <v>-4</v>
      </c>
      <c r="O356" s="1" t="n">
        <v>9.02871666666667</v>
      </c>
    </row>
    <row r="357" customFormat="false" ht="15.75" hidden="false" customHeight="false" outlineLevel="0" collapsed="false">
      <c r="A357" s="4" t="n">
        <v>45534</v>
      </c>
      <c r="B357" s="1" t="s">
        <v>95</v>
      </c>
      <c r="C357" s="1" t="s">
        <v>89</v>
      </c>
      <c r="D357" s="1" t="n">
        <v>309</v>
      </c>
      <c r="E357" s="1" t="n">
        <v>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1" t="n">
        <v>10</v>
      </c>
      <c r="N357" s="1" t="n">
        <v>0.00835</v>
      </c>
      <c r="O357" s="1" t="n">
        <v>7.15236666666667</v>
      </c>
    </row>
    <row r="358" customFormat="false" ht="15.75" hidden="false" customHeight="false" outlineLevel="0" collapsed="false">
      <c r="A358" s="4" t="n">
        <v>45534</v>
      </c>
      <c r="B358" s="1" t="s">
        <v>127</v>
      </c>
      <c r="C358" s="1" t="s">
        <v>105</v>
      </c>
      <c r="D358" s="1" t="n">
        <v>321</v>
      </c>
      <c r="E358" s="1" t="n">
        <v>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1" t="n">
        <v>-1</v>
      </c>
      <c r="O358" s="1" t="n">
        <v>9.09403333333333</v>
      </c>
    </row>
    <row r="359" customFormat="false" ht="15.75" hidden="false" customHeight="false" outlineLevel="0" collapsed="false">
      <c r="A359" s="4" t="n">
        <v>45534</v>
      </c>
      <c r="B359" s="1" t="s">
        <v>95</v>
      </c>
      <c r="C359" s="1" t="s">
        <v>1009</v>
      </c>
      <c r="D359" s="1" t="n">
        <v>309</v>
      </c>
      <c r="E359" s="1" t="n">
        <v>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1" t="n">
        <v>1</v>
      </c>
      <c r="N359" s="1" t="n">
        <v>0.00875</v>
      </c>
      <c r="O359" s="1" t="n">
        <v>8.43521666666667</v>
      </c>
    </row>
    <row r="360" customFormat="false" ht="15.75" hidden="false" customHeight="false" outlineLevel="0" collapsed="false">
      <c r="A360" s="4" t="n">
        <v>45534</v>
      </c>
      <c r="B360" s="1" t="s">
        <v>95</v>
      </c>
      <c r="C360" s="1" t="s">
        <v>89</v>
      </c>
      <c r="D360" s="1" t="n">
        <v>209</v>
      </c>
      <c r="E360" s="1" t="n">
        <v>50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1" t="n">
        <v>-7</v>
      </c>
      <c r="O360" s="1" t="n">
        <v>11.1654</v>
      </c>
    </row>
    <row r="361" customFormat="false" ht="15.75" hidden="false" customHeight="false" outlineLevel="0" collapsed="false">
      <c r="A361" s="4" t="n">
        <v>45534</v>
      </c>
      <c r="B361" s="1" t="s">
        <v>127</v>
      </c>
      <c r="C361" s="1" t="s">
        <v>105</v>
      </c>
      <c r="D361" s="1" t="n">
        <v>183</v>
      </c>
      <c r="E361" s="1" t="n">
        <v>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1" t="n">
        <v>-2</v>
      </c>
      <c r="O361" s="1" t="n">
        <v>6.96926666666667</v>
      </c>
    </row>
    <row r="362" customFormat="false" ht="15.75" hidden="false" customHeight="false" outlineLevel="0" collapsed="false">
      <c r="A362" s="4" t="n">
        <v>45534</v>
      </c>
      <c r="B362" s="1" t="s">
        <v>127</v>
      </c>
      <c r="C362" s="1" t="s">
        <v>105</v>
      </c>
      <c r="D362" s="1" t="n">
        <v>333</v>
      </c>
      <c r="E362" s="1" t="n">
        <v>100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1" t="n">
        <v>-2</v>
      </c>
      <c r="O362" s="1" t="n">
        <v>9.32093333333333</v>
      </c>
    </row>
    <row r="363" customFormat="false" ht="15.75" hidden="false" customHeight="false" outlineLevel="0" collapsed="false">
      <c r="A363" s="4" t="n">
        <v>45534</v>
      </c>
      <c r="B363" s="1" t="s">
        <v>127</v>
      </c>
      <c r="C363" s="1" t="s">
        <v>105</v>
      </c>
      <c r="D363" s="1" t="n">
        <v>583</v>
      </c>
      <c r="E363" s="1" t="n">
        <v>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1" t="n">
        <v>-4</v>
      </c>
      <c r="O363" s="1" t="n">
        <v>9.9082</v>
      </c>
    </row>
    <row r="364" customFormat="false" ht="15.75" hidden="false" customHeight="false" outlineLevel="0" collapsed="false">
      <c r="A364" s="4" t="n">
        <v>45534</v>
      </c>
      <c r="B364" s="1" t="s">
        <v>95</v>
      </c>
      <c r="C364" s="1" t="s">
        <v>89</v>
      </c>
      <c r="D364" s="1" t="n">
        <v>489</v>
      </c>
      <c r="E364" s="1" t="n">
        <v>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1" t="n">
        <v>-3</v>
      </c>
      <c r="N364" s="1" t="n">
        <v>0.0117</v>
      </c>
      <c r="O364" s="1" t="n">
        <v>9.60583333333333</v>
      </c>
    </row>
    <row r="365" customFormat="false" ht="15.75" hidden="false" customHeight="false" outlineLevel="0" collapsed="false">
      <c r="A365" s="4" t="n">
        <v>45534</v>
      </c>
      <c r="B365" s="1" t="s">
        <v>127</v>
      </c>
      <c r="C365" s="1" t="s">
        <v>105</v>
      </c>
      <c r="D365" s="1" t="n">
        <v>346</v>
      </c>
      <c r="E365" s="1" t="n">
        <v>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1" t="n">
        <v>-1</v>
      </c>
      <c r="O365" s="1" t="n">
        <v>10.5783666666667</v>
      </c>
    </row>
    <row r="366" customFormat="false" ht="15.75" hidden="false" customHeight="false" outlineLevel="0" collapsed="false">
      <c r="A366" s="4" t="n">
        <v>45534</v>
      </c>
      <c r="B366" s="1" t="s">
        <v>169</v>
      </c>
      <c r="C366" s="1" t="s">
        <v>89</v>
      </c>
      <c r="D366" s="1" t="n">
        <v>309</v>
      </c>
      <c r="E366" s="1" t="n">
        <v>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1" t="n">
        <v>5</v>
      </c>
      <c r="O366" s="1" t="n">
        <v>10.3962166666667</v>
      </c>
    </row>
    <row r="367" customFormat="false" ht="15.75" hidden="false" customHeight="false" outlineLevel="0" collapsed="false">
      <c r="A367" s="4" t="n">
        <v>45534</v>
      </c>
      <c r="B367" s="1" t="s">
        <v>127</v>
      </c>
      <c r="C367" s="1" t="s">
        <v>105</v>
      </c>
      <c r="D367" s="1" t="n">
        <v>329</v>
      </c>
      <c r="E367" s="1" t="n">
        <v>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1" t="n">
        <v>-1</v>
      </c>
      <c r="O367" s="1" t="n">
        <v>9.60346666666667</v>
      </c>
    </row>
    <row r="368" customFormat="false" ht="15.75" hidden="false" customHeight="false" outlineLevel="0" collapsed="false">
      <c r="A368" s="4" t="n">
        <v>45534</v>
      </c>
      <c r="B368" s="1" t="s">
        <v>169</v>
      </c>
      <c r="C368" s="1" t="s">
        <v>89</v>
      </c>
      <c r="D368" s="1" t="n">
        <v>618</v>
      </c>
      <c r="E368" s="1" t="n">
        <v>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1" t="n">
        <v>9</v>
      </c>
      <c r="O368" s="1" t="n">
        <v>14.0355</v>
      </c>
    </row>
    <row r="369" customFormat="false" ht="15.75" hidden="false" customHeight="false" outlineLevel="0" collapsed="false">
      <c r="A369" s="4" t="n">
        <v>45534</v>
      </c>
      <c r="B369" s="1" t="s">
        <v>95</v>
      </c>
      <c r="C369" s="1" t="s">
        <v>89</v>
      </c>
      <c r="D369" s="1" t="n">
        <v>387</v>
      </c>
      <c r="E369" s="1" t="n">
        <v>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1" t="n">
        <v>-3</v>
      </c>
      <c r="N369" s="1" t="n">
        <v>0.00938333333333333</v>
      </c>
      <c r="O369" s="1" t="n">
        <v>9.58481666666667</v>
      </c>
    </row>
    <row r="370" customFormat="false" ht="15.75" hidden="false" customHeight="false" outlineLevel="0" collapsed="false">
      <c r="A370" s="4" t="n">
        <v>45534</v>
      </c>
      <c r="B370" s="1" t="s">
        <v>95</v>
      </c>
      <c r="C370" s="1" t="s">
        <v>89</v>
      </c>
      <c r="D370" s="1" t="n">
        <v>269</v>
      </c>
      <c r="E370" s="1" t="n">
        <v>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1" t="n">
        <v>-6</v>
      </c>
      <c r="N370" s="1" t="n">
        <v>0.0111333333333333</v>
      </c>
      <c r="O370" s="1" t="n">
        <v>10.6584333333333</v>
      </c>
    </row>
    <row r="371" customFormat="false" ht="15.75" hidden="false" customHeight="false" outlineLevel="0" collapsed="false">
      <c r="A371" s="4" t="n">
        <v>45534</v>
      </c>
      <c r="B371" s="1" t="s">
        <v>95</v>
      </c>
      <c r="C371" s="1" t="s">
        <v>89</v>
      </c>
      <c r="D371" s="1" t="n">
        <v>573</v>
      </c>
      <c r="E371" s="1" t="n">
        <v>15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1" t="n">
        <v>14</v>
      </c>
      <c r="N371" s="1" t="n">
        <v>0.00863333333333333</v>
      </c>
      <c r="O371" s="1" t="n">
        <v>11.3383</v>
      </c>
    </row>
    <row r="372" customFormat="false" ht="15.75" hidden="false" customHeight="false" outlineLevel="0" collapsed="false">
      <c r="A372" s="4" t="n">
        <v>45534</v>
      </c>
      <c r="B372" s="1" t="s">
        <v>104</v>
      </c>
      <c r="C372" s="1" t="s">
        <v>105</v>
      </c>
      <c r="D372" s="1" t="n">
        <v>321</v>
      </c>
      <c r="E372" s="1" t="n">
        <v>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1" t="n">
        <v>-4</v>
      </c>
      <c r="O372" s="1" t="n">
        <v>10.0058833333333</v>
      </c>
    </row>
    <row r="373" customFormat="false" ht="15.75" hidden="false" customHeight="false" outlineLevel="0" collapsed="false">
      <c r="A373" s="4" t="n">
        <v>45534</v>
      </c>
      <c r="B373" s="1" t="s">
        <v>169</v>
      </c>
      <c r="C373" s="1" t="s">
        <v>89</v>
      </c>
      <c r="D373" s="1" t="n">
        <v>249</v>
      </c>
      <c r="E373" s="1" t="n">
        <v>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1" t="n">
        <v>4</v>
      </c>
      <c r="O373" s="1" t="n">
        <v>9.67751666666667</v>
      </c>
    </row>
    <row r="374" customFormat="false" ht="15.75" hidden="false" customHeight="false" outlineLevel="0" collapsed="false">
      <c r="A374" s="4" t="n">
        <v>45534</v>
      </c>
      <c r="B374" s="1" t="s">
        <v>169</v>
      </c>
      <c r="C374" s="1" t="s">
        <v>89</v>
      </c>
      <c r="D374" s="1" t="n">
        <v>558</v>
      </c>
      <c r="E374" s="1" t="n">
        <v>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1" t="n">
        <v>1</v>
      </c>
      <c r="O374" s="1" t="n">
        <v>6.7999</v>
      </c>
    </row>
    <row r="375" customFormat="false" ht="15.75" hidden="false" customHeight="false" outlineLevel="0" collapsed="false">
      <c r="A375" s="4" t="n">
        <v>45534</v>
      </c>
      <c r="B375" s="1" t="s">
        <v>127</v>
      </c>
      <c r="C375" s="1" t="s">
        <v>105</v>
      </c>
      <c r="D375" s="1" t="n">
        <v>329</v>
      </c>
      <c r="E375" s="1" t="n">
        <v>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1" t="n">
        <v>6</v>
      </c>
      <c r="O375" s="1" t="n">
        <v>17.1199333333333</v>
      </c>
    </row>
    <row r="376" customFormat="false" ht="15.75" hidden="false" customHeight="false" outlineLevel="0" collapsed="false">
      <c r="A376" s="4" t="n">
        <v>45534</v>
      </c>
      <c r="B376" s="1" t="s">
        <v>127</v>
      </c>
      <c r="C376" s="1" t="s">
        <v>105</v>
      </c>
      <c r="D376" s="1" t="n">
        <v>239</v>
      </c>
      <c r="E376" s="1" t="n">
        <v>50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1" t="n">
        <v>-1</v>
      </c>
      <c r="O376" s="1" t="n">
        <v>9.02006666666667</v>
      </c>
    </row>
    <row r="377" customFormat="false" ht="15.75" hidden="false" customHeight="false" outlineLevel="0" collapsed="false">
      <c r="A377" s="4" t="n">
        <v>45534</v>
      </c>
      <c r="B377" s="1" t="s">
        <v>95</v>
      </c>
      <c r="C377" s="1" t="s">
        <v>89</v>
      </c>
      <c r="D377" s="1" t="n">
        <v>267</v>
      </c>
      <c r="E377" s="1" t="n">
        <v>62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1" t="n">
        <v>-6</v>
      </c>
      <c r="O377" s="1" t="n">
        <v>12.19515</v>
      </c>
    </row>
    <row r="378" customFormat="false" ht="15.75" hidden="false" customHeight="false" outlineLevel="0" collapsed="false">
      <c r="A378" s="4" t="n">
        <v>45534</v>
      </c>
      <c r="B378" s="1" t="s">
        <v>95</v>
      </c>
      <c r="C378" s="1" t="s">
        <v>89</v>
      </c>
      <c r="D378" s="1" t="n">
        <v>434</v>
      </c>
      <c r="E378" s="1" t="n">
        <v>104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1" t="n">
        <v>-7</v>
      </c>
      <c r="O378" s="1" t="n">
        <v>11.11585</v>
      </c>
    </row>
    <row r="379" customFormat="false" ht="15.75" hidden="false" customHeight="false" outlineLevel="0" collapsed="false">
      <c r="A379" s="4" t="n">
        <v>45534</v>
      </c>
      <c r="B379" s="1" t="s">
        <v>169</v>
      </c>
      <c r="C379" s="1" t="s">
        <v>89</v>
      </c>
      <c r="D379" s="1" t="n">
        <v>249</v>
      </c>
      <c r="E379" s="1" t="n">
        <v>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1" t="n">
        <v>4</v>
      </c>
      <c r="O379" s="1" t="n">
        <v>9.77221666666667</v>
      </c>
    </row>
    <row r="380" customFormat="false" ht="15.75" hidden="false" customHeight="false" outlineLevel="0" collapsed="false">
      <c r="A380" s="4" t="n">
        <v>45534</v>
      </c>
      <c r="B380" s="1" t="s">
        <v>169</v>
      </c>
      <c r="C380" s="1" t="s">
        <v>89</v>
      </c>
      <c r="D380" s="1" t="n">
        <v>119</v>
      </c>
      <c r="E380" s="1" t="n">
        <v>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1" t="n">
        <v>4</v>
      </c>
      <c r="O380" s="1" t="n">
        <v>9.00935</v>
      </c>
    </row>
    <row r="381" customFormat="false" ht="15.75" hidden="false" customHeight="false" outlineLevel="0" collapsed="false">
      <c r="A381" s="4" t="n">
        <v>45534</v>
      </c>
      <c r="B381" s="1" t="s">
        <v>127</v>
      </c>
      <c r="C381" s="1" t="s">
        <v>89</v>
      </c>
      <c r="D381" s="1" t="n">
        <v>264</v>
      </c>
      <c r="E381" s="1" t="n">
        <v>100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1" t="n">
        <v>2</v>
      </c>
      <c r="O381" s="1" t="n">
        <v>14.1992</v>
      </c>
    </row>
    <row r="382" customFormat="false" ht="15.75" hidden="false" customHeight="false" outlineLevel="0" collapsed="false">
      <c r="A382" s="4" t="n">
        <v>45534</v>
      </c>
      <c r="B382" s="1" t="s">
        <v>95</v>
      </c>
      <c r="C382" s="1" t="s">
        <v>89</v>
      </c>
      <c r="D382" s="1" t="n">
        <v>368</v>
      </c>
      <c r="E382" s="1" t="n">
        <v>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1" t="n">
        <v>3</v>
      </c>
      <c r="N382" s="1" t="n">
        <v>0.0081</v>
      </c>
      <c r="O382" s="1" t="n">
        <v>12.6184333333333</v>
      </c>
    </row>
    <row r="383" customFormat="false" ht="15.75" hidden="false" customHeight="false" outlineLevel="0" collapsed="false">
      <c r="A383" s="4" t="n">
        <v>45534</v>
      </c>
      <c r="B383" s="1" t="s">
        <v>88</v>
      </c>
      <c r="C383" s="1" t="s">
        <v>89</v>
      </c>
      <c r="D383" s="1" t="n">
        <v>387</v>
      </c>
      <c r="E383" s="1" t="n">
        <v>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1" t="n">
        <v>-9</v>
      </c>
      <c r="O383" s="1" t="n">
        <v>9.32808333333333</v>
      </c>
    </row>
    <row r="384" customFormat="false" ht="15.75" hidden="false" customHeight="false" outlineLevel="0" collapsed="false">
      <c r="A384" s="4" t="n">
        <v>45534</v>
      </c>
      <c r="B384" s="1" t="s">
        <v>95</v>
      </c>
      <c r="C384" s="1" t="s">
        <v>89</v>
      </c>
      <c r="D384" s="1" t="n">
        <v>309</v>
      </c>
      <c r="E384" s="1" t="n">
        <v>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1" t="n">
        <v>-4</v>
      </c>
      <c r="N384" s="1" t="n">
        <v>0.00993333333333333</v>
      </c>
      <c r="O384" s="1" t="n">
        <v>10.8984</v>
      </c>
    </row>
    <row r="385" customFormat="false" ht="15.75" hidden="false" customHeight="false" outlineLevel="0" collapsed="false">
      <c r="A385" s="4" t="n">
        <v>45534</v>
      </c>
      <c r="B385" s="1" t="s">
        <v>95</v>
      </c>
      <c r="C385" s="1" t="s">
        <v>89</v>
      </c>
      <c r="D385" s="1" t="n">
        <v>347</v>
      </c>
      <c r="E385" s="1" t="n">
        <v>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1" t="n">
        <v>0</v>
      </c>
      <c r="N385" s="1" t="n">
        <v>0.0117</v>
      </c>
      <c r="O385" s="1" t="n">
        <v>7.14083333333333</v>
      </c>
    </row>
    <row r="386" customFormat="false" ht="15.75" hidden="false" customHeight="false" outlineLevel="0" collapsed="false">
      <c r="A386" s="4" t="n">
        <v>45534</v>
      </c>
      <c r="B386" s="1" t="s">
        <v>95</v>
      </c>
      <c r="C386" s="1" t="s">
        <v>89</v>
      </c>
      <c r="D386" s="1" t="n">
        <v>378</v>
      </c>
      <c r="E386" s="1" t="n">
        <v>75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1" t="n">
        <v>-21</v>
      </c>
      <c r="O386" s="1" t="n">
        <v>11.8291333333333</v>
      </c>
    </row>
    <row r="387" customFormat="false" ht="15.75" hidden="false" customHeight="false" outlineLevel="0" collapsed="false">
      <c r="A387" s="4" t="n">
        <v>45534</v>
      </c>
      <c r="B387" s="1" t="s">
        <v>95</v>
      </c>
      <c r="C387" s="1" t="s">
        <v>89</v>
      </c>
      <c r="D387" s="1" t="n">
        <v>238</v>
      </c>
      <c r="E387" s="1" t="n">
        <v>12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1" t="n">
        <v>-9</v>
      </c>
      <c r="N387" s="1" t="n">
        <v>0.01335</v>
      </c>
      <c r="O387" s="1" t="n">
        <v>9.5619</v>
      </c>
    </row>
    <row r="388" customFormat="false" ht="15.75" hidden="false" customHeight="false" outlineLevel="0" collapsed="false">
      <c r="A388" s="4" t="n">
        <v>45534</v>
      </c>
      <c r="B388" s="1" t="s">
        <v>88</v>
      </c>
      <c r="C388" s="1" t="s">
        <v>89</v>
      </c>
      <c r="D388" s="1" t="n">
        <v>289</v>
      </c>
      <c r="E388" s="1" t="n">
        <v>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1" t="n">
        <v>3</v>
      </c>
      <c r="O388" s="1" t="n">
        <v>18.0184333333333</v>
      </c>
    </row>
    <row r="389" customFormat="false" ht="15.75" hidden="false" customHeight="false" outlineLevel="0" collapsed="false">
      <c r="A389" s="4" t="n">
        <v>45534</v>
      </c>
      <c r="B389" s="1" t="s">
        <v>127</v>
      </c>
      <c r="C389" s="1" t="s">
        <v>105</v>
      </c>
      <c r="D389" s="1" t="n">
        <v>214</v>
      </c>
      <c r="E389" s="1" t="n">
        <v>50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1" t="n">
        <v>9</v>
      </c>
      <c r="O389" s="1" t="n">
        <v>20.5721833333333</v>
      </c>
    </row>
    <row r="390" customFormat="false" ht="15.75" hidden="false" customHeight="false" outlineLevel="0" collapsed="false">
      <c r="A390" s="4" t="n">
        <v>45534</v>
      </c>
      <c r="B390" s="1" t="s">
        <v>127</v>
      </c>
      <c r="C390" s="1" t="s">
        <v>105</v>
      </c>
      <c r="D390" s="1" t="n">
        <v>324</v>
      </c>
      <c r="E390" s="1" t="n">
        <v>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1" t="n">
        <v>8</v>
      </c>
      <c r="O390" s="1" t="n">
        <v>19.736</v>
      </c>
    </row>
    <row r="391" customFormat="false" ht="15.75" hidden="false" customHeight="false" outlineLevel="0" collapsed="false">
      <c r="A391" s="4" t="n">
        <v>45534</v>
      </c>
      <c r="B391" s="1" t="s">
        <v>88</v>
      </c>
      <c r="C391" s="1" t="s">
        <v>89</v>
      </c>
      <c r="D391" s="1" t="n">
        <v>321</v>
      </c>
      <c r="E391" s="1" t="n">
        <v>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1" t="n">
        <v>3</v>
      </c>
      <c r="O391" s="1" t="n">
        <v>18.3794666666667</v>
      </c>
    </row>
    <row r="392" customFormat="false" ht="15.75" hidden="false" customHeight="false" outlineLevel="0" collapsed="false">
      <c r="A392" s="4" t="n">
        <v>45534</v>
      </c>
      <c r="B392" s="1" t="s">
        <v>104</v>
      </c>
      <c r="C392" s="1" t="s">
        <v>105</v>
      </c>
      <c r="D392" s="1" t="n">
        <v>328</v>
      </c>
      <c r="E392" s="1" t="n">
        <v>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1" t="n">
        <v>3</v>
      </c>
      <c r="O392" s="1" t="n">
        <v>18.1480833333333</v>
      </c>
    </row>
    <row r="393" customFormat="false" ht="15.75" hidden="false" customHeight="false" outlineLevel="0" collapsed="false">
      <c r="A393" s="4" t="n">
        <v>45534</v>
      </c>
      <c r="B393" s="1" t="s">
        <v>95</v>
      </c>
      <c r="C393" s="1" t="s">
        <v>89</v>
      </c>
      <c r="D393" s="1" t="n">
        <v>526</v>
      </c>
      <c r="E393" s="1" t="n">
        <v>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1" t="n">
        <v>2</v>
      </c>
      <c r="N393" s="1" t="n">
        <v>9.95196666666667</v>
      </c>
      <c r="O393" s="1" t="n">
        <v>9.97338333333333</v>
      </c>
    </row>
    <row r="394" customFormat="false" ht="15.75" hidden="false" customHeight="false" outlineLevel="0" collapsed="false">
      <c r="A394" s="4" t="n">
        <v>45534</v>
      </c>
      <c r="B394" s="1" t="s">
        <v>95</v>
      </c>
      <c r="C394" s="1" t="s">
        <v>89</v>
      </c>
      <c r="D394" s="1" t="n">
        <v>612</v>
      </c>
      <c r="E394" s="1" t="n">
        <v>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1" t="n">
        <v>7</v>
      </c>
      <c r="N394" s="1" t="n">
        <v>45.01045</v>
      </c>
      <c r="O394" s="1" t="n">
        <v>55.65295</v>
      </c>
    </row>
    <row r="395" customFormat="false" ht="15.75" hidden="false" customHeight="false" outlineLevel="0" collapsed="false">
      <c r="A395" s="4" t="n">
        <v>45535</v>
      </c>
      <c r="B395" s="1" t="s">
        <v>169</v>
      </c>
      <c r="C395" s="1" t="s">
        <v>89</v>
      </c>
      <c r="D395" s="1" t="n">
        <v>49</v>
      </c>
      <c r="E395" s="1" t="n">
        <v>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1" t="n">
        <v>2</v>
      </c>
      <c r="O395" s="1" t="n">
        <v>7.81008333333333</v>
      </c>
    </row>
    <row r="396" customFormat="false" ht="15.75" hidden="false" customHeight="false" outlineLevel="0" collapsed="false">
      <c r="A396" s="4" t="n">
        <v>45535</v>
      </c>
      <c r="B396" s="1" t="s">
        <v>95</v>
      </c>
      <c r="C396" s="1" t="s">
        <v>89</v>
      </c>
      <c r="D396" s="1" t="n">
        <v>388</v>
      </c>
      <c r="E396" s="1" t="n">
        <v>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1" t="n">
        <v>8</v>
      </c>
      <c r="N396" s="1" t="n">
        <v>6.6984</v>
      </c>
      <c r="O396" s="1" t="n">
        <v>12.93805</v>
      </c>
    </row>
    <row r="397" customFormat="false" ht="15.75" hidden="false" customHeight="false" outlineLevel="0" collapsed="false">
      <c r="A397" s="4" t="n">
        <v>45535</v>
      </c>
      <c r="B397" s="1" t="s">
        <v>127</v>
      </c>
      <c r="C397" s="1" t="s">
        <v>89</v>
      </c>
      <c r="D397" s="1" t="n">
        <v>350</v>
      </c>
      <c r="E397" s="1" t="n">
        <v>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1" t="n">
        <v>1</v>
      </c>
      <c r="O397" s="1" t="n">
        <v>13.12025</v>
      </c>
    </row>
    <row r="398" customFormat="false" ht="15.75" hidden="false" customHeight="false" outlineLevel="0" collapsed="false">
      <c r="A398" s="4" t="n">
        <v>45535</v>
      </c>
      <c r="B398" s="1" t="s">
        <v>169</v>
      </c>
      <c r="C398" s="1" t="s">
        <v>89</v>
      </c>
      <c r="D398" s="1" t="n">
        <v>119</v>
      </c>
      <c r="E398" s="1" t="n">
        <v>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1" t="n">
        <v>2</v>
      </c>
      <c r="O398" s="1" t="n">
        <v>7.8571</v>
      </c>
    </row>
    <row r="399" customFormat="false" ht="15.75" hidden="false" customHeight="false" outlineLevel="0" collapsed="false">
      <c r="A399" s="4" t="n">
        <v>45535</v>
      </c>
      <c r="B399" s="1" t="s">
        <v>169</v>
      </c>
      <c r="C399" s="1" t="s">
        <v>152</v>
      </c>
      <c r="D399" s="1" t="n">
        <v>249</v>
      </c>
      <c r="E399" s="1" t="n">
        <v>0</v>
      </c>
      <c r="G399" s="1" t="s">
        <v>149</v>
      </c>
      <c r="H399" s="1" t="s">
        <v>116</v>
      </c>
      <c r="I399" s="1" t="s">
        <v>1116</v>
      </c>
      <c r="M399" s="1" t="n">
        <v>0</v>
      </c>
    </row>
    <row r="400" customFormat="false" ht="15.75" hidden="false" customHeight="false" outlineLevel="0" collapsed="false">
      <c r="A400" s="4" t="n">
        <v>45535</v>
      </c>
      <c r="B400" s="1" t="s">
        <v>127</v>
      </c>
      <c r="C400" s="1" t="s">
        <v>105</v>
      </c>
      <c r="D400" s="1" t="n">
        <v>294</v>
      </c>
      <c r="E400" s="1" t="n">
        <v>100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1" t="n">
        <v>2</v>
      </c>
      <c r="O400" s="1" t="n">
        <v>15.06505</v>
      </c>
    </row>
    <row r="401" customFormat="false" ht="15.75" hidden="false" customHeight="false" outlineLevel="0" collapsed="false">
      <c r="A401" s="4" t="n">
        <v>45535</v>
      </c>
      <c r="B401" s="1" t="s">
        <v>127</v>
      </c>
      <c r="C401" s="1" t="s">
        <v>105</v>
      </c>
      <c r="D401" s="1" t="n">
        <v>397</v>
      </c>
      <c r="E401" s="1" t="n">
        <v>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1" t="n">
        <v>-2</v>
      </c>
      <c r="O401" s="1" t="n">
        <v>10.72</v>
      </c>
    </row>
    <row r="402" customFormat="false" ht="15.75" hidden="false" customHeight="false" outlineLevel="0" collapsed="false">
      <c r="A402" s="4" t="n">
        <v>45535</v>
      </c>
      <c r="B402" s="1" t="s">
        <v>127</v>
      </c>
      <c r="C402" s="1" t="s">
        <v>105</v>
      </c>
      <c r="D402" s="1" t="n">
        <v>268</v>
      </c>
      <c r="E402" s="1" t="n">
        <v>100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1" t="n">
        <v>1</v>
      </c>
      <c r="O402" s="1" t="n">
        <v>13.9351166666667</v>
      </c>
    </row>
    <row r="403" customFormat="false" ht="15.75" hidden="false" customHeight="false" outlineLevel="0" collapsed="false">
      <c r="A403" s="4" t="n">
        <v>45535</v>
      </c>
      <c r="B403" s="1" t="s">
        <v>127</v>
      </c>
      <c r="C403" s="1" t="s">
        <v>105</v>
      </c>
      <c r="D403" s="1" t="n">
        <v>260</v>
      </c>
      <c r="E403" s="1" t="n">
        <v>100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1" t="n">
        <v>1</v>
      </c>
      <c r="O403" s="1" t="n">
        <v>14.6662833333333</v>
      </c>
    </row>
    <row r="404" customFormat="false" ht="15.75" hidden="false" customHeight="false" outlineLevel="0" collapsed="false">
      <c r="A404" s="4" t="n">
        <v>45535</v>
      </c>
      <c r="B404" s="1" t="s">
        <v>104</v>
      </c>
      <c r="C404" s="1" t="s">
        <v>105</v>
      </c>
      <c r="D404" s="1" t="n">
        <v>264</v>
      </c>
      <c r="E404" s="1" t="n">
        <v>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1" t="n">
        <v>0</v>
      </c>
      <c r="O404" s="1" t="n">
        <v>15.32795</v>
      </c>
    </row>
    <row r="405" customFormat="false" ht="15.75" hidden="false" customHeight="false" outlineLevel="0" collapsed="false">
      <c r="A405" s="4" t="n">
        <v>45535</v>
      </c>
      <c r="B405" s="1" t="s">
        <v>95</v>
      </c>
      <c r="C405" s="1" t="s">
        <v>89</v>
      </c>
      <c r="D405" s="1" t="n">
        <v>376</v>
      </c>
      <c r="E405" s="1" t="n">
        <v>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1" t="n">
        <v>-2</v>
      </c>
      <c r="O405" s="1" t="n">
        <v>16.5802833333333</v>
      </c>
    </row>
    <row r="406" customFormat="false" ht="15.75" hidden="false" customHeight="false" outlineLevel="0" collapsed="false">
      <c r="A406" s="4" t="n">
        <v>45535</v>
      </c>
      <c r="B406" s="1" t="s">
        <v>95</v>
      </c>
      <c r="C406" s="1" t="s">
        <v>89</v>
      </c>
      <c r="D406" s="1" t="n">
        <v>247</v>
      </c>
      <c r="E406" s="1" t="n">
        <v>62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1" t="n">
        <v>-7</v>
      </c>
      <c r="O406" s="1" t="n">
        <v>12.6098166666667</v>
      </c>
    </row>
    <row r="407" customFormat="false" ht="15.75" hidden="false" customHeight="false" outlineLevel="0" collapsed="false">
      <c r="A407" s="4" t="n">
        <v>45535</v>
      </c>
      <c r="B407" s="1" t="s">
        <v>104</v>
      </c>
      <c r="C407" s="1" t="s">
        <v>105</v>
      </c>
      <c r="D407" s="1" t="n">
        <v>264</v>
      </c>
      <c r="E407" s="1" t="n">
        <v>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1" t="n">
        <v>0</v>
      </c>
      <c r="O407" s="1" t="n">
        <v>15.9442833333333</v>
      </c>
    </row>
    <row r="408" customFormat="false" ht="15.75" hidden="false" customHeight="false" outlineLevel="0" collapsed="false">
      <c r="A408" s="4" t="n">
        <v>45535</v>
      </c>
      <c r="B408" s="1" t="s">
        <v>127</v>
      </c>
      <c r="C408" s="1" t="s">
        <v>105</v>
      </c>
      <c r="D408" s="1" t="n">
        <v>378</v>
      </c>
      <c r="E408" s="1" t="n">
        <v>150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1" t="n">
        <v>8</v>
      </c>
      <c r="O408" s="1" t="n">
        <v>23.6922333333333</v>
      </c>
    </row>
    <row r="409" customFormat="false" ht="15.75" hidden="false" customHeight="false" outlineLevel="0" collapsed="false">
      <c r="A409" s="4" t="n">
        <v>45535</v>
      </c>
      <c r="B409" s="1" t="s">
        <v>104</v>
      </c>
      <c r="C409" s="1" t="s">
        <v>105</v>
      </c>
      <c r="D409" s="1" t="n">
        <v>264</v>
      </c>
      <c r="E409" s="1" t="n">
        <v>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1" t="n">
        <v>5</v>
      </c>
      <c r="O409" s="1" t="n">
        <v>20.6454</v>
      </c>
    </row>
    <row r="410" customFormat="false" ht="15.75" hidden="false" customHeight="false" outlineLevel="0" collapsed="false">
      <c r="A410" s="4" t="n">
        <v>45535</v>
      </c>
      <c r="B410" s="1" t="s">
        <v>127</v>
      </c>
      <c r="C410" s="1" t="s">
        <v>105</v>
      </c>
      <c r="D410" s="1" t="n">
        <v>479</v>
      </c>
      <c r="E410" s="1" t="n">
        <v>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1" t="n">
        <v>5</v>
      </c>
      <c r="O410" s="1" t="n">
        <v>19.8543166666667</v>
      </c>
    </row>
    <row r="411" customFormat="false" ht="15.75" hidden="false" customHeight="false" outlineLevel="0" collapsed="false">
      <c r="A411" s="4" t="n">
        <v>45535</v>
      </c>
      <c r="B411" s="1" t="s">
        <v>104</v>
      </c>
      <c r="C411" s="1" t="s">
        <v>105</v>
      </c>
      <c r="D411" s="1" t="n">
        <v>399</v>
      </c>
      <c r="E411" s="1" t="n">
        <v>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1" t="n">
        <v>1</v>
      </c>
      <c r="O411" s="1" t="n">
        <v>16.3955833333333</v>
      </c>
    </row>
    <row r="412" customFormat="false" ht="15.75" hidden="false" customHeight="false" outlineLevel="0" collapsed="false">
      <c r="A412" s="4" t="n">
        <v>45535</v>
      </c>
      <c r="B412" s="1" t="s">
        <v>127</v>
      </c>
      <c r="C412" s="1" t="s">
        <v>105</v>
      </c>
      <c r="D412" s="1" t="n">
        <v>371</v>
      </c>
      <c r="E412" s="1" t="n">
        <v>150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1" t="n">
        <v>0</v>
      </c>
      <c r="O412" s="1" t="n">
        <v>14.9900166666667</v>
      </c>
    </row>
    <row r="413" customFormat="false" ht="15.75" hidden="false" customHeight="false" outlineLevel="0" collapsed="false">
      <c r="A413" s="4" t="n">
        <v>45535</v>
      </c>
      <c r="B413" s="1" t="s">
        <v>95</v>
      </c>
      <c r="C413" s="1" t="s">
        <v>89</v>
      </c>
      <c r="D413" s="1" t="n">
        <v>395</v>
      </c>
      <c r="E413" s="1" t="n">
        <v>62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1" t="n">
        <v>-22</v>
      </c>
      <c r="O413" s="1" t="n">
        <v>14.0133333333333</v>
      </c>
    </row>
    <row r="414" customFormat="false" ht="15.75" hidden="false" customHeight="false" outlineLevel="0" collapsed="false">
      <c r="A414" s="4" t="n">
        <v>45535</v>
      </c>
      <c r="B414" s="1" t="s">
        <v>169</v>
      </c>
      <c r="C414" s="1" t="s">
        <v>89</v>
      </c>
      <c r="D414" s="1" t="n">
        <v>249</v>
      </c>
      <c r="E414" s="1" t="n">
        <v>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1" t="n">
        <v>6</v>
      </c>
      <c r="O414" s="1" t="n">
        <v>11.5209666666667</v>
      </c>
    </row>
    <row r="415" customFormat="false" ht="15.75" hidden="false" customHeight="false" outlineLevel="0" collapsed="false">
      <c r="A415" s="4" t="n">
        <v>45535</v>
      </c>
      <c r="B415" s="1" t="s">
        <v>127</v>
      </c>
      <c r="C415" s="1" t="s">
        <v>105</v>
      </c>
      <c r="D415" s="1" t="n">
        <v>289</v>
      </c>
      <c r="E415" s="1" t="n">
        <v>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1" t="n">
        <v>-2</v>
      </c>
      <c r="O415" s="1" t="n">
        <v>9.73711666666667</v>
      </c>
    </row>
    <row r="416" customFormat="false" ht="15.75" hidden="false" customHeight="false" outlineLevel="0" collapsed="false">
      <c r="A416" s="4" t="n">
        <v>45535</v>
      </c>
      <c r="B416" s="1" t="s">
        <v>88</v>
      </c>
      <c r="C416" s="1" t="s">
        <v>89</v>
      </c>
      <c r="D416" s="1" t="n">
        <v>289</v>
      </c>
      <c r="E416" s="1" t="n">
        <v>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1" t="n">
        <v>-6</v>
      </c>
      <c r="O416" s="1" t="n">
        <v>8.19988333333333</v>
      </c>
    </row>
    <row r="417" customFormat="false" ht="15.75" hidden="false" customHeight="false" outlineLevel="0" collapsed="false">
      <c r="A417" s="4" t="n">
        <v>45535</v>
      </c>
      <c r="B417" s="1" t="s">
        <v>127</v>
      </c>
      <c r="C417" s="1" t="s">
        <v>105</v>
      </c>
      <c r="D417" s="1" t="n">
        <v>404</v>
      </c>
      <c r="E417" s="1" t="n">
        <v>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1" t="n">
        <v>-1</v>
      </c>
      <c r="O417" s="1" t="n">
        <v>11.1674</v>
      </c>
    </row>
    <row r="418" customFormat="false" ht="15.75" hidden="false" customHeight="false" outlineLevel="0" collapsed="false">
      <c r="A418" s="4" t="n">
        <v>45535</v>
      </c>
      <c r="B418" s="1" t="s">
        <v>88</v>
      </c>
      <c r="C418" s="1" t="s">
        <v>89</v>
      </c>
      <c r="D418" s="1" t="n">
        <v>224</v>
      </c>
      <c r="E418" s="1" t="n">
        <v>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1" t="n">
        <v>-7</v>
      </c>
      <c r="O418" s="1" t="n">
        <v>7.26755</v>
      </c>
    </row>
    <row r="419" customFormat="false" ht="15.75" hidden="false" customHeight="false" outlineLevel="0" collapsed="false">
      <c r="A419" s="4" t="n">
        <v>45535</v>
      </c>
      <c r="B419" s="1" t="s">
        <v>127</v>
      </c>
      <c r="C419" s="1" t="s">
        <v>105</v>
      </c>
      <c r="D419" s="1" t="n">
        <v>448</v>
      </c>
      <c r="E419" s="1" t="n">
        <v>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1" t="n">
        <v>-4</v>
      </c>
      <c r="O419" s="1" t="n">
        <v>9.7769</v>
      </c>
    </row>
    <row r="420" customFormat="false" ht="15.75" hidden="false" customHeight="false" outlineLevel="0" collapsed="false">
      <c r="A420" s="4" t="n">
        <v>45535</v>
      </c>
      <c r="B420" s="1" t="s">
        <v>127</v>
      </c>
      <c r="C420" s="1" t="s">
        <v>89</v>
      </c>
      <c r="D420" s="1" t="n">
        <v>264</v>
      </c>
      <c r="E420" s="1" t="n">
        <v>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1" t="n">
        <v>-2</v>
      </c>
      <c r="O420" s="1" t="n">
        <v>9.67845</v>
      </c>
    </row>
    <row r="421" customFormat="false" ht="15.75" hidden="false" customHeight="false" outlineLevel="0" collapsed="false">
      <c r="A421" s="4" t="n">
        <v>45535</v>
      </c>
      <c r="B421" s="1" t="s">
        <v>127</v>
      </c>
      <c r="C421" s="1" t="s">
        <v>89</v>
      </c>
      <c r="D421" s="1" t="n">
        <v>528</v>
      </c>
      <c r="E421" s="1" t="n">
        <v>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1" t="n">
        <v>3</v>
      </c>
      <c r="O421" s="1" t="n">
        <v>17.1510666666667</v>
      </c>
    </row>
    <row r="422" customFormat="false" ht="15.75" hidden="false" customHeight="false" outlineLevel="0" collapsed="false">
      <c r="A422" s="4" t="n">
        <v>45535</v>
      </c>
      <c r="B422" s="1" t="s">
        <v>127</v>
      </c>
      <c r="C422" s="1" t="s">
        <v>89</v>
      </c>
      <c r="D422" s="1" t="n">
        <v>329</v>
      </c>
      <c r="E422" s="1" t="n">
        <v>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1" t="n">
        <v>3</v>
      </c>
      <c r="O422" s="1" t="n">
        <v>15.1948166666667</v>
      </c>
    </row>
    <row r="423" customFormat="false" ht="15.75" hidden="false" customHeight="false" outlineLevel="0" collapsed="false">
      <c r="A423" s="4" t="n">
        <v>45535</v>
      </c>
      <c r="B423" s="1" t="s">
        <v>127</v>
      </c>
      <c r="C423" s="1" t="s">
        <v>89</v>
      </c>
      <c r="D423" s="1" t="n">
        <v>329</v>
      </c>
      <c r="E423" s="1" t="n">
        <v>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1" t="n">
        <v>1</v>
      </c>
      <c r="O423" s="1" t="n">
        <v>12.5575166666667</v>
      </c>
    </row>
    <row r="424" customFormat="false" ht="15.75" hidden="false" customHeight="false" outlineLevel="0" collapsed="false">
      <c r="A424" s="4" t="n">
        <v>45535</v>
      </c>
      <c r="B424" s="1" t="s">
        <v>169</v>
      </c>
      <c r="C424" s="1" t="s">
        <v>89</v>
      </c>
      <c r="D424" s="1" t="n">
        <v>124.5</v>
      </c>
      <c r="E424" s="1" t="n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1" t="n">
        <v>4</v>
      </c>
      <c r="O424" s="1" t="n">
        <v>9.43151666666667</v>
      </c>
    </row>
    <row r="425" customFormat="false" ht="15.75" hidden="false" customHeight="false" outlineLevel="0" collapsed="false">
      <c r="A425" s="4" t="n">
        <v>45535</v>
      </c>
      <c r="B425" s="1" t="s">
        <v>88</v>
      </c>
      <c r="C425" s="1" t="s">
        <v>89</v>
      </c>
      <c r="D425" s="1" t="n">
        <v>359</v>
      </c>
      <c r="E425" s="1" t="n">
        <v>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1" t="n">
        <v>0</v>
      </c>
      <c r="O425" s="1" t="n">
        <v>14.8259666666667</v>
      </c>
    </row>
    <row r="426" customFormat="false" ht="15.75" hidden="false" customHeight="false" outlineLevel="0" collapsed="false">
      <c r="A426" s="4" t="n">
        <v>45535</v>
      </c>
      <c r="B426" s="1" t="s">
        <v>104</v>
      </c>
      <c r="C426" s="1" t="s">
        <v>105</v>
      </c>
      <c r="D426" s="1" t="n">
        <v>259</v>
      </c>
      <c r="E426" s="1" t="n">
        <v>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1" t="n">
        <v>-4</v>
      </c>
      <c r="O426" s="1" t="n">
        <v>10.7255333333333</v>
      </c>
    </row>
    <row r="427" customFormat="false" ht="15.75" hidden="false" customHeight="false" outlineLevel="0" collapsed="false">
      <c r="A427" s="4" t="n">
        <v>45535</v>
      </c>
      <c r="B427" s="1" t="s">
        <v>88</v>
      </c>
      <c r="C427" s="1" t="s">
        <v>89</v>
      </c>
      <c r="D427" s="1" t="n">
        <v>857</v>
      </c>
      <c r="E427" s="1" t="n">
        <v>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1" t="n">
        <v>-1</v>
      </c>
      <c r="O427" s="1" t="n">
        <v>13.3621</v>
      </c>
    </row>
    <row r="428" customFormat="false" ht="15.75" hidden="false" customHeight="false" outlineLevel="0" collapsed="false">
      <c r="A428" s="4" t="n">
        <v>45535</v>
      </c>
      <c r="B428" s="1" t="s">
        <v>88</v>
      </c>
      <c r="C428" s="1" t="s">
        <v>89</v>
      </c>
      <c r="D428" s="1" t="n">
        <v>324</v>
      </c>
      <c r="E428" s="1" t="n">
        <v>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1" t="n">
        <v>-5</v>
      </c>
      <c r="O428" s="1" t="n">
        <v>9.28571666666667</v>
      </c>
    </row>
    <row r="429" customFormat="false" ht="15.75" hidden="false" customHeight="false" outlineLevel="0" collapsed="false">
      <c r="A429" s="4" t="n">
        <v>45535</v>
      </c>
      <c r="B429" s="1" t="s">
        <v>88</v>
      </c>
      <c r="C429" s="1" t="s">
        <v>89</v>
      </c>
      <c r="D429" s="1" t="n">
        <v>369</v>
      </c>
      <c r="E429" s="1" t="n">
        <v>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1" t="n">
        <v>0</v>
      </c>
      <c r="O429" s="1" t="n">
        <v>15.4894166666667</v>
      </c>
    </row>
    <row r="430" customFormat="false" ht="15.75" hidden="false" customHeight="false" outlineLevel="0" collapsed="false">
      <c r="A430" s="4" t="n">
        <v>45535</v>
      </c>
      <c r="B430" s="1" t="s">
        <v>127</v>
      </c>
      <c r="C430" s="1" t="s">
        <v>105</v>
      </c>
      <c r="D430" s="1" t="n">
        <v>264</v>
      </c>
      <c r="E430" s="1" t="n">
        <v>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1" t="n">
        <v>5</v>
      </c>
      <c r="O430" s="1" t="n">
        <v>16.21405</v>
      </c>
    </row>
    <row r="431" customFormat="false" ht="15.75" hidden="false" customHeight="false" outlineLevel="0" collapsed="false">
      <c r="A431" s="4" t="n">
        <v>45535</v>
      </c>
      <c r="B431" s="1" t="s">
        <v>95</v>
      </c>
      <c r="C431" s="1" t="s">
        <v>89</v>
      </c>
      <c r="D431" s="1" t="n">
        <v>711</v>
      </c>
      <c r="E431" s="1" t="n">
        <v>37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1" t="n">
        <v>-11</v>
      </c>
      <c r="N431" s="1" t="n">
        <v>0.0116</v>
      </c>
      <c r="O431" s="1" t="n">
        <v>41.3565833333333</v>
      </c>
    </row>
    <row r="432" customFormat="false" ht="15.75" hidden="false" customHeight="false" outlineLevel="0" collapsed="false">
      <c r="A432" s="4" t="n">
        <v>45535</v>
      </c>
      <c r="B432" s="1" t="s">
        <v>127</v>
      </c>
      <c r="C432" s="1" t="s">
        <v>105</v>
      </c>
      <c r="D432" s="1" t="n">
        <v>294</v>
      </c>
      <c r="E432" s="1" t="n">
        <v>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1" t="n">
        <v>6</v>
      </c>
      <c r="O432" s="1" t="n">
        <v>17.5817166666667</v>
      </c>
    </row>
    <row r="433" customFormat="false" ht="15.75" hidden="false" customHeight="false" outlineLevel="0" collapsed="false">
      <c r="A433" s="4" t="n">
        <v>45535</v>
      </c>
      <c r="B433" s="1" t="s">
        <v>95</v>
      </c>
      <c r="C433" s="1" t="s">
        <v>89</v>
      </c>
      <c r="D433" s="1" t="n">
        <v>583</v>
      </c>
      <c r="E433" s="1" t="n">
        <v>124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1" t="n">
        <v>0</v>
      </c>
      <c r="O433" s="1" t="n">
        <v>19.5123666666667</v>
      </c>
    </row>
    <row r="434" customFormat="false" ht="15.75" hidden="false" customHeight="false" outlineLevel="0" collapsed="false">
      <c r="A434" s="4" t="n">
        <v>45535</v>
      </c>
      <c r="B434" s="1" t="s">
        <v>104</v>
      </c>
      <c r="C434" s="1" t="s">
        <v>105</v>
      </c>
      <c r="D434" s="1" t="n">
        <v>139</v>
      </c>
      <c r="E434" s="1" t="n">
        <v>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1" t="n">
        <v>-14</v>
      </c>
      <c r="O434" s="1" t="n">
        <v>0.705516666666667</v>
      </c>
    </row>
    <row r="435" customFormat="false" ht="15.75" hidden="false" customHeight="false" outlineLevel="0" collapsed="false">
      <c r="A435" s="4" t="n">
        <v>45535</v>
      </c>
      <c r="B435" s="1" t="s">
        <v>95</v>
      </c>
      <c r="C435" s="1" t="s">
        <v>89</v>
      </c>
      <c r="D435" s="1" t="n">
        <v>309</v>
      </c>
      <c r="E435" s="1" t="n">
        <v>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1" t="n">
        <v>-9</v>
      </c>
      <c r="N435" s="1" t="n">
        <v>0.0077</v>
      </c>
      <c r="O435" s="1" t="n">
        <v>12.4486666666667</v>
      </c>
    </row>
    <row r="436" customFormat="false" ht="15.75" hidden="false" customHeight="false" outlineLevel="0" collapsed="false">
      <c r="A436" s="4" t="n">
        <v>45535</v>
      </c>
      <c r="B436" s="1" t="s">
        <v>127</v>
      </c>
      <c r="C436" s="1" t="s">
        <v>105</v>
      </c>
      <c r="D436" s="1" t="n">
        <v>928</v>
      </c>
      <c r="E436" s="1" t="n">
        <v>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1" t="n">
        <v>1</v>
      </c>
      <c r="O436" s="1" t="n">
        <v>17.7556833333333</v>
      </c>
    </row>
    <row r="437" customFormat="false" ht="15.75" hidden="false" customHeight="false" outlineLevel="0" collapsed="false">
      <c r="A437" s="4" t="n">
        <v>45535</v>
      </c>
      <c r="B437" s="1" t="s">
        <v>95</v>
      </c>
      <c r="C437" s="1" t="s">
        <v>89</v>
      </c>
      <c r="D437" s="1" t="n">
        <v>358</v>
      </c>
      <c r="E437" s="1" t="n">
        <v>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1" t="n">
        <v>6</v>
      </c>
      <c r="N437" s="1" t="n">
        <v>0.00928333333333333</v>
      </c>
      <c r="O437" s="1" t="n">
        <v>16.5088166666667</v>
      </c>
    </row>
    <row r="438" customFormat="false" ht="15.75" hidden="false" customHeight="false" outlineLevel="0" collapsed="false">
      <c r="A438" s="4" t="n">
        <v>45535</v>
      </c>
      <c r="B438" s="1" t="s">
        <v>127</v>
      </c>
      <c r="C438" s="1" t="s">
        <v>105</v>
      </c>
      <c r="D438" s="1" t="n">
        <v>329</v>
      </c>
      <c r="E438" s="1" t="n">
        <v>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1" t="n">
        <v>0</v>
      </c>
      <c r="O438" s="1" t="n">
        <v>11.3243333333333</v>
      </c>
    </row>
    <row r="439" customFormat="false" ht="15.75" hidden="false" customHeight="false" outlineLevel="0" collapsed="false">
      <c r="A439" s="4" t="n">
        <v>45535</v>
      </c>
      <c r="B439" s="1" t="s">
        <v>95</v>
      </c>
      <c r="C439" s="1" t="s">
        <v>89</v>
      </c>
      <c r="D439" s="1" t="n">
        <v>215</v>
      </c>
      <c r="E439" s="1" t="n">
        <v>54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1" t="n">
        <v>-27</v>
      </c>
      <c r="O439" s="1" t="n">
        <v>7.95876666666667</v>
      </c>
    </row>
    <row r="440" customFormat="false" ht="15.75" hidden="false" customHeight="false" outlineLevel="0" collapsed="false">
      <c r="A440" s="4" t="n">
        <v>45535</v>
      </c>
      <c r="B440" s="1" t="s">
        <v>169</v>
      </c>
      <c r="C440" s="1" t="s">
        <v>89</v>
      </c>
      <c r="D440" s="1" t="n">
        <v>39</v>
      </c>
      <c r="E440" s="1" t="n">
        <v>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1" t="n">
        <v>11</v>
      </c>
      <c r="O440" s="1" t="n">
        <v>16.1081</v>
      </c>
    </row>
    <row r="441" customFormat="false" ht="15.75" hidden="false" customHeight="false" outlineLevel="0" collapsed="false">
      <c r="A441" s="4" t="n">
        <v>45535</v>
      </c>
      <c r="B441" s="1" t="s">
        <v>169</v>
      </c>
      <c r="C441" s="1" t="s">
        <v>89</v>
      </c>
      <c r="D441" s="1" t="n">
        <v>249</v>
      </c>
      <c r="E441" s="1" t="n">
        <v>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1" t="n">
        <v>4</v>
      </c>
      <c r="O441" s="1" t="n">
        <v>9.56426666666667</v>
      </c>
    </row>
    <row r="442" customFormat="false" ht="15.75" hidden="false" customHeight="false" outlineLevel="0" collapsed="false">
      <c r="A442" s="4" t="n">
        <v>45535</v>
      </c>
      <c r="B442" s="1" t="s">
        <v>127</v>
      </c>
      <c r="C442" s="1" t="s">
        <v>89</v>
      </c>
      <c r="D442" s="1" t="n">
        <v>394</v>
      </c>
      <c r="E442" s="1" t="n">
        <v>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1" t="n">
        <v>8</v>
      </c>
      <c r="O442" s="1" t="n">
        <v>20.0488333333333</v>
      </c>
    </row>
    <row r="443" customFormat="false" ht="15.75" hidden="false" customHeight="false" outlineLevel="0" collapsed="false">
      <c r="A443" s="4" t="n">
        <v>45535</v>
      </c>
      <c r="B443" s="1" t="s">
        <v>95</v>
      </c>
      <c r="C443" s="1" t="s">
        <v>89</v>
      </c>
      <c r="D443" s="1" t="n">
        <v>247</v>
      </c>
      <c r="E443" s="1" t="n">
        <v>62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1" t="n">
        <v>-3</v>
      </c>
      <c r="O443" s="1" t="n">
        <v>15.5829833333333</v>
      </c>
    </row>
    <row r="444" customFormat="false" ht="15.75" hidden="false" customHeight="false" outlineLevel="0" collapsed="false">
      <c r="A444" s="4" t="n">
        <v>45535</v>
      </c>
      <c r="B444" s="1" t="s">
        <v>169</v>
      </c>
      <c r="C444" s="1" t="s">
        <v>152</v>
      </c>
      <c r="D444" s="1" t="n">
        <v>249</v>
      </c>
      <c r="E444" s="1" t="n">
        <v>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1" t="n">
        <v>5</v>
      </c>
      <c r="O444" s="1" t="n">
        <v>10.2942333333333</v>
      </c>
    </row>
    <row r="445" customFormat="false" ht="15.75" hidden="false" customHeight="false" outlineLevel="0" collapsed="false">
      <c r="A445" s="4" t="n">
        <v>45535</v>
      </c>
      <c r="B445" s="1" t="s">
        <v>104</v>
      </c>
      <c r="C445" s="1" t="s">
        <v>89</v>
      </c>
      <c r="D445" s="1" t="n">
        <v>443</v>
      </c>
      <c r="E445" s="1" t="n">
        <v>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1" t="n">
        <v>-3</v>
      </c>
      <c r="O445" s="1" t="n">
        <v>11.35225</v>
      </c>
    </row>
    <row r="446" customFormat="false" ht="15.75" hidden="false" customHeight="false" outlineLevel="0" collapsed="false">
      <c r="A446" s="4" t="n">
        <v>45535</v>
      </c>
      <c r="B446" s="1" t="s">
        <v>88</v>
      </c>
      <c r="C446" s="1" t="s">
        <v>89</v>
      </c>
      <c r="D446" s="1" t="n">
        <v>129</v>
      </c>
      <c r="E446" s="1" t="n">
        <v>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1" t="n">
        <v>-5</v>
      </c>
      <c r="O446" s="1" t="n">
        <v>9.59056666666667</v>
      </c>
    </row>
    <row r="447" customFormat="false" ht="15.75" hidden="false" customHeight="false" outlineLevel="0" collapsed="false">
      <c r="A447" s="4" t="n">
        <v>45535</v>
      </c>
      <c r="B447" s="1" t="s">
        <v>169</v>
      </c>
      <c r="C447" s="1" t="s">
        <v>89</v>
      </c>
      <c r="D447" s="1" t="n">
        <v>309</v>
      </c>
      <c r="E447" s="1" t="n">
        <v>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1" t="n">
        <v>7</v>
      </c>
      <c r="O447" s="1" t="n">
        <v>12.6083166666667</v>
      </c>
    </row>
    <row r="448" customFormat="false" ht="15.75" hidden="false" customHeight="false" outlineLevel="0" collapsed="false">
      <c r="A448" s="4" t="n">
        <v>45535</v>
      </c>
      <c r="B448" s="1" t="s">
        <v>88</v>
      </c>
      <c r="C448" s="1" t="s">
        <v>89</v>
      </c>
      <c r="D448" s="1" t="n">
        <v>329</v>
      </c>
      <c r="E448" s="1" t="n">
        <v>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1" t="n">
        <v>2</v>
      </c>
      <c r="O448" s="1" t="n">
        <v>17.65095</v>
      </c>
    </row>
    <row r="449" customFormat="false" ht="15.75" hidden="false" customHeight="false" outlineLevel="0" collapsed="false">
      <c r="A449" s="4" t="n">
        <v>45535</v>
      </c>
      <c r="B449" s="1" t="s">
        <v>88</v>
      </c>
      <c r="C449" s="1" t="s">
        <v>89</v>
      </c>
      <c r="D449" s="1" t="n">
        <v>329</v>
      </c>
      <c r="E449" s="1" t="n">
        <v>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1" t="n">
        <v>2</v>
      </c>
      <c r="O449" s="1" t="n">
        <v>17.6228833333333</v>
      </c>
    </row>
    <row r="450" customFormat="false" ht="15.75" hidden="false" customHeight="false" outlineLevel="0" collapsed="false">
      <c r="A450" s="4" t="n">
        <v>45535</v>
      </c>
      <c r="B450" s="1" t="s">
        <v>95</v>
      </c>
      <c r="C450" s="1" t="s">
        <v>89</v>
      </c>
      <c r="D450" s="1" t="n">
        <v>349</v>
      </c>
      <c r="E450" s="1" t="n">
        <v>75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1" t="n">
        <v>0</v>
      </c>
      <c r="O450" s="1" t="n">
        <v>18.3947166666667</v>
      </c>
    </row>
    <row r="451" customFormat="false" ht="15.75" hidden="false" customHeight="false" outlineLevel="0" collapsed="false">
      <c r="A451" s="4" t="n">
        <v>45535</v>
      </c>
      <c r="B451" s="1" t="s">
        <v>127</v>
      </c>
      <c r="C451" s="1" t="s">
        <v>105</v>
      </c>
      <c r="D451" s="1" t="n">
        <v>369</v>
      </c>
      <c r="E451" s="1" t="n">
        <v>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1" t="n">
        <v>-1</v>
      </c>
      <c r="O451" s="1" t="n">
        <v>10.9266</v>
      </c>
    </row>
    <row r="452" customFormat="false" ht="15.75" hidden="false" customHeight="false" outlineLevel="0" collapsed="false">
      <c r="A452" s="4" t="n">
        <v>45535</v>
      </c>
      <c r="B452" s="1" t="s">
        <v>88</v>
      </c>
      <c r="C452" s="1" t="s">
        <v>89</v>
      </c>
      <c r="D452" s="1" t="n">
        <v>329</v>
      </c>
      <c r="E452" s="1" t="n">
        <v>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1" t="n">
        <v>-5</v>
      </c>
      <c r="O452" s="1" t="n">
        <v>12.4996666666667</v>
      </c>
    </row>
    <row r="453" customFormat="false" ht="15.75" hidden="false" customHeight="false" outlineLevel="0" collapsed="false">
      <c r="A453" s="4" t="n">
        <v>45535</v>
      </c>
      <c r="B453" s="1" t="s">
        <v>104</v>
      </c>
      <c r="C453" s="1" t="s">
        <v>89</v>
      </c>
      <c r="D453" s="1" t="n">
        <v>264</v>
      </c>
      <c r="E453" s="1" t="n">
        <v>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1" t="n">
        <v>-5</v>
      </c>
      <c r="O453" s="1" t="n">
        <v>9.75616666666667</v>
      </c>
    </row>
    <row r="454" customFormat="false" ht="15.75" hidden="false" customHeight="false" outlineLevel="0" collapsed="false">
      <c r="A454" s="4" t="n">
        <v>45535</v>
      </c>
      <c r="B454" s="1" t="s">
        <v>95</v>
      </c>
      <c r="C454" s="1" t="s">
        <v>89</v>
      </c>
      <c r="D454" s="1" t="n">
        <v>358</v>
      </c>
      <c r="E454" s="1" t="n">
        <v>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1" t="n">
        <v>-7</v>
      </c>
      <c r="N454" s="1" t="n">
        <v>0.00883333333333333</v>
      </c>
      <c r="O454" s="1" t="n">
        <v>9.46335</v>
      </c>
    </row>
    <row r="455" customFormat="false" ht="15.75" hidden="false" customHeight="false" outlineLevel="0" collapsed="false">
      <c r="A455" s="4" t="n">
        <v>45535</v>
      </c>
      <c r="B455" s="1" t="s">
        <v>104</v>
      </c>
      <c r="C455" s="1" t="s">
        <v>89</v>
      </c>
      <c r="D455" s="1" t="n">
        <v>289</v>
      </c>
      <c r="E455" s="1" t="n">
        <v>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1" t="n">
        <v>-5</v>
      </c>
      <c r="O455" s="1" t="n">
        <v>10.6285833333333</v>
      </c>
    </row>
    <row r="456" customFormat="false" ht="15.75" hidden="false" customHeight="false" outlineLevel="0" collapsed="false">
      <c r="A456" s="4" t="n">
        <v>45535</v>
      </c>
      <c r="B456" s="1" t="s">
        <v>104</v>
      </c>
      <c r="C456" s="1" t="s">
        <v>89</v>
      </c>
      <c r="D456" s="1" t="n">
        <v>329</v>
      </c>
      <c r="E456" s="1" t="n">
        <v>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1" t="n">
        <v>-1</v>
      </c>
      <c r="O456" s="1" t="n">
        <v>13.5916666666667</v>
      </c>
    </row>
    <row r="457" customFormat="false" ht="15.75" hidden="false" customHeight="false" outlineLevel="0" collapsed="false">
      <c r="A457" s="4" t="n">
        <v>45535</v>
      </c>
      <c r="B457" s="1" t="s">
        <v>95</v>
      </c>
      <c r="C457" s="1" t="s">
        <v>89</v>
      </c>
      <c r="D457" s="1" t="n">
        <v>270</v>
      </c>
      <c r="E457" s="1" t="n">
        <v>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1" t="n">
        <v>-7</v>
      </c>
      <c r="N457" s="1" t="n">
        <v>0.0093</v>
      </c>
      <c r="O457" s="1" t="n">
        <v>14.30625</v>
      </c>
    </row>
    <row r="458" customFormat="false" ht="15.75" hidden="false" customHeight="false" outlineLevel="0" collapsed="false">
      <c r="A458" s="4" t="n">
        <v>45535</v>
      </c>
      <c r="B458" s="1" t="s">
        <v>95</v>
      </c>
      <c r="C458" s="1" t="s">
        <v>89</v>
      </c>
      <c r="D458" s="1" t="n">
        <v>167</v>
      </c>
      <c r="E458" s="1" t="n">
        <v>42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1" t="n">
        <v>-24</v>
      </c>
      <c r="O458" s="1" t="n">
        <v>11.0709166666667</v>
      </c>
    </row>
    <row r="459" customFormat="false" ht="15.75" hidden="false" customHeight="false" outlineLevel="0" collapsed="false">
      <c r="A459" s="4" t="n">
        <v>45535</v>
      </c>
      <c r="B459" s="1" t="s">
        <v>95</v>
      </c>
      <c r="C459" s="1" t="s">
        <v>89</v>
      </c>
      <c r="D459" s="1" t="n">
        <v>526</v>
      </c>
      <c r="E459" s="1" t="n">
        <v>43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1" t="n">
        <v>11</v>
      </c>
      <c r="N459" s="1" t="n">
        <v>0.00971666666666667</v>
      </c>
      <c r="O459" s="1" t="n">
        <v>21.5429166666667</v>
      </c>
    </row>
    <row r="460" customFormat="false" ht="15.75" hidden="false" customHeight="false" outlineLevel="0" collapsed="false">
      <c r="A460" s="4" t="n">
        <v>45535</v>
      </c>
      <c r="B460" s="1" t="s">
        <v>95</v>
      </c>
      <c r="C460" s="1" t="s">
        <v>89</v>
      </c>
      <c r="D460" s="1" t="n">
        <v>219</v>
      </c>
      <c r="E460" s="1" t="n">
        <v>55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1" t="n">
        <v>-5</v>
      </c>
      <c r="O460" s="1" t="n">
        <v>13.4847666666667</v>
      </c>
    </row>
    <row r="461" customFormat="false" ht="15.75" hidden="false" customHeight="false" outlineLevel="0" collapsed="false">
      <c r="A461" s="4" t="n">
        <v>45535</v>
      </c>
      <c r="B461" s="1" t="s">
        <v>95</v>
      </c>
      <c r="C461" s="1" t="s">
        <v>89</v>
      </c>
      <c r="D461" s="1" t="n">
        <v>377</v>
      </c>
      <c r="E461" s="1" t="n">
        <v>50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1" t="n">
        <v>-6</v>
      </c>
      <c r="O461" s="1" t="n">
        <v>12.9101333333333</v>
      </c>
    </row>
    <row r="462" customFormat="false" ht="15.75" hidden="false" customHeight="false" outlineLevel="0" collapsed="false">
      <c r="A462" s="4" t="n">
        <v>45535</v>
      </c>
      <c r="B462" s="1" t="s">
        <v>88</v>
      </c>
      <c r="C462" s="1" t="s">
        <v>89</v>
      </c>
      <c r="D462" s="1" t="n">
        <v>264</v>
      </c>
      <c r="E462" s="1" t="n">
        <v>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1" t="n">
        <v>4</v>
      </c>
      <c r="O462" s="1" t="n">
        <v>19.4757333333333</v>
      </c>
    </row>
    <row r="463" customFormat="false" ht="15.75" hidden="false" customHeight="false" outlineLevel="0" collapsed="false">
      <c r="A463" s="4" t="n">
        <v>45535</v>
      </c>
      <c r="B463" s="1" t="s">
        <v>169</v>
      </c>
      <c r="C463" s="1" t="s">
        <v>89</v>
      </c>
      <c r="D463" s="1" t="n">
        <v>249</v>
      </c>
      <c r="E463" s="1" t="n">
        <v>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1" t="n">
        <v>6</v>
      </c>
      <c r="O463" s="1" t="n">
        <v>11.2614833333333</v>
      </c>
    </row>
    <row r="464" customFormat="false" ht="15.75" hidden="false" customHeight="false" outlineLevel="0" collapsed="false">
      <c r="A464" s="4" t="n">
        <v>45535</v>
      </c>
      <c r="B464" s="1" t="s">
        <v>88</v>
      </c>
      <c r="C464" s="1" t="s">
        <v>89</v>
      </c>
      <c r="D464" s="1" t="n">
        <v>394</v>
      </c>
      <c r="E464" s="1" t="n">
        <v>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1" t="n">
        <v>3</v>
      </c>
      <c r="O464" s="1" t="n">
        <v>18.6465333333333</v>
      </c>
    </row>
    <row r="465" customFormat="false" ht="15.75" hidden="false" customHeight="false" outlineLevel="0" collapsed="false">
      <c r="A465" s="4" t="n">
        <v>45535</v>
      </c>
      <c r="B465" s="1" t="s">
        <v>127</v>
      </c>
      <c r="C465" s="1" t="s">
        <v>105</v>
      </c>
      <c r="D465" s="1" t="n">
        <v>329</v>
      </c>
      <c r="E465" s="1" t="n">
        <v>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1" t="n">
        <v>6</v>
      </c>
      <c r="O465" s="1" t="n">
        <v>18.3270166666667</v>
      </c>
    </row>
    <row r="466" customFormat="false" ht="15.75" hidden="false" customHeight="false" outlineLevel="0" collapsed="false">
      <c r="A466" s="4" t="n">
        <v>45535</v>
      </c>
      <c r="B466" s="1" t="s">
        <v>95</v>
      </c>
      <c r="C466" s="1" t="s">
        <v>89</v>
      </c>
      <c r="D466" s="1" t="n">
        <v>275</v>
      </c>
      <c r="E466" s="1" t="n">
        <v>69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1" t="n">
        <v>-4</v>
      </c>
      <c r="O466" s="1" t="n">
        <v>14.35365</v>
      </c>
    </row>
    <row r="467" customFormat="false" ht="15.75" hidden="false" customHeight="false" outlineLevel="0" collapsed="false">
      <c r="A467" s="4" t="n">
        <v>45535</v>
      </c>
      <c r="B467" s="1" t="s">
        <v>95</v>
      </c>
      <c r="C467" s="1" t="s">
        <v>89</v>
      </c>
      <c r="D467" s="1" t="n">
        <v>267</v>
      </c>
      <c r="E467" s="1" t="n">
        <v>62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1" t="n">
        <v>-6</v>
      </c>
      <c r="O467" s="1" t="n">
        <v>12.4754666666667</v>
      </c>
    </row>
    <row r="468" customFormat="false" ht="15.75" hidden="false" customHeight="false" outlineLevel="0" collapsed="false">
      <c r="A468" s="4" t="n">
        <v>45535</v>
      </c>
      <c r="B468" s="1" t="s">
        <v>95</v>
      </c>
      <c r="C468" s="1" t="s">
        <v>89</v>
      </c>
      <c r="D468" s="1" t="n">
        <v>1645</v>
      </c>
      <c r="E468" s="1" t="n">
        <v>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1" t="n">
        <v>13</v>
      </c>
      <c r="N468" s="1" t="n">
        <v>0.0208166666666667</v>
      </c>
      <c r="O468" s="1" t="n">
        <v>28.8661666666667</v>
      </c>
    </row>
    <row r="469" customFormat="false" ht="15.75" hidden="false" customHeight="false" outlineLevel="0" collapsed="false">
      <c r="A469" s="4" t="n">
        <v>45535</v>
      </c>
      <c r="B469" s="1" t="s">
        <v>95</v>
      </c>
      <c r="C469" s="1" t="s">
        <v>89</v>
      </c>
      <c r="D469" s="1" t="n">
        <v>478</v>
      </c>
      <c r="E469" s="1" t="n">
        <v>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1" t="n">
        <v>15</v>
      </c>
      <c r="N469" s="1" t="n">
        <v>0.0130833333333333</v>
      </c>
      <c r="O469" s="1" t="n">
        <v>13.9162666666667</v>
      </c>
    </row>
    <row r="470" customFormat="false" ht="15.75" hidden="false" customHeight="false" outlineLevel="0" collapsed="false">
      <c r="A470" s="4" t="n">
        <v>45535</v>
      </c>
      <c r="B470" s="1" t="s">
        <v>127</v>
      </c>
      <c r="C470" s="1" t="s">
        <v>105</v>
      </c>
      <c r="D470" s="1" t="n">
        <v>642</v>
      </c>
      <c r="E470" s="1" t="n">
        <v>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1" t="n">
        <v>5</v>
      </c>
      <c r="O470" s="1" t="n">
        <v>19.1676833333333</v>
      </c>
    </row>
    <row r="471" customFormat="false" ht="15.75" hidden="false" customHeight="false" outlineLevel="0" collapsed="false">
      <c r="A471" s="4" t="n">
        <v>45535</v>
      </c>
      <c r="B471" s="1" t="s">
        <v>95</v>
      </c>
      <c r="C471" s="1" t="s">
        <v>89</v>
      </c>
      <c r="D471" s="1" t="n">
        <v>247</v>
      </c>
      <c r="E471" s="1" t="n">
        <v>62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1" t="n">
        <v>-2</v>
      </c>
      <c r="O471" s="1" t="n">
        <v>16.7650333333333</v>
      </c>
    </row>
    <row r="472" customFormat="false" ht="15.75" hidden="false" customHeight="false" outlineLevel="0" collapsed="false">
      <c r="A472" s="4" t="n">
        <v>45535</v>
      </c>
      <c r="B472" s="1" t="s">
        <v>95</v>
      </c>
      <c r="C472" s="1" t="s">
        <v>89</v>
      </c>
      <c r="D472" s="1" t="n">
        <v>247</v>
      </c>
      <c r="E472" s="1" t="n">
        <v>62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1" t="n">
        <v>-2</v>
      </c>
      <c r="O472" s="1" t="n">
        <v>17.3037833333333</v>
      </c>
    </row>
    <row r="473" customFormat="false" ht="15.75" hidden="false" customHeight="false" outlineLevel="0" collapsed="false">
      <c r="A473" s="4" t="n">
        <v>45535</v>
      </c>
      <c r="B473" s="1" t="s">
        <v>95</v>
      </c>
      <c r="C473" s="1" t="s">
        <v>89</v>
      </c>
      <c r="D473" s="1" t="n">
        <v>369</v>
      </c>
      <c r="E473" s="1" t="n">
        <v>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1" t="n">
        <v>-11</v>
      </c>
      <c r="N473" s="1" t="n">
        <v>0.00895</v>
      </c>
      <c r="O473" s="1" t="n">
        <v>11.0780166666667</v>
      </c>
    </row>
    <row r="474" customFormat="false" ht="15.75" hidden="false" customHeight="false" outlineLevel="0" collapsed="false">
      <c r="A474" s="4" t="n">
        <v>45535</v>
      </c>
      <c r="B474" s="1" t="s">
        <v>95</v>
      </c>
      <c r="C474" s="1" t="s">
        <v>89</v>
      </c>
      <c r="D474" s="1" t="n">
        <v>661</v>
      </c>
      <c r="E474" s="1" t="n">
        <v>30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1" t="n">
        <v>18</v>
      </c>
      <c r="N474" s="1" t="n">
        <v>0.0126666666666667</v>
      </c>
      <c r="O474" s="1" t="n">
        <v>15.4739</v>
      </c>
    </row>
    <row r="475" customFormat="false" ht="15.75" hidden="false" customHeight="false" outlineLevel="0" collapsed="false">
      <c r="A475" s="4" t="n">
        <v>45535</v>
      </c>
      <c r="B475" s="1" t="s">
        <v>88</v>
      </c>
      <c r="C475" s="1" t="s">
        <v>89</v>
      </c>
      <c r="D475" s="1" t="n">
        <v>393</v>
      </c>
      <c r="E475" s="1" t="n">
        <v>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1" t="n">
        <v>11</v>
      </c>
      <c r="O475" s="1" t="n">
        <v>26.4893666666667</v>
      </c>
    </row>
    <row r="476" customFormat="false" ht="15.75" hidden="false" customHeight="false" outlineLevel="0" collapsed="false">
      <c r="A476" s="4" t="n">
        <v>45535</v>
      </c>
      <c r="B476" s="1" t="s">
        <v>95</v>
      </c>
      <c r="C476" s="1" t="s">
        <v>89</v>
      </c>
      <c r="D476" s="1" t="n">
        <v>299</v>
      </c>
      <c r="E476" s="1" t="n">
        <v>75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1" t="n">
        <v>-4</v>
      </c>
      <c r="O476" s="1" t="n">
        <v>14.7405</v>
      </c>
    </row>
    <row r="477" customFormat="false" ht="15.75" hidden="false" customHeight="false" outlineLevel="0" collapsed="false">
      <c r="A477" s="4" t="n">
        <v>45535</v>
      </c>
      <c r="B477" s="1" t="s">
        <v>95</v>
      </c>
      <c r="C477" s="1" t="s">
        <v>89</v>
      </c>
      <c r="D477" s="1" t="n">
        <v>468</v>
      </c>
      <c r="E477" s="1" t="n">
        <v>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1" t="n">
        <v>15</v>
      </c>
      <c r="N477" s="1" t="n">
        <v>0.0110166666666667</v>
      </c>
      <c r="O477" s="1" t="n">
        <v>13.0399666666667</v>
      </c>
    </row>
    <row r="478" customFormat="false" ht="15.75" hidden="false" customHeight="false" outlineLevel="0" collapsed="false">
      <c r="A478" s="4" t="n">
        <v>45535</v>
      </c>
      <c r="B478" s="1" t="s">
        <v>95</v>
      </c>
      <c r="C478" s="1" t="s">
        <v>89</v>
      </c>
      <c r="D478" s="1" t="n">
        <v>247</v>
      </c>
      <c r="E478" s="1" t="n">
        <v>62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1" t="n">
        <v>-9</v>
      </c>
      <c r="O478" s="1" t="n">
        <v>8.62211666666667</v>
      </c>
    </row>
    <row r="479" customFormat="false" ht="15.75" hidden="false" customHeight="false" outlineLevel="0" collapsed="false">
      <c r="A479" s="4" t="n">
        <v>45535</v>
      </c>
      <c r="B479" s="1" t="s">
        <v>127</v>
      </c>
      <c r="C479" s="1" t="s">
        <v>105</v>
      </c>
      <c r="D479" s="1" t="n">
        <v>364</v>
      </c>
      <c r="E479" s="1" t="n">
        <v>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1" t="n">
        <v>4</v>
      </c>
      <c r="O479" s="1" t="n">
        <v>17.4417166666667</v>
      </c>
    </row>
    <row r="480" customFormat="false" ht="15.75" hidden="false" customHeight="false" outlineLevel="0" collapsed="false">
      <c r="A480" s="4" t="n">
        <v>45535</v>
      </c>
      <c r="B480" s="1" t="s">
        <v>127</v>
      </c>
      <c r="C480" s="1" t="s">
        <v>105</v>
      </c>
      <c r="D480" s="1" t="n">
        <v>528</v>
      </c>
      <c r="E480" s="1" t="n">
        <v>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1" t="n">
        <v>1</v>
      </c>
      <c r="O480" s="1" t="n">
        <v>14.9769666666667</v>
      </c>
    </row>
    <row r="481" customFormat="false" ht="15.75" hidden="false" customHeight="false" outlineLevel="0" collapsed="false">
      <c r="A481" s="4" t="n">
        <v>45535</v>
      </c>
      <c r="B481" s="1" t="s">
        <v>127</v>
      </c>
      <c r="C481" s="1" t="s">
        <v>105</v>
      </c>
      <c r="D481" s="1" t="n">
        <v>371</v>
      </c>
      <c r="E481" s="1" t="n">
        <v>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1" t="n">
        <v>-2</v>
      </c>
      <c r="O481" s="1" t="n">
        <v>9.8059</v>
      </c>
    </row>
    <row r="482" customFormat="false" ht="15.75" hidden="false" customHeight="false" outlineLevel="0" collapsed="false">
      <c r="A482" s="4" t="n">
        <v>45535</v>
      </c>
      <c r="B482" s="1" t="s">
        <v>95</v>
      </c>
      <c r="C482" s="1" t="s">
        <v>89</v>
      </c>
      <c r="D482" s="1" t="n">
        <v>607</v>
      </c>
      <c r="E482" s="1" t="n">
        <v>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1" t="n">
        <v>-9</v>
      </c>
      <c r="N482" s="1" t="n">
        <v>0.0108</v>
      </c>
      <c r="O482" s="1" t="n">
        <v>11.5802833333333</v>
      </c>
    </row>
    <row r="483" customFormat="false" ht="15.75" hidden="false" customHeight="false" outlineLevel="0" collapsed="false">
      <c r="A483" s="4" t="n">
        <v>45535</v>
      </c>
      <c r="B483" s="1" t="s">
        <v>95</v>
      </c>
      <c r="C483" s="1" t="s">
        <v>89</v>
      </c>
      <c r="D483" s="1" t="n">
        <v>250</v>
      </c>
      <c r="E483" s="1" t="n">
        <v>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1" t="n">
        <v>-7</v>
      </c>
      <c r="N483" s="1" t="n">
        <v>0.0091</v>
      </c>
      <c r="O483" s="1" t="n">
        <v>12.0967666666667</v>
      </c>
    </row>
    <row r="484" customFormat="false" ht="15.75" hidden="false" customHeight="false" outlineLevel="0" collapsed="false">
      <c r="A484" s="4" t="n">
        <v>45535</v>
      </c>
      <c r="B484" s="1" t="s">
        <v>95</v>
      </c>
      <c r="C484" s="1" t="s">
        <v>89</v>
      </c>
      <c r="D484" s="1" t="n">
        <v>397</v>
      </c>
      <c r="E484" s="1" t="n">
        <v>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1" t="n">
        <v>8</v>
      </c>
      <c r="N484" s="1" t="n">
        <v>0.00978333333333333</v>
      </c>
      <c r="O484" s="1" t="n">
        <v>9.7344</v>
      </c>
    </row>
    <row r="485" customFormat="false" ht="15.75" hidden="false" customHeight="false" outlineLevel="0" collapsed="false">
      <c r="A485" s="4" t="n">
        <v>45535</v>
      </c>
      <c r="B485" s="1" t="s">
        <v>104</v>
      </c>
      <c r="C485" s="1" t="s">
        <v>105</v>
      </c>
      <c r="D485" s="1" t="n">
        <v>443</v>
      </c>
      <c r="E485" s="1" t="n">
        <v>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1" t="n">
        <v>-1</v>
      </c>
      <c r="O485" s="1" t="n">
        <v>14.7129666666667</v>
      </c>
    </row>
    <row r="486" customFormat="false" ht="15.75" hidden="false" customHeight="false" outlineLevel="0" collapsed="false">
      <c r="A486" s="4" t="n">
        <v>45535</v>
      </c>
      <c r="B486" s="1" t="s">
        <v>95</v>
      </c>
      <c r="C486" s="1" t="s">
        <v>89</v>
      </c>
      <c r="D486" s="1" t="n">
        <v>503</v>
      </c>
      <c r="E486" s="1" t="n">
        <v>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1" t="n">
        <v>5</v>
      </c>
      <c r="N486" s="1" t="n">
        <v>6.44381666666667</v>
      </c>
      <c r="O486" s="1" t="n">
        <v>10.496</v>
      </c>
    </row>
    <row r="487" customFormat="false" ht="15.75" hidden="false" customHeight="false" outlineLevel="0" collapsed="false">
      <c r="A487" s="4" t="n">
        <v>45535</v>
      </c>
      <c r="B487" s="1" t="s">
        <v>95</v>
      </c>
      <c r="C487" s="1" t="s">
        <v>89</v>
      </c>
      <c r="D487" s="1" t="n">
        <v>299</v>
      </c>
      <c r="E487" s="1" t="n">
        <v>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1" t="n">
        <v>-10</v>
      </c>
      <c r="N487" s="1" t="n">
        <v>0.00776666666666667</v>
      </c>
      <c r="O487" s="1" t="n">
        <v>11.6008833333333</v>
      </c>
    </row>
    <row r="488" customFormat="false" ht="15.75" hidden="false" customHeight="false" outlineLevel="0" collapsed="false">
      <c r="A488" s="4" t="n">
        <v>45535</v>
      </c>
      <c r="B488" s="1" t="s">
        <v>127</v>
      </c>
      <c r="C488" s="1" t="s">
        <v>89</v>
      </c>
      <c r="D488" s="1" t="n">
        <v>473</v>
      </c>
      <c r="E488" s="1" t="n">
        <v>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1" t="n">
        <v>-1</v>
      </c>
      <c r="O488" s="1" t="n">
        <v>10.6395166666667</v>
      </c>
    </row>
    <row r="489" customFormat="false" ht="15.75" hidden="false" customHeight="false" outlineLevel="0" collapsed="false">
      <c r="A489" s="4" t="n">
        <v>45535</v>
      </c>
      <c r="B489" s="1" t="s">
        <v>95</v>
      </c>
      <c r="C489" s="1" t="s">
        <v>89</v>
      </c>
      <c r="D489" s="1" t="n">
        <v>618</v>
      </c>
      <c r="E489" s="1" t="n">
        <v>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1" t="n">
        <v>5</v>
      </c>
      <c r="N489" s="1" t="n">
        <v>0.00848333333333333</v>
      </c>
      <c r="O489" s="1" t="n">
        <v>11.6596333333333</v>
      </c>
    </row>
    <row r="490" customFormat="false" ht="15.75" hidden="false" customHeight="false" outlineLevel="0" collapsed="false">
      <c r="A490" s="4" t="n">
        <v>45535</v>
      </c>
      <c r="B490" s="1" t="s">
        <v>88</v>
      </c>
      <c r="C490" s="1" t="s">
        <v>89</v>
      </c>
      <c r="D490" s="1" t="n">
        <v>224</v>
      </c>
      <c r="E490" s="1" t="n">
        <v>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1" t="n">
        <v>-8</v>
      </c>
      <c r="O490" s="1" t="n">
        <v>6.39208333333333</v>
      </c>
    </row>
    <row r="491" customFormat="false" ht="15.75" hidden="false" customHeight="false" outlineLevel="0" collapsed="false">
      <c r="A491" s="4" t="n">
        <v>45535</v>
      </c>
      <c r="B491" s="1" t="s">
        <v>169</v>
      </c>
      <c r="C491" s="1" t="s">
        <v>89</v>
      </c>
      <c r="D491" s="1" t="n">
        <v>249</v>
      </c>
      <c r="E491" s="1" t="n">
        <v>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1" t="n">
        <v>-2</v>
      </c>
      <c r="O491" s="1" t="n">
        <v>2.88825</v>
      </c>
    </row>
    <row r="492" customFormat="false" ht="15.75" hidden="false" customHeight="false" outlineLevel="0" collapsed="false">
      <c r="A492" s="4" t="n">
        <v>45535</v>
      </c>
      <c r="B492" s="1" t="s">
        <v>95</v>
      </c>
      <c r="C492" s="1" t="s">
        <v>89</v>
      </c>
      <c r="D492" s="1" t="n">
        <v>309</v>
      </c>
      <c r="E492" s="1" t="n">
        <v>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1" t="n">
        <v>-5</v>
      </c>
      <c r="N492" s="1" t="n">
        <v>0.00876666666666667</v>
      </c>
      <c r="O492" s="1" t="n">
        <v>14.5775166666667</v>
      </c>
    </row>
    <row r="493" customFormat="false" ht="15.75" hidden="false" customHeight="false" outlineLevel="0" collapsed="false">
      <c r="A493" s="4" t="n">
        <v>45535</v>
      </c>
      <c r="B493" s="1" t="s">
        <v>127</v>
      </c>
      <c r="C493" s="1" t="s">
        <v>89</v>
      </c>
      <c r="D493" s="1" t="n">
        <v>528</v>
      </c>
      <c r="E493" s="1" t="n">
        <v>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1" t="n">
        <v>0</v>
      </c>
      <c r="O493" s="1" t="n">
        <v>13.4899</v>
      </c>
    </row>
    <row r="494" customFormat="false" ht="15.75" hidden="false" customHeight="false" outlineLevel="0" collapsed="false">
      <c r="A494" s="4" t="n">
        <v>45535</v>
      </c>
      <c r="B494" s="1" t="s">
        <v>127</v>
      </c>
      <c r="C494" s="1" t="s">
        <v>105</v>
      </c>
      <c r="D494" s="1" t="n">
        <v>508</v>
      </c>
      <c r="E494" s="1" t="n">
        <v>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1" t="n">
        <v>-1</v>
      </c>
      <c r="O494" s="1" t="n">
        <v>11.7571833333333</v>
      </c>
    </row>
    <row r="495" customFormat="false" ht="15.75" hidden="false" customHeight="false" outlineLevel="0" collapsed="false">
      <c r="A495" s="4" t="n">
        <v>45535</v>
      </c>
      <c r="B495" s="1" t="s">
        <v>95</v>
      </c>
      <c r="C495" s="1" t="s">
        <v>89</v>
      </c>
      <c r="D495" s="1" t="n">
        <v>299</v>
      </c>
      <c r="E495" s="1" t="n">
        <v>75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1" t="n">
        <v>-3</v>
      </c>
      <c r="O495" s="1" t="n">
        <v>15.4774666666667</v>
      </c>
    </row>
    <row r="496" customFormat="false" ht="15.75" hidden="false" customHeight="false" outlineLevel="0" collapsed="false">
      <c r="A496" s="4" t="n">
        <v>45535</v>
      </c>
      <c r="B496" s="1" t="s">
        <v>169</v>
      </c>
      <c r="C496" s="1" t="s">
        <v>89</v>
      </c>
      <c r="D496" s="1" t="n">
        <v>309</v>
      </c>
      <c r="E496" s="1" t="n">
        <v>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1" t="n">
        <v>5</v>
      </c>
      <c r="O496" s="1" t="n">
        <v>10.1166166666667</v>
      </c>
    </row>
    <row r="497" customFormat="false" ht="15.75" hidden="false" customHeight="false" outlineLevel="0" collapsed="false">
      <c r="A497" s="4" t="n">
        <v>45535</v>
      </c>
      <c r="B497" s="1" t="s">
        <v>95</v>
      </c>
      <c r="C497" s="1" t="s">
        <v>89</v>
      </c>
      <c r="D497" s="1" t="n">
        <v>299</v>
      </c>
      <c r="E497" s="1" t="n">
        <v>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1" t="n">
        <v>1</v>
      </c>
      <c r="N497" s="1" t="n">
        <v>0.00911666666666667</v>
      </c>
      <c r="O497" s="1" t="n">
        <v>9.90246666666667</v>
      </c>
    </row>
    <row r="498" customFormat="false" ht="15.75" hidden="false" customHeight="false" outlineLevel="0" collapsed="false">
      <c r="A498" s="4" t="n">
        <v>45535</v>
      </c>
      <c r="B498" s="1" t="s">
        <v>95</v>
      </c>
      <c r="C498" s="1" t="s">
        <v>89</v>
      </c>
      <c r="D498" s="1" t="n">
        <v>250</v>
      </c>
      <c r="E498" s="1" t="n">
        <v>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1" t="n">
        <v>-12</v>
      </c>
      <c r="N498" s="1" t="n">
        <v>0.0109</v>
      </c>
      <c r="O498" s="1" t="n">
        <v>9.32061666666667</v>
      </c>
    </row>
    <row r="499" customFormat="false" ht="15.75" hidden="false" customHeight="false" outlineLevel="0" collapsed="false">
      <c r="A499" s="4" t="n">
        <v>45535</v>
      </c>
      <c r="B499" s="1" t="s">
        <v>127</v>
      </c>
      <c r="C499" s="1" t="s">
        <v>105</v>
      </c>
      <c r="D499" s="1" t="n">
        <v>394</v>
      </c>
      <c r="E499" s="1" t="n">
        <v>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1" t="n">
        <v>4</v>
      </c>
      <c r="O499" s="1" t="n">
        <v>16.2456166666667</v>
      </c>
    </row>
    <row r="500" customFormat="false" ht="15.75" hidden="false" customHeight="false" outlineLevel="0" collapsed="false">
      <c r="A500" s="4" t="n">
        <v>45535</v>
      </c>
      <c r="B500" s="1" t="s">
        <v>127</v>
      </c>
      <c r="C500" s="1" t="s">
        <v>105</v>
      </c>
      <c r="D500" s="1" t="n">
        <v>728</v>
      </c>
      <c r="E500" s="1" t="n">
        <v>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1" t="n">
        <v>1</v>
      </c>
      <c r="O500" s="1" t="n">
        <v>15.2128333333333</v>
      </c>
    </row>
    <row r="501" customFormat="false" ht="15.75" hidden="false" customHeight="false" outlineLevel="0" collapsed="false">
      <c r="A501" s="4" t="n">
        <v>45535</v>
      </c>
      <c r="B501" s="1" t="s">
        <v>127</v>
      </c>
      <c r="C501" s="1" t="s">
        <v>105</v>
      </c>
      <c r="D501" s="1" t="n">
        <v>338</v>
      </c>
      <c r="E501" s="1" t="n">
        <v>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1" t="n">
        <v>-3</v>
      </c>
      <c r="O501" s="1" t="n">
        <v>7.07928333333333</v>
      </c>
    </row>
    <row r="502" customFormat="false" ht="15.75" hidden="false" customHeight="false" outlineLevel="0" collapsed="false">
      <c r="A502" s="4" t="n">
        <v>45535</v>
      </c>
      <c r="B502" s="1" t="s">
        <v>88</v>
      </c>
      <c r="C502" s="1" t="s">
        <v>89</v>
      </c>
      <c r="D502" s="1" t="n">
        <v>923</v>
      </c>
      <c r="E502" s="1" t="n">
        <v>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1" t="n">
        <v>3</v>
      </c>
      <c r="O502" s="1" t="n">
        <v>18.0030166666667</v>
      </c>
    </row>
    <row r="503" customFormat="false" ht="15.75" hidden="false" customHeight="false" outlineLevel="0" collapsed="false">
      <c r="A503" s="4" t="n">
        <v>45535</v>
      </c>
      <c r="B503" s="1" t="s">
        <v>95</v>
      </c>
      <c r="C503" s="1" t="s">
        <v>89</v>
      </c>
      <c r="D503" s="1" t="n">
        <v>349</v>
      </c>
      <c r="E503" s="1" t="n">
        <v>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1" t="n">
        <v>-2</v>
      </c>
      <c r="N503" s="1" t="n">
        <v>0.0103833333333333</v>
      </c>
      <c r="O503" s="1" t="n">
        <v>12.5049333333333</v>
      </c>
    </row>
    <row r="504" customFormat="false" ht="15.75" hidden="false" customHeight="false" outlineLevel="0" collapsed="false">
      <c r="A504" s="4" t="n">
        <v>45535</v>
      </c>
      <c r="B504" s="1" t="s">
        <v>127</v>
      </c>
      <c r="C504" s="1" t="s">
        <v>89</v>
      </c>
      <c r="D504" s="1" t="n">
        <v>492</v>
      </c>
      <c r="E504" s="1" t="n">
        <v>150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1" t="n">
        <v>-3</v>
      </c>
      <c r="O504" s="1" t="n">
        <v>10.8222</v>
      </c>
    </row>
    <row r="505" customFormat="false" ht="15.75" hidden="false" customHeight="false" outlineLevel="0" collapsed="false">
      <c r="A505" s="4" t="n">
        <v>45535</v>
      </c>
      <c r="B505" s="1" t="s">
        <v>104</v>
      </c>
      <c r="C505" s="1" t="s">
        <v>89</v>
      </c>
      <c r="D505" s="1" t="n">
        <v>313</v>
      </c>
      <c r="E505" s="1" t="n">
        <v>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1" t="n">
        <v>-7</v>
      </c>
      <c r="O505" s="1" t="n">
        <v>7.9484</v>
      </c>
    </row>
    <row r="506" customFormat="false" ht="15.75" hidden="false" customHeight="false" outlineLevel="0" collapsed="false">
      <c r="A506" s="4" t="n">
        <v>45535</v>
      </c>
      <c r="B506" s="1" t="s">
        <v>95</v>
      </c>
      <c r="C506" s="1" t="s">
        <v>89</v>
      </c>
      <c r="D506" s="1" t="n">
        <v>306</v>
      </c>
      <c r="E506" s="1" t="n">
        <v>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1" t="n">
        <v>-16</v>
      </c>
      <c r="N506" s="1" t="n">
        <v>0.0109166666666667</v>
      </c>
      <c r="O506" s="1" t="n">
        <v>6.60848333333333</v>
      </c>
    </row>
    <row r="507" customFormat="false" ht="15.75" hidden="false" customHeight="false" outlineLevel="0" collapsed="false">
      <c r="A507" s="4" t="n">
        <v>45535</v>
      </c>
      <c r="B507" s="1" t="s">
        <v>104</v>
      </c>
      <c r="C507" s="1" t="s">
        <v>105</v>
      </c>
      <c r="D507" s="1" t="n">
        <v>429</v>
      </c>
      <c r="E507" s="1" t="n">
        <v>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1" t="n">
        <v>-3</v>
      </c>
      <c r="O507" s="1" t="n">
        <v>11.3451333333333</v>
      </c>
    </row>
    <row r="508" customFormat="false" ht="15.75" hidden="false" customHeight="false" outlineLevel="0" collapsed="false">
      <c r="A508" s="4" t="n">
        <v>45535</v>
      </c>
      <c r="B508" s="1" t="s">
        <v>127</v>
      </c>
      <c r="C508" s="1" t="s">
        <v>105</v>
      </c>
      <c r="D508" s="1" t="n">
        <v>394</v>
      </c>
      <c r="E508" s="1" t="n">
        <v>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1" t="n">
        <v>-2</v>
      </c>
      <c r="O508" s="1" t="n">
        <v>9.88413333333333</v>
      </c>
    </row>
    <row r="509" customFormat="false" ht="15.75" hidden="false" customHeight="false" outlineLevel="0" collapsed="false">
      <c r="A509" s="4" t="n">
        <v>45535</v>
      </c>
      <c r="B509" s="1" t="s">
        <v>88</v>
      </c>
      <c r="C509" s="1" t="s">
        <v>89</v>
      </c>
      <c r="D509" s="1" t="n">
        <v>328</v>
      </c>
      <c r="E509" s="1" t="n">
        <v>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1" t="n">
        <v>-3</v>
      </c>
      <c r="O509" s="1" t="n">
        <v>11.2448833333333</v>
      </c>
    </row>
    <row r="510" customFormat="false" ht="15.75" hidden="false" customHeight="false" outlineLevel="0" collapsed="false">
      <c r="A510" s="4" t="n">
        <v>45535</v>
      </c>
      <c r="B510" s="1" t="s">
        <v>127</v>
      </c>
      <c r="C510" s="1" t="s">
        <v>105</v>
      </c>
      <c r="D510" s="1" t="n">
        <v>394</v>
      </c>
      <c r="E510" s="1" t="n">
        <v>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1" t="n">
        <v>0</v>
      </c>
      <c r="O510" s="1" t="n">
        <v>11.8094666666667</v>
      </c>
    </row>
    <row r="511" customFormat="false" ht="15.75" hidden="false" customHeight="false" outlineLevel="0" collapsed="false">
      <c r="A511" s="4" t="n">
        <v>45535</v>
      </c>
      <c r="B511" s="1" t="s">
        <v>95</v>
      </c>
      <c r="C511" s="1" t="s">
        <v>89</v>
      </c>
      <c r="D511" s="1" t="n">
        <v>219</v>
      </c>
      <c r="E511" s="1" t="n">
        <v>50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1" t="n">
        <v>-8</v>
      </c>
      <c r="O511" s="1" t="n">
        <v>10.9425833333333</v>
      </c>
    </row>
    <row r="512" customFormat="false" ht="15.75" hidden="false" customHeight="false" outlineLevel="0" collapsed="false">
      <c r="A512" s="4" t="n">
        <v>45535</v>
      </c>
      <c r="B512" s="1" t="s">
        <v>88</v>
      </c>
      <c r="C512" s="1" t="s">
        <v>89</v>
      </c>
      <c r="D512" s="1" t="n">
        <v>528</v>
      </c>
      <c r="E512" s="1" t="n">
        <v>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1" t="n">
        <v>-4</v>
      </c>
      <c r="O512" s="1" t="n">
        <v>10.19415</v>
      </c>
    </row>
    <row r="513" customFormat="false" ht="15.75" hidden="false" customHeight="false" outlineLevel="0" collapsed="false">
      <c r="A513" s="4" t="n">
        <v>45535</v>
      </c>
      <c r="B513" s="1" t="s">
        <v>169</v>
      </c>
      <c r="C513" s="1" t="s">
        <v>89</v>
      </c>
      <c r="D513" s="1" t="n">
        <v>249</v>
      </c>
      <c r="E513" s="1" t="n">
        <v>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1" t="n">
        <v>4</v>
      </c>
      <c r="O513" s="1" t="n">
        <v>9.85093333333333</v>
      </c>
    </row>
    <row r="514" customFormat="false" ht="15.75" hidden="false" customHeight="false" outlineLevel="0" collapsed="false">
      <c r="A514" s="4" t="n">
        <v>45535</v>
      </c>
      <c r="B514" s="1" t="s">
        <v>95</v>
      </c>
      <c r="C514" s="1" t="s">
        <v>89</v>
      </c>
      <c r="D514" s="1" t="n">
        <v>374</v>
      </c>
      <c r="E514" s="1" t="n">
        <v>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1" t="n">
        <v>1</v>
      </c>
      <c r="N514" s="1" t="n">
        <v>0.0100666666666667</v>
      </c>
      <c r="O514" s="1" t="n">
        <v>13.6790833333333</v>
      </c>
    </row>
    <row r="515" customFormat="false" ht="15.75" hidden="false" customHeight="false" outlineLevel="0" collapsed="false">
      <c r="A515" s="4" t="n">
        <v>45535</v>
      </c>
      <c r="B515" s="1" t="s">
        <v>95</v>
      </c>
      <c r="C515" s="1" t="s">
        <v>89</v>
      </c>
      <c r="D515" s="1" t="n">
        <v>535</v>
      </c>
      <c r="E515" s="1" t="n">
        <v>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1" t="n">
        <v>14</v>
      </c>
      <c r="N515" s="1" t="n">
        <v>13.00505</v>
      </c>
      <c r="O515" s="1" t="n">
        <v>20.3105166666667</v>
      </c>
    </row>
    <row r="516" customFormat="false" ht="15.75" hidden="false" customHeight="false" outlineLevel="0" collapsed="false">
      <c r="A516" s="4" t="n">
        <v>45535</v>
      </c>
      <c r="B516" s="1" t="s">
        <v>127</v>
      </c>
      <c r="C516" s="1" t="s">
        <v>105</v>
      </c>
      <c r="D516" s="1" t="n">
        <v>450</v>
      </c>
      <c r="E516" s="1" t="n">
        <v>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1" t="n">
        <v>11</v>
      </c>
      <c r="O516" s="1" t="n">
        <v>24.31005</v>
      </c>
    </row>
    <row r="517" customFormat="false" ht="15.75" hidden="false" customHeight="false" outlineLevel="0" collapsed="false">
      <c r="A517" s="4" t="n">
        <v>45535</v>
      </c>
      <c r="B517" s="1" t="s">
        <v>95</v>
      </c>
      <c r="C517" s="1" t="s">
        <v>89</v>
      </c>
      <c r="D517" s="1" t="n">
        <v>309</v>
      </c>
      <c r="E517" s="1" t="n">
        <v>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1" t="n">
        <v>0</v>
      </c>
      <c r="N517" s="1" t="n">
        <v>0.0126166666666667</v>
      </c>
      <c r="O517" s="1" t="n">
        <v>13.1086833333333</v>
      </c>
    </row>
    <row r="518" customFormat="false" ht="15.75" hidden="false" customHeight="false" outlineLevel="0" collapsed="false">
      <c r="A518" s="4" t="n">
        <v>45535</v>
      </c>
      <c r="B518" s="1" t="s">
        <v>95</v>
      </c>
      <c r="C518" s="1" t="s">
        <v>89</v>
      </c>
      <c r="D518" s="1" t="n">
        <v>309</v>
      </c>
      <c r="E518" s="1" t="n">
        <v>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1" t="n">
        <v>-7</v>
      </c>
      <c r="N518" s="1" t="n">
        <v>0.0167833333333333</v>
      </c>
      <c r="O518" s="1" t="n">
        <v>11.1581166666667</v>
      </c>
    </row>
    <row r="519" customFormat="false" ht="15.75" hidden="false" customHeight="false" outlineLevel="0" collapsed="false">
      <c r="A519" s="4" t="n">
        <v>45535</v>
      </c>
      <c r="B519" s="1" t="s">
        <v>95</v>
      </c>
      <c r="C519" s="1" t="s">
        <v>89</v>
      </c>
      <c r="D519" s="1" t="n">
        <v>264</v>
      </c>
      <c r="E519" s="1" t="n">
        <v>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1" t="n">
        <v>-5</v>
      </c>
      <c r="N519" s="1" t="n">
        <v>0.0082</v>
      </c>
      <c r="O519" s="1" t="n">
        <v>16.7334</v>
      </c>
    </row>
    <row r="520" customFormat="false" ht="15.75" hidden="false" customHeight="false" outlineLevel="0" collapsed="false">
      <c r="A520" s="4" t="n">
        <v>45535</v>
      </c>
      <c r="B520" s="1" t="s">
        <v>104</v>
      </c>
      <c r="C520" s="1" t="s">
        <v>105</v>
      </c>
      <c r="D520" s="1" t="n">
        <v>348</v>
      </c>
      <c r="E520" s="1" t="n">
        <v>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1" t="n">
        <v>3</v>
      </c>
      <c r="O520" s="1" t="n">
        <v>18.3046833333333</v>
      </c>
    </row>
    <row r="521" customFormat="false" ht="15.75" hidden="false" customHeight="false" outlineLevel="0" collapsed="false">
      <c r="A521" s="4" t="n">
        <v>45535</v>
      </c>
      <c r="B521" s="1" t="s">
        <v>169</v>
      </c>
      <c r="C521" s="1" t="s">
        <v>89</v>
      </c>
      <c r="D521" s="1" t="n">
        <v>173.5</v>
      </c>
      <c r="E521" s="1" t="n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1" t="n">
        <v>12</v>
      </c>
      <c r="O521" s="1" t="n">
        <v>17.2270166666667</v>
      </c>
    </row>
    <row r="522" customFormat="false" ht="15.75" hidden="false" customHeight="false" outlineLevel="0" collapsed="false">
      <c r="A522" s="4" t="n">
        <v>45535</v>
      </c>
      <c r="B522" s="1" t="s">
        <v>169</v>
      </c>
      <c r="C522" s="1" t="s">
        <v>89</v>
      </c>
      <c r="D522" s="1" t="n">
        <v>124.5</v>
      </c>
      <c r="E522" s="1" t="n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1" t="n">
        <v>11</v>
      </c>
      <c r="O522" s="1" t="n">
        <v>16.8690166666667</v>
      </c>
    </row>
    <row r="523" customFormat="false" ht="15.75" hidden="false" customHeight="false" outlineLevel="0" collapsed="false">
      <c r="A523" s="4" t="n">
        <v>45535</v>
      </c>
      <c r="B523" s="1" t="s">
        <v>127</v>
      </c>
      <c r="C523" s="1" t="s">
        <v>105</v>
      </c>
      <c r="D523" s="1" t="n">
        <v>1092</v>
      </c>
      <c r="E523" s="1" t="n">
        <v>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1" t="n">
        <v>-2</v>
      </c>
      <c r="O523" s="1" t="n">
        <v>15.96425</v>
      </c>
    </row>
    <row r="524" customFormat="false" ht="15.75" hidden="false" customHeight="false" outlineLevel="0" collapsed="false">
      <c r="A524" s="4" t="n">
        <v>45535</v>
      </c>
      <c r="B524" s="1" t="s">
        <v>169</v>
      </c>
      <c r="C524" s="1" t="s">
        <v>89</v>
      </c>
      <c r="D524" s="1" t="n">
        <v>124.5</v>
      </c>
      <c r="E524" s="1" t="n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1" t="n">
        <v>3</v>
      </c>
      <c r="O524" s="1" t="n">
        <v>8.88076666666667</v>
      </c>
    </row>
    <row r="525" customFormat="false" ht="15.75" hidden="false" customHeight="false" outlineLevel="0" collapsed="false">
      <c r="A525" s="4" t="n">
        <v>45535</v>
      </c>
      <c r="B525" s="1" t="s">
        <v>127</v>
      </c>
      <c r="C525" s="1" t="s">
        <v>105</v>
      </c>
      <c r="D525" s="1" t="n">
        <v>364</v>
      </c>
      <c r="E525" s="1" t="n">
        <v>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1" t="n">
        <v>-1</v>
      </c>
      <c r="O525" s="1" t="n">
        <v>10.59215</v>
      </c>
    </row>
    <row r="526" customFormat="false" ht="15.75" hidden="false" customHeight="false" outlineLevel="0" collapsed="false">
      <c r="A526" s="4" t="n">
        <v>45535</v>
      </c>
      <c r="B526" s="1" t="s">
        <v>169</v>
      </c>
      <c r="C526" s="1" t="s">
        <v>89</v>
      </c>
      <c r="D526" s="1" t="n">
        <v>306</v>
      </c>
      <c r="E526" s="1" t="n">
        <v>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1" t="n">
        <v>6</v>
      </c>
      <c r="O526" s="1" t="n">
        <v>11.6326333333333</v>
      </c>
    </row>
    <row r="527" customFormat="false" ht="15.75" hidden="false" customHeight="false" outlineLevel="0" collapsed="false">
      <c r="A527" s="4" t="n">
        <v>45535</v>
      </c>
      <c r="B527" s="1" t="s">
        <v>127</v>
      </c>
      <c r="C527" s="1" t="s">
        <v>105</v>
      </c>
      <c r="D527" s="1" t="n">
        <v>395</v>
      </c>
      <c r="E527" s="1" t="n">
        <v>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1" t="n">
        <v>0</v>
      </c>
      <c r="O527" s="1" t="n">
        <v>12.1968666666667</v>
      </c>
    </row>
    <row r="528" customFormat="false" ht="15.75" hidden="false" customHeight="false" outlineLevel="0" collapsed="false">
      <c r="A528" s="4" t="n">
        <v>45535</v>
      </c>
      <c r="B528" s="1" t="s">
        <v>88</v>
      </c>
      <c r="C528" s="1" t="s">
        <v>89</v>
      </c>
      <c r="D528" s="1" t="n">
        <v>259</v>
      </c>
      <c r="E528" s="1" t="n">
        <v>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1" t="n">
        <v>-5</v>
      </c>
      <c r="O528" s="1" t="n">
        <v>9.06976666666667</v>
      </c>
    </row>
    <row r="529" customFormat="false" ht="15.75" hidden="false" customHeight="false" outlineLevel="0" collapsed="false">
      <c r="A529" s="4" t="n">
        <v>45535</v>
      </c>
      <c r="B529" s="1" t="s">
        <v>88</v>
      </c>
      <c r="C529" s="1" t="s">
        <v>89</v>
      </c>
      <c r="D529" s="1" t="n">
        <v>443</v>
      </c>
      <c r="E529" s="1" t="n">
        <v>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1" t="n">
        <v>-6</v>
      </c>
      <c r="O529" s="1" t="n">
        <v>8.96541666666667</v>
      </c>
    </row>
    <row r="530" customFormat="false" ht="15.75" hidden="false" customHeight="false" outlineLevel="0" collapsed="false">
      <c r="A530" s="4" t="n">
        <v>45535</v>
      </c>
      <c r="B530" s="1" t="s">
        <v>127</v>
      </c>
      <c r="C530" s="1" t="s">
        <v>89</v>
      </c>
      <c r="D530" s="1" t="n">
        <v>278</v>
      </c>
      <c r="E530" s="1" t="n">
        <v>100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1" t="n">
        <v>1</v>
      </c>
      <c r="O530" s="1" t="n">
        <v>13.9071166666667</v>
      </c>
    </row>
    <row r="531" customFormat="false" ht="15.75" hidden="false" customHeight="false" outlineLevel="0" collapsed="false">
      <c r="A531" s="4" t="n">
        <v>45535</v>
      </c>
      <c r="B531" s="1" t="s">
        <v>127</v>
      </c>
      <c r="C531" s="1" t="s">
        <v>89</v>
      </c>
      <c r="D531" s="1" t="n">
        <v>264</v>
      </c>
      <c r="E531" s="1" t="n">
        <v>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1" t="n">
        <v>1</v>
      </c>
      <c r="O531" s="1" t="n">
        <v>12.48975</v>
      </c>
    </row>
    <row r="532" customFormat="false" ht="15.75" hidden="false" customHeight="false" outlineLevel="0" collapsed="false">
      <c r="A532" s="4" t="n">
        <v>45535</v>
      </c>
      <c r="B532" s="1" t="s">
        <v>95</v>
      </c>
      <c r="C532" s="1" t="s">
        <v>89</v>
      </c>
      <c r="D532" s="1" t="n">
        <v>250</v>
      </c>
      <c r="E532" s="1" t="n">
        <v>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1" t="n">
        <v>-9</v>
      </c>
      <c r="N532" s="1" t="n">
        <v>0.0086</v>
      </c>
      <c r="O532" s="1" t="n">
        <v>9.32145</v>
      </c>
    </row>
    <row r="533" customFormat="false" ht="15.75" hidden="false" customHeight="false" outlineLevel="0" collapsed="false">
      <c r="A533" s="4" t="n">
        <v>45535</v>
      </c>
      <c r="B533" s="1" t="s">
        <v>104</v>
      </c>
      <c r="C533" s="1" t="s">
        <v>89</v>
      </c>
      <c r="D533" s="1" t="n">
        <v>698</v>
      </c>
      <c r="E533" s="1" t="n">
        <v>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1" t="n">
        <v>1</v>
      </c>
      <c r="O533" s="1" t="n">
        <v>17.6926166666667</v>
      </c>
    </row>
    <row r="534" customFormat="false" ht="15.75" hidden="false" customHeight="false" outlineLevel="0" collapsed="false">
      <c r="A534" s="4" t="n">
        <v>45535</v>
      </c>
      <c r="B534" s="1" t="s">
        <v>127</v>
      </c>
      <c r="C534" s="1" t="s">
        <v>89</v>
      </c>
      <c r="D534" s="1" t="n">
        <v>376</v>
      </c>
      <c r="E534" s="1" t="n">
        <v>100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1" t="n">
        <v>0</v>
      </c>
      <c r="O534" s="1" t="n">
        <v>13.1058</v>
      </c>
    </row>
    <row r="535" customFormat="false" ht="15.75" hidden="false" customHeight="false" outlineLevel="0" collapsed="false">
      <c r="A535" s="4" t="n">
        <v>45535</v>
      </c>
      <c r="B535" s="1" t="s">
        <v>169</v>
      </c>
      <c r="C535" s="1" t="s">
        <v>89</v>
      </c>
      <c r="D535" s="1" t="n">
        <v>309</v>
      </c>
      <c r="E535" s="1" t="n">
        <v>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1" t="n">
        <v>5</v>
      </c>
      <c r="O535" s="1" t="n">
        <v>10.10675</v>
      </c>
    </row>
    <row r="536" customFormat="false" ht="15.75" hidden="false" customHeight="false" outlineLevel="0" collapsed="false">
      <c r="A536" s="4" t="n">
        <v>45535</v>
      </c>
      <c r="B536" s="1" t="s">
        <v>88</v>
      </c>
      <c r="C536" s="1" t="s">
        <v>89</v>
      </c>
      <c r="D536" s="1" t="n">
        <v>658</v>
      </c>
      <c r="E536" s="1" t="n">
        <v>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1" t="n">
        <v>-1</v>
      </c>
      <c r="O536" s="1" t="n">
        <v>13.1304666666667</v>
      </c>
    </row>
    <row r="537" customFormat="false" ht="15.75" hidden="false" customHeight="false" outlineLevel="0" collapsed="false">
      <c r="A537" s="4" t="n">
        <v>45535</v>
      </c>
      <c r="B537" s="1" t="s">
        <v>169</v>
      </c>
      <c r="C537" s="1" t="s">
        <v>89</v>
      </c>
      <c r="D537" s="1" t="n">
        <v>124.5</v>
      </c>
      <c r="E537" s="1" t="n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1" t="n">
        <v>3</v>
      </c>
      <c r="O537" s="1" t="n">
        <v>8.43315</v>
      </c>
    </row>
    <row r="538" customFormat="false" ht="15.75" hidden="false" customHeight="false" outlineLevel="0" collapsed="false">
      <c r="A538" s="4" t="n">
        <v>45535</v>
      </c>
      <c r="B538" s="1" t="s">
        <v>104</v>
      </c>
      <c r="C538" s="1" t="s">
        <v>105</v>
      </c>
      <c r="D538" s="1" t="n">
        <v>264</v>
      </c>
      <c r="E538" s="1" t="n">
        <v>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1" t="n">
        <v>-4</v>
      </c>
      <c r="O538" s="1" t="n">
        <v>10.6039833333333</v>
      </c>
    </row>
    <row r="539" customFormat="false" ht="15.75" hidden="false" customHeight="false" outlineLevel="0" collapsed="false">
      <c r="A539" s="4" t="n">
        <v>45535</v>
      </c>
      <c r="B539" s="1" t="s">
        <v>169</v>
      </c>
      <c r="C539" s="1" t="s">
        <v>89</v>
      </c>
      <c r="D539" s="1" t="n">
        <v>306</v>
      </c>
      <c r="E539" s="1" t="n">
        <v>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1" t="n">
        <v>4</v>
      </c>
      <c r="O539" s="1" t="n">
        <v>9.35236666666667</v>
      </c>
    </row>
    <row r="540" customFormat="false" ht="15.75" hidden="false" customHeight="false" outlineLevel="0" collapsed="false">
      <c r="A540" s="4" t="n">
        <v>45535</v>
      </c>
      <c r="B540" s="1" t="s">
        <v>169</v>
      </c>
      <c r="C540" s="1" t="s">
        <v>89</v>
      </c>
      <c r="D540" s="1" t="n">
        <v>309</v>
      </c>
      <c r="E540" s="1" t="n">
        <v>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1" t="n">
        <v>9</v>
      </c>
      <c r="O540" s="1" t="n">
        <v>14.1407666666667</v>
      </c>
    </row>
    <row r="541" customFormat="false" ht="15.75" hidden="false" customHeight="false" outlineLevel="0" collapsed="false">
      <c r="A541" s="4" t="n">
        <v>45535</v>
      </c>
      <c r="B541" s="1" t="s">
        <v>95</v>
      </c>
      <c r="C541" s="1" t="s">
        <v>89</v>
      </c>
      <c r="D541" s="1" t="n">
        <v>568</v>
      </c>
      <c r="E541" s="1" t="n">
        <v>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1" t="n">
        <v>-9</v>
      </c>
      <c r="N541" s="1" t="n">
        <v>0.0099</v>
      </c>
      <c r="O541" s="1" t="n">
        <v>16.1415833333333</v>
      </c>
    </row>
    <row r="542" customFormat="false" ht="15.75" hidden="false" customHeight="false" outlineLevel="0" collapsed="false">
      <c r="A542" s="4" t="n">
        <v>45535</v>
      </c>
      <c r="B542" s="1" t="s">
        <v>95</v>
      </c>
      <c r="C542" s="1" t="s">
        <v>89</v>
      </c>
      <c r="D542" s="1" t="n">
        <v>521</v>
      </c>
      <c r="E542" s="1" t="n">
        <v>26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1" t="n">
        <v>-1</v>
      </c>
      <c r="N542" s="1" t="n">
        <v>0.016</v>
      </c>
      <c r="O542" s="1" t="n">
        <v>41.0702833333333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4" min="4" style="0" width="16.89"/>
    <col collapsed="false" customWidth="true" hidden="false" outlineLevel="0" max="40" min="40" style="0" width="20.25"/>
    <col collapsed="false" customWidth="true" hidden="false" outlineLevel="0" max="47" min="47" style="0" width="20.6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1469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1470</v>
      </c>
      <c r="AP1" s="1" t="s">
        <v>1471</v>
      </c>
      <c r="AQ1" s="1" t="s">
        <v>1472</v>
      </c>
      <c r="AR1" s="1" t="s">
        <v>1473</v>
      </c>
      <c r="AS1" s="1" t="s">
        <v>1474</v>
      </c>
      <c r="AT1" s="1" t="s">
        <v>1475</v>
      </c>
      <c r="AU1" s="1" t="s">
        <v>1476</v>
      </c>
      <c r="AV1" s="1" t="s">
        <v>1477</v>
      </c>
    </row>
    <row r="2" customFormat="false" ht="15.75" hidden="false" customHeight="false" outlineLevel="0" collapsed="false">
      <c r="A2" s="3" t="n">
        <v>45505</v>
      </c>
      <c r="B2" s="1" t="s">
        <v>1478</v>
      </c>
      <c r="C2" s="1" t="s">
        <v>1479</v>
      </c>
      <c r="D2" s="1" t="s">
        <v>41</v>
      </c>
      <c r="E2" s="1" t="s">
        <v>1480</v>
      </c>
      <c r="G2" s="1" t="s">
        <v>63</v>
      </c>
    </row>
    <row r="3" customFormat="false" ht="15.75" hidden="false" customHeight="false" outlineLevel="0" collapsed="false">
      <c r="A3" s="3" t="n">
        <v>45505</v>
      </c>
      <c r="B3" s="1" t="s">
        <v>1478</v>
      </c>
      <c r="C3" s="1" t="s">
        <v>1481</v>
      </c>
      <c r="D3" s="1" t="s">
        <v>45</v>
      </c>
      <c r="E3" s="1" t="s">
        <v>1482</v>
      </c>
      <c r="G3" s="1" t="s">
        <v>1483</v>
      </c>
    </row>
    <row r="4" customFormat="false" ht="15.75" hidden="false" customHeight="false" outlineLevel="0" collapsed="false">
      <c r="A4" s="3" t="n">
        <v>45505</v>
      </c>
      <c r="B4" s="1" t="s">
        <v>1478</v>
      </c>
      <c r="C4" s="1"/>
      <c r="D4" s="1"/>
      <c r="E4" s="1"/>
      <c r="G4" s="1"/>
      <c r="H4" s="1" t="s">
        <v>1481</v>
      </c>
      <c r="I4" s="1" t="s">
        <v>63</v>
      </c>
      <c r="J4" s="1" t="s">
        <v>1484</v>
      </c>
      <c r="L4" s="1" t="s">
        <v>1485</v>
      </c>
    </row>
    <row r="5" customFormat="false" ht="15.75" hidden="false" customHeight="false" outlineLevel="0" collapsed="false">
      <c r="A5" s="3" t="n">
        <v>45505</v>
      </c>
      <c r="B5" s="1" t="s">
        <v>1478</v>
      </c>
      <c r="C5" s="1"/>
      <c r="D5" s="1"/>
      <c r="E5" s="1"/>
      <c r="G5" s="1"/>
      <c r="H5" s="1" t="s">
        <v>1486</v>
      </c>
      <c r="I5" s="1" t="s">
        <v>70</v>
      </c>
      <c r="J5" s="1" t="s">
        <v>1487</v>
      </c>
      <c r="L5" s="1" t="s">
        <v>53</v>
      </c>
      <c r="M5" s="1" t="n">
        <v>9</v>
      </c>
      <c r="N5" s="2" t="b">
        <f aca="false">TRUE()</f>
        <v>1</v>
      </c>
      <c r="O5" s="1" t="n">
        <v>360</v>
      </c>
    </row>
    <row r="6" customFormat="false" ht="15.75" hidden="false" customHeight="false" outlineLevel="0" collapsed="false">
      <c r="A6" s="3" t="n">
        <v>45505</v>
      </c>
      <c r="B6" s="1" t="s">
        <v>1478</v>
      </c>
      <c r="C6" s="1"/>
      <c r="D6" s="1"/>
      <c r="E6" s="1"/>
      <c r="G6" s="1"/>
      <c r="H6" s="1" t="s">
        <v>417</v>
      </c>
      <c r="I6" s="1" t="s">
        <v>45</v>
      </c>
      <c r="J6" s="1" t="s">
        <v>1487</v>
      </c>
      <c r="L6" s="1" t="s">
        <v>47</v>
      </c>
      <c r="M6" s="1" t="n">
        <v>10</v>
      </c>
      <c r="N6" s="2" t="b">
        <f aca="false">TRUE()</f>
        <v>1</v>
      </c>
      <c r="O6" s="1" t="n">
        <v>400</v>
      </c>
    </row>
    <row r="7" customFormat="false" ht="15.75" hidden="false" customHeight="false" outlineLevel="0" collapsed="false">
      <c r="A7" s="3" t="n">
        <v>45505</v>
      </c>
      <c r="B7" s="1" t="s">
        <v>1478</v>
      </c>
      <c r="C7" s="1"/>
      <c r="D7" s="1"/>
      <c r="E7" s="1"/>
      <c r="G7" s="1"/>
      <c r="P7" s="1" t="n">
        <v>2</v>
      </c>
      <c r="Q7" s="1" t="s">
        <v>438</v>
      </c>
      <c r="R7" s="1" t="s">
        <v>1479</v>
      </c>
      <c r="S7" s="1" t="n">
        <v>7874</v>
      </c>
      <c r="T7" s="1" t="n">
        <v>4327</v>
      </c>
      <c r="U7" s="1" t="n">
        <v>13467</v>
      </c>
      <c r="V7" s="1" t="n">
        <v>8130</v>
      </c>
      <c r="W7" s="1" t="n">
        <v>0</v>
      </c>
      <c r="X7" s="1" t="n">
        <v>3209</v>
      </c>
      <c r="Y7" s="1" t="n">
        <v>4245</v>
      </c>
      <c r="AA7" s="1" t="n">
        <v>6221</v>
      </c>
      <c r="AB7" s="1" t="n">
        <v>46064</v>
      </c>
      <c r="AC7" s="1" t="n">
        <v>-240</v>
      </c>
      <c r="AD7" s="1" t="n">
        <v>0.314001122925747</v>
      </c>
      <c r="AH7" s="1" t="n">
        <v>800</v>
      </c>
      <c r="AI7" s="1" t="n">
        <v>760</v>
      </c>
      <c r="AJ7" s="1" t="n">
        <v>2</v>
      </c>
      <c r="AK7" s="1" t="n">
        <v>826</v>
      </c>
      <c r="AL7" s="1" t="n">
        <v>8</v>
      </c>
      <c r="AM7" s="1" t="s">
        <v>1488</v>
      </c>
      <c r="AN7" s="1" t="n">
        <v>2</v>
      </c>
      <c r="AO7" s="1" t="n">
        <v>120</v>
      </c>
      <c r="AP7" s="1" t="n">
        <v>28</v>
      </c>
      <c r="AQ7" s="1" t="n">
        <v>0</v>
      </c>
      <c r="AR7" s="1" t="n">
        <v>0</v>
      </c>
      <c r="AS7" s="1" t="n">
        <v>0.285714285714286</v>
      </c>
      <c r="AT7" s="1" t="n">
        <v>0</v>
      </c>
      <c r="AU7" s="1" t="n">
        <v>0.714285714285714</v>
      </c>
      <c r="AV7" s="1" t="n">
        <v>0</v>
      </c>
    </row>
    <row r="8" customFormat="false" ht="15.75" hidden="false" customHeight="false" outlineLevel="0" collapsed="false">
      <c r="A8" s="3" t="n">
        <v>45506</v>
      </c>
      <c r="B8" s="1" t="s">
        <v>39</v>
      </c>
      <c r="C8" s="1" t="s">
        <v>1479</v>
      </c>
      <c r="D8" s="1" t="s">
        <v>41</v>
      </c>
      <c r="E8" s="1" t="s">
        <v>1487</v>
      </c>
      <c r="G8" s="1" t="s">
        <v>1489</v>
      </c>
    </row>
    <row r="9" customFormat="false" ht="15.75" hidden="false" customHeight="false" outlineLevel="0" collapsed="false">
      <c r="A9" s="3" t="n">
        <v>45506</v>
      </c>
      <c r="B9" s="1" t="s">
        <v>39</v>
      </c>
      <c r="C9" s="1" t="s">
        <v>1490</v>
      </c>
      <c r="D9" s="1" t="s">
        <v>45</v>
      </c>
      <c r="E9" s="1" t="s">
        <v>1491</v>
      </c>
      <c r="G9" s="1" t="s">
        <v>1492</v>
      </c>
    </row>
    <row r="10" customFormat="false" ht="15.75" hidden="false" customHeight="false" outlineLevel="0" collapsed="false">
      <c r="A10" s="3" t="n">
        <v>45506</v>
      </c>
      <c r="B10" s="1" t="s">
        <v>39</v>
      </c>
      <c r="C10" s="1"/>
      <c r="D10" s="1"/>
      <c r="E10" s="1"/>
      <c r="G10" s="1"/>
      <c r="H10" s="1" t="s">
        <v>1493</v>
      </c>
      <c r="I10" s="1" t="s">
        <v>63</v>
      </c>
      <c r="J10" s="1" t="s">
        <v>1484</v>
      </c>
      <c r="L10" s="1" t="s">
        <v>1485</v>
      </c>
      <c r="M10" s="1" t="n">
        <v>5</v>
      </c>
      <c r="N10" s="2" t="b">
        <f aca="false">TRUE()</f>
        <v>1</v>
      </c>
      <c r="O10" s="1" t="n">
        <v>200</v>
      </c>
    </row>
    <row r="11" customFormat="false" ht="15.75" hidden="false" customHeight="false" outlineLevel="0" collapsed="false">
      <c r="A11" s="3" t="n">
        <v>45506</v>
      </c>
      <c r="B11" s="1" t="s">
        <v>39</v>
      </c>
      <c r="C11" s="1"/>
      <c r="D11" s="1"/>
      <c r="E11" s="1"/>
      <c r="G11" s="1"/>
      <c r="H11" s="1" t="s">
        <v>298</v>
      </c>
      <c r="I11" s="1" t="s">
        <v>63</v>
      </c>
      <c r="J11" s="1" t="s">
        <v>70</v>
      </c>
      <c r="L11" s="1" t="s">
        <v>53</v>
      </c>
    </row>
    <row r="12" customFormat="false" ht="15.75" hidden="false" customHeight="false" outlineLevel="0" collapsed="false">
      <c r="A12" s="3" t="n">
        <v>45506</v>
      </c>
      <c r="B12" s="1" t="s">
        <v>39</v>
      </c>
      <c r="C12" s="1"/>
      <c r="D12" s="1"/>
      <c r="E12" s="1"/>
      <c r="G12" s="1"/>
      <c r="H12" s="1" t="s">
        <v>1494</v>
      </c>
      <c r="I12" s="1" t="s">
        <v>63</v>
      </c>
      <c r="J12" s="1" t="s">
        <v>1480</v>
      </c>
      <c r="L12" s="1" t="s">
        <v>41</v>
      </c>
      <c r="M12" s="1" t="n">
        <v>15</v>
      </c>
      <c r="N12" s="2" t="b">
        <f aca="false">TRUE()</f>
        <v>1</v>
      </c>
      <c r="O12" s="1" t="n">
        <v>600</v>
      </c>
    </row>
    <row r="13" customFormat="false" ht="15.75" hidden="false" customHeight="false" outlineLevel="0" collapsed="false">
      <c r="A13" s="3" t="n">
        <v>45506</v>
      </c>
      <c r="B13" s="1" t="s">
        <v>39</v>
      </c>
      <c r="C13" s="1"/>
      <c r="D13" s="1"/>
      <c r="E13" s="1"/>
      <c r="G13" s="1"/>
      <c r="H13" s="1" t="s">
        <v>1495</v>
      </c>
      <c r="I13" s="1" t="s">
        <v>1496</v>
      </c>
      <c r="J13" s="1" t="s">
        <v>1497</v>
      </c>
      <c r="L13" s="1" t="s">
        <v>1498</v>
      </c>
      <c r="M13" s="1" t="n">
        <v>12</v>
      </c>
      <c r="N13" s="2" t="b">
        <f aca="false">TRUE()</f>
        <v>1</v>
      </c>
      <c r="O13" s="1" t="n">
        <v>480</v>
      </c>
    </row>
    <row r="14" customFormat="false" ht="15.75" hidden="false" customHeight="false" outlineLevel="0" collapsed="false">
      <c r="A14" s="3" t="n">
        <v>45506</v>
      </c>
      <c r="B14" s="1" t="s">
        <v>39</v>
      </c>
      <c r="C14" s="1"/>
      <c r="D14" s="1"/>
      <c r="E14" s="1"/>
      <c r="G14" s="1"/>
      <c r="P14" s="1" t="n">
        <v>1</v>
      </c>
      <c r="Q14" s="1" t="s">
        <v>1479</v>
      </c>
      <c r="R14" s="1" t="s">
        <v>1490</v>
      </c>
      <c r="S14" s="1" t="n">
        <v>10222</v>
      </c>
      <c r="T14" s="1" t="n">
        <v>8521</v>
      </c>
      <c r="U14" s="1" t="n">
        <v>16447</v>
      </c>
      <c r="V14" s="1" t="n">
        <v>13790</v>
      </c>
      <c r="W14" s="1" t="n">
        <v>0</v>
      </c>
      <c r="X14" s="1" t="n">
        <v>2015</v>
      </c>
      <c r="Y14" s="1" t="n">
        <v>5577</v>
      </c>
      <c r="AA14" s="1" t="n">
        <v>5665</v>
      </c>
      <c r="AB14" s="1" t="n">
        <v>61834.5</v>
      </c>
      <c r="AC14" s="1" t="n">
        <v>4.5</v>
      </c>
      <c r="AD14" s="1" t="n">
        <v>0.349459935253808</v>
      </c>
      <c r="AH14" s="1" t="n">
        <v>337</v>
      </c>
      <c r="AI14" s="1" t="n">
        <v>1280</v>
      </c>
      <c r="AJ14" s="1" t="n">
        <v>0</v>
      </c>
      <c r="AK14" s="1" t="n">
        <v>0</v>
      </c>
      <c r="AL14" s="1" t="n">
        <v>12</v>
      </c>
      <c r="AM14" s="1" t="s">
        <v>1499</v>
      </c>
      <c r="AN14" s="1" t="n">
        <v>3</v>
      </c>
      <c r="AO14" s="1" t="n">
        <v>150</v>
      </c>
      <c r="AP14" s="1" t="n">
        <v>33</v>
      </c>
      <c r="AQ14" s="1" t="n">
        <v>0</v>
      </c>
      <c r="AR14" s="1" t="n">
        <v>0</v>
      </c>
      <c r="AS14" s="1" t="n">
        <v>0.363636363636364</v>
      </c>
      <c r="AT14" s="1" t="n">
        <v>1</v>
      </c>
      <c r="AU14" s="1" t="n">
        <v>0.636363636363636</v>
      </c>
      <c r="AV14" s="1" t="n">
        <v>0.0303030303030303</v>
      </c>
    </row>
    <row r="15" customFormat="false" ht="15.75" hidden="false" customHeight="false" outlineLevel="0" collapsed="false">
      <c r="A15" s="3" t="n">
        <v>45507</v>
      </c>
      <c r="B15" s="1" t="s">
        <v>1500</v>
      </c>
      <c r="C15" s="1" t="s">
        <v>438</v>
      </c>
      <c r="D15" s="1" t="s">
        <v>41</v>
      </c>
      <c r="E15" s="1" t="s">
        <v>62</v>
      </c>
      <c r="G15" s="1" t="s">
        <v>41</v>
      </c>
    </row>
    <row r="16" customFormat="false" ht="15.75" hidden="false" customHeight="false" outlineLevel="0" collapsed="false">
      <c r="A16" s="3" t="n">
        <v>45507</v>
      </c>
      <c r="B16" s="1" t="s">
        <v>1500</v>
      </c>
      <c r="C16" s="1" t="s">
        <v>51</v>
      </c>
      <c r="D16" s="1" t="s">
        <v>1484</v>
      </c>
      <c r="E16" s="1" t="s">
        <v>1485</v>
      </c>
      <c r="G16" s="1" t="s">
        <v>50</v>
      </c>
    </row>
    <row r="17" customFormat="false" ht="15.75" hidden="false" customHeight="false" outlineLevel="0" collapsed="false">
      <c r="A17" s="3" t="n">
        <v>45507</v>
      </c>
      <c r="B17" s="1" t="s">
        <v>1500</v>
      </c>
      <c r="C17" s="1"/>
      <c r="D17" s="1"/>
      <c r="E17" s="1"/>
      <c r="G17" s="1"/>
      <c r="H17" s="1" t="s">
        <v>1493</v>
      </c>
      <c r="I17" s="1" t="s">
        <v>63</v>
      </c>
      <c r="J17" s="1" t="s">
        <v>1501</v>
      </c>
      <c r="L17" s="1" t="s">
        <v>1502</v>
      </c>
      <c r="M17" s="1" t="n">
        <v>5</v>
      </c>
      <c r="N17" s="2" t="b">
        <f aca="false">TRUE()</f>
        <v>1</v>
      </c>
      <c r="O17" s="1" t="n">
        <v>200</v>
      </c>
    </row>
    <row r="18" customFormat="false" ht="15.75" hidden="false" customHeight="false" outlineLevel="0" collapsed="false">
      <c r="A18" s="3" t="n">
        <v>45507</v>
      </c>
      <c r="B18" s="1" t="s">
        <v>1500</v>
      </c>
      <c r="C18" s="1"/>
      <c r="D18" s="1"/>
      <c r="E18" s="1"/>
      <c r="G18" s="1"/>
      <c r="H18" s="1" t="s">
        <v>1503</v>
      </c>
      <c r="I18" s="1" t="s">
        <v>63</v>
      </c>
      <c r="J18" s="1" t="s">
        <v>1489</v>
      </c>
      <c r="L18" s="1" t="s">
        <v>1504</v>
      </c>
      <c r="M18" s="1" t="n">
        <v>5</v>
      </c>
      <c r="N18" s="2" t="b">
        <f aca="false">TRUE()</f>
        <v>1</v>
      </c>
      <c r="O18" s="1" t="n">
        <v>200</v>
      </c>
    </row>
    <row r="19" customFormat="false" ht="15.75" hidden="false" customHeight="false" outlineLevel="0" collapsed="false">
      <c r="A19" s="3" t="n">
        <v>45507</v>
      </c>
      <c r="B19" s="1" t="s">
        <v>1500</v>
      </c>
      <c r="C19" s="1"/>
      <c r="D19" s="1"/>
      <c r="E19" s="1"/>
      <c r="G19" s="1"/>
      <c r="H19" s="1" t="s">
        <v>1182</v>
      </c>
      <c r="I19" s="1" t="s">
        <v>63</v>
      </c>
      <c r="J19" s="1" t="s">
        <v>45</v>
      </c>
      <c r="L19" s="1" t="s">
        <v>64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3" t="n">
        <v>45507</v>
      </c>
      <c r="B20" s="1" t="s">
        <v>1500</v>
      </c>
      <c r="C20" s="1"/>
      <c r="D20" s="1"/>
      <c r="E20" s="1"/>
      <c r="G20" s="1"/>
      <c r="H20" s="1" t="s">
        <v>1495</v>
      </c>
      <c r="I20" s="1" t="s">
        <v>45</v>
      </c>
      <c r="J20" s="1" t="s">
        <v>1497</v>
      </c>
      <c r="L20" s="1" t="s">
        <v>41</v>
      </c>
      <c r="M20" s="1" t="n">
        <v>10</v>
      </c>
      <c r="N20" s="2" t="b">
        <f aca="false">TRUE()</f>
        <v>1</v>
      </c>
      <c r="O20" s="1" t="n">
        <v>400</v>
      </c>
    </row>
    <row r="21" customFormat="false" ht="15.75" hidden="false" customHeight="false" outlineLevel="0" collapsed="false">
      <c r="A21" s="3" t="n">
        <v>45507</v>
      </c>
      <c r="B21" s="1" t="s">
        <v>1500</v>
      </c>
      <c r="C21" s="1"/>
      <c r="D21" s="1"/>
      <c r="E21" s="1"/>
      <c r="G21" s="1"/>
      <c r="P21" s="1" t="n">
        <v>0</v>
      </c>
      <c r="Q21" s="1" t="s">
        <v>1479</v>
      </c>
      <c r="R21" s="1" t="s">
        <v>1490</v>
      </c>
      <c r="S21" s="1" t="n">
        <v>8565</v>
      </c>
      <c r="T21" s="1" t="n">
        <v>6171</v>
      </c>
      <c r="U21" s="1" t="n">
        <v>11683</v>
      </c>
      <c r="V21" s="1" t="n">
        <v>9243</v>
      </c>
      <c r="W21" s="1" t="n">
        <v>0</v>
      </c>
      <c r="X21" s="1" t="n">
        <v>543</v>
      </c>
      <c r="Y21" s="1" t="n">
        <v>2099</v>
      </c>
      <c r="AA21" s="1" t="n">
        <v>5864</v>
      </c>
      <c r="AB21" s="1" t="n">
        <v>46745</v>
      </c>
      <c r="AC21" s="1" t="n">
        <v>0</v>
      </c>
      <c r="AD21" s="1" t="n">
        <v>0.23751934552255</v>
      </c>
      <c r="AE21" s="1" t="n">
        <v>2000</v>
      </c>
      <c r="AI21" s="1" t="n">
        <v>1120</v>
      </c>
      <c r="AJ21" s="1" t="n">
        <v>0</v>
      </c>
      <c r="AK21" s="1" t="n">
        <v>0</v>
      </c>
      <c r="AL21" s="1" t="n">
        <v>6</v>
      </c>
      <c r="AM21" s="1" t="s">
        <v>1505</v>
      </c>
      <c r="AN21" s="1" t="n">
        <v>4</v>
      </c>
      <c r="AO21" s="1" t="n">
        <v>117</v>
      </c>
      <c r="AP21" s="1" t="n">
        <v>28</v>
      </c>
      <c r="AQ21" s="1" t="n">
        <v>0</v>
      </c>
      <c r="AR21" s="1" t="n">
        <v>0</v>
      </c>
      <c r="AS21" s="1" t="n">
        <v>0.214285714285714</v>
      </c>
      <c r="AT21" s="1" t="n">
        <v>0</v>
      </c>
      <c r="AU21" s="1" t="n">
        <v>0.785714285714286</v>
      </c>
      <c r="AV21" s="1" t="n">
        <v>0</v>
      </c>
    </row>
    <row r="22" customFormat="false" ht="15.75" hidden="false" customHeight="false" outlineLevel="0" collapsed="false">
      <c r="A22" s="3" t="n">
        <v>45508</v>
      </c>
      <c r="B22" s="1" t="s">
        <v>67</v>
      </c>
      <c r="C22" s="1" t="s">
        <v>438</v>
      </c>
      <c r="D22" s="1" t="s">
        <v>41</v>
      </c>
      <c r="E22" s="1" t="s">
        <v>1506</v>
      </c>
      <c r="G22" s="1" t="s">
        <v>1507</v>
      </c>
    </row>
    <row r="23" customFormat="false" ht="15.75" hidden="false" customHeight="false" outlineLevel="0" collapsed="false">
      <c r="A23" s="3" t="n">
        <v>45508</v>
      </c>
      <c r="B23" s="1" t="s">
        <v>67</v>
      </c>
      <c r="C23" s="1" t="s">
        <v>1479</v>
      </c>
      <c r="D23" s="1" t="s">
        <v>1506</v>
      </c>
      <c r="E23" s="1" t="s">
        <v>1487</v>
      </c>
      <c r="G23" s="1" t="s">
        <v>1507</v>
      </c>
    </row>
    <row r="24" customFormat="false" ht="15.75" hidden="false" customHeight="false" outlineLevel="0" collapsed="false">
      <c r="A24" s="3" t="n">
        <v>45508</v>
      </c>
      <c r="B24" s="1" t="s">
        <v>67</v>
      </c>
      <c r="C24" s="1" t="s">
        <v>1508</v>
      </c>
      <c r="D24" s="1" t="s">
        <v>41</v>
      </c>
      <c r="E24" s="1" t="s">
        <v>1506</v>
      </c>
      <c r="G24" s="1" t="s">
        <v>1507</v>
      </c>
    </row>
    <row r="25" customFormat="false" ht="15.75" hidden="false" customHeight="false" outlineLevel="0" collapsed="false">
      <c r="A25" s="3" t="n">
        <v>45508</v>
      </c>
      <c r="B25" s="1" t="s">
        <v>67</v>
      </c>
      <c r="C25" s="1"/>
      <c r="D25" s="1"/>
      <c r="E25" s="1"/>
      <c r="G25" s="1"/>
      <c r="H25" s="1" t="s">
        <v>1493</v>
      </c>
      <c r="I25" s="1" t="s">
        <v>41</v>
      </c>
      <c r="J25" s="1" t="s">
        <v>45</v>
      </c>
      <c r="L25" s="1" t="s">
        <v>53</v>
      </c>
      <c r="M25" s="1" t="n">
        <v>15</v>
      </c>
      <c r="N25" s="2" t="b">
        <f aca="false">TRUE()</f>
        <v>1</v>
      </c>
      <c r="O25" s="1" t="n">
        <v>600</v>
      </c>
    </row>
    <row r="26" customFormat="false" ht="15.75" hidden="false" customHeight="false" outlineLevel="0" collapsed="false">
      <c r="A26" s="3" t="n">
        <v>45508</v>
      </c>
      <c r="B26" s="1" t="s">
        <v>67</v>
      </c>
      <c r="C26" s="1"/>
      <c r="D26" s="1"/>
      <c r="E26" s="1"/>
      <c r="G26" s="1"/>
      <c r="H26" s="1" t="s">
        <v>298</v>
      </c>
      <c r="I26" s="1" t="s">
        <v>41</v>
      </c>
      <c r="J26" s="1" t="s">
        <v>45</v>
      </c>
      <c r="L26" s="1" t="s">
        <v>53</v>
      </c>
    </row>
    <row r="27" customFormat="false" ht="15.75" hidden="false" customHeight="false" outlineLevel="0" collapsed="false">
      <c r="A27" s="3" t="n">
        <v>45508</v>
      </c>
      <c r="B27" s="1" t="s">
        <v>67</v>
      </c>
      <c r="C27" s="1"/>
      <c r="D27" s="1"/>
      <c r="E27" s="1"/>
      <c r="G27" s="1"/>
      <c r="H27" s="1" t="s">
        <v>466</v>
      </c>
      <c r="I27" s="1" t="s">
        <v>45</v>
      </c>
      <c r="J27" s="1" t="s">
        <v>1480</v>
      </c>
      <c r="L27" s="1" t="s">
        <v>1504</v>
      </c>
      <c r="M27" s="1" t="n">
        <v>10</v>
      </c>
      <c r="N27" s="2" t="b">
        <f aca="false">TRUE()</f>
        <v>1</v>
      </c>
      <c r="O27" s="1" t="n">
        <v>400</v>
      </c>
    </row>
    <row r="28" customFormat="false" ht="15.75" hidden="false" customHeight="false" outlineLevel="0" collapsed="false">
      <c r="A28" s="3" t="n">
        <v>45508</v>
      </c>
      <c r="B28" s="1" t="s">
        <v>67</v>
      </c>
      <c r="C28" s="1"/>
      <c r="D28" s="1"/>
      <c r="E28" s="1"/>
      <c r="G28" s="1"/>
      <c r="H28" s="1" t="s">
        <v>1503</v>
      </c>
      <c r="I28" s="1" t="s">
        <v>70</v>
      </c>
      <c r="J28" s="1" t="s">
        <v>57</v>
      </c>
      <c r="L28" s="1" t="s">
        <v>64</v>
      </c>
      <c r="M28" s="1" t="n">
        <v>8</v>
      </c>
      <c r="N28" s="2" t="b">
        <f aca="false">TRUE()</f>
        <v>1</v>
      </c>
      <c r="O28" s="1" t="n">
        <v>320</v>
      </c>
    </row>
    <row r="29" customFormat="false" ht="15.75" hidden="false" customHeight="false" outlineLevel="0" collapsed="false">
      <c r="A29" s="3" t="n">
        <v>45508</v>
      </c>
      <c r="B29" s="1" t="s">
        <v>67</v>
      </c>
      <c r="C29" s="1"/>
      <c r="D29" s="1"/>
      <c r="E29" s="1"/>
      <c r="G29" s="1"/>
      <c r="P29" s="1" t="n">
        <v>2</v>
      </c>
      <c r="Q29" s="1" t="s">
        <v>1508</v>
      </c>
      <c r="R29" s="1" t="s">
        <v>438</v>
      </c>
      <c r="S29" s="1" t="n">
        <v>11702</v>
      </c>
      <c r="T29" s="1" t="n">
        <v>3756</v>
      </c>
      <c r="U29" s="1" t="n">
        <v>16469</v>
      </c>
      <c r="V29" s="1" t="n">
        <v>14491</v>
      </c>
      <c r="W29" s="1" t="n">
        <v>375</v>
      </c>
      <c r="X29" s="1" t="n">
        <v>1571</v>
      </c>
      <c r="Y29" s="1" t="n">
        <v>4709</v>
      </c>
      <c r="AA29" s="1" t="n">
        <v>6169</v>
      </c>
      <c r="AB29" s="1" t="n">
        <v>59490.5</v>
      </c>
      <c r="AC29" s="1" t="n">
        <v>0.5</v>
      </c>
      <c r="AD29" s="1" t="n">
        <v>0.295123875685221</v>
      </c>
      <c r="AE29" s="1" t="n">
        <v>500</v>
      </c>
      <c r="AI29" s="1" t="n">
        <v>1320</v>
      </c>
      <c r="AJ29" s="1" t="n">
        <v>0</v>
      </c>
      <c r="AK29" s="1" t="n">
        <v>0</v>
      </c>
      <c r="AL29" s="1" t="n">
        <v>5</v>
      </c>
      <c r="AM29" s="1" t="s">
        <v>1509</v>
      </c>
      <c r="AN29" s="1" t="n">
        <v>3</v>
      </c>
      <c r="AO29" s="1" t="n">
        <v>146</v>
      </c>
      <c r="AP29" s="1" t="n">
        <v>36</v>
      </c>
      <c r="AQ29" s="1" t="n">
        <v>2</v>
      </c>
      <c r="AR29" s="1" t="n">
        <v>0</v>
      </c>
      <c r="AS29" s="1" t="n">
        <v>0.138888888888889</v>
      </c>
      <c r="AT29" s="1" t="n">
        <v>0</v>
      </c>
      <c r="AU29" s="1" t="n">
        <v>0.861111111111111</v>
      </c>
      <c r="AV29" s="1" t="n">
        <v>0</v>
      </c>
    </row>
    <row r="30" customFormat="false" ht="15.75" hidden="false" customHeight="false" outlineLevel="0" collapsed="false">
      <c r="A30" s="3" t="n">
        <v>45509</v>
      </c>
      <c r="B30" s="1" t="s">
        <v>69</v>
      </c>
      <c r="C30" s="1" t="s">
        <v>1479</v>
      </c>
      <c r="D30" s="1" t="s">
        <v>41</v>
      </c>
      <c r="E30" s="1" t="s">
        <v>1487</v>
      </c>
      <c r="G30" s="1" t="s">
        <v>1489</v>
      </c>
    </row>
    <row r="31" customFormat="false" ht="15.75" hidden="false" customHeight="false" outlineLevel="0" collapsed="false">
      <c r="A31" s="3" t="n">
        <v>45509</v>
      </c>
      <c r="B31" s="1" t="s">
        <v>69</v>
      </c>
      <c r="C31" s="1"/>
      <c r="D31" s="1"/>
      <c r="E31" s="1"/>
      <c r="G31" s="1"/>
      <c r="H31" s="1" t="s">
        <v>298</v>
      </c>
      <c r="I31" s="1" t="s">
        <v>41</v>
      </c>
      <c r="J31" s="1" t="s">
        <v>70</v>
      </c>
      <c r="L31" s="1" t="s">
        <v>47</v>
      </c>
      <c r="M31" s="1" t="n">
        <v>7</v>
      </c>
    </row>
    <row r="32" customFormat="false" ht="15.75" hidden="false" customHeight="false" outlineLevel="0" collapsed="false">
      <c r="A32" s="3" t="n">
        <v>45509</v>
      </c>
      <c r="B32" s="1" t="s">
        <v>69</v>
      </c>
      <c r="C32" s="1"/>
      <c r="D32" s="1"/>
      <c r="E32" s="1"/>
      <c r="G32" s="1"/>
      <c r="H32" s="1" t="s">
        <v>1486</v>
      </c>
      <c r="I32" s="1" t="s">
        <v>45</v>
      </c>
      <c r="J32" s="1" t="s">
        <v>1487</v>
      </c>
      <c r="L32" s="1" t="s">
        <v>47</v>
      </c>
    </row>
    <row r="33" customFormat="false" ht="15.75" hidden="false" customHeight="false" outlineLevel="0" collapsed="false">
      <c r="A33" s="3" t="n">
        <v>45509</v>
      </c>
      <c r="B33" s="1" t="s">
        <v>69</v>
      </c>
      <c r="C33" s="1"/>
      <c r="D33" s="1"/>
      <c r="E33" s="1"/>
      <c r="G33" s="1"/>
      <c r="H33" s="1" t="s">
        <v>1495</v>
      </c>
      <c r="I33" s="1" t="s">
        <v>70</v>
      </c>
      <c r="J33" s="1" t="s">
        <v>57</v>
      </c>
      <c r="L33" s="1" t="s">
        <v>64</v>
      </c>
      <c r="M33" s="1" t="n">
        <v>13</v>
      </c>
      <c r="N33" s="2" t="b">
        <f aca="false">TRUE()</f>
        <v>1</v>
      </c>
      <c r="O33" s="1" t="n">
        <v>520</v>
      </c>
    </row>
    <row r="34" customFormat="false" ht="15.75" hidden="false" customHeight="false" outlineLevel="0" collapsed="false">
      <c r="A34" s="3" t="n">
        <v>45509</v>
      </c>
      <c r="B34" s="1" t="s">
        <v>69</v>
      </c>
      <c r="C34" s="1"/>
      <c r="D34" s="1"/>
      <c r="E34" s="1"/>
      <c r="G34" s="1"/>
      <c r="P34" s="1" t="n">
        <v>2</v>
      </c>
      <c r="Q34" s="1" t="s">
        <v>1479</v>
      </c>
      <c r="R34" s="1" t="s">
        <v>1479</v>
      </c>
      <c r="S34" s="1" t="n">
        <v>5067</v>
      </c>
      <c r="T34" s="1" t="n">
        <v>4145</v>
      </c>
      <c r="U34" s="1" t="n">
        <v>9858</v>
      </c>
      <c r="V34" s="1" t="n">
        <v>7572</v>
      </c>
      <c r="W34" s="1" t="n">
        <v>320</v>
      </c>
      <c r="X34" s="1" t="n">
        <v>2544</v>
      </c>
      <c r="Y34" s="1" t="n">
        <v>3479</v>
      </c>
      <c r="AA34" s="1" t="n">
        <v>1190</v>
      </c>
      <c r="AB34" s="1" t="n">
        <v>38287.5</v>
      </c>
      <c r="AC34" s="1" t="n">
        <v>0.5</v>
      </c>
      <c r="AD34" s="1" t="n">
        <v>0.435798416884143</v>
      </c>
      <c r="AE34" s="1" t="n">
        <v>500</v>
      </c>
      <c r="AG34" s="1" t="n">
        <v>5597</v>
      </c>
      <c r="AH34" s="1" t="n">
        <v>40</v>
      </c>
      <c r="AI34" s="1" t="n">
        <v>520</v>
      </c>
      <c r="AJ34" s="1" t="n">
        <v>1</v>
      </c>
      <c r="AK34" s="1" t="n">
        <v>247</v>
      </c>
      <c r="AL34" s="1" t="n">
        <v>7</v>
      </c>
      <c r="AM34" s="1" t="s">
        <v>1510</v>
      </c>
      <c r="AN34" s="1" t="n">
        <v>1</v>
      </c>
      <c r="AO34" s="1" t="n">
        <v>108</v>
      </c>
      <c r="AP34" s="1" t="n">
        <v>22</v>
      </c>
      <c r="AQ34" s="1" t="n">
        <v>1</v>
      </c>
      <c r="AR34" s="1" t="n">
        <v>1</v>
      </c>
      <c r="AS34" s="1" t="n">
        <v>0.318181818181818</v>
      </c>
      <c r="AT34" s="1" t="n">
        <v>1</v>
      </c>
      <c r="AU34" s="1" t="n">
        <v>0.681818181818182</v>
      </c>
      <c r="AV34" s="1" t="n">
        <v>0.0454545454545455</v>
      </c>
    </row>
    <row r="35" customFormat="false" ht="15.75" hidden="false" customHeight="false" outlineLevel="0" collapsed="false">
      <c r="A35" s="3" t="n">
        <v>45510</v>
      </c>
      <c r="B35" s="1" t="s">
        <v>61</v>
      </c>
      <c r="C35" s="1" t="s">
        <v>438</v>
      </c>
      <c r="D35" s="1" t="s">
        <v>41</v>
      </c>
      <c r="E35" s="1" t="s">
        <v>1506</v>
      </c>
      <c r="G35" s="1" t="s">
        <v>1507</v>
      </c>
    </row>
    <row r="36" customFormat="false" ht="15.75" hidden="false" customHeight="false" outlineLevel="0" collapsed="false">
      <c r="A36" s="3" t="n">
        <v>45510</v>
      </c>
      <c r="B36" s="1" t="s">
        <v>61</v>
      </c>
      <c r="C36" s="1" t="s">
        <v>51</v>
      </c>
      <c r="D36" s="1" t="s">
        <v>45</v>
      </c>
      <c r="E36" s="1" t="s">
        <v>1487</v>
      </c>
      <c r="G36" s="1" t="s">
        <v>47</v>
      </c>
    </row>
    <row r="37" customFormat="false" ht="15.75" hidden="false" customHeight="false" outlineLevel="0" collapsed="false">
      <c r="A37" s="3" t="n">
        <v>45510</v>
      </c>
      <c r="B37" s="1" t="s">
        <v>61</v>
      </c>
      <c r="C37" s="1"/>
      <c r="D37" s="1"/>
      <c r="E37" s="1"/>
      <c r="G37" s="1"/>
      <c r="H37" s="1" t="s">
        <v>298</v>
      </c>
      <c r="I37" s="1" t="s">
        <v>63</v>
      </c>
      <c r="J37" s="1" t="s">
        <v>70</v>
      </c>
      <c r="L37" s="1" t="s">
        <v>53</v>
      </c>
      <c r="M37" s="1" t="n">
        <v>5</v>
      </c>
    </row>
    <row r="38" customFormat="false" ht="15.75" hidden="false" customHeight="false" outlineLevel="0" collapsed="false">
      <c r="A38" s="3" t="n">
        <v>45510</v>
      </c>
      <c r="B38" s="1" t="s">
        <v>61</v>
      </c>
      <c r="C38" s="1"/>
      <c r="D38" s="1"/>
      <c r="E38" s="1"/>
      <c r="G38" s="1"/>
      <c r="H38" s="1" t="s">
        <v>1486</v>
      </c>
      <c r="I38" s="1" t="s">
        <v>45</v>
      </c>
      <c r="J38" s="1" t="s">
        <v>1487</v>
      </c>
      <c r="L38" s="1" t="s">
        <v>47</v>
      </c>
    </row>
    <row r="39" customFormat="false" ht="15.75" hidden="false" customHeight="false" outlineLevel="0" collapsed="false">
      <c r="A39" s="3" t="n">
        <v>45510</v>
      </c>
      <c r="B39" s="1" t="s">
        <v>61</v>
      </c>
      <c r="C39" s="1"/>
      <c r="D39" s="1"/>
      <c r="E39" s="1"/>
      <c r="G39" s="1"/>
      <c r="H39" s="1" t="s">
        <v>417</v>
      </c>
      <c r="I39" s="1" t="s">
        <v>45</v>
      </c>
      <c r="J39" s="1" t="s">
        <v>57</v>
      </c>
      <c r="L39" s="1" t="s">
        <v>53</v>
      </c>
      <c r="M39" s="1" t="n">
        <v>9</v>
      </c>
    </row>
    <row r="40" customFormat="false" ht="15.75" hidden="false" customHeight="false" outlineLevel="0" collapsed="false">
      <c r="A40" s="3" t="n">
        <v>45510</v>
      </c>
      <c r="B40" s="1" t="s">
        <v>61</v>
      </c>
      <c r="C40" s="1"/>
      <c r="D40" s="1"/>
      <c r="E40" s="1"/>
      <c r="G40" s="1"/>
      <c r="L40" s="1" t="s">
        <v>68</v>
      </c>
      <c r="N40" s="2" t="b">
        <f aca="false">TRUE()</f>
        <v>1</v>
      </c>
    </row>
    <row r="41" customFormat="false" ht="15.75" hidden="false" customHeight="false" outlineLevel="0" collapsed="false">
      <c r="A41" s="3" t="n">
        <v>45510</v>
      </c>
      <c r="B41" s="1" t="s">
        <v>61</v>
      </c>
      <c r="C41" s="1"/>
      <c r="D41" s="1"/>
      <c r="E41" s="1"/>
      <c r="G41" s="1"/>
      <c r="P41" s="1" t="n">
        <v>0</v>
      </c>
      <c r="Q41" s="1" t="s">
        <v>1479</v>
      </c>
      <c r="R41" s="1" t="s">
        <v>1479</v>
      </c>
      <c r="S41" s="1" t="n">
        <v>5551</v>
      </c>
      <c r="T41" s="1" t="n">
        <v>5114</v>
      </c>
      <c r="U41" s="1" t="n">
        <v>12091</v>
      </c>
      <c r="V41" s="1" t="n">
        <v>2929</v>
      </c>
      <c r="W41" s="1" t="n">
        <v>0</v>
      </c>
      <c r="X41" s="1" t="n">
        <v>578</v>
      </c>
      <c r="Y41" s="1" t="n">
        <v>3667</v>
      </c>
      <c r="AA41" s="1" t="n">
        <v>4558</v>
      </c>
      <c r="AB41" s="1" t="n">
        <v>35304</v>
      </c>
      <c r="AC41" s="1" t="n">
        <v>76</v>
      </c>
      <c r="AD41" s="1" t="n">
        <v>0.281980735510186</v>
      </c>
      <c r="AE41" s="1" t="n">
        <v>500</v>
      </c>
      <c r="AH41" s="1" t="n">
        <v>970</v>
      </c>
      <c r="AI41" s="1" t="n">
        <v>0</v>
      </c>
      <c r="AJ41" s="1" t="n">
        <v>1</v>
      </c>
      <c r="AK41" s="1" t="n">
        <v>436</v>
      </c>
      <c r="AL41" s="1" t="n">
        <v>2</v>
      </c>
      <c r="AM41" s="1" t="s">
        <v>1511</v>
      </c>
      <c r="AN41" s="1" t="n">
        <v>0</v>
      </c>
      <c r="AO41" s="1" t="n">
        <v>92</v>
      </c>
      <c r="AP41" s="1" t="n">
        <v>14</v>
      </c>
      <c r="AQ41" s="1" t="n">
        <v>0</v>
      </c>
      <c r="AR41" s="1" t="n">
        <v>0</v>
      </c>
      <c r="AS41" s="1" t="n">
        <v>0.142857142857143</v>
      </c>
      <c r="AT41" s="1" t="n">
        <v>0</v>
      </c>
      <c r="AU41" s="1" t="n">
        <v>0.857142857142857</v>
      </c>
      <c r="AV41" s="1" t="n">
        <v>0</v>
      </c>
    </row>
    <row r="42" customFormat="false" ht="15.75" hidden="false" customHeight="false" outlineLevel="0" collapsed="false">
      <c r="A42" s="3" t="n">
        <v>45511</v>
      </c>
      <c r="B42" s="1" t="s">
        <v>73</v>
      </c>
      <c r="C42" s="1" t="s">
        <v>438</v>
      </c>
      <c r="D42" s="1" t="s">
        <v>41</v>
      </c>
      <c r="E42" s="1" t="s">
        <v>1506</v>
      </c>
      <c r="G42" s="1" t="s">
        <v>1507</v>
      </c>
    </row>
    <row r="43" customFormat="false" ht="15.75" hidden="false" customHeight="false" outlineLevel="0" collapsed="false">
      <c r="A43" s="3" t="n">
        <v>45511</v>
      </c>
      <c r="B43" s="1" t="s">
        <v>73</v>
      </c>
      <c r="C43" s="1" t="s">
        <v>51</v>
      </c>
      <c r="D43" s="1" t="s">
        <v>45</v>
      </c>
      <c r="E43" s="1" t="s">
        <v>1487</v>
      </c>
      <c r="G43" s="1" t="s">
        <v>47</v>
      </c>
    </row>
    <row r="44" customFormat="false" ht="15.75" hidden="false" customHeight="false" outlineLevel="0" collapsed="false">
      <c r="A44" s="3" t="n">
        <v>45511</v>
      </c>
      <c r="B44" s="1" t="s">
        <v>73</v>
      </c>
      <c r="C44" s="1"/>
      <c r="D44" s="1"/>
      <c r="E44" s="1"/>
      <c r="G44" s="1"/>
      <c r="H44" s="1" t="s">
        <v>298</v>
      </c>
      <c r="I44" s="1" t="s">
        <v>63</v>
      </c>
      <c r="J44" s="1" t="s">
        <v>1512</v>
      </c>
      <c r="L44" s="1" t="s">
        <v>47</v>
      </c>
      <c r="M44" s="1" t="n">
        <v>8</v>
      </c>
    </row>
    <row r="45" customFormat="false" ht="15.75" hidden="false" customHeight="false" outlineLevel="0" collapsed="false">
      <c r="A45" s="3" t="n">
        <v>45511</v>
      </c>
      <c r="B45" s="1" t="s">
        <v>73</v>
      </c>
      <c r="C45" s="1"/>
      <c r="D45" s="1"/>
      <c r="E45" s="1"/>
      <c r="G45" s="1"/>
      <c r="H45" s="1" t="s">
        <v>1486</v>
      </c>
      <c r="I45" s="1" t="s">
        <v>45</v>
      </c>
      <c r="J45" s="1" t="s">
        <v>1487</v>
      </c>
      <c r="L45" s="1" t="s">
        <v>47</v>
      </c>
    </row>
    <row r="46" customFormat="false" ht="15.75" hidden="false" customHeight="false" outlineLevel="0" collapsed="false">
      <c r="A46" s="3" t="n">
        <v>45511</v>
      </c>
      <c r="B46" s="1" t="s">
        <v>73</v>
      </c>
      <c r="C46" s="1"/>
      <c r="D46" s="1"/>
      <c r="E46" s="1"/>
      <c r="G46" s="1"/>
      <c r="H46" s="1" t="s">
        <v>1182</v>
      </c>
      <c r="I46" s="1" t="s">
        <v>45</v>
      </c>
      <c r="J46" s="1" t="s">
        <v>1513</v>
      </c>
      <c r="L46" s="1" t="s">
        <v>1514</v>
      </c>
      <c r="M46" s="1" t="n">
        <v>8</v>
      </c>
      <c r="N46" s="2" t="b">
        <f aca="false">TRUE()</f>
        <v>1</v>
      </c>
      <c r="O46" s="1" t="n">
        <v>320</v>
      </c>
    </row>
    <row r="47" customFormat="false" ht="15.75" hidden="false" customHeight="false" outlineLevel="0" collapsed="false">
      <c r="A47" s="3" t="n">
        <v>45511</v>
      </c>
      <c r="B47" s="1" t="s">
        <v>73</v>
      </c>
      <c r="C47" s="1"/>
      <c r="D47" s="1"/>
      <c r="E47" s="1"/>
      <c r="G47" s="1"/>
      <c r="P47" s="1" t="n">
        <v>7</v>
      </c>
      <c r="Q47" s="1" t="s">
        <v>438</v>
      </c>
      <c r="R47" s="1" t="s">
        <v>51</v>
      </c>
      <c r="S47" s="1" t="n">
        <v>7199</v>
      </c>
      <c r="T47" s="1" t="n">
        <v>4695</v>
      </c>
      <c r="U47" s="1" t="n">
        <v>11841</v>
      </c>
      <c r="V47" s="1" t="n">
        <v>8584</v>
      </c>
      <c r="W47" s="1" t="n">
        <v>337</v>
      </c>
      <c r="X47" s="1" t="n">
        <v>1842</v>
      </c>
      <c r="Y47" s="1" t="n">
        <v>2681</v>
      </c>
      <c r="AA47" s="1" t="n">
        <v>6414</v>
      </c>
      <c r="AB47" s="1" t="n">
        <v>42111.3</v>
      </c>
      <c r="AC47" s="1" t="n">
        <v>-0.30000000000291</v>
      </c>
      <c r="AD47" s="1" t="n">
        <v>0.279059841098508</v>
      </c>
      <c r="AH47" s="1" t="n">
        <v>40</v>
      </c>
      <c r="AI47" s="1" t="n">
        <v>320</v>
      </c>
      <c r="AJ47" s="1" t="n">
        <v>0</v>
      </c>
      <c r="AK47" s="1" t="n">
        <v>0</v>
      </c>
      <c r="AL47" s="1" t="n">
        <v>6</v>
      </c>
      <c r="AM47" s="1" t="s">
        <v>1515</v>
      </c>
      <c r="AN47" s="1" t="n">
        <v>1</v>
      </c>
      <c r="AO47" s="1" t="n">
        <v>106</v>
      </c>
      <c r="AP47" s="1" t="n">
        <v>23</v>
      </c>
      <c r="AQ47" s="1" t="n">
        <v>6</v>
      </c>
      <c r="AR47" s="1" t="n">
        <v>4</v>
      </c>
      <c r="AS47" s="1" t="n">
        <v>0.260869565217391</v>
      </c>
      <c r="AT47" s="1" t="n">
        <v>5</v>
      </c>
      <c r="AU47" s="1" t="n">
        <v>0.739130434782609</v>
      </c>
      <c r="AV47" s="1" t="n">
        <v>0.217391304347826</v>
      </c>
    </row>
    <row r="48" customFormat="false" ht="15.75" hidden="false" customHeight="false" outlineLevel="0" collapsed="false">
      <c r="A48" s="3" t="n">
        <v>45512</v>
      </c>
      <c r="B48" s="1" t="s">
        <v>1478</v>
      </c>
      <c r="C48" s="1" t="s">
        <v>361</v>
      </c>
      <c r="D48" s="1" t="s">
        <v>45</v>
      </c>
      <c r="E48" s="1" t="s">
        <v>1487</v>
      </c>
      <c r="G48" s="1" t="s">
        <v>47</v>
      </c>
    </row>
    <row r="49" customFormat="false" ht="15.75" hidden="false" customHeight="false" outlineLevel="0" collapsed="false">
      <c r="A49" s="3" t="n">
        <v>45512</v>
      </c>
      <c r="B49" s="1" t="s">
        <v>1478</v>
      </c>
      <c r="C49" s="1" t="s">
        <v>51</v>
      </c>
      <c r="D49" s="1" t="s">
        <v>41</v>
      </c>
      <c r="E49" s="1" t="s">
        <v>1487</v>
      </c>
      <c r="G49" s="1" t="s">
        <v>1489</v>
      </c>
    </row>
    <row r="50" customFormat="false" ht="15.75" hidden="false" customHeight="false" outlineLevel="0" collapsed="false">
      <c r="A50" s="3" t="n">
        <v>45512</v>
      </c>
      <c r="B50" s="1" t="s">
        <v>1478</v>
      </c>
      <c r="C50" s="1"/>
      <c r="D50" s="1"/>
      <c r="E50" s="1"/>
      <c r="G50" s="1"/>
      <c r="H50" s="1" t="s">
        <v>1503</v>
      </c>
      <c r="I50" s="1" t="s">
        <v>70</v>
      </c>
      <c r="J50" s="1" t="s">
        <v>1487</v>
      </c>
      <c r="L50" s="1" t="s">
        <v>53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3" t="n">
        <v>45512</v>
      </c>
      <c r="B51" s="1" t="s">
        <v>1478</v>
      </c>
      <c r="C51" s="1"/>
      <c r="D51" s="1"/>
      <c r="E51" s="1"/>
      <c r="G51" s="1"/>
      <c r="H51" s="1" t="s">
        <v>417</v>
      </c>
      <c r="I51" s="1" t="s">
        <v>63</v>
      </c>
      <c r="J51" s="1" t="s">
        <v>70</v>
      </c>
      <c r="L51" s="1" t="s">
        <v>53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3" t="n">
        <v>45512</v>
      </c>
      <c r="B52" s="1" t="s">
        <v>1478</v>
      </c>
      <c r="C52" s="1"/>
      <c r="D52" s="1"/>
      <c r="E52" s="1"/>
      <c r="G52" s="1"/>
      <c r="H52" s="1" t="s">
        <v>1495</v>
      </c>
      <c r="I52" s="1" t="s">
        <v>45</v>
      </c>
      <c r="J52" s="1" t="s">
        <v>56</v>
      </c>
      <c r="L52" s="1" t="s">
        <v>1507</v>
      </c>
      <c r="M52" s="1" t="n">
        <v>7</v>
      </c>
      <c r="N52" s="2" t="b">
        <f aca="false">TRUE()</f>
        <v>1</v>
      </c>
      <c r="O52" s="1" t="n">
        <v>280</v>
      </c>
    </row>
    <row r="53" customFormat="false" ht="15.75" hidden="false" customHeight="false" outlineLevel="0" collapsed="false">
      <c r="A53" s="3" t="n">
        <v>45512</v>
      </c>
      <c r="B53" s="1" t="s">
        <v>1478</v>
      </c>
      <c r="C53" s="1"/>
      <c r="D53" s="1"/>
      <c r="E53" s="1"/>
      <c r="G53" s="1"/>
      <c r="P53" s="1" t="n">
        <v>6</v>
      </c>
      <c r="Q53" s="1" t="s">
        <v>51</v>
      </c>
      <c r="R53" s="1" t="s">
        <v>51</v>
      </c>
      <c r="S53" s="1" t="n">
        <v>11575</v>
      </c>
      <c r="T53" s="1" t="n">
        <v>5816</v>
      </c>
      <c r="U53" s="1" t="n">
        <v>12429</v>
      </c>
      <c r="V53" s="1" t="n">
        <v>13313</v>
      </c>
      <c r="W53" s="1" t="n">
        <v>757</v>
      </c>
      <c r="X53" s="1" t="n">
        <v>2014</v>
      </c>
      <c r="Y53" s="1" t="n">
        <v>4921</v>
      </c>
      <c r="AA53" s="1" t="n">
        <v>3664</v>
      </c>
      <c r="AB53" s="1" t="n">
        <v>53395</v>
      </c>
      <c r="AC53" s="1" t="n">
        <v>0</v>
      </c>
      <c r="AD53" s="1" t="n">
        <v>0.240605483780347</v>
      </c>
      <c r="AI53" s="1" t="n">
        <v>920</v>
      </c>
      <c r="AJ53" s="1" t="n">
        <v>0</v>
      </c>
      <c r="AK53" s="1" t="n">
        <v>0</v>
      </c>
      <c r="AL53" s="1" t="n">
        <v>18</v>
      </c>
      <c r="AM53" s="1" t="s">
        <v>1516</v>
      </c>
      <c r="AN53" s="1" t="n">
        <v>3</v>
      </c>
      <c r="AO53" s="1" t="n">
        <v>132</v>
      </c>
      <c r="AP53" s="1" t="n">
        <v>29</v>
      </c>
      <c r="AQ53" s="1" t="n">
        <v>6</v>
      </c>
      <c r="AR53" s="1" t="n">
        <v>4</v>
      </c>
      <c r="AS53" s="1" t="n">
        <v>0.620689655172414</v>
      </c>
      <c r="AT53" s="1" t="n">
        <v>4</v>
      </c>
      <c r="AU53" s="1" t="n">
        <v>0.379310344827586</v>
      </c>
      <c r="AV53" s="1" t="n">
        <v>0.137931034482759</v>
      </c>
    </row>
    <row r="54" customFormat="false" ht="15.75" hidden="false" customHeight="false" outlineLevel="0" collapsed="false">
      <c r="A54" s="3" t="n">
        <v>45513</v>
      </c>
      <c r="B54" s="1" t="s">
        <v>39</v>
      </c>
      <c r="C54" s="1" t="s">
        <v>438</v>
      </c>
      <c r="D54" s="1" t="s">
        <v>1484</v>
      </c>
      <c r="E54" s="1" t="s">
        <v>1485</v>
      </c>
      <c r="G54" s="1" t="s">
        <v>50</v>
      </c>
    </row>
    <row r="55" customFormat="false" ht="15.75" hidden="false" customHeight="false" outlineLevel="0" collapsed="false">
      <c r="A55" s="3" t="n">
        <v>45513</v>
      </c>
      <c r="B55" s="1" t="s">
        <v>39</v>
      </c>
      <c r="C55" s="1" t="s">
        <v>51</v>
      </c>
      <c r="D55" s="1" t="s">
        <v>41</v>
      </c>
      <c r="E55" s="1" t="s">
        <v>1484</v>
      </c>
      <c r="G55" s="1" t="s">
        <v>1504</v>
      </c>
    </row>
    <row r="56" customFormat="false" ht="15.75" hidden="false" customHeight="false" outlineLevel="0" collapsed="false">
      <c r="A56" s="3" t="n">
        <v>45513</v>
      </c>
      <c r="B56" s="1" t="s">
        <v>39</v>
      </c>
      <c r="C56" s="1" t="s">
        <v>1490</v>
      </c>
      <c r="D56" s="1" t="s">
        <v>45</v>
      </c>
      <c r="E56" s="1" t="s">
        <v>1485</v>
      </c>
      <c r="G56" s="1" t="s">
        <v>41</v>
      </c>
    </row>
    <row r="57" customFormat="false" ht="15.75" hidden="false" customHeight="false" outlineLevel="0" collapsed="false">
      <c r="A57" s="3" t="n">
        <v>45513</v>
      </c>
      <c r="B57" s="1" t="s">
        <v>39</v>
      </c>
      <c r="C57" s="1"/>
      <c r="D57" s="1"/>
      <c r="E57" s="1"/>
      <c r="G57" s="1"/>
      <c r="H57" s="1" t="s">
        <v>1503</v>
      </c>
      <c r="I57" s="1" t="s">
        <v>70</v>
      </c>
      <c r="J57" s="1" t="s">
        <v>1513</v>
      </c>
      <c r="L57" s="1" t="s">
        <v>1517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3" t="n">
        <v>45513</v>
      </c>
      <c r="B58" s="1" t="s">
        <v>39</v>
      </c>
      <c r="C58" s="1"/>
      <c r="D58" s="1"/>
      <c r="E58" s="1"/>
      <c r="G58" s="1"/>
      <c r="H58" s="1" t="s">
        <v>1493</v>
      </c>
      <c r="I58" s="1" t="s">
        <v>45</v>
      </c>
      <c r="J58" s="1" t="s">
        <v>1480</v>
      </c>
      <c r="L58" s="1" t="s">
        <v>1504</v>
      </c>
      <c r="M58" s="1" t="n">
        <v>4</v>
      </c>
      <c r="N58" s="2" t="b">
        <f aca="false">TRUE()</f>
        <v>1</v>
      </c>
      <c r="O58" s="1" t="n">
        <v>160</v>
      </c>
    </row>
    <row r="59" customFormat="false" ht="15.75" hidden="false" customHeight="false" outlineLevel="0" collapsed="false">
      <c r="A59" s="3" t="n">
        <v>45513</v>
      </c>
      <c r="B59" s="1" t="s">
        <v>39</v>
      </c>
      <c r="C59" s="1"/>
      <c r="D59" s="1"/>
      <c r="E59" s="1"/>
      <c r="G59" s="1"/>
      <c r="H59" s="1" t="s">
        <v>466</v>
      </c>
      <c r="I59" s="1" t="s">
        <v>1506</v>
      </c>
      <c r="J59" s="1" t="s">
        <v>1487</v>
      </c>
      <c r="L59" s="1" t="s">
        <v>1507</v>
      </c>
      <c r="M59" s="1" t="n">
        <v>12</v>
      </c>
      <c r="N59" s="2" t="b">
        <f aca="false">TRUE()</f>
        <v>1</v>
      </c>
      <c r="O59" s="1" t="n">
        <v>480</v>
      </c>
    </row>
    <row r="60" customFormat="false" ht="15.75" hidden="false" customHeight="false" outlineLevel="0" collapsed="false">
      <c r="A60" s="3" t="n">
        <v>45513</v>
      </c>
      <c r="B60" s="1" t="s">
        <v>39</v>
      </c>
      <c r="C60" s="1"/>
      <c r="D60" s="1"/>
      <c r="E60" s="1"/>
      <c r="G60" s="1"/>
      <c r="H60" s="1" t="s">
        <v>298</v>
      </c>
      <c r="I60" s="1" t="s">
        <v>63</v>
      </c>
      <c r="J60" s="1" t="s">
        <v>45</v>
      </c>
      <c r="L60" s="1" t="s">
        <v>64</v>
      </c>
      <c r="M60" s="1" t="n">
        <v>1</v>
      </c>
    </row>
    <row r="61" customFormat="false" ht="15.75" hidden="false" customHeight="false" outlineLevel="0" collapsed="false">
      <c r="A61" s="3" t="n">
        <v>45513</v>
      </c>
      <c r="B61" s="1" t="s">
        <v>39</v>
      </c>
      <c r="C61" s="1"/>
      <c r="D61" s="1"/>
      <c r="E61" s="1"/>
      <c r="G61" s="1"/>
      <c r="P61" s="1" t="n">
        <v>3</v>
      </c>
      <c r="Q61" s="1" t="s">
        <v>438</v>
      </c>
      <c r="R61" s="1" t="s">
        <v>438</v>
      </c>
      <c r="S61" s="1" t="n">
        <v>8506</v>
      </c>
      <c r="T61" s="1" t="n">
        <v>6088</v>
      </c>
      <c r="U61" s="1" t="n">
        <v>18433</v>
      </c>
      <c r="V61" s="1" t="n">
        <v>12630</v>
      </c>
      <c r="W61" s="1" t="n">
        <v>0</v>
      </c>
      <c r="X61" s="1" t="n">
        <v>2312</v>
      </c>
      <c r="Y61" s="1" t="n">
        <v>4918</v>
      </c>
      <c r="AA61" s="1" t="n">
        <v>5013</v>
      </c>
      <c r="AB61" s="1" t="n">
        <v>57548</v>
      </c>
      <c r="AC61" s="1" t="n">
        <v>-80</v>
      </c>
      <c r="AD61" s="1" t="n">
        <v>0.254378776090422</v>
      </c>
      <c r="AE61" s="1" t="n">
        <v>1000</v>
      </c>
      <c r="AI61" s="1" t="n">
        <v>880</v>
      </c>
      <c r="AJ61" s="1" t="n">
        <v>2</v>
      </c>
      <c r="AK61" s="1" t="n">
        <v>711</v>
      </c>
      <c r="AL61" s="1" t="n">
        <v>3</v>
      </c>
      <c r="AM61" s="1" t="s">
        <v>1518</v>
      </c>
      <c r="AN61" s="1" t="n">
        <v>3</v>
      </c>
      <c r="AO61" s="1" t="n">
        <v>145</v>
      </c>
      <c r="AP61" s="1" t="n">
        <v>26</v>
      </c>
      <c r="AQ61" s="1" t="n">
        <v>2</v>
      </c>
      <c r="AR61" s="1" t="n">
        <v>1</v>
      </c>
      <c r="AS61" s="1" t="n">
        <v>0.115384615384615</v>
      </c>
      <c r="AT61" s="1" t="n">
        <v>1</v>
      </c>
      <c r="AU61" s="1" t="n">
        <v>0.884615384615385</v>
      </c>
      <c r="AV61" s="1" t="n">
        <v>0.0384615384615385</v>
      </c>
    </row>
    <row r="62" customFormat="false" ht="15.75" hidden="false" customHeight="false" outlineLevel="0" collapsed="false">
      <c r="A62" s="3" t="n">
        <v>45514</v>
      </c>
      <c r="B62" s="1" t="s">
        <v>1500</v>
      </c>
      <c r="C62" s="1" t="s">
        <v>438</v>
      </c>
      <c r="D62" s="1" t="s">
        <v>45</v>
      </c>
      <c r="E62" s="1" t="s">
        <v>1485</v>
      </c>
      <c r="G62" s="1" t="s">
        <v>41</v>
      </c>
    </row>
    <row r="63" customFormat="false" ht="15.75" hidden="false" customHeight="false" outlineLevel="0" collapsed="false">
      <c r="A63" s="3" t="n">
        <v>45514</v>
      </c>
      <c r="B63" s="1" t="s">
        <v>1500</v>
      </c>
      <c r="C63" s="1" t="s">
        <v>361</v>
      </c>
      <c r="D63" s="1" t="s">
        <v>45</v>
      </c>
      <c r="E63" s="1" t="s">
        <v>1480</v>
      </c>
      <c r="G63" s="1" t="s">
        <v>1504</v>
      </c>
    </row>
    <row r="64" customFormat="false" ht="15.75" hidden="false" customHeight="false" outlineLevel="0" collapsed="false">
      <c r="A64" s="3" t="n">
        <v>45514</v>
      </c>
      <c r="B64" s="1" t="s">
        <v>1500</v>
      </c>
      <c r="C64" s="1" t="s">
        <v>1490</v>
      </c>
      <c r="D64" s="1" t="s">
        <v>41</v>
      </c>
      <c r="E64" s="1" t="s">
        <v>1487</v>
      </c>
      <c r="G64" s="1" t="s">
        <v>1489</v>
      </c>
    </row>
    <row r="65" customFormat="false" ht="15.75" hidden="false" customHeight="false" outlineLevel="0" collapsed="false">
      <c r="A65" s="3" t="n">
        <v>45514</v>
      </c>
      <c r="B65" s="1" t="s">
        <v>1500</v>
      </c>
      <c r="C65" s="1"/>
      <c r="D65" s="1"/>
      <c r="E65" s="1"/>
      <c r="G65" s="1"/>
      <c r="H65" s="1" t="s">
        <v>1182</v>
      </c>
      <c r="I65" s="1" t="s">
        <v>63</v>
      </c>
      <c r="J65" s="1" t="s">
        <v>1506</v>
      </c>
      <c r="L65" s="1" t="s">
        <v>1519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3" t="n">
        <v>45514</v>
      </c>
      <c r="B66" s="1" t="s">
        <v>1500</v>
      </c>
      <c r="C66" s="1"/>
      <c r="D66" s="1"/>
      <c r="E66" s="1"/>
      <c r="G66" s="1"/>
      <c r="H66" s="1" t="s">
        <v>1495</v>
      </c>
      <c r="I66" s="1" t="s">
        <v>45</v>
      </c>
      <c r="J66" s="1" t="s">
        <v>1485</v>
      </c>
      <c r="L66" s="1" t="s">
        <v>41</v>
      </c>
      <c r="M66" s="1" t="n">
        <v>15</v>
      </c>
      <c r="N66" s="2" t="b">
        <f aca="false">TRUE()</f>
        <v>1</v>
      </c>
      <c r="O66" s="1" t="n">
        <v>600</v>
      </c>
    </row>
    <row r="67" customFormat="false" ht="15.75" hidden="false" customHeight="false" outlineLevel="0" collapsed="false">
      <c r="A67" s="3" t="n">
        <v>45514</v>
      </c>
      <c r="B67" s="1" t="s">
        <v>1500</v>
      </c>
      <c r="C67" s="1"/>
      <c r="D67" s="1"/>
      <c r="E67" s="1"/>
      <c r="G67" s="1"/>
      <c r="P67" s="1" t="n">
        <v>6</v>
      </c>
      <c r="Q67" s="1" t="s">
        <v>1490</v>
      </c>
      <c r="R67" s="1" t="s">
        <v>438</v>
      </c>
      <c r="S67" s="1" t="n">
        <v>9219</v>
      </c>
      <c r="T67" s="1" t="n">
        <v>7517</v>
      </c>
      <c r="U67" s="1" t="n">
        <v>16192</v>
      </c>
      <c r="V67" s="1" t="n">
        <v>12120</v>
      </c>
      <c r="W67" s="1" t="n">
        <v>0</v>
      </c>
      <c r="X67" s="1" t="n">
        <v>2137</v>
      </c>
      <c r="Y67" s="1" t="n">
        <v>4178</v>
      </c>
      <c r="AA67" s="1" t="n">
        <v>10845</v>
      </c>
      <c r="AB67" s="1" t="n">
        <v>61071</v>
      </c>
      <c r="AC67" s="1" t="n">
        <v>0</v>
      </c>
      <c r="AD67" s="1" t="n">
        <v>0.250613669441332</v>
      </c>
      <c r="AI67" s="1" t="n">
        <v>1000</v>
      </c>
      <c r="AJ67" s="1" t="n">
        <v>0</v>
      </c>
      <c r="AK67" s="1" t="n">
        <v>0</v>
      </c>
      <c r="AL67" s="1" t="n">
        <v>10</v>
      </c>
      <c r="AM67" s="1" t="s">
        <v>1520</v>
      </c>
      <c r="AN67" s="1" t="n">
        <v>2</v>
      </c>
      <c r="AO67" s="1" t="n">
        <v>147</v>
      </c>
      <c r="AP67" s="1" t="n">
        <v>31</v>
      </c>
      <c r="AQ67" s="1" t="n">
        <v>5</v>
      </c>
      <c r="AR67" s="1" t="n">
        <v>4</v>
      </c>
      <c r="AS67" s="1" t="n">
        <v>0.32258064516129</v>
      </c>
      <c r="AT67" s="1" t="n">
        <v>4</v>
      </c>
      <c r="AU67" s="1" t="n">
        <v>0.67741935483871</v>
      </c>
      <c r="AV67" s="1" t="n">
        <v>0.129032258064516</v>
      </c>
    </row>
    <row r="68" customFormat="false" ht="15.75" hidden="false" customHeight="false" outlineLevel="0" collapsed="false">
      <c r="A68" s="3" t="n">
        <v>45515</v>
      </c>
      <c r="B68" s="1" t="s">
        <v>67</v>
      </c>
      <c r="C68" s="1" t="s">
        <v>438</v>
      </c>
      <c r="D68" s="1" t="s">
        <v>41</v>
      </c>
      <c r="E68" s="1" t="s">
        <v>45</v>
      </c>
      <c r="G68" s="1" t="s">
        <v>53</v>
      </c>
    </row>
    <row r="69" customFormat="false" ht="15.75" hidden="false" customHeight="false" outlineLevel="0" collapsed="false">
      <c r="A69" s="3" t="n">
        <v>45515</v>
      </c>
      <c r="B69" s="1" t="s">
        <v>67</v>
      </c>
      <c r="C69" s="1" t="s">
        <v>1479</v>
      </c>
      <c r="D69" s="1" t="s">
        <v>45</v>
      </c>
      <c r="E69" s="1" t="s">
        <v>57</v>
      </c>
      <c r="G69" s="1" t="s">
        <v>53</v>
      </c>
    </row>
    <row r="70" customFormat="false" ht="15.75" hidden="false" customHeight="false" outlineLevel="0" collapsed="false">
      <c r="A70" s="3" t="n">
        <v>45515</v>
      </c>
      <c r="B70" s="1" t="s">
        <v>67</v>
      </c>
      <c r="C70" s="1" t="s">
        <v>1490</v>
      </c>
      <c r="D70" s="1" t="s">
        <v>45</v>
      </c>
      <c r="E70" s="1" t="s">
        <v>57</v>
      </c>
      <c r="G70" s="1" t="s">
        <v>53</v>
      </c>
    </row>
    <row r="71" customFormat="false" ht="15.75" hidden="false" customHeight="false" outlineLevel="0" collapsed="false">
      <c r="A71" s="3" t="n">
        <v>45515</v>
      </c>
      <c r="B71" s="1" t="s">
        <v>67</v>
      </c>
      <c r="C71" s="1"/>
      <c r="D71" s="1"/>
      <c r="E71" s="1"/>
      <c r="G71" s="1"/>
      <c r="H71" s="1" t="s">
        <v>1182</v>
      </c>
      <c r="I71" s="1" t="s">
        <v>45</v>
      </c>
      <c r="J71" s="1" t="s">
        <v>1480</v>
      </c>
      <c r="L71" s="1" t="s">
        <v>1504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3" t="n">
        <v>45515</v>
      </c>
      <c r="B72" s="1" t="s">
        <v>67</v>
      </c>
      <c r="C72" s="1"/>
      <c r="D72" s="1"/>
      <c r="E72" s="1"/>
      <c r="G72" s="1"/>
      <c r="H72" s="1" t="s">
        <v>298</v>
      </c>
      <c r="I72" s="1" t="s">
        <v>63</v>
      </c>
      <c r="J72" s="1" t="s">
        <v>70</v>
      </c>
      <c r="L72" s="1" t="s">
        <v>53</v>
      </c>
      <c r="M72" s="1" t="n">
        <v>4</v>
      </c>
    </row>
    <row r="73" customFormat="false" ht="15.75" hidden="false" customHeight="false" outlineLevel="0" collapsed="false">
      <c r="A73" s="3" t="n">
        <v>45515</v>
      </c>
      <c r="B73" s="1" t="s">
        <v>67</v>
      </c>
      <c r="C73" s="1"/>
      <c r="D73" s="1"/>
      <c r="E73" s="1"/>
      <c r="G73" s="1"/>
      <c r="H73" s="1" t="s">
        <v>1493</v>
      </c>
      <c r="I73" s="1" t="s">
        <v>1496</v>
      </c>
      <c r="J73" s="1" t="s">
        <v>1487</v>
      </c>
      <c r="L73" s="1" t="s">
        <v>1519</v>
      </c>
      <c r="M73" s="1" t="n">
        <v>19</v>
      </c>
      <c r="N73" s="2" t="b">
        <f aca="false">TRUE()</f>
        <v>1</v>
      </c>
      <c r="O73" s="1" t="n">
        <v>760</v>
      </c>
    </row>
    <row r="74" customFormat="false" ht="15.75" hidden="false" customHeight="false" outlineLevel="0" collapsed="false">
      <c r="A74" s="3" t="n">
        <v>45515</v>
      </c>
      <c r="B74" s="1" t="s">
        <v>67</v>
      </c>
      <c r="C74" s="1"/>
      <c r="D74" s="1"/>
      <c r="E74" s="1"/>
      <c r="G74" s="1"/>
      <c r="P74" s="1" t="n">
        <v>8</v>
      </c>
      <c r="Q74" s="1" t="s">
        <v>438</v>
      </c>
      <c r="R74" s="1" t="s">
        <v>1479</v>
      </c>
      <c r="S74" s="1" t="n">
        <v>3033</v>
      </c>
      <c r="T74" s="1" t="n">
        <v>5022</v>
      </c>
      <c r="U74" s="1" t="n">
        <v>7563</v>
      </c>
      <c r="V74" s="1" t="n">
        <v>15790</v>
      </c>
      <c r="W74" s="1" t="n">
        <v>299</v>
      </c>
      <c r="X74" s="1" t="n">
        <v>1052</v>
      </c>
      <c r="Y74" s="1" t="n">
        <v>4058</v>
      </c>
      <c r="AA74" s="1" t="n">
        <v>4600</v>
      </c>
      <c r="AB74" s="1" t="n">
        <v>41762.5</v>
      </c>
      <c r="AC74" s="1" t="n">
        <v>2.5</v>
      </c>
      <c r="AD74" s="1" t="n">
        <v>0.382502791893484</v>
      </c>
      <c r="AE74" s="1" t="n">
        <v>400</v>
      </c>
      <c r="AI74" s="1" t="n">
        <v>1000</v>
      </c>
      <c r="AJ74" s="1" t="n">
        <v>1</v>
      </c>
      <c r="AK74" s="1" t="n">
        <v>557</v>
      </c>
      <c r="AL74" s="1" t="n">
        <v>11</v>
      </c>
      <c r="AM74" s="1" t="s">
        <v>1521</v>
      </c>
      <c r="AN74" s="1" t="n">
        <v>2</v>
      </c>
      <c r="AO74" s="1" t="n">
        <v>106</v>
      </c>
      <c r="AP74" s="1" t="n">
        <v>37</v>
      </c>
      <c r="AQ74" s="1" t="n">
        <v>7</v>
      </c>
      <c r="AR74" s="1" t="n">
        <v>4</v>
      </c>
      <c r="AS74" s="1" t="n">
        <v>0.297297297297297</v>
      </c>
      <c r="AT74" s="1" t="n">
        <v>4</v>
      </c>
      <c r="AU74" s="1" t="n">
        <v>0.702702702702703</v>
      </c>
      <c r="AV74" s="1" t="n">
        <v>0.108108108108108</v>
      </c>
    </row>
    <row r="75" customFormat="false" ht="15.75" hidden="false" customHeight="false" outlineLevel="0" collapsed="false">
      <c r="A75" s="3" t="n">
        <v>45516</v>
      </c>
      <c r="B75" s="1" t="s">
        <v>69</v>
      </c>
      <c r="C75" s="1" t="s">
        <v>1479</v>
      </c>
      <c r="D75" s="1" t="s">
        <v>1522</v>
      </c>
      <c r="E75" s="1" t="s">
        <v>57</v>
      </c>
      <c r="G75" s="1" t="s">
        <v>1498</v>
      </c>
    </row>
    <row r="76" customFormat="false" ht="15.75" hidden="false" customHeight="false" outlineLevel="0" collapsed="false">
      <c r="A76" s="3" t="n">
        <v>45516</v>
      </c>
      <c r="B76" s="1" t="s">
        <v>69</v>
      </c>
      <c r="C76" s="1" t="s">
        <v>361</v>
      </c>
      <c r="D76" s="1" t="s">
        <v>1512</v>
      </c>
      <c r="E76" s="1" t="s">
        <v>57</v>
      </c>
      <c r="G76" s="1" t="s">
        <v>1502</v>
      </c>
    </row>
    <row r="77" customFormat="false" ht="15.75" hidden="false" customHeight="false" outlineLevel="0" collapsed="false">
      <c r="A77" s="3" t="n">
        <v>45516</v>
      </c>
      <c r="B77" s="1" t="s">
        <v>69</v>
      </c>
      <c r="C77" s="1"/>
      <c r="D77" s="1"/>
      <c r="E77" s="1"/>
      <c r="G77" s="1"/>
      <c r="H77" s="1" t="s">
        <v>1495</v>
      </c>
      <c r="I77" s="1" t="s">
        <v>45</v>
      </c>
      <c r="J77" s="1" t="s">
        <v>56</v>
      </c>
      <c r="L77" s="1" t="s">
        <v>1507</v>
      </c>
      <c r="M77" s="1" t="n">
        <v>11</v>
      </c>
      <c r="N77" s="2" t="b">
        <f aca="false">TRUE()</f>
        <v>1</v>
      </c>
      <c r="O77" s="1" t="n">
        <v>440</v>
      </c>
    </row>
    <row r="78" customFormat="false" ht="15.75" hidden="false" customHeight="false" outlineLevel="0" collapsed="false">
      <c r="A78" s="3" t="n">
        <v>45516</v>
      </c>
      <c r="B78" s="1" t="s">
        <v>69</v>
      </c>
      <c r="C78" s="1"/>
      <c r="D78" s="1"/>
      <c r="E78" s="1"/>
      <c r="G78" s="1"/>
      <c r="H78" s="1" t="s">
        <v>298</v>
      </c>
      <c r="I78" s="1" t="s">
        <v>63</v>
      </c>
      <c r="J78" s="1" t="s">
        <v>1512</v>
      </c>
      <c r="L78" s="1" t="s">
        <v>47</v>
      </c>
      <c r="M78" s="1" t="n">
        <v>4</v>
      </c>
    </row>
    <row r="79" customFormat="false" ht="15.75" hidden="false" customHeight="false" outlineLevel="0" collapsed="false">
      <c r="A79" s="3" t="n">
        <v>45516</v>
      </c>
      <c r="B79" s="1" t="s">
        <v>69</v>
      </c>
      <c r="C79" s="1"/>
      <c r="D79" s="1"/>
      <c r="E79" s="1"/>
      <c r="G79" s="1"/>
      <c r="H79" s="1" t="s">
        <v>1486</v>
      </c>
      <c r="I79" s="1" t="s">
        <v>1506</v>
      </c>
      <c r="J79" s="1" t="s">
        <v>1487</v>
      </c>
      <c r="L79" s="1" t="s">
        <v>1507</v>
      </c>
    </row>
    <row r="80" customFormat="false" ht="15.75" hidden="false" customHeight="false" outlineLevel="0" collapsed="false">
      <c r="A80" s="3" t="n">
        <v>45516</v>
      </c>
      <c r="B80" s="1" t="s">
        <v>69</v>
      </c>
      <c r="C80" s="1"/>
      <c r="D80" s="1"/>
      <c r="E80" s="1"/>
      <c r="G80" s="1"/>
      <c r="P80" s="1" t="n">
        <v>4</v>
      </c>
      <c r="Q80" s="1" t="s">
        <v>438</v>
      </c>
      <c r="R80" s="1" t="s">
        <v>1479</v>
      </c>
      <c r="S80" s="1" t="n">
        <v>4757</v>
      </c>
      <c r="T80" s="1" t="n">
        <v>6406</v>
      </c>
      <c r="U80" s="1" t="n">
        <v>10842</v>
      </c>
      <c r="V80" s="1" t="n">
        <v>10633</v>
      </c>
      <c r="W80" s="1" t="n">
        <v>0</v>
      </c>
      <c r="X80" s="1" t="n">
        <v>2592</v>
      </c>
      <c r="Y80" s="1" t="n">
        <v>3523</v>
      </c>
      <c r="AA80" s="1" t="n">
        <v>120</v>
      </c>
      <c r="AB80" s="1" t="n">
        <v>42461</v>
      </c>
      <c r="AC80" s="1" t="n">
        <v>-40</v>
      </c>
      <c r="AD80" s="1" t="n">
        <v>0.370648402215012</v>
      </c>
      <c r="AE80" s="1" t="n">
        <v>600</v>
      </c>
      <c r="AG80" s="1" t="n">
        <v>5100</v>
      </c>
      <c r="AI80" s="1" t="n">
        <v>440</v>
      </c>
      <c r="AJ80" s="1" t="n">
        <v>2</v>
      </c>
      <c r="AK80" s="1" t="n">
        <v>535</v>
      </c>
      <c r="AL80" s="1" t="n">
        <v>6</v>
      </c>
      <c r="AM80" s="1" t="s">
        <v>1523</v>
      </c>
      <c r="AN80" s="1" t="n">
        <v>1</v>
      </c>
      <c r="AO80" s="1" t="n">
        <v>118</v>
      </c>
      <c r="AP80" s="1" t="n">
        <v>19</v>
      </c>
      <c r="AQ80" s="1" t="n">
        <v>4</v>
      </c>
      <c r="AR80" s="1" t="n">
        <v>2</v>
      </c>
      <c r="AS80" s="1" t="n">
        <v>0.315789473684211</v>
      </c>
      <c r="AT80" s="1" t="n">
        <v>2</v>
      </c>
      <c r="AU80" s="1" t="n">
        <v>0.68421052631579</v>
      </c>
      <c r="AV80" s="1" t="n">
        <v>0.105263157894737</v>
      </c>
    </row>
    <row r="81" customFormat="false" ht="15.75" hidden="false" customHeight="false" outlineLevel="0" collapsed="false">
      <c r="A81" s="3" t="n">
        <v>45517</v>
      </c>
      <c r="B81" s="1" t="s">
        <v>61</v>
      </c>
      <c r="C81" s="1" t="s">
        <v>1508</v>
      </c>
      <c r="D81" s="1" t="s">
        <v>41</v>
      </c>
      <c r="E81" s="1" t="s">
        <v>1506</v>
      </c>
      <c r="G81" s="1" t="s">
        <v>1507</v>
      </c>
    </row>
    <row r="82" customFormat="false" ht="15.75" hidden="false" customHeight="false" outlineLevel="0" collapsed="false">
      <c r="A82" s="3" t="n">
        <v>45517</v>
      </c>
      <c r="B82" s="1" t="s">
        <v>61</v>
      </c>
      <c r="C82" s="1" t="s">
        <v>1479</v>
      </c>
      <c r="D82" s="1" t="s">
        <v>1522</v>
      </c>
      <c r="E82" s="1" t="s">
        <v>57</v>
      </c>
      <c r="G82" s="1" t="s">
        <v>1498</v>
      </c>
    </row>
    <row r="83" customFormat="false" ht="15.75" hidden="false" customHeight="false" outlineLevel="0" collapsed="false">
      <c r="A83" s="3" t="n">
        <v>45517</v>
      </c>
      <c r="B83" s="1" t="s">
        <v>61</v>
      </c>
      <c r="C83" s="1" t="s">
        <v>361</v>
      </c>
      <c r="D83" s="1" t="s">
        <v>1512</v>
      </c>
      <c r="E83" s="1" t="s">
        <v>1487</v>
      </c>
      <c r="G83" s="1" t="s">
        <v>64</v>
      </c>
    </row>
    <row r="84" customFormat="false" ht="15.75" hidden="false" customHeight="false" outlineLevel="0" collapsed="false">
      <c r="A84" s="3" t="n">
        <v>45517</v>
      </c>
      <c r="B84" s="1" t="s">
        <v>61</v>
      </c>
      <c r="C84" s="1"/>
      <c r="D84" s="1"/>
      <c r="E84" s="1"/>
      <c r="G84" s="1"/>
      <c r="H84" s="1" t="s">
        <v>298</v>
      </c>
      <c r="I84" s="1" t="s">
        <v>63</v>
      </c>
      <c r="J84" s="1" t="s">
        <v>70</v>
      </c>
      <c r="L84" s="1" t="s">
        <v>53</v>
      </c>
      <c r="M84" s="1" t="n">
        <v>7</v>
      </c>
    </row>
    <row r="85" customFormat="false" ht="15.75" hidden="false" customHeight="false" outlineLevel="0" collapsed="false">
      <c r="A85" s="3" t="n">
        <v>45517</v>
      </c>
      <c r="B85" s="1" t="s">
        <v>61</v>
      </c>
      <c r="C85" s="1"/>
      <c r="D85" s="1"/>
      <c r="E85" s="1"/>
      <c r="G85" s="1"/>
      <c r="H85" s="1" t="s">
        <v>466</v>
      </c>
      <c r="I85" s="1" t="s">
        <v>70</v>
      </c>
      <c r="J85" s="1" t="s">
        <v>1487</v>
      </c>
      <c r="L85" s="1" t="s">
        <v>53</v>
      </c>
      <c r="M85" s="1" t="n">
        <v>15</v>
      </c>
      <c r="N85" s="2" t="b">
        <f aca="false">TRUE()</f>
        <v>1</v>
      </c>
      <c r="O85" s="1" t="n">
        <v>600</v>
      </c>
    </row>
    <row r="86" customFormat="false" ht="15.75" hidden="false" customHeight="false" outlineLevel="0" collapsed="false">
      <c r="A86" s="3" t="n">
        <v>45517</v>
      </c>
      <c r="B86" s="1" t="s">
        <v>61</v>
      </c>
      <c r="C86" s="1"/>
      <c r="D86" s="1"/>
      <c r="E86" s="1"/>
      <c r="G86" s="1"/>
      <c r="P86" s="1" t="n">
        <v>6</v>
      </c>
      <c r="Q86" s="1" t="s">
        <v>1508</v>
      </c>
      <c r="R86" s="1" t="s">
        <v>1479</v>
      </c>
      <c r="S86" s="1" t="n">
        <v>4564</v>
      </c>
      <c r="T86" s="1" t="n">
        <v>3676</v>
      </c>
      <c r="U86" s="1" t="n">
        <v>7981</v>
      </c>
      <c r="V86" s="1" t="n">
        <v>12832</v>
      </c>
      <c r="W86" s="1" t="n">
        <v>706</v>
      </c>
      <c r="X86" s="1" t="n">
        <v>2387</v>
      </c>
      <c r="Y86" s="1" t="n">
        <v>3181</v>
      </c>
      <c r="AA86" s="1" t="n">
        <v>1310</v>
      </c>
      <c r="AB86" s="1" t="n">
        <v>37568.5</v>
      </c>
      <c r="AC86" s="1" t="n">
        <v>3.5</v>
      </c>
      <c r="AD86" s="1" t="n">
        <v>0.460585659966504</v>
      </c>
      <c r="AE86" s="1" t="n">
        <v>2000</v>
      </c>
      <c r="AG86" s="1" t="n">
        <v>722</v>
      </c>
      <c r="AI86" s="1" t="n">
        <v>600</v>
      </c>
      <c r="AJ86" s="1" t="n">
        <v>1</v>
      </c>
      <c r="AK86" s="1" t="n">
        <v>364</v>
      </c>
      <c r="AL86" s="1" t="n">
        <v>3</v>
      </c>
      <c r="AM86" s="1" t="s">
        <v>1524</v>
      </c>
      <c r="AN86" s="1" t="n">
        <v>1</v>
      </c>
      <c r="AO86" s="1" t="n">
        <v>104</v>
      </c>
      <c r="AP86" s="1" t="n">
        <v>28</v>
      </c>
      <c r="AQ86" s="1" t="n">
        <v>5</v>
      </c>
      <c r="AR86" s="1" t="n">
        <v>2</v>
      </c>
      <c r="AS86" s="1" t="n">
        <v>0.107142857142857</v>
      </c>
      <c r="AT86" s="1" t="n">
        <v>2</v>
      </c>
      <c r="AU86" s="1" t="n">
        <v>0.892857142857143</v>
      </c>
      <c r="AV86" s="1" t="n">
        <v>0.0714285714285714</v>
      </c>
    </row>
    <row r="87" customFormat="false" ht="15.75" hidden="false" customHeight="false" outlineLevel="0" collapsed="false">
      <c r="A87" s="3" t="n">
        <v>45518</v>
      </c>
      <c r="B87" s="1" t="s">
        <v>73</v>
      </c>
      <c r="C87" s="1" t="s">
        <v>1490</v>
      </c>
      <c r="D87" s="1" t="s">
        <v>41</v>
      </c>
      <c r="E87" s="1" t="s">
        <v>1487</v>
      </c>
      <c r="G87" s="1" t="s">
        <v>1489</v>
      </c>
    </row>
    <row r="88" customFormat="false" ht="15.75" hidden="false" customHeight="false" outlineLevel="0" collapsed="false">
      <c r="A88" s="3" t="n">
        <v>45518</v>
      </c>
      <c r="B88" s="1" t="s">
        <v>73</v>
      </c>
      <c r="C88" s="1" t="s">
        <v>361</v>
      </c>
      <c r="D88" s="1" t="s">
        <v>62</v>
      </c>
      <c r="E88" s="1" t="s">
        <v>1487</v>
      </c>
      <c r="G88" s="1" t="s">
        <v>1502</v>
      </c>
    </row>
    <row r="89" customFormat="false" ht="15.75" hidden="false" customHeight="false" outlineLevel="0" collapsed="false">
      <c r="A89" s="3" t="n">
        <v>45518</v>
      </c>
      <c r="B89" s="1" t="s">
        <v>73</v>
      </c>
      <c r="C89" s="1"/>
      <c r="D89" s="1"/>
      <c r="E89" s="1"/>
      <c r="G89" s="1"/>
      <c r="H89" s="1" t="s">
        <v>1503</v>
      </c>
      <c r="I89" s="1" t="s">
        <v>45</v>
      </c>
      <c r="J89" s="1" t="s">
        <v>1480</v>
      </c>
      <c r="L89" s="1" t="s">
        <v>1504</v>
      </c>
      <c r="M89" s="1" t="n">
        <v>4</v>
      </c>
      <c r="N89" s="2" t="b">
        <f aca="false">TRUE()</f>
        <v>1</v>
      </c>
      <c r="O89" s="1" t="n">
        <v>160</v>
      </c>
    </row>
    <row r="90" customFormat="false" ht="15.75" hidden="false" customHeight="false" outlineLevel="0" collapsed="false">
      <c r="A90" s="3" t="n">
        <v>45518</v>
      </c>
      <c r="B90" s="1" t="s">
        <v>73</v>
      </c>
      <c r="C90" s="1"/>
      <c r="D90" s="1"/>
      <c r="E90" s="1"/>
      <c r="G90" s="1"/>
      <c r="H90" s="1" t="s">
        <v>298</v>
      </c>
      <c r="I90" s="1" t="s">
        <v>63</v>
      </c>
      <c r="J90" s="1" t="s">
        <v>1512</v>
      </c>
      <c r="L90" s="1" t="s">
        <v>47</v>
      </c>
      <c r="M90" s="1" t="n">
        <v>7</v>
      </c>
    </row>
    <row r="91" customFormat="false" ht="15.75" hidden="false" customHeight="false" outlineLevel="0" collapsed="false">
      <c r="A91" s="3" t="n">
        <v>45518</v>
      </c>
      <c r="B91" s="1" t="s">
        <v>73</v>
      </c>
      <c r="C91" s="1"/>
      <c r="D91" s="1"/>
      <c r="E91" s="1"/>
      <c r="G91" s="1"/>
      <c r="H91" s="1" t="s">
        <v>1495</v>
      </c>
      <c r="I91" s="1" t="s">
        <v>45</v>
      </c>
      <c r="J91" s="1" t="s">
        <v>1487</v>
      </c>
      <c r="L91" s="1" t="s">
        <v>47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3" t="n">
        <v>45518</v>
      </c>
      <c r="B92" s="1" t="s">
        <v>73</v>
      </c>
      <c r="C92" s="1"/>
      <c r="D92" s="1"/>
      <c r="E92" s="1"/>
      <c r="G92" s="1"/>
      <c r="P92" s="1" t="n">
        <v>3</v>
      </c>
      <c r="Q92" s="1" t="s">
        <v>1490</v>
      </c>
      <c r="R92" s="1" t="s">
        <v>1490</v>
      </c>
      <c r="S92" s="1" t="n">
        <v>4707</v>
      </c>
      <c r="T92" s="1" t="n">
        <v>5117</v>
      </c>
      <c r="U92" s="1" t="n">
        <v>13153</v>
      </c>
      <c r="V92" s="1" t="n">
        <v>8240</v>
      </c>
      <c r="W92" s="1" t="n">
        <v>547</v>
      </c>
      <c r="X92" s="1" t="n">
        <v>2181</v>
      </c>
      <c r="Y92" s="1" t="n">
        <v>4129</v>
      </c>
      <c r="Z92" s="1" t="n">
        <v>480</v>
      </c>
      <c r="AA92" s="1" t="n">
        <v>3201</v>
      </c>
      <c r="AB92" s="1" t="n">
        <v>40571</v>
      </c>
      <c r="AC92" s="1" t="n">
        <v>0</v>
      </c>
      <c r="AD92" s="1" t="n">
        <v>0.392116265471682</v>
      </c>
      <c r="AG92" s="1" t="n">
        <v>597</v>
      </c>
      <c r="AI92" s="1" t="n">
        <v>400</v>
      </c>
      <c r="AJ92" s="1" t="n">
        <v>1</v>
      </c>
      <c r="AK92" s="1" t="n">
        <v>718</v>
      </c>
      <c r="AL92" s="1" t="n">
        <v>2</v>
      </c>
      <c r="AM92" s="1" t="s">
        <v>1525</v>
      </c>
      <c r="AN92" s="1" t="n">
        <v>2</v>
      </c>
      <c r="AO92" s="1" t="n">
        <v>110</v>
      </c>
      <c r="AP92" s="1" t="n">
        <v>19</v>
      </c>
      <c r="AQ92" s="1" t="n">
        <v>3</v>
      </c>
      <c r="AR92" s="1" t="n">
        <v>2</v>
      </c>
      <c r="AS92" s="1" t="n">
        <v>0.105263157894737</v>
      </c>
      <c r="AT92" s="1" t="n">
        <v>2</v>
      </c>
      <c r="AU92" s="1" t="n">
        <v>0.894736842105263</v>
      </c>
      <c r="AV92" s="1" t="n">
        <v>0.105263157894737</v>
      </c>
    </row>
    <row r="93" customFormat="false" ht="15.75" hidden="false" customHeight="false" outlineLevel="0" collapsed="false">
      <c r="A93" s="3" t="n">
        <v>45519</v>
      </c>
      <c r="B93" s="1" t="s">
        <v>1478</v>
      </c>
      <c r="C93" s="1" t="s">
        <v>51</v>
      </c>
      <c r="D93" s="1" t="s">
        <v>41</v>
      </c>
      <c r="E93" s="1" t="s">
        <v>42</v>
      </c>
      <c r="G93" s="1" t="s">
        <v>43</v>
      </c>
    </row>
    <row r="94" customFormat="false" ht="15.75" hidden="false" customHeight="false" outlineLevel="0" collapsed="false">
      <c r="A94" s="3" t="n">
        <v>45519</v>
      </c>
      <c r="B94" s="1" t="s">
        <v>1478</v>
      </c>
      <c r="C94" s="1" t="s">
        <v>1490</v>
      </c>
      <c r="D94" s="1" t="s">
        <v>45</v>
      </c>
      <c r="E94" s="1" t="s">
        <v>1487</v>
      </c>
      <c r="G94" s="1" t="s">
        <v>47</v>
      </c>
    </row>
    <row r="95" customFormat="false" ht="15.75" hidden="false" customHeight="false" outlineLevel="0" collapsed="false">
      <c r="A95" s="3" t="n">
        <v>45519</v>
      </c>
      <c r="B95" s="1" t="s">
        <v>1478</v>
      </c>
      <c r="C95" s="1"/>
      <c r="D95" s="1"/>
      <c r="E95" s="1"/>
      <c r="G95" s="1"/>
      <c r="H95" s="1" t="s">
        <v>1503</v>
      </c>
      <c r="I95" s="1" t="s">
        <v>45</v>
      </c>
      <c r="J95" s="1" t="s">
        <v>42</v>
      </c>
      <c r="L95" s="1" t="s">
        <v>1502</v>
      </c>
      <c r="M95" s="1" t="n">
        <v>8</v>
      </c>
      <c r="N95" s="2" t="b">
        <f aca="false">TRUE()</f>
        <v>1</v>
      </c>
      <c r="O95" s="1" t="n">
        <v>320</v>
      </c>
    </row>
    <row r="96" customFormat="false" ht="15.75" hidden="false" customHeight="false" outlineLevel="0" collapsed="false">
      <c r="A96" s="3" t="n">
        <v>45519</v>
      </c>
      <c r="B96" s="1" t="s">
        <v>1478</v>
      </c>
      <c r="C96" s="1"/>
      <c r="D96" s="1"/>
      <c r="E96" s="1"/>
      <c r="G96" s="1"/>
      <c r="H96" s="1" t="s">
        <v>1486</v>
      </c>
      <c r="I96" s="1" t="s">
        <v>63</v>
      </c>
      <c r="J96" s="1" t="s">
        <v>1489</v>
      </c>
      <c r="L96" s="1" t="s">
        <v>1504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3" t="n">
        <v>45519</v>
      </c>
      <c r="B97" s="1" t="s">
        <v>1478</v>
      </c>
      <c r="C97" s="1"/>
      <c r="D97" s="1"/>
      <c r="E97" s="1"/>
      <c r="G97" s="1"/>
      <c r="H97" s="1" t="s">
        <v>417</v>
      </c>
      <c r="I97" s="1" t="s">
        <v>70</v>
      </c>
      <c r="J97" s="1" t="s">
        <v>1487</v>
      </c>
      <c r="L97" s="1" t="s">
        <v>53</v>
      </c>
      <c r="M97" s="1" t="n">
        <v>11</v>
      </c>
      <c r="N97" s="2" t="b">
        <f aca="false">TRUE()</f>
        <v>1</v>
      </c>
      <c r="O97" s="1" t="n">
        <v>440</v>
      </c>
    </row>
    <row r="98" customFormat="false" ht="15.75" hidden="false" customHeight="false" outlineLevel="0" collapsed="false">
      <c r="A98" s="3" t="n">
        <v>45519</v>
      </c>
      <c r="B98" s="1" t="s">
        <v>1478</v>
      </c>
      <c r="C98" s="1"/>
      <c r="D98" s="1"/>
      <c r="E98" s="1"/>
      <c r="G98" s="1"/>
      <c r="P98" s="1" t="n">
        <v>5</v>
      </c>
      <c r="Q98" s="1" t="s">
        <v>51</v>
      </c>
      <c r="R98" s="1" t="s">
        <v>1490</v>
      </c>
      <c r="S98" s="1" t="n">
        <v>6648</v>
      </c>
      <c r="T98" s="1" t="n">
        <v>7042</v>
      </c>
      <c r="U98" s="1" t="n">
        <v>8325</v>
      </c>
      <c r="V98" s="1" t="n">
        <v>10209</v>
      </c>
      <c r="W98" s="1" t="n">
        <v>250</v>
      </c>
      <c r="X98" s="1" t="n">
        <v>2491</v>
      </c>
      <c r="Y98" s="1" t="n">
        <v>5083</v>
      </c>
      <c r="AA98" s="1" t="n">
        <v>3670</v>
      </c>
      <c r="AB98" s="1" t="n">
        <v>42248.5</v>
      </c>
      <c r="AC98" s="1" t="n">
        <v>-36.5</v>
      </c>
      <c r="AD98" s="1" t="n">
        <v>0.28792024820885</v>
      </c>
      <c r="AH98" s="1" t="n">
        <v>65</v>
      </c>
      <c r="AI98" s="1" t="n">
        <v>920</v>
      </c>
      <c r="AJ98" s="1" t="n">
        <v>0</v>
      </c>
      <c r="AK98" s="1" t="n">
        <v>0</v>
      </c>
      <c r="AL98" s="1" t="n">
        <v>3</v>
      </c>
      <c r="AM98" s="1" t="s">
        <v>1526</v>
      </c>
      <c r="AN98" s="1" t="n">
        <v>3</v>
      </c>
      <c r="AO98" s="1" t="n">
        <v>113</v>
      </c>
      <c r="AP98" s="1" t="n">
        <v>29</v>
      </c>
      <c r="AQ98" s="1" t="n">
        <v>3</v>
      </c>
      <c r="AR98" s="1" t="n">
        <v>1</v>
      </c>
      <c r="AS98" s="1" t="n">
        <v>0.103448275862069</v>
      </c>
      <c r="AT98" s="1" t="n">
        <v>1</v>
      </c>
      <c r="AU98" s="1" t="n">
        <v>0.896551724137931</v>
      </c>
      <c r="AV98" s="1" t="n">
        <v>0.0344827586206897</v>
      </c>
    </row>
    <row r="99" customFormat="false" ht="15.75" hidden="false" customHeight="false" outlineLevel="0" collapsed="false">
      <c r="A99" s="3" t="n">
        <v>45520</v>
      </c>
      <c r="B99" s="1" t="s">
        <v>39</v>
      </c>
      <c r="C99" s="1" t="s">
        <v>51</v>
      </c>
      <c r="D99" s="1" t="s">
        <v>41</v>
      </c>
      <c r="E99" s="1" t="s">
        <v>1501</v>
      </c>
      <c r="G99" s="1" t="s">
        <v>64</v>
      </c>
    </row>
    <row r="100" customFormat="false" ht="15.75" hidden="false" customHeight="false" outlineLevel="0" collapsed="false">
      <c r="A100" s="3" t="n">
        <v>45520</v>
      </c>
      <c r="B100" s="1" t="s">
        <v>39</v>
      </c>
      <c r="C100" s="1" t="s">
        <v>1479</v>
      </c>
      <c r="D100" s="1" t="s">
        <v>45</v>
      </c>
      <c r="E100" s="1" t="s">
        <v>1527</v>
      </c>
      <c r="G100" s="1" t="s">
        <v>1528</v>
      </c>
    </row>
    <row r="101" customFormat="false" ht="15.75" hidden="false" customHeight="false" outlineLevel="0" collapsed="false">
      <c r="A101" s="3" t="n">
        <v>45520</v>
      </c>
      <c r="B101" s="1" t="s">
        <v>39</v>
      </c>
      <c r="C101" s="1" t="s">
        <v>1490</v>
      </c>
      <c r="D101" s="1" t="s">
        <v>1501</v>
      </c>
      <c r="E101" s="1" t="s">
        <v>1485</v>
      </c>
      <c r="G101" s="1" t="s">
        <v>63</v>
      </c>
    </row>
    <row r="102" customFormat="false" ht="15.75" hidden="false" customHeight="false" outlineLevel="0" collapsed="false">
      <c r="A102" s="3" t="n">
        <v>45520</v>
      </c>
      <c r="B102" s="1" t="s">
        <v>39</v>
      </c>
      <c r="C102" s="1"/>
      <c r="D102" s="1"/>
      <c r="E102" s="1"/>
      <c r="G102" s="1"/>
      <c r="H102" s="1" t="s">
        <v>1503</v>
      </c>
      <c r="I102" s="1" t="s">
        <v>45</v>
      </c>
      <c r="J102" s="1" t="s">
        <v>42</v>
      </c>
      <c r="L102" s="1" t="s">
        <v>1502</v>
      </c>
      <c r="M102" s="1" t="n">
        <v>6</v>
      </c>
      <c r="N102" s="2" t="b">
        <f aca="false">TRUE()</f>
        <v>1</v>
      </c>
      <c r="O102" s="1" t="n">
        <v>240</v>
      </c>
    </row>
    <row r="103" customFormat="false" ht="15.75" hidden="false" customHeight="false" outlineLevel="0" collapsed="false">
      <c r="A103" s="3" t="n">
        <v>45520</v>
      </c>
      <c r="B103" s="1" t="s">
        <v>39</v>
      </c>
      <c r="C103" s="1"/>
      <c r="D103" s="1"/>
      <c r="E103" s="1"/>
      <c r="G103" s="1"/>
      <c r="H103" s="1" t="s">
        <v>298</v>
      </c>
      <c r="I103" s="1" t="s">
        <v>63</v>
      </c>
      <c r="J103" s="1" t="s">
        <v>70</v>
      </c>
      <c r="L103" s="1" t="s">
        <v>53</v>
      </c>
    </row>
    <row r="104" customFormat="false" ht="15.75" hidden="false" customHeight="false" outlineLevel="0" collapsed="false">
      <c r="A104" s="3" t="n">
        <v>45520</v>
      </c>
      <c r="B104" s="1" t="s">
        <v>39</v>
      </c>
      <c r="C104" s="1"/>
      <c r="D104" s="1"/>
      <c r="E104" s="1"/>
      <c r="G104" s="1"/>
      <c r="H104" s="1" t="s">
        <v>1495</v>
      </c>
      <c r="I104" s="1" t="s">
        <v>1501</v>
      </c>
      <c r="J104" s="1" t="s">
        <v>1487</v>
      </c>
      <c r="L104" s="1" t="s">
        <v>1528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3" t="n">
        <v>45520</v>
      </c>
      <c r="B105" s="1" t="s">
        <v>39</v>
      </c>
      <c r="C105" s="1"/>
      <c r="D105" s="1"/>
      <c r="E105" s="1"/>
      <c r="G105" s="1"/>
      <c r="H105" s="1" t="s">
        <v>846</v>
      </c>
      <c r="I105" s="1" t="s">
        <v>63</v>
      </c>
      <c r="J105" s="1" t="s">
        <v>70</v>
      </c>
      <c r="L105" s="1" t="s">
        <v>53</v>
      </c>
      <c r="M105" s="1" t="n">
        <v>8</v>
      </c>
      <c r="N105" s="2" t="b">
        <f aca="false">TRUE()</f>
        <v>1</v>
      </c>
      <c r="O105" s="1" t="n">
        <v>320</v>
      </c>
    </row>
    <row r="106" customFormat="false" ht="15.75" hidden="false" customHeight="false" outlineLevel="0" collapsed="false">
      <c r="A106" s="3" t="n">
        <v>45520</v>
      </c>
      <c r="B106" s="1" t="s">
        <v>39</v>
      </c>
      <c r="C106" s="1"/>
      <c r="D106" s="1"/>
      <c r="E106" s="1"/>
      <c r="G106" s="1"/>
      <c r="P106" s="1" t="n">
        <v>4</v>
      </c>
      <c r="Q106" s="1" t="s">
        <v>51</v>
      </c>
      <c r="R106" s="1" t="s">
        <v>1479</v>
      </c>
      <c r="S106" s="1" t="n">
        <v>9383</v>
      </c>
      <c r="T106" s="1" t="n">
        <v>7604</v>
      </c>
      <c r="U106" s="1" t="n">
        <v>19797</v>
      </c>
      <c r="V106" s="1" t="n">
        <v>14012</v>
      </c>
      <c r="W106" s="1" t="n">
        <v>537</v>
      </c>
      <c r="X106" s="1" t="n">
        <v>3938</v>
      </c>
      <c r="Y106" s="1" t="n">
        <v>4545</v>
      </c>
      <c r="AA106" s="1" t="n">
        <v>5960</v>
      </c>
      <c r="AB106" s="1" t="n">
        <v>63334</v>
      </c>
      <c r="AC106" s="1" t="n">
        <v>-36</v>
      </c>
      <c r="AD106" s="1" t="n">
        <v>0.301283211647008</v>
      </c>
      <c r="AE106" s="1" t="n">
        <v>500</v>
      </c>
      <c r="AI106" s="1" t="n">
        <v>960</v>
      </c>
      <c r="AJ106" s="1" t="n">
        <v>1</v>
      </c>
      <c r="AK106" s="1" t="n">
        <v>592</v>
      </c>
      <c r="AL106" s="1" t="n">
        <v>6</v>
      </c>
      <c r="AM106" s="1" t="s">
        <v>1529</v>
      </c>
      <c r="AN106" s="1" t="n">
        <v>3</v>
      </c>
      <c r="AO106" s="1" t="n">
        <v>162</v>
      </c>
      <c r="AP106" s="1" t="n">
        <v>28</v>
      </c>
      <c r="AQ106" s="1" t="n">
        <v>4</v>
      </c>
      <c r="AR106" s="1" t="n">
        <v>3</v>
      </c>
      <c r="AS106" s="1" t="n">
        <v>0.214285714285714</v>
      </c>
      <c r="AT106" s="1" t="n">
        <v>3</v>
      </c>
      <c r="AU106" s="1" t="n">
        <v>0.785714285714286</v>
      </c>
      <c r="AV106" s="1" t="n">
        <v>0.107142857142857</v>
      </c>
    </row>
    <row r="107" customFormat="false" ht="15.75" hidden="false" customHeight="false" outlineLevel="0" collapsed="false">
      <c r="A107" s="3" t="n">
        <v>45521</v>
      </c>
      <c r="B107" s="1" t="s">
        <v>1500</v>
      </c>
      <c r="C107" s="1" t="s">
        <v>51</v>
      </c>
      <c r="D107" s="1" t="s">
        <v>41</v>
      </c>
      <c r="E107" s="1" t="s">
        <v>1485</v>
      </c>
      <c r="G107" s="1" t="s">
        <v>45</v>
      </c>
    </row>
    <row r="108" customFormat="false" ht="15.75" hidden="false" customHeight="false" outlineLevel="0" collapsed="false">
      <c r="A108" s="3" t="n">
        <v>45521</v>
      </c>
      <c r="B108" s="1" t="s">
        <v>1500</v>
      </c>
      <c r="C108" s="1" t="s">
        <v>361</v>
      </c>
      <c r="D108" s="1" t="s">
        <v>70</v>
      </c>
      <c r="E108" s="1" t="s">
        <v>1487</v>
      </c>
      <c r="G108" s="1" t="s">
        <v>53</v>
      </c>
    </row>
    <row r="109" customFormat="false" ht="15.75" hidden="false" customHeight="false" outlineLevel="0" collapsed="false">
      <c r="A109" s="3" t="n">
        <v>45521</v>
      </c>
      <c r="B109" s="1" t="s">
        <v>1500</v>
      </c>
      <c r="C109" s="1"/>
      <c r="D109" s="1"/>
      <c r="E109" s="1"/>
      <c r="G109" s="1"/>
      <c r="H109" s="1" t="s">
        <v>1182</v>
      </c>
      <c r="I109" s="1" t="s">
        <v>63</v>
      </c>
      <c r="J109" s="1" t="s">
        <v>62</v>
      </c>
      <c r="L109" s="1" t="s">
        <v>1528</v>
      </c>
      <c r="M109" s="1" t="n">
        <v>10</v>
      </c>
      <c r="N109" s="2" t="b">
        <f aca="false">TRUE()</f>
        <v>1</v>
      </c>
      <c r="O109" s="1" t="n">
        <v>400</v>
      </c>
    </row>
    <row r="110" customFormat="false" ht="15.75" hidden="false" customHeight="false" outlineLevel="0" collapsed="false">
      <c r="A110" s="3" t="n">
        <v>45521</v>
      </c>
      <c r="B110" s="1" t="s">
        <v>1500</v>
      </c>
      <c r="C110" s="1"/>
      <c r="D110" s="1"/>
      <c r="E110" s="1"/>
      <c r="G110" s="1"/>
      <c r="H110" s="1" t="s">
        <v>1530</v>
      </c>
      <c r="I110" s="1" t="s">
        <v>45</v>
      </c>
      <c r="J110" s="1" t="s">
        <v>1480</v>
      </c>
      <c r="L110" s="1" t="s">
        <v>1504</v>
      </c>
      <c r="M110" s="1" t="n">
        <v>7</v>
      </c>
      <c r="N110" s="2" t="b">
        <f aca="false">TRUE()</f>
        <v>1</v>
      </c>
      <c r="O110" s="1" t="n">
        <v>280</v>
      </c>
    </row>
    <row r="111" customFormat="false" ht="15.75" hidden="false" customHeight="false" outlineLevel="0" collapsed="false">
      <c r="A111" s="3" t="n">
        <v>45521</v>
      </c>
      <c r="B111" s="1" t="s">
        <v>1500</v>
      </c>
      <c r="C111" s="1"/>
      <c r="D111" s="1"/>
      <c r="E111" s="1"/>
      <c r="G111" s="1"/>
      <c r="H111" s="1" t="s">
        <v>1486</v>
      </c>
      <c r="I111" s="1" t="s">
        <v>45</v>
      </c>
      <c r="J111" s="1" t="s">
        <v>1487</v>
      </c>
      <c r="L111" s="1" t="s">
        <v>47</v>
      </c>
    </row>
    <row r="112" customFormat="false" ht="15.75" hidden="false" customHeight="false" outlineLevel="0" collapsed="false">
      <c r="A112" s="3" t="n">
        <v>45521</v>
      </c>
      <c r="B112" s="1" t="s">
        <v>1500</v>
      </c>
      <c r="C112" s="1"/>
      <c r="D112" s="1"/>
      <c r="E112" s="1"/>
      <c r="G112" s="1"/>
      <c r="H112" s="1" t="s">
        <v>1531</v>
      </c>
      <c r="I112" s="1" t="s">
        <v>63</v>
      </c>
      <c r="J112" s="1" t="s">
        <v>1480</v>
      </c>
      <c r="L112" s="1" t="s">
        <v>41</v>
      </c>
      <c r="M112" s="1" t="n">
        <v>17</v>
      </c>
      <c r="N112" s="2" t="b">
        <f aca="false">TRUE()</f>
        <v>1</v>
      </c>
      <c r="O112" s="1" t="n">
        <v>680</v>
      </c>
    </row>
    <row r="113" customFormat="false" ht="15.75" hidden="false" customHeight="false" outlineLevel="0" collapsed="false">
      <c r="A113" s="3" t="n">
        <v>45521</v>
      </c>
      <c r="B113" s="1" t="s">
        <v>1500</v>
      </c>
      <c r="C113" s="1"/>
      <c r="D113" s="1"/>
      <c r="E113" s="1"/>
      <c r="G113" s="1"/>
      <c r="P113" s="1" t="n">
        <v>2</v>
      </c>
      <c r="Q113" s="1" t="s">
        <v>51</v>
      </c>
      <c r="R113" s="1" t="s">
        <v>51</v>
      </c>
      <c r="S113" s="1" t="n">
        <v>6781</v>
      </c>
      <c r="T113" s="1" t="n">
        <v>7204</v>
      </c>
      <c r="U113" s="1" t="n">
        <v>16349</v>
      </c>
      <c r="V113" s="1" t="n">
        <v>11762</v>
      </c>
      <c r="W113" s="1" t="n">
        <v>318</v>
      </c>
      <c r="X113" s="1" t="n">
        <v>1691</v>
      </c>
      <c r="Y113" s="1" t="n">
        <v>5302</v>
      </c>
      <c r="AA113" s="1" t="n">
        <v>6054</v>
      </c>
      <c r="AB113" s="1" t="n">
        <v>55170</v>
      </c>
      <c r="AC113" s="1" t="n">
        <v>-40</v>
      </c>
      <c r="AD113" s="1" t="n">
        <v>0.269715724604887</v>
      </c>
      <c r="AI113" s="1" t="n">
        <v>1360</v>
      </c>
      <c r="AJ113" s="1" t="n">
        <v>0</v>
      </c>
      <c r="AK113" s="1" t="n">
        <v>0</v>
      </c>
      <c r="AL113" s="1" t="n">
        <v>2</v>
      </c>
      <c r="AM113" s="1" t="s">
        <v>1532</v>
      </c>
      <c r="AN113" s="1" t="n">
        <v>3</v>
      </c>
      <c r="AO113" s="1" t="n">
        <v>145</v>
      </c>
      <c r="AP113" s="1" t="n">
        <v>36</v>
      </c>
      <c r="AQ113" s="1" t="n">
        <v>1</v>
      </c>
      <c r="AR113" s="1" t="n">
        <v>1</v>
      </c>
      <c r="AS113" s="1" t="n">
        <v>0.0555555555555556</v>
      </c>
      <c r="AT113" s="1" t="n">
        <v>1</v>
      </c>
      <c r="AU113" s="1" t="n">
        <v>0.944444444444444</v>
      </c>
      <c r="AV113" s="1" t="n">
        <v>0.0277777777777778</v>
      </c>
    </row>
    <row r="114" customFormat="false" ht="15.75" hidden="false" customHeight="false" outlineLevel="0" collapsed="false">
      <c r="A114" s="3" t="n">
        <v>45522</v>
      </c>
      <c r="B114" s="1" t="s">
        <v>67</v>
      </c>
      <c r="C114" s="1" t="s">
        <v>51</v>
      </c>
      <c r="D114" s="1" t="s">
        <v>70</v>
      </c>
      <c r="E114" s="1" t="s">
        <v>1487</v>
      </c>
      <c r="G114" s="1" t="s">
        <v>53</v>
      </c>
    </row>
    <row r="115" customFormat="false" ht="15.75" hidden="false" customHeight="false" outlineLevel="0" collapsed="false">
      <c r="A115" s="3" t="n">
        <v>45522</v>
      </c>
      <c r="B115" s="1" t="s">
        <v>67</v>
      </c>
      <c r="C115" s="1" t="s">
        <v>1508</v>
      </c>
      <c r="D115" s="1" t="s">
        <v>41</v>
      </c>
      <c r="E115" s="1" t="s">
        <v>1506</v>
      </c>
      <c r="G115" s="1" t="s">
        <v>1507</v>
      </c>
    </row>
    <row r="116" customFormat="false" ht="15.75" hidden="false" customHeight="false" outlineLevel="0" collapsed="false">
      <c r="A116" s="3" t="n">
        <v>45522</v>
      </c>
      <c r="B116" s="1" t="s">
        <v>67</v>
      </c>
      <c r="C116" s="1"/>
      <c r="D116" s="1"/>
      <c r="E116" s="1"/>
      <c r="G116" s="1"/>
      <c r="H116" s="1" t="s">
        <v>1493</v>
      </c>
      <c r="I116" s="1" t="s">
        <v>45</v>
      </c>
      <c r="J116" s="1" t="s">
        <v>58</v>
      </c>
      <c r="L116" s="1" t="s">
        <v>1519</v>
      </c>
      <c r="M116" s="1" t="n">
        <v>11</v>
      </c>
      <c r="N116" s="2" t="b">
        <f aca="false">TRUE()</f>
        <v>1</v>
      </c>
      <c r="O116" s="1" t="n">
        <v>440</v>
      </c>
    </row>
    <row r="117" customFormat="false" ht="15.75" hidden="false" customHeight="false" outlineLevel="0" collapsed="false">
      <c r="A117" s="3" t="n">
        <v>45522</v>
      </c>
      <c r="B117" s="1" t="s">
        <v>67</v>
      </c>
      <c r="C117" s="1"/>
      <c r="D117" s="1"/>
      <c r="E117" s="1"/>
      <c r="G117" s="1"/>
      <c r="H117" s="1" t="s">
        <v>298</v>
      </c>
      <c r="I117" s="1" t="s">
        <v>63</v>
      </c>
      <c r="J117" s="1" t="s">
        <v>70</v>
      </c>
      <c r="L117" s="1" t="s">
        <v>53</v>
      </c>
      <c r="M117" s="1" t="n">
        <v>1</v>
      </c>
    </row>
    <row r="118" customFormat="false" ht="15.75" hidden="false" customHeight="false" outlineLevel="0" collapsed="false">
      <c r="A118" s="3" t="n">
        <v>45522</v>
      </c>
      <c r="B118" s="1" t="s">
        <v>67</v>
      </c>
      <c r="C118" s="1"/>
      <c r="D118" s="1"/>
      <c r="E118" s="1"/>
      <c r="G118" s="1"/>
      <c r="H118" s="1" t="s">
        <v>1182</v>
      </c>
      <c r="I118" s="1" t="s">
        <v>45</v>
      </c>
      <c r="J118" s="1" t="s">
        <v>1533</v>
      </c>
      <c r="L118" s="1" t="s">
        <v>1517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3" t="n">
        <v>45522</v>
      </c>
      <c r="B119" s="1" t="s">
        <v>67</v>
      </c>
      <c r="C119" s="1"/>
      <c r="D119" s="1"/>
      <c r="E119" s="1"/>
      <c r="G119" s="1"/>
      <c r="H119" s="1" t="s">
        <v>1486</v>
      </c>
      <c r="I119" s="1" t="s">
        <v>70</v>
      </c>
      <c r="J119" s="1" t="s">
        <v>1487</v>
      </c>
      <c r="L119" s="1" t="s">
        <v>53</v>
      </c>
      <c r="N119" s="2" t="b">
        <f aca="false">TRUE()</f>
        <v>1</v>
      </c>
    </row>
    <row r="120" customFormat="false" ht="15.75" hidden="false" customHeight="false" outlineLevel="0" collapsed="false">
      <c r="A120" s="3" t="n">
        <v>45522</v>
      </c>
      <c r="B120" s="1" t="s">
        <v>67</v>
      </c>
      <c r="C120" s="1"/>
      <c r="D120" s="1"/>
      <c r="E120" s="1"/>
      <c r="G120" s="1"/>
      <c r="H120" s="1" t="s">
        <v>1495</v>
      </c>
      <c r="I120" s="1" t="s">
        <v>45</v>
      </c>
      <c r="J120" s="1" t="s">
        <v>42</v>
      </c>
      <c r="L120" s="1" t="s">
        <v>1502</v>
      </c>
      <c r="M120" s="1" t="n">
        <v>10</v>
      </c>
      <c r="N120" s="2" t="b">
        <f aca="false">TRUE()</f>
        <v>1</v>
      </c>
      <c r="O120" s="1" t="n">
        <v>400</v>
      </c>
    </row>
    <row r="121" customFormat="false" ht="15.75" hidden="false" customHeight="false" outlineLevel="0" collapsed="false">
      <c r="A121" s="3" t="n">
        <v>45522</v>
      </c>
      <c r="B121" s="1" t="s">
        <v>67</v>
      </c>
      <c r="C121" s="1"/>
      <c r="D121" s="1"/>
      <c r="E121" s="1"/>
      <c r="G121" s="1"/>
      <c r="P121" s="1" t="n">
        <v>12</v>
      </c>
      <c r="Q121" s="1" t="s">
        <v>51</v>
      </c>
      <c r="R121" s="1" t="s">
        <v>51</v>
      </c>
      <c r="S121" s="1" t="n">
        <v>19330</v>
      </c>
      <c r="T121" s="1" t="n">
        <v>2979</v>
      </c>
      <c r="U121" s="1" t="n">
        <v>14875</v>
      </c>
      <c r="V121" s="1" t="n">
        <v>14345</v>
      </c>
      <c r="W121" s="1" t="n">
        <v>1267</v>
      </c>
      <c r="X121" s="1" t="n">
        <v>4662</v>
      </c>
      <c r="Y121" s="1" t="n">
        <v>5217</v>
      </c>
      <c r="AA121" s="1" t="n">
        <v>8600</v>
      </c>
      <c r="AB121" s="1" t="n">
        <v>67962</v>
      </c>
      <c r="AC121" s="1" t="n">
        <v>1</v>
      </c>
      <c r="AD121" s="1" t="n">
        <v>0.247566895124505</v>
      </c>
      <c r="AG121" s="1" t="n">
        <v>100</v>
      </c>
      <c r="AH121" s="1" t="n">
        <v>90</v>
      </c>
      <c r="AI121" s="1" t="n">
        <v>1160</v>
      </c>
      <c r="AJ121" s="1" t="n">
        <v>1</v>
      </c>
      <c r="AK121" s="1" t="n">
        <v>1605</v>
      </c>
      <c r="AL121" s="1" t="n">
        <v>23</v>
      </c>
      <c r="AM121" s="1" t="s">
        <v>1534</v>
      </c>
      <c r="AN121" s="1" t="n">
        <v>3</v>
      </c>
      <c r="AO121" s="1" t="n">
        <v>159</v>
      </c>
      <c r="AP121" s="1" t="n">
        <v>42</v>
      </c>
      <c r="AQ121" s="1" t="n">
        <v>10</v>
      </c>
      <c r="AR121" s="1" t="n">
        <v>6</v>
      </c>
      <c r="AS121" s="1" t="n">
        <v>0.547619047619048</v>
      </c>
      <c r="AT121" s="1" t="n">
        <v>7</v>
      </c>
      <c r="AU121" s="1" t="n">
        <v>0.452380952380952</v>
      </c>
      <c r="AV121" s="1" t="n">
        <v>0.166666666666667</v>
      </c>
    </row>
    <row r="122" customFormat="false" ht="15.75" hidden="false" customHeight="false" outlineLevel="0" collapsed="false">
      <c r="A122" s="3" t="n">
        <v>45523</v>
      </c>
      <c r="B122" s="1" t="s">
        <v>69</v>
      </c>
      <c r="C122" s="1" t="s">
        <v>51</v>
      </c>
      <c r="D122" s="1" t="s">
        <v>70</v>
      </c>
      <c r="E122" s="1" t="s">
        <v>1487</v>
      </c>
      <c r="G122" s="1" t="s">
        <v>53</v>
      </c>
      <c r="H122" s="1"/>
      <c r="I122" s="1"/>
      <c r="J122" s="1"/>
      <c r="L122" s="1"/>
      <c r="N122" s="1"/>
    </row>
    <row r="123" customFormat="false" ht="15.75" hidden="false" customHeight="false" outlineLevel="0" collapsed="false">
      <c r="A123" s="3" t="n">
        <v>45523</v>
      </c>
      <c r="B123" s="1" t="s">
        <v>69</v>
      </c>
      <c r="C123" s="1" t="s">
        <v>438</v>
      </c>
      <c r="D123" s="1" t="s">
        <v>41</v>
      </c>
      <c r="E123" s="1" t="s">
        <v>70</v>
      </c>
      <c r="G123" s="1" t="s">
        <v>47</v>
      </c>
      <c r="H123" s="1"/>
      <c r="I123" s="1"/>
      <c r="J123" s="1"/>
      <c r="L123" s="1"/>
      <c r="N123" s="1"/>
    </row>
    <row r="124" customFormat="false" ht="15.75" hidden="false" customHeight="false" outlineLevel="0" collapsed="false">
      <c r="A124" s="3" t="n">
        <v>45523</v>
      </c>
      <c r="B124" s="1" t="s">
        <v>69</v>
      </c>
      <c r="C124" s="1"/>
      <c r="D124" s="1"/>
      <c r="E124" s="1"/>
      <c r="G124" s="1"/>
      <c r="H124" s="1"/>
      <c r="I124" s="1"/>
      <c r="J124" s="1"/>
      <c r="L124" s="1" t="s">
        <v>68</v>
      </c>
      <c r="N124" s="2" t="b">
        <f aca="false">TRUE()</f>
        <v>1</v>
      </c>
    </row>
    <row r="125" customFormat="false" ht="15.75" hidden="false" customHeight="false" outlineLevel="0" collapsed="false">
      <c r="A125" s="3" t="n">
        <v>45523</v>
      </c>
      <c r="B125" s="1" t="s">
        <v>69</v>
      </c>
      <c r="C125" s="1"/>
      <c r="D125" s="1"/>
      <c r="E125" s="1"/>
      <c r="G125" s="1"/>
      <c r="H125" s="1" t="s">
        <v>298</v>
      </c>
      <c r="I125" s="1" t="s">
        <v>63</v>
      </c>
      <c r="J125" s="1" t="s">
        <v>1512</v>
      </c>
      <c r="L125" s="1" t="s">
        <v>47</v>
      </c>
      <c r="M125" s="1" t="n">
        <v>7</v>
      </c>
      <c r="N125" s="1"/>
    </row>
    <row r="126" customFormat="false" ht="15.75" hidden="false" customHeight="false" outlineLevel="0" collapsed="false">
      <c r="A126" s="3" t="n">
        <v>45523</v>
      </c>
      <c r="B126" s="1" t="s">
        <v>69</v>
      </c>
      <c r="C126" s="1"/>
      <c r="D126" s="1"/>
      <c r="E126" s="1"/>
      <c r="G126" s="1"/>
      <c r="H126" s="1"/>
      <c r="I126" s="1"/>
      <c r="J126" s="1"/>
      <c r="L126" s="1" t="s">
        <v>68</v>
      </c>
      <c r="N126" s="2" t="b">
        <f aca="false">TRUE()</f>
        <v>1</v>
      </c>
    </row>
    <row r="127" customFormat="false" ht="15.75" hidden="false" customHeight="false" outlineLevel="0" collapsed="false">
      <c r="A127" s="3" t="n">
        <v>45523</v>
      </c>
      <c r="B127" s="1" t="s">
        <v>69</v>
      </c>
      <c r="C127" s="1"/>
      <c r="D127" s="1"/>
      <c r="E127" s="1"/>
      <c r="G127" s="1"/>
      <c r="H127" s="1" t="s">
        <v>1486</v>
      </c>
      <c r="I127" s="1" t="s">
        <v>45</v>
      </c>
      <c r="J127" s="1" t="s">
        <v>1487</v>
      </c>
      <c r="L127" s="1" t="s">
        <v>47</v>
      </c>
      <c r="N127" s="2" t="b">
        <f aca="false">TRUE()</f>
        <v>1</v>
      </c>
    </row>
    <row r="128" customFormat="false" ht="15.75" hidden="false" customHeight="false" outlineLevel="0" collapsed="false">
      <c r="A128" s="3" t="n">
        <v>45523</v>
      </c>
      <c r="B128" s="1" t="s">
        <v>69</v>
      </c>
      <c r="C128" s="1"/>
      <c r="D128" s="1"/>
      <c r="E128" s="1"/>
      <c r="G128" s="1"/>
      <c r="H128" s="1" t="s">
        <v>846</v>
      </c>
      <c r="I128" s="1" t="s">
        <v>45</v>
      </c>
      <c r="J128" s="1" t="s">
        <v>1487</v>
      </c>
      <c r="L128" s="1" t="s">
        <v>47</v>
      </c>
      <c r="M128" s="1" t="n">
        <v>15</v>
      </c>
      <c r="N128" s="2" t="b">
        <f aca="false">TRUE()</f>
        <v>1</v>
      </c>
      <c r="O128" s="1" t="n">
        <v>600</v>
      </c>
    </row>
    <row r="129" customFormat="false" ht="15.75" hidden="false" customHeight="false" outlineLevel="0" collapsed="false">
      <c r="A129" s="3" t="n">
        <v>45523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1" t="n">
        <v>5</v>
      </c>
      <c r="Q129" s="1" t="s">
        <v>51</v>
      </c>
      <c r="R129" s="1" t="s">
        <v>51</v>
      </c>
      <c r="S129" s="1" t="n">
        <v>4820</v>
      </c>
      <c r="T129" s="1" t="n">
        <v>7382</v>
      </c>
      <c r="U129" s="1" t="n">
        <v>9284</v>
      </c>
      <c r="V129" s="1" t="n">
        <v>8871</v>
      </c>
      <c r="W129" s="1" t="n">
        <v>653</v>
      </c>
      <c r="X129" s="1" t="n">
        <v>2850</v>
      </c>
      <c r="Y129" s="1" t="n">
        <v>4080</v>
      </c>
      <c r="Z129" s="1" t="n">
        <v>290</v>
      </c>
      <c r="AA129" s="1" t="n">
        <v>979</v>
      </c>
      <c r="AB129" s="1" t="n">
        <v>43052</v>
      </c>
      <c r="AC129" s="1" t="n">
        <v>4</v>
      </c>
      <c r="AD129" s="1" t="n">
        <v>0.274225585023962</v>
      </c>
      <c r="AE129" s="1" t="n">
        <v>500</v>
      </c>
      <c r="AG129" s="1" t="n">
        <v>5597</v>
      </c>
      <c r="AI129" s="1" t="n">
        <v>600</v>
      </c>
      <c r="AJ129" s="1" t="n">
        <v>5</v>
      </c>
      <c r="AK129" s="1" t="n">
        <v>1437</v>
      </c>
      <c r="AL129" s="1" t="n">
        <v>8</v>
      </c>
      <c r="AM129" s="1" t="s">
        <v>1535</v>
      </c>
      <c r="AN129" s="1" t="n">
        <v>1</v>
      </c>
      <c r="AO129" s="1" t="n">
        <v>119</v>
      </c>
      <c r="AP129" s="1" t="n">
        <v>27</v>
      </c>
      <c r="AQ129" s="1" t="n">
        <v>5</v>
      </c>
      <c r="AR129" s="1" t="n">
        <v>3</v>
      </c>
      <c r="AS129" s="1" t="n">
        <v>0.296296296296296</v>
      </c>
      <c r="AT129" s="1" t="n">
        <v>3</v>
      </c>
      <c r="AU129" s="1" t="n">
        <v>0.703703703703704</v>
      </c>
      <c r="AV129" s="1" t="n">
        <v>0.111111111111111</v>
      </c>
    </row>
    <row r="130" customFormat="false" ht="15.75" hidden="false" customHeight="false" outlineLevel="0" collapsed="false">
      <c r="A130" s="3" t="n">
        <v>45524</v>
      </c>
      <c r="B130" s="1" t="s">
        <v>61</v>
      </c>
      <c r="C130" s="1" t="s">
        <v>1479</v>
      </c>
      <c r="D130" s="1" t="s">
        <v>50</v>
      </c>
      <c r="E130" s="1" t="s">
        <v>1487</v>
      </c>
      <c r="G130" s="1" t="s">
        <v>43</v>
      </c>
      <c r="H130" s="1"/>
      <c r="I130" s="1"/>
      <c r="J130" s="1"/>
      <c r="L130" s="1"/>
      <c r="N130" s="1"/>
    </row>
    <row r="131" customFormat="false" ht="15.75" hidden="false" customHeight="false" outlineLevel="0" collapsed="false">
      <c r="A131" s="3" t="n">
        <v>45524</v>
      </c>
      <c r="B131" s="1" t="s">
        <v>61</v>
      </c>
      <c r="C131" s="1" t="s">
        <v>438</v>
      </c>
      <c r="D131" s="1" t="s">
        <v>41</v>
      </c>
      <c r="E131" s="1" t="s">
        <v>50</v>
      </c>
      <c r="G131" s="1" t="s">
        <v>1485</v>
      </c>
      <c r="H131" s="1"/>
      <c r="I131" s="1"/>
      <c r="J131" s="1"/>
      <c r="L131" s="1"/>
      <c r="N131" s="1"/>
    </row>
    <row r="132" customFormat="false" ht="15.75" hidden="false" customHeight="false" outlineLevel="0" collapsed="false">
      <c r="A132" s="3" t="n">
        <v>45524</v>
      </c>
      <c r="B132" s="1" t="s">
        <v>61</v>
      </c>
      <c r="H132" s="1" t="s">
        <v>298</v>
      </c>
      <c r="I132" s="1" t="s">
        <v>63</v>
      </c>
      <c r="J132" s="1" t="s">
        <v>70</v>
      </c>
      <c r="L132" s="1" t="s">
        <v>53</v>
      </c>
      <c r="M132" s="1" t="n">
        <v>9</v>
      </c>
      <c r="N132" s="1"/>
    </row>
    <row r="133" customFormat="false" ht="15.75" hidden="false" customHeight="false" outlineLevel="0" collapsed="false">
      <c r="A133" s="3" t="n">
        <v>45524</v>
      </c>
      <c r="B133" s="1" t="s">
        <v>61</v>
      </c>
      <c r="H133" s="1" t="s">
        <v>1486</v>
      </c>
      <c r="I133" s="1" t="s">
        <v>45</v>
      </c>
      <c r="J133" s="1" t="s">
        <v>1487</v>
      </c>
      <c r="L133" s="1" t="s">
        <v>47</v>
      </c>
      <c r="N133" s="1"/>
    </row>
    <row r="134" customFormat="false" ht="15.75" hidden="false" customHeight="false" outlineLevel="0" collapsed="false">
      <c r="A134" s="3" t="n">
        <v>45524</v>
      </c>
      <c r="B134" s="1" t="s">
        <v>61</v>
      </c>
      <c r="H134" s="1" t="s">
        <v>466</v>
      </c>
      <c r="I134" s="1" t="s">
        <v>1512</v>
      </c>
      <c r="J134" s="1" t="s">
        <v>1487</v>
      </c>
      <c r="L134" s="1" t="s">
        <v>64</v>
      </c>
      <c r="M134" s="1" t="n">
        <v>13</v>
      </c>
      <c r="N134" s="2" t="b">
        <f aca="false">TRUE()</f>
        <v>1</v>
      </c>
      <c r="O134" s="1" t="n">
        <v>520</v>
      </c>
    </row>
    <row r="135" customFormat="false" ht="15.75" hidden="false" customHeight="false" outlineLevel="0" collapsed="false">
      <c r="A135" s="3" t="n">
        <v>45524</v>
      </c>
      <c r="B135" s="1" t="s">
        <v>61</v>
      </c>
      <c r="H135" s="1"/>
      <c r="I135" s="1"/>
      <c r="J135" s="1"/>
      <c r="L135" s="1"/>
      <c r="N135" s="1"/>
      <c r="P135" s="1" t="n">
        <v>7</v>
      </c>
      <c r="Q135" s="1" t="s">
        <v>438</v>
      </c>
      <c r="R135" s="1" t="s">
        <v>1479</v>
      </c>
      <c r="S135" s="1" t="n">
        <v>8461</v>
      </c>
      <c r="T135" s="1" t="n">
        <v>3807</v>
      </c>
      <c r="U135" s="1" t="n">
        <v>8309</v>
      </c>
      <c r="V135" s="1" t="n">
        <v>10131</v>
      </c>
      <c r="W135" s="1" t="n">
        <v>1300</v>
      </c>
      <c r="X135" s="1" t="n">
        <v>2815</v>
      </c>
      <c r="Y135" s="1" t="n">
        <v>3723</v>
      </c>
      <c r="AA135" s="1" t="n">
        <v>1160</v>
      </c>
      <c r="AB135" s="1" t="n">
        <v>42831</v>
      </c>
      <c r="AC135" s="1" t="n">
        <v>0</v>
      </c>
      <c r="AD135" s="1" t="n">
        <v>0.385193592642049</v>
      </c>
      <c r="AE135" s="1" t="n">
        <v>2000</v>
      </c>
      <c r="AH135" s="1" t="n">
        <v>3420</v>
      </c>
      <c r="AI135" s="1" t="n">
        <v>520</v>
      </c>
      <c r="AJ135" s="1" t="n">
        <v>0</v>
      </c>
      <c r="AK135" s="1" t="n">
        <v>0</v>
      </c>
      <c r="AL135" s="1" t="n">
        <v>7</v>
      </c>
      <c r="AM135" s="1" t="s">
        <v>1536</v>
      </c>
      <c r="AN135" s="1" t="n">
        <v>1</v>
      </c>
      <c r="AO135" s="1" t="n">
        <v>107</v>
      </c>
      <c r="AP135" s="1" t="n">
        <v>29</v>
      </c>
      <c r="AQ135" s="1" t="n">
        <v>5</v>
      </c>
      <c r="AR135" s="1" t="n">
        <v>5</v>
      </c>
      <c r="AS135" s="1" t="n">
        <v>0.241379310344828</v>
      </c>
      <c r="AT135" s="1" t="n">
        <v>5</v>
      </c>
      <c r="AU135" s="1" t="n">
        <v>0.758620689655172</v>
      </c>
      <c r="AV135" s="1" t="n">
        <v>0.172413793103448</v>
      </c>
    </row>
    <row r="136" customFormat="false" ht="15.75" hidden="false" customHeight="false" outlineLevel="0" collapsed="false">
      <c r="A136" s="3" t="n">
        <v>45525</v>
      </c>
      <c r="B136" s="1" t="s">
        <v>73</v>
      </c>
      <c r="C136" s="1" t="s">
        <v>1479</v>
      </c>
      <c r="D136" s="1" t="s">
        <v>41</v>
      </c>
      <c r="E136" s="1" t="s">
        <v>1506</v>
      </c>
      <c r="G136" s="1" t="s">
        <v>1507</v>
      </c>
    </row>
    <row r="137" customFormat="false" ht="15.75" hidden="false" customHeight="false" outlineLevel="0" collapsed="false">
      <c r="A137" s="3" t="n">
        <v>45525</v>
      </c>
      <c r="B137" s="1" t="s">
        <v>73</v>
      </c>
      <c r="C137" s="1" t="s">
        <v>438</v>
      </c>
      <c r="D137" s="1" t="s">
        <v>45</v>
      </c>
      <c r="E137" s="1" t="s">
        <v>1487</v>
      </c>
      <c r="G137" s="1" t="s">
        <v>47</v>
      </c>
    </row>
    <row r="138" customFormat="false" ht="15.75" hidden="false" customHeight="false" outlineLevel="0" collapsed="false">
      <c r="A138" s="3" t="n">
        <v>45525</v>
      </c>
      <c r="B138" s="1" t="s">
        <v>73</v>
      </c>
      <c r="C138" s="1"/>
      <c r="D138" s="1"/>
      <c r="E138" s="1"/>
      <c r="G138" s="1"/>
      <c r="H138" s="1" t="s">
        <v>1493</v>
      </c>
      <c r="I138" s="1" t="s">
        <v>63</v>
      </c>
      <c r="J138" s="1" t="s">
        <v>70</v>
      </c>
      <c r="L138" s="1" t="s">
        <v>53</v>
      </c>
      <c r="M138" s="1" t="n">
        <v>7</v>
      </c>
      <c r="N138" s="2" t="b">
        <f aca="false">TRUE()</f>
        <v>1</v>
      </c>
      <c r="O138" s="1" t="n">
        <v>280</v>
      </c>
    </row>
    <row r="139" customFormat="false" ht="15.75" hidden="false" customHeight="false" outlineLevel="0" collapsed="false">
      <c r="A139" s="3" t="n">
        <v>45525</v>
      </c>
      <c r="B139" s="1" t="s">
        <v>73</v>
      </c>
      <c r="C139" s="1"/>
      <c r="D139" s="1"/>
      <c r="E139" s="1"/>
      <c r="G139" s="1"/>
      <c r="H139" s="1" t="s">
        <v>298</v>
      </c>
      <c r="I139" s="1" t="s">
        <v>63</v>
      </c>
      <c r="J139" s="1" t="s">
        <v>1512</v>
      </c>
      <c r="L139" s="1" t="s">
        <v>47</v>
      </c>
      <c r="M139" s="1" t="n">
        <v>6</v>
      </c>
    </row>
    <row r="140" customFormat="false" ht="15.75" hidden="false" customHeight="false" outlineLevel="0" collapsed="false">
      <c r="A140" s="3" t="n">
        <v>45525</v>
      </c>
      <c r="B140" s="1" t="s">
        <v>73</v>
      </c>
      <c r="C140" s="1"/>
      <c r="D140" s="1"/>
      <c r="E140" s="1"/>
      <c r="G140" s="1"/>
      <c r="H140" s="1" t="s">
        <v>1486</v>
      </c>
      <c r="I140" s="1" t="s">
        <v>45</v>
      </c>
      <c r="J140" s="1" t="s">
        <v>1487</v>
      </c>
      <c r="L140" s="1" t="s">
        <v>47</v>
      </c>
    </row>
    <row r="141" customFormat="false" ht="15.75" hidden="false" customHeight="false" outlineLevel="0" collapsed="false">
      <c r="A141" s="3" t="n">
        <v>45525</v>
      </c>
      <c r="B141" s="1" t="s">
        <v>73</v>
      </c>
      <c r="C141" s="1"/>
      <c r="D141" s="1"/>
      <c r="E141" s="1"/>
      <c r="G141" s="1"/>
      <c r="H141" s="1" t="s">
        <v>417</v>
      </c>
      <c r="I141" s="1" t="s">
        <v>45</v>
      </c>
      <c r="J141" s="1" t="s">
        <v>1480</v>
      </c>
      <c r="L141" s="1" t="s">
        <v>1504</v>
      </c>
      <c r="M141" s="1" t="n">
        <v>5</v>
      </c>
      <c r="N141" s="2" t="b">
        <f aca="false">TRUE()</f>
        <v>1</v>
      </c>
      <c r="O141" s="1" t="n">
        <v>200</v>
      </c>
    </row>
    <row r="142" customFormat="false" ht="15.75" hidden="false" customHeight="false" outlineLevel="0" collapsed="false">
      <c r="A142" s="3" t="n">
        <v>45525</v>
      </c>
      <c r="B142" s="1" t="s">
        <v>73</v>
      </c>
      <c r="C142" s="1"/>
      <c r="D142" s="1"/>
      <c r="E142" s="1"/>
      <c r="G142" s="1"/>
      <c r="P142" s="1" t="n">
        <v>8</v>
      </c>
      <c r="Q142" s="1" t="s">
        <v>438</v>
      </c>
      <c r="R142" s="1" t="s">
        <v>1479</v>
      </c>
      <c r="S142" s="1" t="n">
        <v>8244</v>
      </c>
      <c r="T142" s="1" t="n">
        <v>4997</v>
      </c>
      <c r="U142" s="1" t="n">
        <v>9936</v>
      </c>
      <c r="V142" s="1" t="n">
        <v>10468</v>
      </c>
      <c r="W142" s="1" t="n">
        <v>2150</v>
      </c>
      <c r="X142" s="1" t="n">
        <v>745</v>
      </c>
      <c r="Y142" s="1" t="n">
        <v>4351</v>
      </c>
      <c r="Z142" s="1" t="n">
        <v>300</v>
      </c>
      <c r="AA142" s="1" t="n">
        <v>2567</v>
      </c>
      <c r="AB142" s="1" t="n">
        <v>44117.5</v>
      </c>
      <c r="AC142" s="1" t="n">
        <v>5.5</v>
      </c>
      <c r="AD142" s="1" t="n">
        <v>0.35061542214431</v>
      </c>
      <c r="AE142" s="1" t="n">
        <v>500</v>
      </c>
      <c r="AG142" s="1" t="n">
        <v>130</v>
      </c>
      <c r="AI142" s="1" t="n">
        <v>480</v>
      </c>
      <c r="AJ142" s="1" t="n">
        <v>0</v>
      </c>
      <c r="AK142" s="1" t="n">
        <v>0</v>
      </c>
      <c r="AL142" s="1" t="n">
        <v>7</v>
      </c>
      <c r="AM142" s="1" t="s">
        <v>1537</v>
      </c>
      <c r="AN142" s="1" t="n">
        <v>2</v>
      </c>
      <c r="AO142" s="1" t="n">
        <v>114</v>
      </c>
      <c r="AP142" s="1" t="n">
        <v>26</v>
      </c>
      <c r="AQ142" s="1" t="n">
        <v>7</v>
      </c>
      <c r="AR142" s="1" t="n">
        <v>4</v>
      </c>
      <c r="AS142" s="1" t="n">
        <v>0.269230769230769</v>
      </c>
      <c r="AT142" s="1" t="n">
        <v>4</v>
      </c>
      <c r="AU142" s="1" t="n">
        <v>0.730769230769231</v>
      </c>
      <c r="AV142" s="1" t="n">
        <v>0.153846153846154</v>
      </c>
    </row>
    <row r="143" customFormat="false" ht="15.75" hidden="false" customHeight="false" outlineLevel="0" collapsed="false">
      <c r="A143" s="3" t="n">
        <v>45526</v>
      </c>
      <c r="B143" s="1" t="s">
        <v>1478</v>
      </c>
      <c r="C143" s="1" t="s">
        <v>1508</v>
      </c>
      <c r="D143" s="1" t="s">
        <v>41</v>
      </c>
      <c r="E143" s="1" t="s">
        <v>45</v>
      </c>
      <c r="G143" s="1" t="s">
        <v>53</v>
      </c>
    </row>
    <row r="144" customFormat="false" ht="15.75" hidden="false" customHeight="false" outlineLevel="0" collapsed="false">
      <c r="A144" s="3" t="n">
        <v>45526</v>
      </c>
      <c r="B144" s="1" t="s">
        <v>1478</v>
      </c>
      <c r="C144" s="1" t="s">
        <v>361</v>
      </c>
      <c r="D144" s="1" t="s">
        <v>1512</v>
      </c>
      <c r="E144" s="1" t="s">
        <v>1487</v>
      </c>
      <c r="G144" s="1" t="s">
        <v>64</v>
      </c>
    </row>
    <row r="145" customFormat="false" ht="15.75" hidden="false" customHeight="false" outlineLevel="0" collapsed="false">
      <c r="A145" s="3" t="n">
        <v>45526</v>
      </c>
      <c r="B145" s="1" t="s">
        <v>1478</v>
      </c>
      <c r="C145" s="1" t="s">
        <v>1490</v>
      </c>
      <c r="D145" s="1" t="s">
        <v>45</v>
      </c>
      <c r="E145" s="1" t="s">
        <v>1487</v>
      </c>
      <c r="G145" s="1" t="s">
        <v>47</v>
      </c>
    </row>
    <row r="146" customFormat="false" ht="15.75" hidden="false" customHeight="false" outlineLevel="0" collapsed="false">
      <c r="A146" s="3" t="n">
        <v>45526</v>
      </c>
      <c r="B146" s="1" t="s">
        <v>1478</v>
      </c>
      <c r="C146" s="1"/>
      <c r="D146" s="1"/>
      <c r="E146" s="1"/>
      <c r="G146" s="1"/>
      <c r="H146" s="1" t="s">
        <v>1494</v>
      </c>
      <c r="I146" s="1" t="s">
        <v>63</v>
      </c>
      <c r="J146" s="1" t="s">
        <v>45</v>
      </c>
      <c r="L146" s="1" t="s">
        <v>64</v>
      </c>
      <c r="M146" s="1" t="n">
        <v>11</v>
      </c>
    </row>
    <row r="147" customFormat="false" ht="15.75" hidden="false" customHeight="false" outlineLevel="0" collapsed="false">
      <c r="A147" s="3" t="n">
        <v>45526</v>
      </c>
      <c r="B147" s="1" t="s">
        <v>1478</v>
      </c>
      <c r="C147" s="1"/>
      <c r="D147" s="1"/>
      <c r="E147" s="1"/>
      <c r="G147" s="1"/>
      <c r="H147" s="1" t="s">
        <v>1495</v>
      </c>
      <c r="I147" s="1" t="s">
        <v>45</v>
      </c>
      <c r="J147" s="1" t="s">
        <v>57</v>
      </c>
      <c r="L147" s="1" t="s">
        <v>53</v>
      </c>
      <c r="M147" s="1" t="n">
        <v>8</v>
      </c>
      <c r="N147" s="2" t="b">
        <f aca="false">TRUE()</f>
        <v>1</v>
      </c>
      <c r="O147" s="1" t="n">
        <v>320</v>
      </c>
    </row>
    <row r="148" customFormat="false" ht="15.75" hidden="false" customHeight="false" outlineLevel="0" collapsed="false">
      <c r="A148" s="3" t="n">
        <v>45526</v>
      </c>
      <c r="B148" s="1" t="s">
        <v>1478</v>
      </c>
      <c r="C148" s="1"/>
      <c r="D148" s="1"/>
      <c r="E148" s="1"/>
      <c r="G148" s="1"/>
      <c r="H148" s="1" t="s">
        <v>846</v>
      </c>
      <c r="I148" s="1" t="s">
        <v>70</v>
      </c>
      <c r="J148" s="1" t="s">
        <v>1487</v>
      </c>
      <c r="L148" s="1" t="s">
        <v>53</v>
      </c>
      <c r="M148" s="1" t="n">
        <v>8</v>
      </c>
      <c r="N148" s="2" t="b">
        <f aca="false">TRUE()</f>
        <v>1</v>
      </c>
      <c r="O148" s="1" t="n">
        <v>320</v>
      </c>
    </row>
    <row r="149" customFormat="false" ht="15.75" hidden="false" customHeight="false" outlineLevel="0" collapsed="false">
      <c r="A149" s="3" t="n">
        <v>45526</v>
      </c>
      <c r="B149" s="1" t="s">
        <v>1478</v>
      </c>
      <c r="C149" s="1"/>
      <c r="D149" s="1"/>
      <c r="E149" s="1"/>
      <c r="G149" s="1"/>
      <c r="P149" s="1" t="n">
        <v>0</v>
      </c>
      <c r="Q149" s="1" t="s">
        <v>1508</v>
      </c>
      <c r="R149" s="1" t="s">
        <v>1490</v>
      </c>
      <c r="S149" s="1" t="n">
        <v>7131</v>
      </c>
      <c r="T149" s="1" t="n">
        <v>4222</v>
      </c>
      <c r="U149" s="1" t="n">
        <v>10942</v>
      </c>
      <c r="V149" s="1" t="n">
        <v>10302</v>
      </c>
      <c r="W149" s="1" t="n">
        <v>0</v>
      </c>
      <c r="X149" s="1" t="n">
        <v>2669</v>
      </c>
      <c r="Y149" s="1" t="n">
        <v>2809</v>
      </c>
      <c r="Z149" s="1" t="n">
        <v>200</v>
      </c>
      <c r="AA149" s="1" t="n">
        <v>706</v>
      </c>
      <c r="AB149" s="1" t="n">
        <v>42449</v>
      </c>
      <c r="AC149" s="1" t="n">
        <v>0</v>
      </c>
      <c r="AD149" s="1" t="n">
        <v>0.358468062061571</v>
      </c>
      <c r="AG149" s="1" t="n">
        <v>497</v>
      </c>
      <c r="AH149" s="1" t="n">
        <v>5000</v>
      </c>
      <c r="AI149" s="1" t="n">
        <v>640</v>
      </c>
      <c r="AJ149" s="1" t="n">
        <v>0</v>
      </c>
      <c r="AK149" s="1" t="n">
        <v>0</v>
      </c>
      <c r="AL149" s="1" t="n">
        <v>5</v>
      </c>
      <c r="AM149" s="1" t="s">
        <v>1538</v>
      </c>
      <c r="AN149" s="1" t="n">
        <v>2</v>
      </c>
      <c r="AO149" s="1" t="n">
        <v>104</v>
      </c>
      <c r="AP149" s="1" t="n">
        <v>27</v>
      </c>
      <c r="AQ149" s="1" t="n">
        <v>0</v>
      </c>
      <c r="AR149" s="1" t="n">
        <v>0</v>
      </c>
      <c r="AS149" s="1" t="n">
        <v>0.185185185185185</v>
      </c>
      <c r="AT149" s="1" t="n">
        <v>0</v>
      </c>
      <c r="AU149" s="1" t="n">
        <v>0.814814814814815</v>
      </c>
      <c r="AV149" s="1" t="n">
        <v>0</v>
      </c>
    </row>
    <row r="150" customFormat="false" ht="15.75" hidden="false" customHeight="false" outlineLevel="0" collapsed="false">
      <c r="A150" s="3" t="n">
        <v>45527</v>
      </c>
      <c r="B150" s="1" t="s">
        <v>39</v>
      </c>
      <c r="C150" s="1" t="s">
        <v>438</v>
      </c>
      <c r="D150" s="1" t="s">
        <v>45</v>
      </c>
      <c r="E150" s="1" t="s">
        <v>42</v>
      </c>
      <c r="G150" s="1" t="s">
        <v>1502</v>
      </c>
    </row>
    <row r="151" customFormat="false" ht="15.75" hidden="false" customHeight="false" outlineLevel="0" collapsed="false">
      <c r="A151" s="3" t="n">
        <v>45527</v>
      </c>
      <c r="B151" s="1" t="s">
        <v>39</v>
      </c>
      <c r="C151" s="1" t="s">
        <v>51</v>
      </c>
      <c r="D151" s="1" t="s">
        <v>1512</v>
      </c>
      <c r="E151" s="1" t="s">
        <v>1487</v>
      </c>
      <c r="G151" s="1" t="s">
        <v>64</v>
      </c>
    </row>
    <row r="152" customFormat="false" ht="15.75" hidden="false" customHeight="false" outlineLevel="0" collapsed="false">
      <c r="A152" s="3" t="n">
        <v>45527</v>
      </c>
      <c r="B152" s="1" t="s">
        <v>39</v>
      </c>
      <c r="C152" s="1" t="s">
        <v>1490</v>
      </c>
      <c r="D152" s="1" t="s">
        <v>41</v>
      </c>
      <c r="E152" s="1" t="s">
        <v>62</v>
      </c>
      <c r="G152" s="1" t="s">
        <v>41</v>
      </c>
    </row>
    <row r="153" customFormat="false" ht="15.75" hidden="false" customHeight="false" outlineLevel="0" collapsed="false">
      <c r="A153" s="3" t="n">
        <v>45527</v>
      </c>
      <c r="B153" s="1" t="s">
        <v>39</v>
      </c>
      <c r="H153" s="1" t="s">
        <v>1494</v>
      </c>
      <c r="I153" s="1" t="s">
        <v>63</v>
      </c>
      <c r="J153" s="1" t="s">
        <v>1501</v>
      </c>
      <c r="L153" s="1" t="s">
        <v>1502</v>
      </c>
      <c r="M153" s="1" t="n">
        <v>11</v>
      </c>
      <c r="N153" s="2" t="b">
        <f aca="false">TRUE()</f>
        <v>1</v>
      </c>
      <c r="O153" s="1" t="n">
        <v>440</v>
      </c>
    </row>
    <row r="154" customFormat="false" ht="15.75" hidden="false" customHeight="false" outlineLevel="0" collapsed="false">
      <c r="A154" s="3" t="n">
        <v>45527</v>
      </c>
      <c r="B154" s="1" t="s">
        <v>39</v>
      </c>
      <c r="H154" s="1" t="s">
        <v>298</v>
      </c>
      <c r="I154" s="1" t="s">
        <v>45</v>
      </c>
      <c r="J154" s="1" t="s">
        <v>57</v>
      </c>
      <c r="L154" s="1" t="s">
        <v>53</v>
      </c>
      <c r="M154" s="1" t="n">
        <v>2</v>
      </c>
    </row>
    <row r="155" customFormat="false" ht="15.75" hidden="false" customHeight="false" outlineLevel="0" collapsed="false">
      <c r="A155" s="3" t="n">
        <v>45527</v>
      </c>
      <c r="B155" s="1" t="s">
        <v>39</v>
      </c>
      <c r="H155" s="1" t="s">
        <v>846</v>
      </c>
      <c r="I155" s="1" t="s">
        <v>63</v>
      </c>
      <c r="J155" s="1" t="s">
        <v>1487</v>
      </c>
      <c r="L155" s="1" t="s">
        <v>1484</v>
      </c>
      <c r="M155" s="1" t="n">
        <v>15</v>
      </c>
      <c r="N155" s="2" t="b">
        <f aca="false">TRUE()</f>
        <v>1</v>
      </c>
      <c r="O155" s="1" t="n">
        <v>600</v>
      </c>
    </row>
    <row r="156" customFormat="false" ht="15.75" hidden="false" customHeight="false" outlineLevel="0" collapsed="false">
      <c r="A156" s="3" t="n">
        <v>45527</v>
      </c>
      <c r="B156" s="1" t="s">
        <v>39</v>
      </c>
      <c r="P156" s="1" t="n">
        <v>3</v>
      </c>
      <c r="Q156" s="1" t="s">
        <v>1490</v>
      </c>
      <c r="R156" s="1" t="s">
        <v>51</v>
      </c>
      <c r="S156" s="1" t="n">
        <v>9582</v>
      </c>
      <c r="T156" s="1" t="n">
        <v>5889</v>
      </c>
      <c r="U156" s="1" t="n">
        <v>13362</v>
      </c>
      <c r="V156" s="1" t="n">
        <v>11021</v>
      </c>
      <c r="W156" s="1" t="n">
        <v>518</v>
      </c>
      <c r="X156" s="1" t="n">
        <v>1868</v>
      </c>
      <c r="Y156" s="1" t="n">
        <v>4638</v>
      </c>
      <c r="AA156" s="1" t="n">
        <v>4253</v>
      </c>
      <c r="AB156" s="1" t="n">
        <v>51282.5</v>
      </c>
      <c r="AC156" s="1" t="n">
        <v>-39.5</v>
      </c>
      <c r="AD156" s="1" t="n">
        <v>0.291978842810932</v>
      </c>
      <c r="AE156" s="1" t="n">
        <v>500</v>
      </c>
      <c r="AH156" s="1" t="n">
        <v>440</v>
      </c>
      <c r="AI156" s="1" t="n">
        <v>1040</v>
      </c>
      <c r="AJ156" s="1" t="n">
        <v>1</v>
      </c>
      <c r="AK156" s="1" t="n">
        <v>249</v>
      </c>
      <c r="AL156" s="1" t="n">
        <v>4</v>
      </c>
      <c r="AM156" s="1" t="s">
        <v>1539</v>
      </c>
      <c r="AN156" s="1" t="n">
        <v>2</v>
      </c>
      <c r="AO156" s="1" t="n">
        <v>142</v>
      </c>
      <c r="AP156" s="1" t="n">
        <v>29</v>
      </c>
      <c r="AQ156" s="1" t="n">
        <v>2</v>
      </c>
      <c r="AR156" s="1" t="n">
        <v>1</v>
      </c>
      <c r="AS156" s="1" t="n">
        <v>0.137931034482759</v>
      </c>
      <c r="AT156" s="1" t="n">
        <v>1</v>
      </c>
      <c r="AU156" s="1" t="n">
        <v>0.862068965517241</v>
      </c>
      <c r="AV156" s="1" t="n">
        <v>0.0344827586206897</v>
      </c>
    </row>
    <row r="157" customFormat="false" ht="15.75" hidden="false" customHeight="false" outlineLevel="0" collapsed="false">
      <c r="A157" s="3" t="n">
        <v>45528</v>
      </c>
      <c r="B157" s="1" t="s">
        <v>1500</v>
      </c>
      <c r="C157" s="1" t="s">
        <v>51</v>
      </c>
      <c r="D157" s="1" t="s">
        <v>41</v>
      </c>
      <c r="E157" s="1" t="s">
        <v>45</v>
      </c>
      <c r="G157" s="1" t="s">
        <v>53</v>
      </c>
    </row>
    <row r="158" customFormat="false" ht="15.75" hidden="false" customHeight="false" outlineLevel="0" collapsed="false">
      <c r="A158" s="3" t="n">
        <v>45528</v>
      </c>
      <c r="B158" s="1" t="s">
        <v>1500</v>
      </c>
      <c r="C158" s="1" t="s">
        <v>1490</v>
      </c>
      <c r="D158" s="1" t="s">
        <v>45</v>
      </c>
      <c r="E158" s="1" t="s">
        <v>1485</v>
      </c>
      <c r="G158" s="1" t="s">
        <v>41</v>
      </c>
    </row>
    <row r="159" customFormat="false" ht="15.75" hidden="false" customHeight="false" outlineLevel="0" collapsed="false">
      <c r="A159" s="3" t="n">
        <v>45528</v>
      </c>
      <c r="B159" s="1" t="s">
        <v>1500</v>
      </c>
      <c r="H159" s="1" t="s">
        <v>1486</v>
      </c>
      <c r="I159" s="1" t="s">
        <v>45</v>
      </c>
      <c r="J159" s="1" t="s">
        <v>1485</v>
      </c>
      <c r="L159" s="1" t="s">
        <v>41</v>
      </c>
    </row>
    <row r="160" customFormat="false" ht="15.75" hidden="false" customHeight="false" outlineLevel="0" collapsed="false">
      <c r="A160" s="3" t="n">
        <v>45528</v>
      </c>
      <c r="B160" s="1" t="s">
        <v>1500</v>
      </c>
      <c r="H160" s="1" t="s">
        <v>1495</v>
      </c>
      <c r="I160" s="1" t="s">
        <v>45</v>
      </c>
      <c r="J160" s="1" t="s">
        <v>1485</v>
      </c>
      <c r="L160" s="1" t="s">
        <v>41</v>
      </c>
      <c r="M160" s="1" t="n">
        <v>8</v>
      </c>
      <c r="N160" s="2" t="b">
        <f aca="false">TRUE()</f>
        <v>1</v>
      </c>
      <c r="O160" s="1" t="n">
        <v>320</v>
      </c>
    </row>
    <row r="161" customFormat="false" ht="15.75" hidden="false" customHeight="false" outlineLevel="0" collapsed="false">
      <c r="A161" s="3" t="n">
        <v>45528</v>
      </c>
      <c r="B161" s="1" t="s">
        <v>1500</v>
      </c>
      <c r="H161" s="1" t="s">
        <v>846</v>
      </c>
      <c r="I161" s="1" t="s">
        <v>63</v>
      </c>
      <c r="J161" s="1" t="s">
        <v>1512</v>
      </c>
      <c r="L161" s="1" t="s">
        <v>47</v>
      </c>
      <c r="M161" s="1" t="n">
        <v>13</v>
      </c>
      <c r="N161" s="2" t="b">
        <f aca="false">TRUE()</f>
        <v>1</v>
      </c>
      <c r="O161" s="1" t="n">
        <v>520</v>
      </c>
    </row>
    <row r="162" customFormat="false" ht="15.75" hidden="false" customHeight="false" outlineLevel="0" collapsed="false">
      <c r="A162" s="3" t="n">
        <v>45528</v>
      </c>
      <c r="B162" s="1" t="s">
        <v>1500</v>
      </c>
      <c r="P162" s="1" t="n">
        <v>6</v>
      </c>
      <c r="Q162" s="1" t="s">
        <v>1490</v>
      </c>
      <c r="R162" s="1" t="s">
        <v>51</v>
      </c>
      <c r="S162" s="1" t="n">
        <v>7332</v>
      </c>
      <c r="T162" s="1" t="n">
        <v>7817</v>
      </c>
      <c r="U162" s="1" t="n">
        <v>15916</v>
      </c>
      <c r="V162" s="1" t="n">
        <v>14980</v>
      </c>
      <c r="W162" s="1" t="n">
        <v>507</v>
      </c>
      <c r="X162" s="1" t="n">
        <v>2009</v>
      </c>
      <c r="Y162" s="1" t="n">
        <v>2795</v>
      </c>
      <c r="AA162" s="1" t="n">
        <v>490</v>
      </c>
      <c r="AB162" s="1" t="n">
        <v>55753.5</v>
      </c>
      <c r="AC162" s="1" t="n">
        <v>-76.5</v>
      </c>
      <c r="AD162" s="1" t="n">
        <v>0.26436350375226</v>
      </c>
      <c r="AH162" s="1" t="n">
        <v>5000</v>
      </c>
      <c r="AI162" s="1" t="n">
        <v>840</v>
      </c>
      <c r="AJ162" s="1" t="n">
        <v>2</v>
      </c>
      <c r="AK162" s="1" t="n">
        <v>477</v>
      </c>
      <c r="AL162" s="1" t="n">
        <v>11</v>
      </c>
      <c r="AM162" s="1" t="s">
        <v>1540</v>
      </c>
      <c r="AN162" s="1" t="n">
        <v>2</v>
      </c>
      <c r="AO162" s="1" t="n">
        <v>131</v>
      </c>
      <c r="AP162" s="1" t="n">
        <v>28</v>
      </c>
      <c r="AQ162" s="1" t="n">
        <v>6</v>
      </c>
      <c r="AR162" s="1" t="n">
        <v>6</v>
      </c>
      <c r="AS162" s="1" t="n">
        <v>0.392857142857143</v>
      </c>
      <c r="AT162" s="1" t="n">
        <v>6</v>
      </c>
      <c r="AU162" s="1" t="n">
        <v>0.607142857142857</v>
      </c>
      <c r="AV162" s="1" t="n">
        <v>0.214285714285714</v>
      </c>
    </row>
    <row r="163" customFormat="false" ht="15.75" hidden="false" customHeight="false" outlineLevel="0" collapsed="false">
      <c r="A163" s="3" t="n">
        <v>45529</v>
      </c>
      <c r="B163" s="1" t="s">
        <v>67</v>
      </c>
      <c r="C163" s="1" t="s">
        <v>51</v>
      </c>
      <c r="D163" s="1" t="s">
        <v>45</v>
      </c>
      <c r="E163" s="1" t="s">
        <v>57</v>
      </c>
      <c r="G163" s="1" t="s">
        <v>53</v>
      </c>
    </row>
    <row r="164" customFormat="false" ht="15.75" hidden="false" customHeight="false" outlineLevel="0" collapsed="false">
      <c r="A164" s="3" t="n">
        <v>45529</v>
      </c>
      <c r="B164" s="1" t="s">
        <v>67</v>
      </c>
      <c r="C164" s="1" t="s">
        <v>1490</v>
      </c>
      <c r="D164" s="1" t="s">
        <v>41</v>
      </c>
      <c r="E164" s="1" t="s">
        <v>45</v>
      </c>
      <c r="G164" s="1" t="s">
        <v>53</v>
      </c>
    </row>
    <row r="165" customFormat="false" ht="15.75" hidden="false" customHeight="false" outlineLevel="0" collapsed="false">
      <c r="A165" s="3" t="n">
        <v>45529</v>
      </c>
      <c r="B165" s="1" t="s">
        <v>67</v>
      </c>
      <c r="H165" s="1" t="s">
        <v>1493</v>
      </c>
      <c r="I165" s="1" t="s">
        <v>63</v>
      </c>
      <c r="J165" s="1" t="s">
        <v>45</v>
      </c>
      <c r="L165" s="1" t="s">
        <v>64</v>
      </c>
      <c r="M165" s="1" t="n">
        <v>12</v>
      </c>
      <c r="N165" s="2" t="b">
        <f aca="false">TRUE()</f>
        <v>1</v>
      </c>
      <c r="O165" s="1" t="n">
        <v>480</v>
      </c>
    </row>
    <row r="166" customFormat="false" ht="15.75" hidden="false" customHeight="false" outlineLevel="0" collapsed="false">
      <c r="A166" s="3" t="n">
        <v>45529</v>
      </c>
      <c r="B166" s="1" t="s">
        <v>67</v>
      </c>
      <c r="H166" s="1" t="s">
        <v>1486</v>
      </c>
      <c r="I166" s="1" t="s">
        <v>45</v>
      </c>
      <c r="J166" s="1" t="s">
        <v>57</v>
      </c>
      <c r="L166" s="1" t="s">
        <v>53</v>
      </c>
    </row>
    <row r="167" customFormat="false" ht="15.75" hidden="false" customHeight="false" outlineLevel="0" collapsed="false">
      <c r="A167" s="3" t="n">
        <v>45529</v>
      </c>
      <c r="B167" s="1" t="s">
        <v>67</v>
      </c>
      <c r="H167" s="1" t="s">
        <v>846</v>
      </c>
      <c r="I167" s="1" t="s">
        <v>63</v>
      </c>
      <c r="J167" s="1" t="s">
        <v>42</v>
      </c>
      <c r="L167" s="1" t="s">
        <v>63</v>
      </c>
      <c r="M167" s="1" t="n">
        <v>20</v>
      </c>
      <c r="N167" s="2" t="b">
        <f aca="false">TRUE()</f>
        <v>1</v>
      </c>
      <c r="O167" s="1" t="n">
        <v>800</v>
      </c>
    </row>
    <row r="168" customFormat="false" ht="15.75" hidden="false" customHeight="false" outlineLevel="0" collapsed="false">
      <c r="A168" s="3" t="n">
        <v>45529</v>
      </c>
      <c r="B168" s="1" t="s">
        <v>67</v>
      </c>
      <c r="P168" s="1" t="n">
        <v>6</v>
      </c>
      <c r="Q168" s="1" t="s">
        <v>1490</v>
      </c>
      <c r="R168" s="1" t="s">
        <v>51</v>
      </c>
      <c r="S168" s="1" t="n">
        <v>6349</v>
      </c>
      <c r="T168" s="1" t="n">
        <v>7379</v>
      </c>
      <c r="U168" s="1" t="n">
        <v>8517</v>
      </c>
      <c r="V168" s="1" t="n">
        <v>14144</v>
      </c>
      <c r="W168" s="1" t="n">
        <v>1034</v>
      </c>
      <c r="X168" s="1" t="n">
        <v>1984</v>
      </c>
      <c r="Y168" s="1" t="n">
        <v>3382</v>
      </c>
      <c r="AA168" s="1" t="n">
        <v>1481</v>
      </c>
      <c r="AB168" s="1" t="n">
        <v>49162.5</v>
      </c>
      <c r="AC168" s="1" t="n">
        <v>0.5</v>
      </c>
      <c r="AD168" s="1" t="n">
        <v>0.275960928887905</v>
      </c>
      <c r="AE168" s="1" t="n">
        <v>5597</v>
      </c>
      <c r="AI168" s="1" t="n">
        <v>1280</v>
      </c>
      <c r="AJ168" s="1" t="n">
        <v>1</v>
      </c>
      <c r="AK168" s="1" t="n">
        <v>299</v>
      </c>
      <c r="AL168" s="1" t="n">
        <v>9</v>
      </c>
      <c r="AM168" s="1" t="s">
        <v>1541</v>
      </c>
      <c r="AN168" s="1" t="n">
        <v>2</v>
      </c>
      <c r="AO168" s="1" t="n">
        <v>124</v>
      </c>
      <c r="AP168" s="1" t="n">
        <v>38</v>
      </c>
      <c r="AQ168" s="1" t="n">
        <v>5</v>
      </c>
      <c r="AR168" s="1" t="n">
        <v>3</v>
      </c>
      <c r="AS168" s="1" t="n">
        <v>0.236842105263158</v>
      </c>
      <c r="AT168" s="1" t="n">
        <v>3</v>
      </c>
      <c r="AU168" s="1" t="n">
        <v>0.763157894736842</v>
      </c>
      <c r="AV168" s="1" t="n">
        <v>0.0789473684210526</v>
      </c>
    </row>
    <row r="169" customFormat="false" ht="15.75" hidden="false" customHeight="false" outlineLevel="0" collapsed="false">
      <c r="A169" s="3" t="n">
        <v>45530</v>
      </c>
      <c r="B169" s="1" t="s">
        <v>69</v>
      </c>
      <c r="C169" s="1" t="s">
        <v>51</v>
      </c>
      <c r="D169" s="1" t="s">
        <v>41</v>
      </c>
      <c r="E169" s="1" t="s">
        <v>45</v>
      </c>
      <c r="G169" s="1" t="e">
        <f aca="false">#VALUE!</f>
        <v>#VALUE!</v>
      </c>
    </row>
    <row r="170" customFormat="false" ht="15.75" hidden="false" customHeight="false" outlineLevel="0" collapsed="false">
      <c r="A170" s="3" t="n">
        <v>45530</v>
      </c>
      <c r="B170" s="1" t="s">
        <v>69</v>
      </c>
      <c r="C170" s="1" t="s">
        <v>1479</v>
      </c>
      <c r="D170" s="1" t="s">
        <v>45</v>
      </c>
      <c r="E170" s="1" t="s">
        <v>1487</v>
      </c>
      <c r="G170" s="1" t="s">
        <v>47</v>
      </c>
    </row>
    <row r="171" customFormat="false" ht="15.75" hidden="false" customHeight="false" outlineLevel="0" collapsed="false">
      <c r="A171" s="3" t="n">
        <v>45530</v>
      </c>
      <c r="B171" s="1" t="s">
        <v>69</v>
      </c>
      <c r="H171" s="1" t="s">
        <v>1493</v>
      </c>
      <c r="I171" s="1" t="s">
        <v>63</v>
      </c>
      <c r="J171" s="1" t="s">
        <v>45</v>
      </c>
      <c r="L171" s="1" t="s">
        <v>64</v>
      </c>
      <c r="M171" s="1" t="n">
        <v>7</v>
      </c>
      <c r="N171" s="2" t="b">
        <f aca="false">TRUE()</f>
        <v>1</v>
      </c>
      <c r="O171" s="1" t="n">
        <v>280</v>
      </c>
    </row>
    <row r="172" customFormat="false" ht="15.75" hidden="false" customHeight="false" outlineLevel="0" collapsed="false">
      <c r="A172" s="3" t="n">
        <v>45530</v>
      </c>
      <c r="B172" s="1" t="s">
        <v>69</v>
      </c>
      <c r="H172" s="1" t="s">
        <v>1486</v>
      </c>
      <c r="I172" s="1" t="s">
        <v>1542</v>
      </c>
      <c r="J172" s="1" t="s">
        <v>1487</v>
      </c>
      <c r="L172" s="1" t="s">
        <v>1498</v>
      </c>
      <c r="M172" s="1" t="n">
        <v>2</v>
      </c>
      <c r="N172" s="2" t="b">
        <f aca="false">TRUE()</f>
        <v>1</v>
      </c>
      <c r="O172" s="1" t="n">
        <v>80</v>
      </c>
    </row>
    <row r="173" customFormat="false" ht="15.75" hidden="false" customHeight="false" outlineLevel="0" collapsed="false">
      <c r="A173" s="3" t="n">
        <v>45530</v>
      </c>
      <c r="B173" s="1" t="s">
        <v>69</v>
      </c>
      <c r="H173" s="1" t="s">
        <v>846</v>
      </c>
      <c r="I173" s="1" t="s">
        <v>63</v>
      </c>
      <c r="J173" s="1" t="s">
        <v>62</v>
      </c>
      <c r="L173" s="1" t="s">
        <v>1528</v>
      </c>
      <c r="M173" s="1" t="n">
        <v>6</v>
      </c>
      <c r="N173" s="2" t="b">
        <f aca="false">TRUE()</f>
        <v>1</v>
      </c>
      <c r="O173" s="1" t="n">
        <v>240</v>
      </c>
    </row>
    <row r="174" customFormat="false" ht="15.75" hidden="false" customHeight="false" outlineLevel="0" collapsed="false">
      <c r="A174" s="3" t="n">
        <v>45530</v>
      </c>
      <c r="B174" s="1" t="s">
        <v>69</v>
      </c>
      <c r="P174" s="1" t="n">
        <v>2</v>
      </c>
      <c r="Q174" s="1" t="s">
        <v>1490</v>
      </c>
      <c r="R174" s="1" t="s">
        <v>51</v>
      </c>
      <c r="S174" s="1" t="n">
        <v>5824</v>
      </c>
      <c r="T174" s="1" t="n">
        <v>3338</v>
      </c>
      <c r="U174" s="1" t="n">
        <v>10269</v>
      </c>
      <c r="V174" s="1" t="n">
        <v>7603</v>
      </c>
      <c r="W174" s="1" t="n">
        <v>0</v>
      </c>
      <c r="X174" s="1" t="n">
        <v>1384</v>
      </c>
      <c r="Y174" s="1" t="n">
        <v>2199</v>
      </c>
      <c r="AA174" s="1" t="n">
        <v>2145</v>
      </c>
      <c r="AB174" s="1" t="n">
        <v>34258</v>
      </c>
      <c r="AC174" s="1" t="n">
        <v>-280</v>
      </c>
      <c r="AD174" s="1" t="n">
        <v>0.388931086649881</v>
      </c>
      <c r="AE174" s="1" t="n">
        <v>2000</v>
      </c>
      <c r="AI174" s="1" t="n">
        <v>600</v>
      </c>
      <c r="AJ174" s="1" t="n">
        <v>0</v>
      </c>
      <c r="AK174" s="1" t="n">
        <v>0</v>
      </c>
      <c r="AL174" s="1" t="n">
        <v>7</v>
      </c>
      <c r="AM174" s="1" t="s">
        <v>1543</v>
      </c>
      <c r="AN174" s="1" t="n">
        <v>3</v>
      </c>
      <c r="AO174" s="1" t="n">
        <v>94</v>
      </c>
      <c r="AP174" s="1" t="n">
        <v>22</v>
      </c>
      <c r="AQ174" s="1" t="n">
        <v>1</v>
      </c>
      <c r="AR174" s="1" t="n">
        <v>1</v>
      </c>
      <c r="AS174" s="1" t="n">
        <v>0.318181818181818</v>
      </c>
      <c r="AT174" s="1" t="n">
        <v>2</v>
      </c>
      <c r="AU174" s="1" t="n">
        <v>0.681818181818182</v>
      </c>
      <c r="AV174" s="1" t="n">
        <v>0.0909090909090909</v>
      </c>
    </row>
    <row r="175" customFormat="false" ht="15.75" hidden="false" customHeight="false" outlineLevel="0" collapsed="false">
      <c r="A175" s="3" t="n">
        <v>45531</v>
      </c>
      <c r="B175" s="1" t="s">
        <v>61</v>
      </c>
      <c r="C175" s="1" t="s">
        <v>51</v>
      </c>
      <c r="D175" s="1" t="s">
        <v>50</v>
      </c>
      <c r="E175" s="1" t="s">
        <v>1487</v>
      </c>
      <c r="G175" s="1" t="s">
        <v>43</v>
      </c>
    </row>
    <row r="176" customFormat="false" ht="15.75" hidden="false" customHeight="false" outlineLevel="0" collapsed="false">
      <c r="A176" s="3" t="n">
        <v>45531</v>
      </c>
      <c r="B176" s="1" t="s">
        <v>61</v>
      </c>
      <c r="H176" s="1" t="s">
        <v>417</v>
      </c>
      <c r="I176" s="1" t="s">
        <v>63</v>
      </c>
      <c r="J176" s="1" t="s">
        <v>70</v>
      </c>
      <c r="L176" s="1" t="s">
        <v>53</v>
      </c>
      <c r="M176" s="1" t="n">
        <v>9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3" t="n">
        <v>45531</v>
      </c>
      <c r="B177" s="1" t="s">
        <v>61</v>
      </c>
      <c r="H177" s="1" t="s">
        <v>1486</v>
      </c>
      <c r="I177" s="1" t="s">
        <v>45</v>
      </c>
      <c r="J177" s="1" t="s">
        <v>1487</v>
      </c>
      <c r="L177" s="1" t="s">
        <v>47</v>
      </c>
    </row>
    <row r="178" customFormat="false" ht="15.75" hidden="false" customHeight="false" outlineLevel="0" collapsed="false">
      <c r="A178" s="3" t="n">
        <v>45531</v>
      </c>
      <c r="B178" s="1" t="s">
        <v>61</v>
      </c>
      <c r="H178" s="1" t="s">
        <v>846</v>
      </c>
      <c r="I178" s="1" t="s">
        <v>63</v>
      </c>
      <c r="J178" s="1" t="s">
        <v>62</v>
      </c>
      <c r="L178" s="1" t="s">
        <v>1528</v>
      </c>
      <c r="M178" s="1" t="n">
        <v>6</v>
      </c>
      <c r="N178" s="2" t="b">
        <f aca="false">TRUE()</f>
        <v>1</v>
      </c>
      <c r="O178" s="1" t="n">
        <v>240</v>
      </c>
    </row>
    <row r="179" customFormat="false" ht="15.75" hidden="false" customHeight="false" outlineLevel="0" collapsed="false">
      <c r="A179" s="3" t="n">
        <v>45531</v>
      </c>
      <c r="B179" s="1" t="s">
        <v>61</v>
      </c>
      <c r="P179" s="1" t="n">
        <v>5</v>
      </c>
      <c r="Q179" s="1" t="s">
        <v>1490</v>
      </c>
      <c r="R179" s="1" t="s">
        <v>51</v>
      </c>
      <c r="S179" s="1" t="n">
        <v>6635</v>
      </c>
      <c r="T179" s="1" t="n">
        <v>2740</v>
      </c>
      <c r="U179" s="1" t="n">
        <v>11466</v>
      </c>
      <c r="V179" s="1" t="n">
        <v>9001</v>
      </c>
      <c r="W179" s="1" t="n">
        <v>398</v>
      </c>
      <c r="X179" s="1" t="n">
        <v>2021</v>
      </c>
      <c r="Y179" s="1" t="n">
        <v>3460</v>
      </c>
      <c r="AA179" s="1" t="n">
        <v>5025</v>
      </c>
      <c r="AB179" s="1" t="n">
        <v>39324</v>
      </c>
      <c r="AC179" s="1" t="n">
        <v>1</v>
      </c>
      <c r="AD179" s="1" t="n">
        <v>0.273427522287957</v>
      </c>
      <c r="AI179" s="1" t="n">
        <v>600</v>
      </c>
      <c r="AJ179" s="1" t="n">
        <v>0</v>
      </c>
      <c r="AK179" s="1" t="n">
        <v>0</v>
      </c>
      <c r="AL179" s="1" t="n">
        <v>5</v>
      </c>
      <c r="AM179" s="1" t="s">
        <v>1544</v>
      </c>
      <c r="AN179" s="1" t="n">
        <v>2</v>
      </c>
      <c r="AO179" s="1" t="n">
        <v>102</v>
      </c>
      <c r="AP179" s="1" t="n">
        <v>20</v>
      </c>
      <c r="AQ179" s="1" t="n">
        <v>5</v>
      </c>
      <c r="AR179" s="1" t="n">
        <v>3</v>
      </c>
      <c r="AS179" s="1" t="n">
        <v>0.25</v>
      </c>
      <c r="AT179" s="1" t="n">
        <v>3</v>
      </c>
      <c r="AU179" s="1" t="n">
        <v>0.75</v>
      </c>
      <c r="AV179" s="1" t="n">
        <v>0.15</v>
      </c>
    </row>
    <row r="180" customFormat="false" ht="15.75" hidden="false" customHeight="false" outlineLevel="0" collapsed="false">
      <c r="A180" s="3" t="n">
        <v>45532</v>
      </c>
      <c r="B180" s="1" t="s">
        <v>73</v>
      </c>
      <c r="C180" s="1" t="s">
        <v>438</v>
      </c>
      <c r="D180" s="1" t="s">
        <v>41</v>
      </c>
      <c r="E180" s="1" t="s">
        <v>49</v>
      </c>
      <c r="G180" s="1" t="s">
        <v>50</v>
      </c>
    </row>
    <row r="181" customFormat="false" ht="15.75" hidden="false" customHeight="false" outlineLevel="0" collapsed="false">
      <c r="A181" s="3" t="n">
        <v>45532</v>
      </c>
      <c r="B181" s="1" t="s">
        <v>73</v>
      </c>
      <c r="H181" s="1" t="s">
        <v>1493</v>
      </c>
      <c r="I181" s="1" t="s">
        <v>63</v>
      </c>
      <c r="J181" s="1" t="s">
        <v>1501</v>
      </c>
      <c r="L181" s="1" t="s">
        <v>1502</v>
      </c>
      <c r="M181" s="1" t="n">
        <v>6</v>
      </c>
      <c r="N181" s="2" t="b">
        <f aca="false">TRUE()</f>
        <v>1</v>
      </c>
      <c r="O181" s="1" t="n">
        <v>240</v>
      </c>
    </row>
    <row r="182" customFormat="false" ht="15.75" hidden="false" customHeight="false" outlineLevel="0" collapsed="false">
      <c r="A182" s="3" t="n">
        <v>45532</v>
      </c>
      <c r="B182" s="1" t="s">
        <v>73</v>
      </c>
      <c r="H182" s="1" t="s">
        <v>1486</v>
      </c>
      <c r="I182" s="1" t="s">
        <v>45</v>
      </c>
      <c r="J182" s="1" t="s">
        <v>1487</v>
      </c>
      <c r="L182" s="1" t="s">
        <v>47</v>
      </c>
    </row>
    <row r="183" customFormat="false" ht="15.75" hidden="false" customHeight="false" outlineLevel="0" collapsed="false">
      <c r="A183" s="3" t="n">
        <v>45532</v>
      </c>
      <c r="B183" s="1" t="s">
        <v>73</v>
      </c>
      <c r="H183" s="1" t="s">
        <v>417</v>
      </c>
      <c r="I183" s="1" t="s">
        <v>70</v>
      </c>
      <c r="J183" s="1" t="s">
        <v>1487</v>
      </c>
      <c r="L183" s="1" t="s">
        <v>53</v>
      </c>
      <c r="M183" s="1" t="n">
        <v>8</v>
      </c>
      <c r="N183" s="2" t="b">
        <f aca="false">TRUE()</f>
        <v>1</v>
      </c>
      <c r="O183" s="1" t="n">
        <v>320</v>
      </c>
    </row>
    <row r="184" customFormat="false" ht="15.75" hidden="false" customHeight="false" outlineLevel="0" collapsed="false">
      <c r="A184" s="3" t="n">
        <v>45532</v>
      </c>
      <c r="B184" s="1" t="s">
        <v>73</v>
      </c>
      <c r="H184" s="1" t="s">
        <v>846</v>
      </c>
      <c r="I184" s="1" t="s">
        <v>45</v>
      </c>
      <c r="J184" s="1" t="s">
        <v>1487</v>
      </c>
      <c r="L184" s="1" t="s">
        <v>47</v>
      </c>
      <c r="M184" s="1" t="n">
        <v>7</v>
      </c>
      <c r="N184" s="2" t="b">
        <f aca="false">TRUE()</f>
        <v>1</v>
      </c>
      <c r="O184" s="1" t="n">
        <v>280</v>
      </c>
    </row>
    <row r="185" customFormat="false" ht="15.75" hidden="false" customHeight="false" outlineLevel="0" collapsed="false">
      <c r="A185" s="3" t="n">
        <v>45532</v>
      </c>
      <c r="B185" s="1" t="s">
        <v>73</v>
      </c>
      <c r="P185" s="1" t="n">
        <v>3</v>
      </c>
      <c r="Q185" s="1" t="s">
        <v>1490</v>
      </c>
      <c r="R185" s="1" t="s">
        <v>51</v>
      </c>
      <c r="S185" s="1" t="n">
        <v>5618</v>
      </c>
      <c r="T185" s="1" t="n">
        <v>3298</v>
      </c>
      <c r="U185" s="1" t="n">
        <v>10741</v>
      </c>
      <c r="V185" s="1" t="n">
        <v>9354</v>
      </c>
      <c r="W185" s="1" t="n">
        <v>0</v>
      </c>
      <c r="X185" s="1" t="n">
        <v>963</v>
      </c>
      <c r="Y185" s="1" t="n">
        <v>1615</v>
      </c>
      <c r="AA185" s="1" t="n">
        <v>2099</v>
      </c>
      <c r="AB185" s="1" t="n">
        <v>39161.5</v>
      </c>
      <c r="AC185" s="1" t="n">
        <v>0.5</v>
      </c>
      <c r="AD185" s="1" t="n">
        <v>0.291321422480028</v>
      </c>
      <c r="AG185" s="1" t="n">
        <v>5597</v>
      </c>
      <c r="AI185" s="1" t="n">
        <v>840</v>
      </c>
      <c r="AJ185" s="1" t="n">
        <v>0</v>
      </c>
      <c r="AK185" s="1" t="n">
        <v>0</v>
      </c>
      <c r="AL185" s="1" t="n">
        <v>6</v>
      </c>
      <c r="AM185" s="1" t="s">
        <v>1545</v>
      </c>
      <c r="AN185" s="1" t="n">
        <v>3</v>
      </c>
      <c r="AO185" s="1" t="n">
        <v>94</v>
      </c>
      <c r="AP185" s="1" t="n">
        <v>24</v>
      </c>
      <c r="AQ185" s="1" t="n">
        <v>4</v>
      </c>
      <c r="AR185" s="1" t="n">
        <v>3</v>
      </c>
      <c r="AS185" s="1" t="n">
        <v>0.25</v>
      </c>
      <c r="AT185" s="1" t="n">
        <v>3</v>
      </c>
      <c r="AU185" s="1" t="n">
        <v>0.75</v>
      </c>
      <c r="AV185" s="1" t="n">
        <v>0.125</v>
      </c>
    </row>
    <row r="186" customFormat="false" ht="15.75" hidden="false" customHeight="false" outlineLevel="0" collapsed="false">
      <c r="A186" s="3" t="n">
        <v>45533</v>
      </c>
      <c r="B186" s="1" t="s">
        <v>1478</v>
      </c>
      <c r="C186" s="1" t="s">
        <v>361</v>
      </c>
      <c r="D186" s="1" t="s">
        <v>45</v>
      </c>
      <c r="E186" s="1" t="s">
        <v>49</v>
      </c>
      <c r="G186" s="1" t="s">
        <v>64</v>
      </c>
    </row>
    <row r="187" customFormat="false" ht="15.75" hidden="false" customHeight="false" outlineLevel="0" collapsed="false">
      <c r="A187" s="3" t="n">
        <v>45533</v>
      </c>
      <c r="B187" s="1" t="s">
        <v>1478</v>
      </c>
      <c r="C187" s="1" t="s">
        <v>1479</v>
      </c>
      <c r="D187" s="1" t="s">
        <v>1546</v>
      </c>
      <c r="E187" s="1" t="s">
        <v>1533</v>
      </c>
      <c r="G187" s="1" t="s">
        <v>43</v>
      </c>
    </row>
    <row r="188" customFormat="false" ht="15.75" hidden="false" customHeight="false" outlineLevel="0" collapsed="false">
      <c r="A188" s="3" t="n">
        <v>45533</v>
      </c>
      <c r="B188" s="1" t="s">
        <v>1478</v>
      </c>
      <c r="C188" s="1" t="s">
        <v>51</v>
      </c>
      <c r="D188" s="1" t="s">
        <v>1533</v>
      </c>
      <c r="E188" s="1" t="s">
        <v>1487</v>
      </c>
      <c r="G188" s="1" t="s">
        <v>1491</v>
      </c>
    </row>
    <row r="189" customFormat="false" ht="15.75" hidden="false" customHeight="false" outlineLevel="0" collapsed="false">
      <c r="A189" s="3" t="n">
        <v>45533</v>
      </c>
      <c r="B189" s="1" t="s">
        <v>1478</v>
      </c>
      <c r="H189" s="1" t="s">
        <v>417</v>
      </c>
      <c r="I189" s="1" t="s">
        <v>70</v>
      </c>
      <c r="J189" s="1" t="s">
        <v>46</v>
      </c>
      <c r="L189" s="1" t="s">
        <v>53</v>
      </c>
      <c r="M189" s="1" t="n">
        <v>11</v>
      </c>
      <c r="N189" s="2" t="b">
        <f aca="false">TRUE()</f>
        <v>1</v>
      </c>
      <c r="O189" s="1" t="n">
        <v>440</v>
      </c>
    </row>
    <row r="190" customFormat="false" ht="15.75" hidden="false" customHeight="false" outlineLevel="0" collapsed="false">
      <c r="A190" s="3" t="n">
        <v>45533</v>
      </c>
      <c r="B190" s="1" t="s">
        <v>1478</v>
      </c>
      <c r="H190" s="1" t="s">
        <v>298</v>
      </c>
      <c r="I190" s="1" t="s">
        <v>63</v>
      </c>
      <c r="J190" s="1" t="s">
        <v>45</v>
      </c>
      <c r="L190" s="1" t="s">
        <v>64</v>
      </c>
      <c r="M190" s="1" t="n">
        <v>5</v>
      </c>
    </row>
    <row r="191" customFormat="false" ht="15.75" hidden="false" customHeight="false" outlineLevel="0" collapsed="false">
      <c r="A191" s="3" t="n">
        <v>45533</v>
      </c>
      <c r="B191" s="1" t="s">
        <v>1478</v>
      </c>
      <c r="H191" s="1" t="s">
        <v>466</v>
      </c>
      <c r="I191" s="1" t="s">
        <v>45</v>
      </c>
      <c r="J191" s="1" t="s">
        <v>49</v>
      </c>
      <c r="L191" s="1" t="s">
        <v>64</v>
      </c>
      <c r="M191" s="1" t="n">
        <v>10</v>
      </c>
      <c r="N191" s="2" t="b">
        <f aca="false">TRUE()</f>
        <v>1</v>
      </c>
      <c r="O191" s="1" t="n">
        <v>400</v>
      </c>
    </row>
    <row r="192" customFormat="false" ht="15.75" hidden="false" customHeight="false" outlineLevel="0" collapsed="false">
      <c r="A192" s="3" t="n">
        <v>45533</v>
      </c>
      <c r="B192" s="1" t="s">
        <v>1478</v>
      </c>
      <c r="P192" s="1" t="n">
        <v>4</v>
      </c>
      <c r="Q192" s="1" t="s">
        <v>1479</v>
      </c>
      <c r="R192" s="1" t="s">
        <v>51</v>
      </c>
      <c r="S192" s="1" t="n">
        <v>5746</v>
      </c>
      <c r="T192" s="1" t="n">
        <v>6961</v>
      </c>
      <c r="U192" s="1" t="n">
        <v>10051</v>
      </c>
      <c r="V192" s="1" t="n">
        <v>9620</v>
      </c>
      <c r="W192" s="1" t="n">
        <v>299</v>
      </c>
      <c r="X192" s="1" t="n">
        <v>5046</v>
      </c>
      <c r="Y192" s="1" t="n">
        <v>2586</v>
      </c>
      <c r="AA192" s="1" t="n">
        <v>7551</v>
      </c>
      <c r="AB192" s="1" t="n">
        <v>44655</v>
      </c>
      <c r="AC192" s="1" t="n">
        <v>0</v>
      </c>
      <c r="AD192" s="1" t="n">
        <v>0.380573156118052</v>
      </c>
      <c r="AE192" s="1" t="n">
        <v>1001</v>
      </c>
      <c r="AI192" s="1" t="n">
        <v>840</v>
      </c>
      <c r="AJ192" s="1" t="n">
        <v>0</v>
      </c>
      <c r="AK192" s="1" t="n">
        <v>0</v>
      </c>
      <c r="AL192" s="1" t="n">
        <v>7</v>
      </c>
      <c r="AM192" s="1" t="s">
        <v>1547</v>
      </c>
      <c r="AN192" s="1" t="n">
        <v>2</v>
      </c>
      <c r="AO192" s="1" t="n">
        <v>114</v>
      </c>
      <c r="AP192" s="1" t="n">
        <v>30</v>
      </c>
      <c r="AQ192" s="1" t="n">
        <v>4</v>
      </c>
      <c r="AR192" s="1" t="n">
        <v>2</v>
      </c>
      <c r="AS192" s="1" t="n">
        <v>0.233333333333333</v>
      </c>
      <c r="AT192" s="1" t="n">
        <v>2</v>
      </c>
      <c r="AU192" s="1" t="n">
        <v>0.766666666666667</v>
      </c>
      <c r="AV192" s="1" t="n">
        <v>0.0666666666666667</v>
      </c>
    </row>
    <row r="193" customFormat="false" ht="15.75" hidden="false" customHeight="false" outlineLevel="0" collapsed="false">
      <c r="A193" s="3"/>
    </row>
    <row r="194" customFormat="false" ht="15.75" hidden="false" customHeight="false" outlineLevel="0" collapsed="false">
      <c r="A194" s="3"/>
    </row>
    <row r="195" customFormat="false" ht="15.75" hidden="false" customHeight="false" outlineLevel="0" collapsed="false">
      <c r="A195" s="3"/>
    </row>
    <row r="196" customFormat="false" ht="18.75" hidden="false" customHeight="true" outlineLevel="0" collapsed="false">
      <c r="A196" s="3"/>
    </row>
    <row r="197" customFormat="false" ht="15.75" hidden="false" customHeight="false" outlineLevel="0" collapsed="false">
      <c r="A197" s="3"/>
    </row>
    <row r="198" customFormat="false" ht="15.75" hidden="false" customHeight="false" outlineLevel="0" collapsed="false">
      <c r="A198" s="3"/>
    </row>
    <row r="199" customFormat="false" ht="15.75" hidden="false" customHeight="false" outlineLevel="0" collapsed="false">
      <c r="A199" s="3"/>
    </row>
    <row r="200" customFormat="false" ht="15.75" hidden="false" customHeight="false" outlineLevel="0" collapsed="false">
      <c r="A200" s="3"/>
    </row>
    <row r="201" customFormat="false" ht="15.75" hidden="false" customHeight="false" outlineLevel="0" collapsed="false">
      <c r="A201" s="3"/>
    </row>
    <row r="202" customFormat="false" ht="15.75" hidden="false" customHeight="false" outlineLevel="0" collapsed="false">
      <c r="A202" s="3"/>
    </row>
    <row r="203" customFormat="false" ht="15.75" hidden="false" customHeight="false" outlineLevel="0" collapsed="false">
      <c r="A203" s="3"/>
    </row>
    <row r="204" customFormat="false" ht="15.75" hidden="false" customHeight="false" outlineLevel="0" collapsed="false">
      <c r="A204" s="3"/>
    </row>
    <row r="205" customFormat="false" ht="15.75" hidden="false" customHeight="false" outlineLevel="0" collapsed="false">
      <c r="A205" s="3"/>
    </row>
    <row r="206" customFormat="false" ht="15.75" hidden="false" customHeight="false" outlineLevel="0" collapsed="false">
      <c r="A206" s="3"/>
    </row>
    <row r="207" customFormat="false" ht="15.75" hidden="false" customHeight="false" outlineLevel="0" collapsed="false">
      <c r="A207" s="3"/>
    </row>
    <row r="208" customFormat="false" ht="15.75" hidden="false" customHeight="false" outlineLevel="0" collapsed="false">
      <c r="A208" s="3"/>
    </row>
    <row r="209" customFormat="false" ht="15.75" hidden="false" customHeight="false" outlineLevel="0" collapsed="false">
      <c r="A209" s="3"/>
    </row>
    <row r="220" customFormat="false" ht="15.75" hidden="false" customHeight="false" outlineLevel="0" collapsed="false">
      <c r="A220" s="3"/>
    </row>
    <row r="221" customFormat="false" ht="15.75" hidden="false" customHeight="false" outlineLevel="0" collapsed="false">
      <c r="A221" s="3"/>
    </row>
    <row r="222" customFormat="false" ht="15.75" hidden="false" customHeight="false" outlineLevel="0" collapsed="false">
      <c r="A222" s="3"/>
    </row>
    <row r="223" customFormat="false" ht="15.75" hidden="false" customHeight="false" outlineLevel="0" collapsed="false">
      <c r="A223" s="3"/>
    </row>
    <row r="224" customFormat="false" ht="15.75" hidden="false" customHeight="false" outlineLevel="0" collapsed="false">
      <c r="A224" s="3"/>
    </row>
    <row r="225" customFormat="false" ht="15.75" hidden="false" customHeight="false" outlineLevel="0" collapsed="false">
      <c r="A225" s="3"/>
    </row>
    <row r="226" customFormat="false" ht="15.75" hidden="false" customHeight="false" outlineLevel="0" collapsed="false">
      <c r="A226" s="3"/>
    </row>
    <row r="227" customFormat="false" ht="15.75" hidden="false" customHeight="false" outlineLevel="0" collapsed="false">
      <c r="A227" s="3"/>
    </row>
    <row r="228" customFormat="false" ht="15.75" hidden="false" customHeight="false" outlineLevel="0" collapsed="false">
      <c r="A228" s="3"/>
    </row>
    <row r="229" customFormat="false" ht="15.75" hidden="false" customHeight="false" outlineLevel="0" collapsed="false">
      <c r="A229" s="3"/>
    </row>
    <row r="230" customFormat="false" ht="15.75" hidden="false" customHeight="false" outlineLevel="0" collapsed="false">
      <c r="A230" s="3"/>
    </row>
    <row r="231" customFormat="false" ht="15.75" hidden="false" customHeight="false" outlineLevel="0" collapsed="false">
      <c r="A23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0.25"/>
    <col collapsed="false" customWidth="true" hidden="false" outlineLevel="0" max="2" min="2" style="0" width="16.75"/>
    <col collapsed="false" customWidth="true" hidden="false" outlineLevel="0" max="3" min="3" style="0" width="15.13"/>
    <col collapsed="false" customWidth="true" hidden="false" outlineLevel="0" max="11" min="11" style="0" width="11.63"/>
    <col collapsed="false" customWidth="true" hidden="false" outlineLevel="0" max="12" min="12" style="0" width="16"/>
  </cols>
  <sheetData>
    <row r="1" customFormat="false" ht="31.5" hidden="false" customHeight="false" outlineLevel="0" collapsed="false">
      <c r="A1" s="5"/>
      <c r="B1" s="6" t="s">
        <v>1548</v>
      </c>
      <c r="C1" s="7" t="s">
        <v>0</v>
      </c>
      <c r="D1" s="8" t="n">
        <v>46191</v>
      </c>
      <c r="E1" s="8"/>
      <c r="F1" s="9" t="s">
        <v>28</v>
      </c>
      <c r="G1" s="9"/>
      <c r="H1" s="9"/>
      <c r="I1" s="9" t="s">
        <v>26</v>
      </c>
      <c r="J1" s="9"/>
      <c r="K1" s="9"/>
      <c r="L1" s="10" t="s">
        <v>1549</v>
      </c>
      <c r="M1" s="10"/>
    </row>
    <row r="2" customFormat="false" ht="19.5" hidden="false" customHeight="true" outlineLevel="0" collapsed="false">
      <c r="A2" s="5"/>
      <c r="B2" s="6"/>
      <c r="C2" s="6"/>
      <c r="D2" s="8"/>
      <c r="E2" s="8"/>
      <c r="F2" s="11" t="str">
        <f aca="false">IFERROR(__xludf.dummyfunction("IF(I2&gt;0, 
    100 / (I2 / 112 * 100 / ((SUM(A12:A21, A25:A31) + (M17 + I32) + IFERROR(SUM(FILTER(HR!W5:W48, LEN(HR!A5:A48) &gt; 0)), 0)) / 100)), 
    ""Zadej tržbu"")
"),"Zadej tržbu")</f>
        <v>Zadej tržbu</v>
      </c>
      <c r="G2" s="11"/>
      <c r="H2" s="11"/>
      <c r="I2" s="12" t="n">
        <f aca="false">SUMIFS(RestiaCSV!C:C, RestiaCSV!B:B, "&lt;&gt;canceled", RestiaCSV!B:B, "&lt;&gt;expired")</f>
        <v>0</v>
      </c>
      <c r="J2" s="12"/>
      <c r="K2" s="12"/>
      <c r="L2" s="13" t="s">
        <v>1550</v>
      </c>
      <c r="M2" s="14" t="n">
        <f aca="false">SUMIFS(RestiaCSV!C:C, RestiaCSV!A:A, Report!L2, RestiaCSV!B:B, "&lt;&gt;canceled", RestiaCSV!B:B, "&lt;&gt;expired")</f>
        <v>0</v>
      </c>
    </row>
    <row r="3" customFormat="false" ht="15.75" hidden="false" customHeight="false" outlineLevel="0" collapsed="false">
      <c r="A3" s="5"/>
      <c r="B3" s="15" t="str">
        <f aca="false">CHOOSE(WEEKDAY(D1), "Neděle", "Pondělí", "Úterý", "Středa", "Čtvrtek", "Pátek", "Sobota")</f>
        <v>Čtvrtek</v>
      </c>
      <c r="C3" s="15"/>
      <c r="D3" s="15"/>
      <c r="E3" s="15"/>
      <c r="F3" s="11"/>
      <c r="G3" s="11"/>
      <c r="H3" s="11"/>
      <c r="I3" s="12"/>
      <c r="J3" s="12"/>
      <c r="K3" s="12"/>
      <c r="L3" s="13" t="s">
        <v>1551</v>
      </c>
      <c r="M3" s="14" t="n">
        <f aca="false">SUMIFS(RestiaCSV!C:C, RestiaCSV!A:A, Report!L3, RestiaCSV!B:B, "&lt;&gt;canceled")</f>
        <v>0</v>
      </c>
    </row>
    <row r="4" customFormat="false" ht="15.75" hidden="false" customHeight="false" outlineLevel="0" collapsed="false">
      <c r="A4" s="5"/>
      <c r="B4" s="15"/>
      <c r="C4" s="15"/>
      <c r="D4" s="15"/>
      <c r="E4" s="15"/>
      <c r="F4" s="11"/>
      <c r="G4" s="11"/>
      <c r="H4" s="11"/>
      <c r="I4" s="12"/>
      <c r="J4" s="12"/>
      <c r="K4" s="12"/>
      <c r="L4" s="13" t="s">
        <v>1552</v>
      </c>
      <c r="M4" s="14" t="n">
        <f aca="false">SUMIFS(RestiaCSV!C:C, RestiaCSV!A:A, "damejidlo", RestiaCSV!G:G, "online", RestiaCSV!B:B, "&lt;&gt;canceled")</f>
        <v>0</v>
      </c>
    </row>
    <row r="5" customFormat="false" ht="15.75" hidden="false" customHeight="false" outlineLevel="0" collapsed="false">
      <c r="A5" s="5"/>
      <c r="B5" s="16" t="s">
        <v>1553</v>
      </c>
      <c r="C5" s="16"/>
      <c r="D5" s="16"/>
      <c r="E5" s="16"/>
      <c r="F5" s="16"/>
      <c r="G5" s="16"/>
      <c r="H5" s="16"/>
      <c r="I5" s="16"/>
      <c r="J5" s="16"/>
      <c r="K5" s="16"/>
      <c r="L5" s="17" t="s">
        <v>1554</v>
      </c>
      <c r="M5" s="14" t="n">
        <f aca="false">SUMIFS(RestiaCSV!C:C, RestiaCSV!A:A, "generic", RestiaCSV!G:G, "online", RestiaCSV!B:B, "&lt;&gt;canceled")</f>
        <v>0</v>
      </c>
    </row>
    <row r="6" customFormat="false" ht="15.75" hidden="false" customHeight="false" outlineLevel="0" collapsed="false">
      <c r="A6" s="5"/>
      <c r="B6" s="16"/>
      <c r="C6" s="16"/>
      <c r="D6" s="16"/>
      <c r="E6" s="16"/>
      <c r="F6" s="16"/>
      <c r="G6" s="16"/>
      <c r="H6" s="16"/>
      <c r="I6" s="16"/>
      <c r="J6" s="16"/>
      <c r="K6" s="16"/>
      <c r="L6" s="17" t="s">
        <v>1555</v>
      </c>
      <c r="M6" s="14" t="n">
        <f aca="false">SUMIFS(RestiaCSV!C:C, RestiaCSV!E:E, "wolt kurýr", RestiaCSV!A:A, "&lt;&gt;wolt", RestiaCSV!G:G, "cash", RestiaCSV!B:B, "&lt;&gt;canceled")</f>
        <v>0</v>
      </c>
    </row>
    <row r="7" customFormat="false" ht="15.75" hidden="false" customHeight="false" outlineLevel="0" collapsed="false">
      <c r="A7" s="5"/>
      <c r="B7" s="18"/>
      <c r="C7" s="18"/>
      <c r="D7" s="18"/>
      <c r="E7" s="18"/>
      <c r="F7" s="19"/>
      <c r="G7" s="19"/>
      <c r="H7" s="19"/>
      <c r="I7" s="19"/>
      <c r="J7" s="20"/>
      <c r="K7" s="20"/>
      <c r="L7" s="21" t="s">
        <v>1556</v>
      </c>
      <c r="M7" s="22" t="n">
        <f aca="false">SUMIFS(RestiaCSV!C:C, RestiaCSV!A:A, "damejidlo", RestiaCSV!G:G, "cash", RestiaCSV!B:B, "&lt;&gt;canceled")</f>
        <v>0</v>
      </c>
    </row>
    <row r="8" customFormat="false" ht="17.35" hidden="false" customHeight="false" outlineLevel="0" collapsed="false">
      <c r="A8" s="5"/>
      <c r="B8" s="18"/>
      <c r="C8" s="18"/>
      <c r="D8" s="18"/>
      <c r="E8" s="18"/>
      <c r="F8" s="19"/>
      <c r="G8" s="19"/>
      <c r="H8" s="19"/>
      <c r="I8" s="19"/>
      <c r="J8" s="20"/>
      <c r="K8" s="20"/>
      <c r="L8" s="23" t="s">
        <v>25</v>
      </c>
      <c r="M8" s="23"/>
    </row>
    <row r="9" customFormat="false" ht="15.75" hidden="false" customHeight="false" outlineLevel="0" collapsed="false">
      <c r="A9" s="5"/>
      <c r="B9" s="18"/>
      <c r="C9" s="18"/>
      <c r="D9" s="18"/>
      <c r="E9" s="18"/>
      <c r="F9" s="19"/>
      <c r="G9" s="19"/>
      <c r="H9" s="19"/>
      <c r="I9" s="19"/>
      <c r="J9" s="20"/>
      <c r="K9" s="20"/>
      <c r="L9" s="13" t="s">
        <v>23</v>
      </c>
      <c r="M9" s="24"/>
    </row>
    <row r="10" customFormat="false" ht="18.55" hidden="false" customHeight="false" outlineLevel="0" collapsed="false">
      <c r="A10" s="5"/>
      <c r="B10" s="25" t="s">
        <v>1557</v>
      </c>
      <c r="C10" s="25"/>
      <c r="D10" s="25"/>
      <c r="E10" s="25"/>
      <c r="F10" s="25"/>
      <c r="G10" s="26" t="s">
        <v>15</v>
      </c>
      <c r="H10" s="26"/>
      <c r="I10" s="26"/>
      <c r="J10" s="27" t="s">
        <v>1558</v>
      </c>
      <c r="K10" s="27"/>
      <c r="L10" s="13" t="s">
        <v>24</v>
      </c>
      <c r="M10" s="24"/>
    </row>
    <row r="11" customFormat="false" ht="15.75" hidden="false" customHeight="false" outlineLevel="0" collapsed="false">
      <c r="A11" s="28"/>
      <c r="B11" s="29" t="s">
        <v>1559</v>
      </c>
      <c r="C11" s="30" t="s">
        <v>1560</v>
      </c>
      <c r="D11" s="30" t="s">
        <v>1561</v>
      </c>
      <c r="E11" s="30" t="s">
        <v>1562</v>
      </c>
      <c r="F11" s="31" t="s">
        <v>1563</v>
      </c>
      <c r="G11" s="32"/>
      <c r="H11" s="32"/>
      <c r="I11" s="32"/>
      <c r="J11" s="33" t="n">
        <f aca="false">M2+M3+M4+M5+M6+M13+M14+M15+M16+M17+M9+M10+M11-I2</f>
        <v>1000</v>
      </c>
      <c r="K11" s="33"/>
      <c r="L11" s="34" t="s">
        <v>25</v>
      </c>
      <c r="M11" s="24"/>
    </row>
    <row r="12" customFormat="false" ht="17.35" hidden="false" customHeight="false" outlineLevel="0" collapsed="false">
      <c r="A12" s="35" t="n">
        <f aca="false" t="array" ref="A12:A12">IF(ISBLANK(B12), 0, IF(ISNUMBER(MATCH(B12, HR!A:A, 0)), 0, IF(ISNUMBER(MATCH(B12, HR!B:B, 0)), INDEX(HR!V:V, MATCH(B12, HR!B:B, 0)) * (F12 * 24), 0)))</f>
        <v>0</v>
      </c>
      <c r="B12" s="36" t="s">
        <v>1564</v>
      </c>
      <c r="C12" s="37" t="s">
        <v>41</v>
      </c>
      <c r="D12" s="37" t="s">
        <v>45</v>
      </c>
      <c r="E12" s="38"/>
      <c r="F12" s="39" t="str">
        <f aca="false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</f>
        <v>07:00</v>
      </c>
      <c r="G12" s="32"/>
      <c r="H12" s="32"/>
      <c r="I12" s="32"/>
      <c r="J12" s="33"/>
      <c r="K12" s="33"/>
      <c r="L12" s="26" t="s">
        <v>1565</v>
      </c>
      <c r="M12" s="26"/>
    </row>
    <row r="13" customFormat="false" ht="15.75" hidden="false" customHeight="false" outlineLevel="0" collapsed="false">
      <c r="A13" s="35" t="n">
        <f aca="false" t="array" ref="A13:A13">IF(ISBLANK(B13), 0, IF(ISNUMBER(MATCH(B13, HR!A:A, 0)), 0, IF(ISNUMBER(MATCH(B13, HR!B:B, 0)), INDEX(HR!V:V, MATCH(B13, HR!B:B, 0)) * (F13 * 24), 0)))</f>
        <v>0</v>
      </c>
      <c r="B13" s="36"/>
      <c r="C13" s="37"/>
      <c r="D13" s="37"/>
      <c r="E13" s="38"/>
      <c r="F13" s="39" t="str">
        <f aca="false">IF(OR(ISBLANK(B13), ISBLANK(D13), D13=0), "0:00", TEXT((IF(AND(TIMEVALUE(IF(ISBLANK(D13), "00:00", D13))&gt;=TIMEVALUE("00:00"), TIMEVALUE(IF(ISBLANK(D13), "00:00", D13))&lt;=TIMEVALUE("06:00")), TIMEVALUE(IF(ISBLANK(D13), "00:00", D13))+1, TIMEVALUE(IF(ISBLANK(D13), "00:00", D13))) - TIMEVALUE(IF(ISBLANK(C13), "00:00", C13)) - TIMEVALUE(IF(ISBLANK(E13), "00:00", E13))), "hh:mm"))</f>
        <v>0:00</v>
      </c>
      <c r="G13" s="32"/>
      <c r="H13" s="32"/>
      <c r="I13" s="32"/>
      <c r="J13" s="33"/>
      <c r="K13" s="33"/>
      <c r="L13" s="13" t="s">
        <v>29</v>
      </c>
      <c r="M13" s="24" t="n">
        <v>1000</v>
      </c>
    </row>
    <row r="14" customFormat="false" ht="15.75" hidden="false" customHeight="false" outlineLevel="0" collapsed="false">
      <c r="A14" s="35" t="n">
        <f aca="false" t="array" ref="A14:A14">IF(ISBLANK(B14), 0, IF(ISNUMBER(MATCH(B14, HR!A:A, 0)), 0, IF(ISNUMBER(MATCH(B14, HR!B:B, 0)), INDEX(HR!V:V, MATCH(B14, HR!B:B, 0)) * (F14 * 24), 0)))</f>
        <v>0</v>
      </c>
      <c r="B14" s="36"/>
      <c r="C14" s="37"/>
      <c r="D14" s="37"/>
      <c r="E14" s="38"/>
      <c r="F14" s="39" t="str">
        <f aca="false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</f>
        <v>0:00</v>
      </c>
      <c r="G14" s="40"/>
      <c r="H14" s="40"/>
      <c r="I14" s="40"/>
      <c r="J14" s="33"/>
      <c r="K14" s="33"/>
      <c r="L14" s="41" t="s">
        <v>30</v>
      </c>
      <c r="M14" s="24"/>
    </row>
    <row r="15" customFormat="false" ht="15.75" hidden="false" customHeight="false" outlineLevel="0" collapsed="false">
      <c r="A15" s="35" t="n">
        <f aca="false" t="array" ref="A15:A15">IF(ISBLANK(B15), 0, IF(ISNUMBER(MATCH(B15, HR!A:A, 0)), 0, IF(ISNUMBER(MATCH(B15, HR!B:B, 0)), INDEX(HR!V:V, MATCH(B15, HR!B:B, 0)) * (F15 * 24), 0)))</f>
        <v>0</v>
      </c>
      <c r="B15" s="36"/>
      <c r="C15" s="37"/>
      <c r="D15" s="37"/>
      <c r="E15" s="42"/>
      <c r="F15" s="39" t="str">
        <f aca="false"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TIMEVALUE(IF(ISBLANK(C15), "00:00", C15)) - TIMEVALUE(IF(ISBLANK(E15), "00:00", E15))), "hh:mm"))</f>
        <v>0:00</v>
      </c>
      <c r="G15" s="40"/>
      <c r="H15" s="40"/>
      <c r="I15" s="40"/>
      <c r="J15" s="33"/>
      <c r="K15" s="33"/>
      <c r="L15" s="41" t="s">
        <v>31</v>
      </c>
      <c r="M15" s="24"/>
    </row>
    <row r="16" customFormat="false" ht="15.75" hidden="false" customHeight="false" outlineLevel="0" collapsed="false">
      <c r="A16" s="35" t="n">
        <f aca="false" t="array" ref="A16:A16">IF(ISBLANK(B16), 0, IF(ISNUMBER(MATCH(B16, HR!A:A, 0)), 0, IF(ISNUMBER(MATCH(B16, HR!B:B, 0)), INDEX(HR!V:V, MATCH(B16, HR!B:B, 0)) * (F16 * 24), 0)))</f>
        <v>0</v>
      </c>
      <c r="B16" s="43"/>
      <c r="C16" s="44"/>
      <c r="D16" s="44"/>
      <c r="E16" s="42"/>
      <c r="F16" s="39" t="str">
        <f aca="false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</f>
        <v>0:00</v>
      </c>
      <c r="G16" s="40"/>
      <c r="H16" s="40"/>
      <c r="I16" s="40"/>
      <c r="J16" s="33"/>
      <c r="K16" s="33"/>
      <c r="L16" s="41" t="s">
        <v>32</v>
      </c>
      <c r="M16" s="24"/>
    </row>
    <row r="17" customFormat="false" ht="15.75" hidden="false" customHeight="false" outlineLevel="0" collapsed="false">
      <c r="A17" s="35" t="n">
        <f aca="false" t="array" ref="A17:A17">IF(ISBLANK(B17), 0, IF(ISNUMBER(MATCH(B17, HR!A:A, 0)), 0, IF(ISNUMBER(MATCH(B17, HR!B:B, 0)), INDEX(HR!V:V, MATCH(B17, HR!B:B, 0)) * (F17 * 24), 0)))</f>
        <v>0</v>
      </c>
      <c r="B17" s="43"/>
      <c r="C17" s="44"/>
      <c r="D17" s="44"/>
      <c r="E17" s="38"/>
      <c r="F17" s="39" t="str">
        <f aca="false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</f>
        <v>0:00</v>
      </c>
      <c r="G17" s="40"/>
      <c r="H17" s="40"/>
      <c r="I17" s="40"/>
      <c r="J17" s="33"/>
      <c r="K17" s="33"/>
      <c r="L17" s="45" t="s">
        <v>33</v>
      </c>
      <c r="M17" s="46" t="n">
        <f aca="false">SUM(I25:I31)</f>
        <v>0</v>
      </c>
    </row>
    <row r="18" customFormat="false" ht="21.75" hidden="false" customHeight="true" outlineLevel="0" collapsed="false">
      <c r="A18" s="35" t="n">
        <f aca="false" t="array" ref="A18:A18">IF(ISBLANK(B18), 0, IF(ISNUMBER(MATCH(B18, HR!A:A, 0)), 0, IF(ISNUMBER(MATCH(B18, HR!B:B, 0)), INDEX(HR!V:V, MATCH(B18, HR!B:B, 0)) * (F18 * 24), 0)))</f>
        <v>0</v>
      </c>
      <c r="B18" s="43"/>
      <c r="C18" s="44"/>
      <c r="D18" s="44"/>
      <c r="E18" s="42"/>
      <c r="F18" s="39" t="str">
        <f aca="false">IF(OR(ISBLANK(B18), ISBLANK(D18), D18=0), "0:00", TEXT((IF(AND(TIMEVALUE(IF(ISBLANK(D18), "00:00", D18))&gt;=TIMEVALUE("00:00"), TIMEVALUE(IF(ISBLANK(D18), "00:00", D18))&lt;=TIMEVALUE("06:00")), TIMEVALUE(IF(ISBLANK(D18), "00:00", D18))+1, TIMEVALUE(IF(ISBLANK(D18), "00:00", D18))) - TIMEVALUE(IF(ISBLANK(C18), "00:00", C18)) - TIMEVALUE(IF(ISBLANK(E18), "00:00", E18))), "hh:mm"))</f>
        <v>0:00</v>
      </c>
      <c r="G18" s="26" t="s">
        <v>16</v>
      </c>
      <c r="H18" s="26"/>
      <c r="I18" s="26"/>
      <c r="J18" s="47"/>
      <c r="K18" s="47"/>
      <c r="L18" s="47"/>
      <c r="M18" s="47"/>
    </row>
    <row r="19" customFormat="false" ht="15.75" hidden="false" customHeight="false" outlineLevel="0" collapsed="false">
      <c r="A19" s="35" t="n">
        <f aca="false" t="array" ref="A19:A19">IF(ISBLANK(B19), 0, IF(ISNUMBER(MATCH(B19, HR!A:A, 0)), 0, IF(ISNUMBER(MATCH(B19, HR!B:B, 0)), INDEX(HR!V:V, MATCH(B19, HR!B:B, 0)) * (F19 * 24), 0)))</f>
        <v>0</v>
      </c>
      <c r="B19" s="43"/>
      <c r="C19" s="44"/>
      <c r="D19" s="44"/>
      <c r="E19" s="42"/>
      <c r="F19" s="39" t="str">
        <f aca="false">IF(OR(ISBLANK(B19), ISBLANK(D19), D19=0), "0:00", TEXT((IF(AND(TIMEVALUE(IF(ISBLANK(D19), "00:00", D19))&gt;=TIMEVALUE("00:00"), TIMEVALUE(IF(ISBLANK(D19), "00:00", D19))&lt;=TIMEVALUE("06:00")), TIMEVALUE(IF(ISBLANK(D19), "00:00", D19))+1, TIMEVALUE(IF(ISBLANK(D19), "00:00", D19))) - TIMEVALUE(IF(ISBLANK(C19), "00:00", C19)) - TIMEVALUE(IF(ISBLANK(E19), "00:00", E19))), "hh:mm"))</f>
        <v>0:00</v>
      </c>
      <c r="G19" s="32"/>
      <c r="H19" s="32"/>
      <c r="I19" s="32"/>
      <c r="J19" s="47"/>
      <c r="K19" s="47"/>
      <c r="L19" s="47"/>
      <c r="M19" s="47"/>
    </row>
    <row r="20" customFormat="false" ht="15.75" hidden="false" customHeight="false" outlineLevel="0" collapsed="false">
      <c r="A20" s="35" t="n">
        <f aca="false" t="array" ref="A20:A20">IF(ISBLANK(B20), 0, IF(ISNUMBER(MATCH(B20, HR!A:A, 0)), 0, IF(ISNUMBER(MATCH(B20, HR!B:B, 0)), INDEX(HR!V:V, MATCH(B20, HR!B:B, 0)) * (F20 * 24), 0)))</f>
        <v>0</v>
      </c>
      <c r="B20" s="43"/>
      <c r="C20" s="48"/>
      <c r="D20" s="48"/>
      <c r="E20" s="42"/>
      <c r="F20" s="39" t="str">
        <f aca="false">IF(OR(ISBLANK(B20), ISBLANK(D20), D20=0), "0:00", TEXT((IF(AND(TIMEVALUE(IF(ISBLANK(D20), "00:00", D20))&gt;=TIMEVALUE("00:00"), TIMEVALUE(IF(ISBLANK(D20), "00:00", D20))&lt;=TIMEVALUE("06:00")), TIMEVALUE(IF(ISBLANK(D20), "00:00", D20))+1, TIMEVALUE(IF(ISBLANK(D20), "00:00", D20))) - TIMEVALUE(IF(ISBLANK(C20), "00:00", C20)) - TIMEVALUE(IF(ISBLANK(E20), "00:00", E20))), "hh:mm"))</f>
        <v>0:00</v>
      </c>
      <c r="G20" s="32"/>
      <c r="H20" s="32"/>
      <c r="I20" s="32"/>
      <c r="J20" s="47"/>
      <c r="K20" s="47"/>
      <c r="L20" s="47"/>
      <c r="M20" s="47"/>
    </row>
    <row r="21" customFormat="false" ht="23.25" hidden="false" customHeight="true" outlineLevel="0" collapsed="false">
      <c r="A21" s="35" t="n">
        <f aca="false" t="array" ref="A21:A21">IF(ISBLANK(B21), 0, IF(ISNUMBER(MATCH(B21, HR!A:A, 0)), 0, IF(ISNUMBER(MATCH(B21, HR!B:B, 0)), INDEX(HR!V:V, MATCH(B21, HR!B:B, 0)) * (F21 * 24), 0)))</f>
        <v>0</v>
      </c>
      <c r="B21" s="49"/>
      <c r="C21" s="50"/>
      <c r="D21" s="50"/>
      <c r="E21" s="51"/>
      <c r="F21" s="52" t="str">
        <f aca="false">IF(OR(ISBLANK(B21), ISBLANK(D21), D21=0), "0:00", TEXT((IF(AND(TIMEVALUE(IF(ISBLANK(D21), "00:00", D21))&gt;=TIMEVALUE("00:00"), TIMEVALUE(IF(ISBLANK(D21), "00:00", D21))&lt;=TIMEVALUE("06:00")), TIMEVALUE(IF(ISBLANK(D21), "00:00", D21))+1, TIMEVALUE(IF(ISBLANK(D21), "00:00", D21))) - TIMEVALUE(IF(ISBLANK(C21), "00:00", C21)) - TIMEVALUE(IF(ISBLANK(E21), "00:00", E21))), "hh:mm"))</f>
        <v>0:00</v>
      </c>
      <c r="G21" s="32"/>
      <c r="H21" s="32"/>
      <c r="I21" s="32"/>
      <c r="J21" s="47"/>
      <c r="K21" s="47"/>
      <c r="L21" s="47"/>
      <c r="M21" s="47"/>
    </row>
    <row r="22" customFormat="false" ht="52.2" hidden="false" customHeight="false" outlineLevel="0" collapsed="false">
      <c r="A22" s="53"/>
      <c r="B22" s="54"/>
      <c r="C22" s="54"/>
      <c r="D22" s="54"/>
      <c r="E22" s="54"/>
      <c r="F22" s="54"/>
      <c r="G22" s="54"/>
      <c r="H22" s="54"/>
      <c r="I22" s="54"/>
      <c r="J22" s="55" t="s">
        <v>34</v>
      </c>
      <c r="K22" s="55" t="s">
        <v>35</v>
      </c>
      <c r="L22" s="56" t="s">
        <v>1566</v>
      </c>
      <c r="M22" s="56" t="s">
        <v>37</v>
      </c>
    </row>
    <row r="23" customFormat="false" ht="18.55" hidden="false" customHeight="false" outlineLevel="0" collapsed="false">
      <c r="A23" s="53"/>
      <c r="B23" s="25" t="s">
        <v>78</v>
      </c>
      <c r="C23" s="25"/>
      <c r="D23" s="25"/>
      <c r="E23" s="25"/>
      <c r="F23" s="25"/>
      <c r="G23" s="25"/>
      <c r="H23" s="25"/>
      <c r="I23" s="25"/>
      <c r="J23" s="57" t="n">
        <f aca="false">COUNTIF(RestiaCSV!B:B, "canceled")</f>
        <v>0</v>
      </c>
      <c r="K23" s="58" t="n">
        <f aca="false">SUMIF(RestiaCSV!B:B, "canceled", RestiaCSV!C:C)</f>
        <v>0</v>
      </c>
      <c r="L23" s="59" t="n">
        <f aca="false">COUNTIFS(RestiaCSV!L:L, "&gt;5", RestiaCSV!F:F, "delivery")</f>
        <v>0</v>
      </c>
      <c r="M23" s="57" t="e">
        <f aca="false"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customFormat="false" ht="21.75" hidden="false" customHeight="true" outlineLevel="0" collapsed="false">
      <c r="A24" s="53"/>
      <c r="B24" s="29" t="s">
        <v>1559</v>
      </c>
      <c r="C24" s="30" t="s">
        <v>1560</v>
      </c>
      <c r="D24" s="30" t="s">
        <v>1561</v>
      </c>
      <c r="E24" s="30" t="s">
        <v>1562</v>
      </c>
      <c r="F24" s="60" t="s">
        <v>1563</v>
      </c>
      <c r="G24" s="60" t="s">
        <v>1567</v>
      </c>
      <c r="H24" s="60" t="s">
        <v>1568</v>
      </c>
      <c r="I24" s="61" t="s">
        <v>13</v>
      </c>
      <c r="J24" s="56" t="s">
        <v>1569</v>
      </c>
      <c r="K24" s="55" t="s">
        <v>1470</v>
      </c>
      <c r="L24" s="56" t="s">
        <v>1471</v>
      </c>
      <c r="M24" s="55" t="s">
        <v>1472</v>
      </c>
    </row>
    <row r="25" customFormat="false" ht="15.75" hidden="false" customHeight="false" outlineLevel="0" collapsed="false">
      <c r="A25" s="35" t="n">
        <f aca="false" t="array" ref="A25:A25">IF(ISBLANK(B25), 0, IF(ISNUMBER(MATCH(B25, HR!A:A, 0)), 0, IF(ISNUMBER(MATCH(B25, HR!B:B, 0)), INDEX(HR!V:V, MATCH(B25, HR!B:B, 0)) * (F25 * 24), 0)))</f>
        <v>1873.2</v>
      </c>
      <c r="B25" s="62" t="s">
        <v>1570</v>
      </c>
      <c r="C25" s="63" t="s">
        <v>41</v>
      </c>
      <c r="D25" s="37" t="s">
        <v>45</v>
      </c>
      <c r="E25" s="63"/>
      <c r="F25" s="64" t="str">
        <f aca="false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</f>
        <v>07:00</v>
      </c>
      <c r="G25" s="65" t="n">
        <f aca="false">COUNTIF(RestiaCSV!E:E, B25)</f>
        <v>0</v>
      </c>
      <c r="H25" s="66" t="b">
        <f aca="false">FALSE()</f>
        <v>0</v>
      </c>
      <c r="I25" s="67" t="n">
        <f aca="false">IF(H25,G25*45, 0)</f>
        <v>0</v>
      </c>
      <c r="J25" s="56"/>
      <c r="K25" s="56"/>
      <c r="L25" s="56"/>
      <c r="M25" s="56"/>
    </row>
    <row r="26" customFormat="false" ht="15.75" hidden="false" customHeight="false" outlineLevel="0" collapsed="false">
      <c r="A26" s="35" t="n">
        <f aca="false" t="array" ref="A26:A26">IF(ISBLANK(B26), 0, IF(ISNUMBER(MATCH(B26, HR!A:A, 0)), 0, IF(ISNUMBER(MATCH(B26, HR!B:B, 0)), INDEX(HR!V:V, MATCH(B26, HR!B:B, 0)) * (F26 * 24), 0)))</f>
        <v>0</v>
      </c>
      <c r="B26" s="68"/>
      <c r="C26" s="37"/>
      <c r="D26" s="37"/>
      <c r="E26" s="63"/>
      <c r="F26" s="64" t="str">
        <f aca="false">IF(OR(ISBLANK(B26), ISBLANK(D26), D26=0), "0:00", TEXT((IF(AND(TIMEVALUE(IF(ISBLANK(D26), "00:00", D26))&gt;=TIMEVALUE("00:00"), TIMEVALUE(IF(ISBLANK(D26), "00:00", D26))&lt;=TIMEVALUE("06:00")), TIMEVALUE(IF(ISBLANK(D26), "00:00", D26))+1, TIMEVALUE(IF(ISBLANK(D26), "00:00", D26))) - TIMEVALUE(IF(ISBLANK(C26), "00:00", C26)) - TIMEVALUE(IF(ISBLANK(E26), "00:00", E26))), "hh:mm"))</f>
        <v>0:00</v>
      </c>
      <c r="G26" s="65" t="n">
        <f aca="false">COUNTIF(RestiaCSV!E:E, B26)</f>
        <v>0</v>
      </c>
      <c r="H26" s="66" t="b">
        <f aca="false">TRUE()</f>
        <v>1</v>
      </c>
      <c r="I26" s="67" t="n">
        <f aca="false">IF(H26,G26*45, 0)</f>
        <v>0</v>
      </c>
      <c r="J26" s="69" t="n">
        <f aca="false">COUNTIF(I25:I31, "&gt;0")</f>
        <v>0</v>
      </c>
      <c r="K26" s="59" t="n">
        <f aca="false">IFERROR(__xludf.dummyfunction("COUNTA(FILTER(RestiaCSV!B2:B32, RestiaCSV!B2:B32 &lt;&gt; ""canceled""))"),0)</f>
        <v>0</v>
      </c>
      <c r="L26" s="59" t="n">
        <f aca="false">COUNTIF(RestiaCSV!F1:F32, "delivery")</f>
        <v>0</v>
      </c>
      <c r="M26" s="70" t="n">
        <f aca="false">COUNTIFS(RestiaCSV!M:M, "&gt;5",RestiaCSV!A:A, "&lt;&gt;wolt")</f>
        <v>0</v>
      </c>
    </row>
    <row r="27" customFormat="false" ht="15.75" hidden="false" customHeight="true" outlineLevel="0" collapsed="false">
      <c r="A27" s="35" t="n">
        <f aca="false" t="array" ref="A27:A27">IF(ISBLANK(B27), 0, IF(ISNUMBER(MATCH(B27, HR!A:A, 0)), 0, IF(ISNUMBER(MATCH(B27, HR!B:B, 0)), INDEX(HR!V:V, MATCH(B27, HR!B:B, 0)) * (F27 * 24), 0)))</f>
        <v>0</v>
      </c>
      <c r="B27" s="36"/>
      <c r="C27" s="37"/>
      <c r="D27" s="37"/>
      <c r="E27" s="63"/>
      <c r="F27" s="64" t="str">
        <f aca="false"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TIMEVALUE(IF(ISBLANK(#REF!), "00:00", #REF!)) - TIMEVALUE(IF(ISBLANK(E27), "00:00", E27))), "hh:mm"))</f>
        <v>0:00</v>
      </c>
      <c r="G27" s="65" t="n">
        <f aca="false">COUNTIF(RestiaCSV!E:E, B27)</f>
        <v>0</v>
      </c>
      <c r="H27" s="66" t="b">
        <f aca="false">TRUE()</f>
        <v>1</v>
      </c>
      <c r="I27" s="67" t="n">
        <f aca="false">IF(H27,G27*45, 0)</f>
        <v>0</v>
      </c>
      <c r="J27" s="56" t="s">
        <v>1571</v>
      </c>
      <c r="K27" s="56"/>
      <c r="L27" s="56" t="s">
        <v>1474</v>
      </c>
      <c r="M27" s="55" t="s">
        <v>1475</v>
      </c>
    </row>
    <row r="28" customFormat="false" ht="15.75" hidden="false" customHeight="false" outlineLevel="0" collapsed="false">
      <c r="A28" s="35" t="n">
        <f aca="false" t="array" ref="A28:A28">IF(ISBLANK(B28), 0, IF(ISNUMBER(MATCH(B28, HR!A:A, 0)), 0, IF(ISNUMBER(MATCH(B28, HR!B:B, 0)), INDEX(HR!V:V, MATCH(B28, HR!B:B, 0)) * (F28 * 24), 0)))</f>
        <v>0</v>
      </c>
      <c r="B28" s="43"/>
      <c r="C28" s="71"/>
      <c r="D28" s="37"/>
      <c r="E28" s="72"/>
      <c r="F28" s="64" t="str">
        <f aca="false"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TIMEVALUE(IF(ISBLANK(C27), "00:00", C27)) - TIMEVALUE(IF(ISBLANK(E28), "00:00", E28))), "hh:mm"))</f>
        <v>0:00</v>
      </c>
      <c r="G28" s="65" t="n">
        <f aca="false">COUNTIF(RestiaCSV!E:E, B28)</f>
        <v>0</v>
      </c>
      <c r="H28" s="66" t="b">
        <f aca="false">TRUE()</f>
        <v>1</v>
      </c>
      <c r="I28" s="67" t="n">
        <f aca="false">IF(H28,G28*45, 0)</f>
        <v>0</v>
      </c>
      <c r="J28" s="56"/>
      <c r="K28" s="56"/>
      <c r="L28" s="56"/>
      <c r="M28" s="56"/>
    </row>
    <row r="29" customFormat="false" ht="15.75" hidden="false" customHeight="false" outlineLevel="0" collapsed="false">
      <c r="A29" s="35" t="n">
        <f aca="false" t="array" ref="A29:A29">IF(ISBLANK(B29), 0, IF(ISNUMBER(MATCH(B29, HR!A:A, 0)), 0, IF(ISNUMBER(MATCH(B29, HR!B:B, 0)), INDEX(HR!V:V, MATCH(B29, HR!B:B, 0)) * (F29 * 24), 0)))</f>
        <v>0</v>
      </c>
      <c r="B29" s="43"/>
      <c r="C29" s="37"/>
      <c r="D29" s="37"/>
      <c r="E29" s="72"/>
      <c r="F29" s="64" t="str">
        <f aca="false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</f>
        <v>0:00</v>
      </c>
      <c r="G29" s="65" t="n">
        <f aca="false">COUNTIF(RestiaCSV!E:E, B29)</f>
        <v>0</v>
      </c>
      <c r="H29" s="66" t="b">
        <f aca="false">FALSE()</f>
        <v>0</v>
      </c>
      <c r="I29" s="67" t="n">
        <f aca="false">IF(H29,G29*45, 0)</f>
        <v>0</v>
      </c>
      <c r="J29" s="73" t="n">
        <f aca="false">COUNTIFS(RestiaCSV!M:M, "&gt;5", RestiaCSV!L:L, "&gt;5")</f>
        <v>0</v>
      </c>
      <c r="K29" s="73"/>
      <c r="L29" s="74" t="e">
        <f aca="false">L23/L26</f>
        <v>#DIV/0!</v>
      </c>
      <c r="M29" s="59" t="n">
        <f aca="false">COUNTIFS(RestiaCSV!L:L, "&gt;5", RestiaCSV!F:F, "delivery", RestiaCSV!E:E, "Wolt Kurýr")</f>
        <v>0</v>
      </c>
    </row>
    <row r="30" customFormat="false" ht="15.75" hidden="false" customHeight="true" outlineLevel="0" collapsed="false">
      <c r="A30" s="35" t="n">
        <f aca="false" t="array" ref="A30:A30">IF(ISBLANK(B30), 0, IF(ISNUMBER(MATCH(B30, HR!A:A, 0)), 0, IF(ISNUMBER(MATCH(B30, HR!B:B, 0)), INDEX(HR!V:V, MATCH(B30, HR!B:B, 0)) * (F30 * 24), 0)))</f>
        <v>0</v>
      </c>
      <c r="B30" s="43"/>
      <c r="C30" s="37"/>
      <c r="D30" s="37"/>
      <c r="E30" s="72"/>
      <c r="F30" s="64" t="str">
        <f aca="false">IF(OR(ISBLANK(B30), ISBLANK(D30), D30=0), "0:00", TEXT((IF(AND(TIMEVALUE(IF(ISBLANK(D30), "00:00", D30))&gt;=TIMEVALUE("00:00"), TIMEVALUE(IF(ISBLANK(D30), "00:00", D30))&lt;=TIMEVALUE("06:00")), TIMEVALUE(IF(ISBLANK(D30), "00:00", D30))+1, TIMEVALUE(IF(ISBLANK(D30), "00:00", D30))) - TIMEVALUE(IF(ISBLANK(C30), "00:00", C30)) - TIMEVALUE(IF(ISBLANK(E30), "00:00", E30))), "hh:mm"))</f>
        <v>0:00</v>
      </c>
      <c r="G30" s="65" t="n">
        <f aca="false">COUNTIF(RestiaCSV!E:E, B30)</f>
        <v>0</v>
      </c>
      <c r="H30" s="66" t="b">
        <f aca="false">FALSE()</f>
        <v>0</v>
      </c>
      <c r="I30" s="67" t="n">
        <f aca="false">IF(H30,G30*45, 0)</f>
        <v>0</v>
      </c>
      <c r="J30" s="75"/>
      <c r="K30" s="75"/>
      <c r="L30" s="55" t="s">
        <v>1476</v>
      </c>
      <c r="M30" s="55" t="s">
        <v>1477</v>
      </c>
    </row>
    <row r="31" customFormat="false" ht="15.75" hidden="false" customHeight="false" outlineLevel="0" collapsed="false">
      <c r="A31" s="35" t="n">
        <f aca="false" t="array" ref="A31:A31">IF(ISBLANK(B31), 0, IF(ISNUMBER(MATCH(B31, HR!A:A, 0)), 0, IF(ISNUMBER(MATCH(B31, HR!B:B, 0)), INDEX(HR!V:V, MATCH(B31, HR!B:B, 0)) * (F31 * 24), 0)))</f>
        <v>0</v>
      </c>
      <c r="B31" s="76"/>
      <c r="C31" s="37"/>
      <c r="D31" s="37"/>
      <c r="E31" s="77"/>
      <c r="F31" s="78" t="str">
        <f aca="false">IF(OR(ISBLANK(B31), ISBLANK(D31), D31=0), "0:00", TEXT((IF(AND(TIMEVALUE(IF(ISBLANK(D31), "00:00", D31))&gt;=TIMEVALUE("00:00"), TIMEVALUE(IF(ISBLANK(D31), "00:00", D31))&lt;=TIMEVALUE("06:00")), TIMEVALUE(IF(ISBLANK(D31), "00:00", D31))+1, TIMEVALUE(IF(ISBLANK(D31), "00:00", D31))) - TIMEVALUE(IF(ISBLANK(C31), "00:00", C31)) - TIMEVALUE(IF(ISBLANK(E31), "00:00", E31))), "hh:mm"))</f>
        <v>0:00</v>
      </c>
      <c r="G31" s="65" t="n">
        <f aca="false">COUNTIF(RestiaCSV!E:E, B31)</f>
        <v>0</v>
      </c>
      <c r="H31" s="66" t="b">
        <f aca="false">TRUE()</f>
        <v>1</v>
      </c>
      <c r="I31" s="67" t="n">
        <f aca="false">IF(H31,G31*45, 0)</f>
        <v>0</v>
      </c>
      <c r="J31" s="75"/>
      <c r="K31" s="75"/>
      <c r="L31" s="55"/>
      <c r="M31" s="55"/>
    </row>
    <row r="32" customFormat="false" ht="15.75" hidden="false" customHeight="false" outlineLevel="0" collapsed="false">
      <c r="A32" s="79"/>
      <c r="B32" s="80" t="s">
        <v>90</v>
      </c>
      <c r="C32" s="81" t="s">
        <v>14</v>
      </c>
      <c r="D32" s="81"/>
      <c r="E32" s="81"/>
      <c r="F32" s="81"/>
      <c r="G32" s="82" t="n">
        <f aca="false">COUNTIFS(RestiaCSV!E:E, "wolt kurýr", RestiaCSV!A:A, "&lt;&gt;wolt")</f>
        <v>0</v>
      </c>
      <c r="H32" s="83" t="b">
        <f aca="false">TRUE()</f>
        <v>1</v>
      </c>
      <c r="I32" s="84" t="n">
        <f aca="false">G32*127</f>
        <v>0</v>
      </c>
      <c r="J32" s="85"/>
      <c r="K32" s="85"/>
      <c r="L32" s="74" t="e">
        <f aca="false">100%-L29</f>
        <v>#DIV/0!</v>
      </c>
      <c r="M32" s="74" t="e">
        <f aca="false"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F2:H4"/>
    <mergeCell ref="I2:K4"/>
    <mergeCell ref="B3:E4"/>
    <mergeCell ref="B5:K6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G18:I18"/>
    <mergeCell ref="J18:M21"/>
    <mergeCell ref="G19:I21"/>
    <mergeCell ref="B22:I22"/>
    <mergeCell ref="B23:I23"/>
    <mergeCell ref="J24:J25"/>
    <mergeCell ref="K24:K25"/>
    <mergeCell ref="L24:L25"/>
    <mergeCell ref="M24:M25"/>
    <mergeCell ref="J27:K28"/>
    <mergeCell ref="L27:L28"/>
    <mergeCell ref="M27:M28"/>
    <mergeCell ref="J29:K29"/>
    <mergeCell ref="L30:L31"/>
    <mergeCell ref="M30:M31"/>
    <mergeCell ref="C32:F32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1">
      <formula>NOT(ISERROR(SEARCH("Zadej",F2)))</formula>
    </cfRule>
  </conditionalFormatting>
  <conditionalFormatting sqref="J10:K17">
    <cfRule type="cellIs" priority="4" operator="lessThan" aboveAverage="0" equalAverage="0" bottom="0" percent="0" rank="0" text="" dxfId="0">
      <formula>0</formula>
    </cfRule>
  </conditionalFormatting>
  <conditionalFormatting sqref="M9:M11">
    <cfRule type="expression" priority="5" aboveAverage="0" equalAverage="0" bottom="0" percent="0" rank="0" text="" dxfId="2">
      <formula>ISNUMBER(A1)</formula>
    </cfRule>
  </conditionalFormatting>
  <dataValidations count="3">
    <dataValidation allowBlank="true" errorStyle="stop" operator="between" showDropDown="false" showErrorMessage="false" showInputMessage="false" sqref="B12:B21" type="list">
      <formula1>"Sova Martin,Pešová Hana,Šebesta Tomáš,Hegedüs Erik,Yarushynskyi Vladyslav,Židek Petr,Kursheva Diana,Chlubnová Adéla"</formula1>
      <formula2>0</formula2>
    </dataValidation>
    <dataValidation allowBlank="true" errorStyle="stop" operator="between" showDropDown="false" showErrorMessage="false" showInputMessage="false" sqref="G11 G19" type="list">
      <formula1>"Sova Martin"</formula1>
      <formula2>0</formula2>
    </dataValidation>
    <dataValidation allowBlank="true" errorStyle="stop" operator="between" showDropDown="false" showErrorMessage="false" showInputMessage="false" sqref="B25:B31" type="list">
      <formula1>"Jurkovič Martin,Navrátil Ondřej,Nekolný Vladimír,Lanský Zoltan,Hyský Aleš,Šmídová Sabina,Lažek Jaroslav,Chlubna Tomáš,Hřebík Martin,Reischl Jan,Pražák Aleš,Chyský David,Fabera Tomáš,Fux Vojtěch"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true" outlineLevel="0" max="1" min="1" style="0" width="15.51"/>
    <col collapsed="false" customWidth="true" hidden="false" outlineLevel="0" max="2" min="2" style="0" width="15.51"/>
    <col collapsed="false" customWidth="true" hidden="false" outlineLevel="0" max="3" min="3" style="0" width="13.88"/>
    <col collapsed="false" customWidth="true" hidden="false" outlineLevel="0" max="5" min="5" style="0" width="14.25"/>
    <col collapsed="false" customWidth="true" hidden="false" outlineLevel="0" max="6" min="6" style="0" width="15.88"/>
    <col collapsed="false" customWidth="true" hidden="false" outlineLevel="0" max="9" min="9" style="0" width="13.25"/>
    <col collapsed="false" customWidth="true" hidden="false" outlineLevel="0" max="11" min="11" style="0" width="11.63"/>
    <col collapsed="false" customWidth="true" hidden="false" outlineLevel="0" max="12" min="12" style="0" width="24.25"/>
    <col collapsed="false" customWidth="false" hidden="true" outlineLevel="0" max="14" min="14" style="0" width="12.63"/>
  </cols>
  <sheetData>
    <row r="1" customFormat="false" ht="31.5" hidden="false" customHeight="true" outlineLevel="0" collapsed="false">
      <c r="A1" s="86"/>
      <c r="B1" s="87" t="str">
        <f aca="false">Report!B1</f>
        <v>Chodov</v>
      </c>
      <c r="C1" s="88" t="n">
        <v>46174</v>
      </c>
      <c r="D1" s="89" t="s">
        <v>1572</v>
      </c>
      <c r="E1" s="90" t="n">
        <v>46203</v>
      </c>
      <c r="F1" s="91" t="s">
        <v>28</v>
      </c>
      <c r="G1" s="91"/>
      <c r="H1" s="91"/>
      <c r="I1" s="91" t="s">
        <v>26</v>
      </c>
      <c r="J1" s="91"/>
      <c r="K1" s="91"/>
      <c r="L1" s="92" t="s">
        <v>1549</v>
      </c>
      <c r="M1" s="92"/>
      <c r="N1" s="93"/>
    </row>
    <row r="2" customFormat="false" ht="19.5" hidden="false" customHeight="true" outlineLevel="0" collapsed="false">
      <c r="A2" s="86"/>
      <c r="B2" s="87"/>
      <c r="C2" s="88"/>
      <c r="D2" s="89"/>
      <c r="E2" s="90"/>
      <c r="F2" s="11" t="n">
        <v>0.271143408196483</v>
      </c>
      <c r="G2" s="11"/>
      <c r="H2" s="11"/>
      <c r="I2" s="94" t="n">
        <v>1005278.34</v>
      </c>
      <c r="J2" s="94"/>
      <c r="K2" s="94"/>
      <c r="L2" s="95" t="s">
        <v>1550</v>
      </c>
      <c r="M2" s="96" t="n">
        <v>281887.94</v>
      </c>
      <c r="N2" s="97"/>
    </row>
    <row r="3" customFormat="false" ht="25.6" hidden="false" customHeight="false" outlineLevel="0" collapsed="false">
      <c r="A3" s="98"/>
      <c r="B3" s="99" t="str">
        <f aca="false">CHOOSE(WEEKDAY(C1), "Neděle", "Pondělí", "Úterý", "Středa", "Čtvrtek", "Pátek", "Sobota")</f>
        <v>Pondělí</v>
      </c>
      <c r="C3" s="99"/>
      <c r="D3" s="100" t="str">
        <f aca="false">CHOOSE(WEEKDAY(E1), "Neděle", "Pondělí", "Úterý", "Středa", "Čtvrtek", "Pátek", "Sobota")</f>
        <v>Úterý</v>
      </c>
      <c r="E3" s="100"/>
      <c r="F3" s="11"/>
      <c r="G3" s="11"/>
      <c r="H3" s="11"/>
      <c r="I3" s="94"/>
      <c r="J3" s="94"/>
      <c r="K3" s="94"/>
      <c r="L3" s="101" t="s">
        <v>1551</v>
      </c>
      <c r="M3" s="102" t="n">
        <v>87670</v>
      </c>
      <c r="N3" s="97"/>
    </row>
    <row r="4" customFormat="false" ht="25.6" hidden="false" customHeight="false" outlineLevel="0" collapsed="false">
      <c r="A4" s="98"/>
      <c r="B4" s="99"/>
      <c r="C4" s="99"/>
      <c r="D4" s="100"/>
      <c r="E4" s="100"/>
      <c r="F4" s="11"/>
      <c r="G4" s="11"/>
      <c r="H4" s="11"/>
      <c r="I4" s="94"/>
      <c r="J4" s="94"/>
      <c r="K4" s="94"/>
      <c r="L4" s="101" t="s">
        <v>1552</v>
      </c>
      <c r="M4" s="102" t="n">
        <v>203896.64</v>
      </c>
      <c r="N4" s="97"/>
    </row>
    <row r="5" customFormat="false" ht="31.5" hidden="false" customHeight="false" outlineLevel="0" collapsed="false">
      <c r="A5" s="103"/>
      <c r="B5" s="104" t="s">
        <v>1573</v>
      </c>
      <c r="C5" s="104"/>
      <c r="D5" s="104"/>
      <c r="E5" s="104"/>
      <c r="F5" s="91" t="s">
        <v>1574</v>
      </c>
      <c r="G5" s="91"/>
      <c r="H5" s="91"/>
      <c r="I5" s="91"/>
      <c r="J5" s="91"/>
      <c r="K5" s="91"/>
      <c r="L5" s="101" t="s">
        <v>1554</v>
      </c>
      <c r="M5" s="102" t="n">
        <v>232378</v>
      </c>
      <c r="N5" s="97"/>
    </row>
    <row r="6" customFormat="false" ht="31.5" hidden="false" customHeight="false" outlineLevel="0" collapsed="false">
      <c r="A6" s="103"/>
      <c r="B6" s="104"/>
      <c r="C6" s="104"/>
      <c r="D6" s="104"/>
      <c r="E6" s="104"/>
      <c r="F6" s="91"/>
      <c r="G6" s="91"/>
      <c r="H6" s="91"/>
      <c r="I6" s="91"/>
      <c r="J6" s="91"/>
      <c r="K6" s="91"/>
      <c r="L6" s="101" t="s">
        <v>1555</v>
      </c>
      <c r="M6" s="102" t="n">
        <v>3898</v>
      </c>
      <c r="N6" s="97"/>
    </row>
    <row r="7" customFormat="false" ht="17.35" hidden="false" customHeight="false" outlineLevel="0" collapsed="false">
      <c r="A7" s="93"/>
      <c r="B7" s="105" t="n">
        <f aca="false">TEXT(SUMPRODUCT((IFERROR(LEFT(D10:D30, FIND(":", D10:D30) - 1) * 60, 0) + IFERROR(MID(D10:D30, FIND(":", D10:D30) + 1, LEN(D10:D30) - FIND(":", D10:D30)), 0))), "[h]:mm")/60</f>
        <v>413.5</v>
      </c>
      <c r="C7" s="105"/>
      <c r="D7" s="105"/>
      <c r="E7" s="105"/>
      <c r="F7" s="106" t="n">
        <f aca="false">TEXT(SUMPRODUCT((IFERROR(LEFT(H10:H30, FIND(":", H10:H30) - 1) * 60, 0) + IFERROR(MID(H10:H30, FIND(":", H10:H30) + 1, LEN(H10:H30) - FIND(":", H10:H30)), 0))), "[h]:mm")/60</f>
        <v>331</v>
      </c>
      <c r="G7" s="106"/>
      <c r="H7" s="106"/>
      <c r="I7" s="106"/>
      <c r="J7" s="107"/>
      <c r="K7" s="107"/>
      <c r="L7" s="108" t="s">
        <v>1556</v>
      </c>
      <c r="M7" s="109" t="n">
        <v>30377.36</v>
      </c>
      <c r="N7" s="97"/>
    </row>
    <row r="8" customFormat="false" ht="18.55" hidden="false" customHeight="false" outlineLevel="0" collapsed="false">
      <c r="A8" s="110"/>
      <c r="B8" s="111" t="s">
        <v>1557</v>
      </c>
      <c r="C8" s="111"/>
      <c r="D8" s="111"/>
      <c r="E8" s="111"/>
      <c r="F8" s="112" t="s">
        <v>78</v>
      </c>
      <c r="G8" s="112"/>
      <c r="H8" s="112"/>
      <c r="I8" s="112"/>
      <c r="J8" s="113" t="s">
        <v>1558</v>
      </c>
      <c r="K8" s="113"/>
      <c r="L8" s="114" t="s">
        <v>25</v>
      </c>
      <c r="M8" s="114"/>
      <c r="N8" s="93"/>
    </row>
    <row r="9" customFormat="false" ht="15.75" hidden="false" customHeight="false" outlineLevel="0" collapsed="false">
      <c r="A9" s="115"/>
      <c r="B9" s="116" t="s">
        <v>1559</v>
      </c>
      <c r="C9" s="117" t="s">
        <v>1575</v>
      </c>
      <c r="D9" s="117" t="s">
        <v>1563</v>
      </c>
      <c r="E9" s="118"/>
      <c r="F9" s="116" t="s">
        <v>1559</v>
      </c>
      <c r="G9" s="117" t="s">
        <v>1575</v>
      </c>
      <c r="H9" s="117" t="s">
        <v>1563</v>
      </c>
      <c r="I9" s="119" t="s">
        <v>1567</v>
      </c>
      <c r="J9" s="120" t="n">
        <v>-0.759999999696447</v>
      </c>
      <c r="K9" s="120"/>
      <c r="L9" s="121" t="s">
        <v>23</v>
      </c>
      <c r="M9" s="102" t="n">
        <v>83074</v>
      </c>
      <c r="N9" s="97"/>
    </row>
    <row r="10" customFormat="false" ht="18.75" hidden="false" customHeight="true" outlineLevel="0" collapsed="false">
      <c r="A10" s="122"/>
      <c r="B10" s="123" t="s">
        <v>1564</v>
      </c>
      <c r="C10" s="124" t="n">
        <v>14</v>
      </c>
      <c r="D10" s="124" t="s">
        <v>1576</v>
      </c>
      <c r="E10" s="125" t="s">
        <v>1577</v>
      </c>
      <c r="F10" s="123" t="s">
        <v>1570</v>
      </c>
      <c r="G10" s="124" t="n">
        <v>13</v>
      </c>
      <c r="H10" s="124" t="s">
        <v>1578</v>
      </c>
      <c r="I10" s="126" t="n">
        <v>108</v>
      </c>
      <c r="J10" s="120"/>
      <c r="K10" s="120"/>
      <c r="L10" s="121" t="s">
        <v>24</v>
      </c>
      <c r="M10" s="102" t="n">
        <v>0</v>
      </c>
      <c r="N10" s="97"/>
    </row>
    <row r="11" customFormat="false" ht="18.75" hidden="false" customHeight="true" outlineLevel="0" collapsed="false">
      <c r="A11" s="122"/>
      <c r="B11" s="123" t="s">
        <v>1486</v>
      </c>
      <c r="C11" s="124" t="n">
        <v>12</v>
      </c>
      <c r="D11" s="124" t="s">
        <v>1579</v>
      </c>
      <c r="E11" s="125" t="s">
        <v>49</v>
      </c>
      <c r="F11" s="127" t="s">
        <v>1580</v>
      </c>
      <c r="G11" s="127" t="n">
        <v>1</v>
      </c>
      <c r="H11" s="127" t="s">
        <v>1581</v>
      </c>
      <c r="I11" s="126" t="n">
        <v>4</v>
      </c>
      <c r="J11" s="120"/>
      <c r="K11" s="120"/>
      <c r="L11" s="128" t="s">
        <v>25</v>
      </c>
      <c r="M11" s="129" t="n">
        <v>84704</v>
      </c>
      <c r="N11" s="97"/>
    </row>
    <row r="12" customFormat="false" ht="18.75" hidden="false" customHeight="true" outlineLevel="0" collapsed="false">
      <c r="A12" s="122"/>
      <c r="B12" s="123" t="s">
        <v>1582</v>
      </c>
      <c r="C12" s="124" t="n">
        <v>11</v>
      </c>
      <c r="D12" s="124" t="s">
        <v>1583</v>
      </c>
      <c r="E12" s="125" t="s">
        <v>50</v>
      </c>
      <c r="F12" s="130" t="s">
        <v>1494</v>
      </c>
      <c r="G12" s="130" t="n">
        <v>3</v>
      </c>
      <c r="H12" s="127" t="s">
        <v>1584</v>
      </c>
      <c r="I12" s="126" t="n">
        <v>12</v>
      </c>
      <c r="J12" s="120"/>
      <c r="K12" s="120"/>
      <c r="L12" s="131" t="s">
        <v>1565</v>
      </c>
      <c r="M12" s="131"/>
      <c r="N12" s="93"/>
    </row>
    <row r="13" customFormat="false" ht="18.75" hidden="false" customHeight="true" outlineLevel="0" collapsed="false">
      <c r="A13" s="122"/>
      <c r="B13" s="123" t="s">
        <v>1585</v>
      </c>
      <c r="C13" s="124" t="n">
        <v>9</v>
      </c>
      <c r="D13" s="124" t="s">
        <v>1586</v>
      </c>
      <c r="E13" s="125" t="s">
        <v>50</v>
      </c>
      <c r="F13" s="130" t="s">
        <v>1587</v>
      </c>
      <c r="G13" s="130" t="n">
        <v>10</v>
      </c>
      <c r="H13" s="130" t="s">
        <v>1588</v>
      </c>
      <c r="I13" s="126" t="n">
        <v>111</v>
      </c>
      <c r="J13" s="120"/>
      <c r="K13" s="120"/>
      <c r="L13" s="121" t="s">
        <v>29</v>
      </c>
      <c r="M13" s="102" t="n">
        <v>7729</v>
      </c>
      <c r="N13" s="97"/>
    </row>
    <row r="14" customFormat="false" ht="18.75" hidden="false" customHeight="true" outlineLevel="0" collapsed="false">
      <c r="A14" s="122"/>
      <c r="B14" s="123"/>
      <c r="C14" s="124"/>
      <c r="D14" s="124"/>
      <c r="E14" s="125" t="s">
        <v>1589</v>
      </c>
      <c r="F14" s="123" t="s">
        <v>1590</v>
      </c>
      <c r="G14" s="124" t="n">
        <v>5</v>
      </c>
      <c r="H14" s="124" t="s">
        <v>1591</v>
      </c>
      <c r="I14" s="126" t="n">
        <v>46</v>
      </c>
      <c r="J14" s="120"/>
      <c r="K14" s="120"/>
      <c r="L14" s="117" t="s">
        <v>30</v>
      </c>
      <c r="M14" s="102" t="n">
        <v>0</v>
      </c>
      <c r="N14" s="97"/>
    </row>
    <row r="15" customFormat="false" ht="18.75" hidden="false" customHeight="true" outlineLevel="0" collapsed="false">
      <c r="A15" s="122"/>
      <c r="B15" s="123"/>
      <c r="C15" s="124"/>
      <c r="D15" s="124"/>
      <c r="E15" s="125" t="s">
        <v>1589</v>
      </c>
      <c r="F15" s="123" t="s">
        <v>1182</v>
      </c>
      <c r="G15" s="124" t="n">
        <v>7</v>
      </c>
      <c r="H15" s="124" t="s">
        <v>1592</v>
      </c>
      <c r="I15" s="126" t="n">
        <v>67</v>
      </c>
      <c r="J15" s="120"/>
      <c r="K15" s="120"/>
      <c r="L15" s="117" t="s">
        <v>31</v>
      </c>
      <c r="M15" s="102" t="n">
        <v>249</v>
      </c>
      <c r="N15" s="97"/>
    </row>
    <row r="16" customFormat="false" ht="18.75" hidden="false" customHeight="true" outlineLevel="0" collapsed="false">
      <c r="A16" s="122"/>
      <c r="B16" s="123"/>
      <c r="C16" s="124"/>
      <c r="D16" s="124"/>
      <c r="E16" s="125"/>
      <c r="F16" s="123" t="s">
        <v>1593</v>
      </c>
      <c r="G16" s="124" t="n">
        <v>8</v>
      </c>
      <c r="H16" s="124" t="s">
        <v>1594</v>
      </c>
      <c r="I16" s="126" t="n">
        <v>95</v>
      </c>
      <c r="J16" s="120"/>
      <c r="K16" s="120"/>
      <c r="L16" s="117" t="s">
        <v>32</v>
      </c>
      <c r="M16" s="102" t="n">
        <v>4941</v>
      </c>
      <c r="N16" s="97"/>
    </row>
    <row r="17" customFormat="false" ht="18.75" hidden="false" customHeight="true" outlineLevel="0" collapsed="false">
      <c r="A17" s="122"/>
      <c r="B17" s="123"/>
      <c r="C17" s="124"/>
      <c r="D17" s="124"/>
      <c r="E17" s="125"/>
      <c r="F17" s="123" t="s">
        <v>1595</v>
      </c>
      <c r="G17" s="124" t="n">
        <v>1</v>
      </c>
      <c r="H17" s="124" t="s">
        <v>50</v>
      </c>
      <c r="I17" s="126" t="n">
        <v>24</v>
      </c>
      <c r="J17" s="120"/>
      <c r="K17" s="120"/>
      <c r="L17" s="132" t="s">
        <v>33</v>
      </c>
      <c r="M17" s="133" t="n">
        <v>14850</v>
      </c>
      <c r="N17" s="97"/>
    </row>
    <row r="18" customFormat="false" ht="18.75" hidden="false" customHeight="true" outlineLevel="0" collapsed="false">
      <c r="A18" s="122"/>
      <c r="B18" s="123"/>
      <c r="C18" s="124"/>
      <c r="D18" s="124"/>
      <c r="E18" s="125"/>
      <c r="F18" s="123"/>
      <c r="G18" s="124"/>
      <c r="H18" s="124"/>
      <c r="I18" s="126"/>
      <c r="J18" s="134"/>
      <c r="K18" s="134"/>
      <c r="L18" s="134"/>
      <c r="M18" s="134"/>
      <c r="N18" s="135"/>
    </row>
    <row r="19" customFormat="false" ht="18.75" hidden="false" customHeight="true" outlineLevel="0" collapsed="false">
      <c r="A19" s="122"/>
      <c r="B19" s="123"/>
      <c r="C19" s="124"/>
      <c r="D19" s="124"/>
      <c r="E19" s="125"/>
      <c r="F19" s="123"/>
      <c r="G19" s="124"/>
      <c r="H19" s="124"/>
      <c r="I19" s="126"/>
      <c r="J19" s="136" t="s">
        <v>34</v>
      </c>
      <c r="K19" s="137" t="s">
        <v>35</v>
      </c>
      <c r="L19" s="138" t="s">
        <v>1566</v>
      </c>
      <c r="M19" s="139" t="s">
        <v>37</v>
      </c>
      <c r="N19" s="140"/>
    </row>
    <row r="20" customFormat="false" ht="18.75" hidden="false" customHeight="true" outlineLevel="0" collapsed="false">
      <c r="A20" s="122"/>
      <c r="B20" s="123"/>
      <c r="C20" s="124"/>
      <c r="D20" s="124"/>
      <c r="E20" s="125"/>
      <c r="F20" s="123"/>
      <c r="G20" s="124"/>
      <c r="H20" s="124"/>
      <c r="I20" s="126"/>
      <c r="J20" s="136"/>
      <c r="K20" s="137"/>
      <c r="L20" s="137"/>
      <c r="M20" s="139"/>
      <c r="N20" s="140"/>
    </row>
    <row r="21" customFormat="false" ht="18.75" hidden="false" customHeight="true" outlineLevel="0" collapsed="false">
      <c r="A21" s="122"/>
      <c r="B21" s="123"/>
      <c r="C21" s="124"/>
      <c r="D21" s="124"/>
      <c r="E21" s="125"/>
      <c r="F21" s="123"/>
      <c r="G21" s="124"/>
      <c r="H21" s="124"/>
      <c r="I21" s="126"/>
      <c r="J21" s="141" t="n">
        <v>23</v>
      </c>
      <c r="K21" s="142" t="n">
        <v>15370.98</v>
      </c>
      <c r="L21" s="143" t="n">
        <v>30</v>
      </c>
      <c r="M21" s="144" t="s">
        <v>1596</v>
      </c>
      <c r="N21" s="135"/>
    </row>
    <row r="22" customFormat="false" ht="18.75" hidden="false" customHeight="true" outlineLevel="0" collapsed="false">
      <c r="A22" s="122"/>
      <c r="B22" s="123"/>
      <c r="C22" s="124"/>
      <c r="D22" s="124"/>
      <c r="E22" s="125"/>
      <c r="F22" s="123"/>
      <c r="G22" s="124"/>
      <c r="H22" s="124"/>
      <c r="I22" s="126"/>
      <c r="J22" s="145" t="s">
        <v>1569</v>
      </c>
      <c r="K22" s="146" t="s">
        <v>1470</v>
      </c>
      <c r="L22" s="147" t="s">
        <v>1471</v>
      </c>
      <c r="M22" s="148" t="s">
        <v>1472</v>
      </c>
      <c r="N22" s="135"/>
    </row>
    <row r="23" customFormat="false" ht="18.75" hidden="false" customHeight="true" outlineLevel="0" collapsed="false">
      <c r="A23" s="122"/>
      <c r="B23" s="123"/>
      <c r="C23" s="124"/>
      <c r="D23" s="124"/>
      <c r="E23" s="125"/>
      <c r="F23" s="123"/>
      <c r="G23" s="124"/>
      <c r="H23" s="124"/>
      <c r="I23" s="126"/>
      <c r="J23" s="145"/>
      <c r="K23" s="146"/>
      <c r="L23" s="146"/>
      <c r="M23" s="148"/>
      <c r="N23" s="135"/>
    </row>
    <row r="24" customFormat="false" ht="18.75" hidden="false" customHeight="true" outlineLevel="0" collapsed="false">
      <c r="A24" s="122"/>
      <c r="B24" s="123"/>
      <c r="C24" s="124"/>
      <c r="D24" s="124"/>
      <c r="E24" s="125"/>
      <c r="F24" s="123"/>
      <c r="G24" s="124"/>
      <c r="H24" s="124"/>
      <c r="I24" s="126"/>
      <c r="J24" s="149" t="n">
        <v>31</v>
      </c>
      <c r="K24" s="143" t="n">
        <v>2594</v>
      </c>
      <c r="L24" s="143" t="n">
        <v>504</v>
      </c>
      <c r="M24" s="150" t="n">
        <v>15</v>
      </c>
      <c r="N24" s="135"/>
    </row>
    <row r="25" customFormat="false" ht="18.75" hidden="false" customHeight="true" outlineLevel="0" collapsed="false">
      <c r="A25" s="122"/>
      <c r="B25" s="123"/>
      <c r="C25" s="124"/>
      <c r="D25" s="124"/>
      <c r="E25" s="125"/>
      <c r="F25" s="123"/>
      <c r="G25" s="124"/>
      <c r="H25" s="124"/>
      <c r="I25" s="126"/>
      <c r="J25" s="145" t="s">
        <v>1571</v>
      </c>
      <c r="K25" s="145"/>
      <c r="L25" s="151" t="s">
        <v>1474</v>
      </c>
      <c r="M25" s="152" t="s">
        <v>1475</v>
      </c>
      <c r="N25" s="135"/>
    </row>
    <row r="26" customFormat="false" ht="21.75" hidden="false" customHeight="true" outlineLevel="0" collapsed="false">
      <c r="A26" s="122"/>
      <c r="B26" s="123"/>
      <c r="C26" s="124"/>
      <c r="D26" s="124"/>
      <c r="E26" s="125"/>
      <c r="F26" s="123"/>
      <c r="G26" s="124"/>
      <c r="H26" s="124"/>
      <c r="I26" s="126"/>
      <c r="J26" s="145"/>
      <c r="K26" s="145"/>
      <c r="L26" s="151"/>
      <c r="M26" s="152"/>
      <c r="N26" s="135"/>
    </row>
    <row r="27" customFormat="false" ht="18.75" hidden="false" customHeight="true" outlineLevel="0" collapsed="false">
      <c r="A27" s="122"/>
      <c r="B27" s="123"/>
      <c r="C27" s="124"/>
      <c r="D27" s="124"/>
      <c r="E27" s="125"/>
      <c r="F27" s="123"/>
      <c r="G27" s="124"/>
      <c r="H27" s="124"/>
      <c r="I27" s="126"/>
      <c r="J27" s="153" t="n">
        <v>6</v>
      </c>
      <c r="K27" s="153"/>
      <c r="L27" s="154" t="n">
        <v>0.0546157735972113</v>
      </c>
      <c r="M27" s="155" t="n">
        <v>10</v>
      </c>
      <c r="N27" s="135"/>
    </row>
    <row r="28" customFormat="false" ht="18.75" hidden="false" customHeight="true" outlineLevel="0" collapsed="false">
      <c r="A28" s="122"/>
      <c r="B28" s="123"/>
      <c r="C28" s="124"/>
      <c r="D28" s="124"/>
      <c r="E28" s="125"/>
      <c r="F28" s="123"/>
      <c r="G28" s="124"/>
      <c r="H28" s="124"/>
      <c r="I28" s="126"/>
      <c r="J28" s="156"/>
      <c r="K28" s="157" t="s">
        <v>1597</v>
      </c>
      <c r="L28" s="158" t="s">
        <v>1476</v>
      </c>
      <c r="M28" s="152" t="s">
        <v>1477</v>
      </c>
      <c r="N28" s="135"/>
    </row>
    <row r="29" customFormat="false" ht="18.75" hidden="false" customHeight="true" outlineLevel="0" collapsed="false">
      <c r="A29" s="122"/>
      <c r="B29" s="123"/>
      <c r="C29" s="124"/>
      <c r="D29" s="124"/>
      <c r="E29" s="125"/>
      <c r="F29" s="123"/>
      <c r="G29" s="124"/>
      <c r="H29" s="124"/>
      <c r="I29" s="126"/>
      <c r="J29" s="156"/>
      <c r="K29" s="157"/>
      <c r="L29" s="157"/>
      <c r="M29" s="152"/>
      <c r="N29" s="135"/>
    </row>
    <row r="30" customFormat="false" ht="18.75" hidden="false" customHeight="true" outlineLevel="0" collapsed="false">
      <c r="A30" s="122"/>
      <c r="B30" s="123"/>
      <c r="C30" s="124"/>
      <c r="D30" s="124"/>
      <c r="E30" s="125"/>
      <c r="F30" s="123"/>
      <c r="G30" s="124"/>
      <c r="H30" s="124"/>
      <c r="I30" s="126"/>
      <c r="J30" s="156"/>
      <c r="K30" s="159"/>
      <c r="L30" s="160" t="n">
        <v>0.945384226402789</v>
      </c>
      <c r="M30" s="161" t="n">
        <v>0.0186210749214321</v>
      </c>
      <c r="N30" s="135"/>
    </row>
  </sheetData>
  <mergeCells count="38">
    <mergeCell ref="B1:B2"/>
    <mergeCell ref="C1:C2"/>
    <mergeCell ref="D1:D2"/>
    <mergeCell ref="E1:E2"/>
    <mergeCell ref="F1:H1"/>
    <mergeCell ref="I1:K1"/>
    <mergeCell ref="L1:M1"/>
    <mergeCell ref="F2:H4"/>
    <mergeCell ref="I2:K4"/>
    <mergeCell ref="B3:C4"/>
    <mergeCell ref="D3:E4"/>
    <mergeCell ref="B5:E6"/>
    <mergeCell ref="F5:K6"/>
    <mergeCell ref="B7:E7"/>
    <mergeCell ref="F7:I7"/>
    <mergeCell ref="B8:E8"/>
    <mergeCell ref="F8:I8"/>
    <mergeCell ref="J8:K8"/>
    <mergeCell ref="L8:M8"/>
    <mergeCell ref="J9:K17"/>
    <mergeCell ref="L12:M12"/>
    <mergeCell ref="J18:M18"/>
    <mergeCell ref="J19:J20"/>
    <mergeCell ref="K19:K20"/>
    <mergeCell ref="L19:L20"/>
    <mergeCell ref="M19:M20"/>
    <mergeCell ref="J22:J23"/>
    <mergeCell ref="K22:K23"/>
    <mergeCell ref="L22:L23"/>
    <mergeCell ref="M22:M23"/>
    <mergeCell ref="J25:K26"/>
    <mergeCell ref="L25:L26"/>
    <mergeCell ref="M25:M26"/>
    <mergeCell ref="J27:K27"/>
    <mergeCell ref="J28:J30"/>
    <mergeCell ref="K28:K29"/>
    <mergeCell ref="L28:L29"/>
    <mergeCell ref="M28:M29"/>
  </mergeCells>
  <conditionalFormatting sqref="F2">
    <cfRule type="cellIs" priority="2" operator="greaterThan" aboveAverage="0" equalAverage="0" bottom="0" percent="0" rank="0" text="" dxfId="0">
      <formula>"30%"</formula>
    </cfRule>
  </conditionalFormatting>
  <conditionalFormatting sqref="F2:H4">
    <cfRule type="containsText" priority="3" operator="containsText" aboveAverage="0" equalAverage="0" bottom="0" percent="0" rank="0" text="Zadej" dxfId="3">
      <formula>NOT(ISERROR(SEARCH("Zadej",F2)))</formula>
    </cfRule>
  </conditionalFormatting>
  <conditionalFormatting sqref="J8:K18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F4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9" min="8" style="0" width="25.38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</row>
    <row r="2" customFormat="false" ht="15.75" hidden="false" customHeight="false" outlineLevel="0" collapsed="false">
      <c r="A2" s="1"/>
      <c r="B2" s="1"/>
      <c r="C2" s="163"/>
      <c r="D2" s="1"/>
      <c r="E2" s="1"/>
      <c r="F2" s="1"/>
      <c r="G2" s="1"/>
      <c r="H2" s="1"/>
      <c r="I2" s="1"/>
      <c r="J2" s="1"/>
      <c r="K2" s="162"/>
      <c r="L2" s="1"/>
      <c r="M2" s="1"/>
      <c r="N2" s="1"/>
      <c r="O2" s="1"/>
      <c r="P2" s="1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</row>
    <row r="3" customFormat="false" ht="15.75" hidden="false" customHeight="false" outlineLevel="0" collapsed="false">
      <c r="A3" s="1"/>
      <c r="B3" s="1"/>
      <c r="C3" s="163"/>
      <c r="D3" s="1"/>
      <c r="E3" s="1"/>
      <c r="F3" s="1"/>
      <c r="G3" s="1"/>
      <c r="H3" s="1"/>
      <c r="I3" s="1"/>
      <c r="J3" s="1"/>
      <c r="K3" s="162"/>
      <c r="L3" s="1"/>
      <c r="M3" s="1"/>
      <c r="N3" s="1"/>
      <c r="O3" s="1"/>
      <c r="P3" s="1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</row>
    <row r="4" customFormat="false" ht="15.75" hidden="false" customHeight="false" outlineLevel="0" collapsed="false">
      <c r="A4" s="1"/>
      <c r="B4" s="1"/>
      <c r="C4" s="163"/>
      <c r="D4" s="1"/>
      <c r="E4" s="1"/>
      <c r="F4" s="1"/>
      <c r="G4" s="1"/>
      <c r="H4" s="1"/>
      <c r="I4" s="1"/>
      <c r="J4" s="1"/>
      <c r="K4" s="162"/>
      <c r="L4" s="1"/>
      <c r="M4" s="1"/>
      <c r="N4" s="1"/>
      <c r="O4" s="1"/>
      <c r="P4" s="1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</row>
    <row r="5" customFormat="false" ht="15.75" hidden="false" customHeight="false" outlineLevel="0" collapsed="false">
      <c r="A5" s="1"/>
      <c r="B5" s="163"/>
      <c r="C5" s="163"/>
      <c r="D5" s="1"/>
      <c r="E5" s="162"/>
      <c r="F5" s="1"/>
      <c r="G5" s="1"/>
      <c r="H5" s="1"/>
      <c r="I5" s="1"/>
      <c r="J5" s="1"/>
      <c r="K5" s="162"/>
      <c r="L5" s="1"/>
      <c r="M5" s="1"/>
      <c r="N5" s="1"/>
      <c r="O5" s="1"/>
      <c r="P5" s="1"/>
      <c r="Q5" s="16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2"/>
      <c r="AE5" s="162"/>
      <c r="AF5" s="162"/>
    </row>
    <row r="6" customFormat="false" ht="15.75" hidden="false" customHeight="false" outlineLevel="0" collapsed="false">
      <c r="A6" s="1"/>
      <c r="B6" s="1"/>
      <c r="C6" s="163"/>
      <c r="D6" s="1"/>
      <c r="E6" s="162"/>
      <c r="F6" s="1"/>
      <c r="G6" s="1"/>
      <c r="H6" s="1"/>
      <c r="I6" s="1"/>
      <c r="J6" s="1"/>
      <c r="K6" s="162"/>
      <c r="L6" s="1"/>
      <c r="M6" s="1"/>
      <c r="N6" s="1"/>
      <c r="O6" s="1"/>
      <c r="P6" s="1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</row>
    <row r="7" customFormat="false" ht="15.75" hidden="false" customHeight="false" outlineLevel="0" collapsed="false">
      <c r="A7" s="1"/>
      <c r="B7" s="1"/>
      <c r="C7" s="163"/>
      <c r="D7" s="1"/>
      <c r="E7" s="162"/>
      <c r="F7" s="1"/>
      <c r="G7" s="1"/>
      <c r="H7" s="1"/>
      <c r="I7" s="1"/>
      <c r="J7" s="1"/>
      <c r="K7" s="162"/>
      <c r="L7" s="1"/>
      <c r="M7" s="1"/>
      <c r="N7" s="1"/>
      <c r="O7" s="1"/>
      <c r="P7" s="1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</row>
    <row r="8" customFormat="false" ht="15.75" hidden="false" customHeight="false" outlineLevel="0" collapsed="false">
      <c r="A8" s="1"/>
      <c r="B8" s="163"/>
      <c r="C8" s="163"/>
      <c r="D8" s="1"/>
      <c r="E8" s="1"/>
      <c r="F8" s="1"/>
      <c r="G8" s="1"/>
      <c r="H8" s="1"/>
      <c r="I8" s="1"/>
      <c r="J8" s="1"/>
      <c r="K8" s="162"/>
      <c r="L8" s="1"/>
      <c r="M8" s="1"/>
      <c r="N8" s="1"/>
      <c r="O8" s="1"/>
      <c r="P8" s="1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</row>
    <row r="9" customFormat="false" ht="15.75" hidden="false" customHeight="false" outlineLevel="0" collapsed="false">
      <c r="A9" s="1"/>
      <c r="B9" s="1"/>
      <c r="C9" s="163"/>
      <c r="D9" s="1"/>
      <c r="E9" s="162"/>
      <c r="F9" s="1"/>
      <c r="G9" s="1"/>
      <c r="H9" s="1"/>
      <c r="I9" s="1"/>
      <c r="J9" s="1"/>
      <c r="K9" s="162"/>
      <c r="L9" s="1"/>
      <c r="M9" s="1"/>
      <c r="N9" s="1"/>
      <c r="O9" s="1"/>
      <c r="P9" s="1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</row>
    <row r="10" customFormat="false" ht="15.75" hidden="false" customHeight="false" outlineLevel="0" collapsed="false">
      <c r="A10" s="1"/>
      <c r="B10" s="1"/>
      <c r="C10" s="163"/>
      <c r="D10" s="1"/>
      <c r="E10" s="162"/>
      <c r="F10" s="1"/>
      <c r="G10" s="1"/>
      <c r="H10" s="1"/>
      <c r="I10" s="1"/>
      <c r="J10" s="1"/>
      <c r="K10" s="162"/>
      <c r="L10" s="1"/>
      <c r="M10" s="1"/>
      <c r="N10" s="1"/>
      <c r="O10" s="1"/>
      <c r="P10" s="1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</row>
    <row r="11" customFormat="false" ht="15.75" hidden="false" customHeight="false" outlineLevel="0" collapsed="false">
      <c r="A11" s="1"/>
      <c r="B11" s="1"/>
      <c r="C11" s="163"/>
      <c r="D11" s="1"/>
      <c r="E11" s="1"/>
      <c r="F11" s="1"/>
      <c r="G11" s="1"/>
      <c r="H11" s="1"/>
      <c r="I11" s="1"/>
      <c r="J11" s="1"/>
      <c r="K11" s="162"/>
      <c r="L11" s="1"/>
      <c r="M11" s="1"/>
      <c r="N11" s="1"/>
      <c r="O11" s="1"/>
      <c r="P11" s="1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</row>
    <row r="12" customFormat="false" ht="15.75" hidden="false" customHeight="false" outlineLevel="0" collapsed="false">
      <c r="A12" s="1"/>
      <c r="B12" s="163"/>
      <c r="C12" s="163"/>
      <c r="D12" s="1"/>
      <c r="E12" s="162"/>
      <c r="F12" s="1"/>
      <c r="G12" s="1"/>
      <c r="H12" s="1"/>
      <c r="I12" s="1"/>
      <c r="J12" s="1"/>
      <c r="K12" s="162"/>
      <c r="L12" s="1"/>
      <c r="M12" s="1"/>
      <c r="N12" s="1"/>
      <c r="O12" s="1"/>
      <c r="P12" s="1"/>
      <c r="Q12" s="162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2"/>
    </row>
    <row r="13" customFormat="false" ht="15.75" hidden="false" customHeight="false" outlineLevel="0" collapsed="false">
      <c r="A13" s="1"/>
      <c r="B13" s="1"/>
      <c r="C13" s="163"/>
      <c r="D13" s="1"/>
      <c r="E13" s="162"/>
      <c r="F13" s="1"/>
      <c r="G13" s="1"/>
      <c r="H13" s="1"/>
      <c r="I13" s="1"/>
      <c r="J13" s="1"/>
      <c r="K13" s="162"/>
      <c r="L13" s="1"/>
      <c r="M13" s="1"/>
      <c r="N13" s="1"/>
      <c r="O13" s="1"/>
      <c r="P13" s="1"/>
      <c r="Q13" s="162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2"/>
    </row>
    <row r="14" customFormat="false" ht="15.75" hidden="false" customHeight="false" outlineLevel="0" collapsed="false">
      <c r="A14" s="1"/>
      <c r="B14" s="1"/>
      <c r="C14" s="163"/>
      <c r="D14" s="1"/>
      <c r="E14" s="1"/>
      <c r="F14" s="1"/>
      <c r="G14" s="1"/>
      <c r="H14" s="1"/>
      <c r="I14" s="1"/>
      <c r="J14" s="1"/>
      <c r="K14" s="162"/>
      <c r="L14" s="1"/>
      <c r="M14" s="1"/>
      <c r="N14" s="1"/>
      <c r="O14" s="1"/>
      <c r="P14" s="1"/>
      <c r="Q14" s="162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2"/>
    </row>
    <row r="15" customFormat="false" ht="15.75" hidden="false" customHeight="false" outlineLevel="0" collapsed="false">
      <c r="A15" s="1"/>
      <c r="B15" s="1"/>
      <c r="C15" s="163"/>
      <c r="D15" s="1"/>
      <c r="E15" s="1"/>
      <c r="F15" s="1"/>
      <c r="G15" s="1"/>
      <c r="H15" s="1"/>
      <c r="I15" s="1"/>
      <c r="J15" s="1"/>
      <c r="K15" s="162"/>
      <c r="L15" s="1"/>
      <c r="M15" s="1"/>
      <c r="N15" s="1"/>
      <c r="O15" s="1"/>
      <c r="P15" s="1"/>
      <c r="Q15" s="162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2"/>
    </row>
    <row r="16" customFormat="false" ht="15.75" hidden="false" customHeight="false" outlineLevel="0" collapsed="false">
      <c r="A16" s="1"/>
      <c r="B16" s="1"/>
      <c r="C16" s="163"/>
      <c r="D16" s="1"/>
      <c r="E16" s="162"/>
      <c r="F16" s="1"/>
      <c r="G16" s="1"/>
      <c r="H16" s="1"/>
      <c r="I16" s="1"/>
      <c r="J16" s="1"/>
      <c r="K16" s="162"/>
      <c r="L16" s="1"/>
      <c r="M16" s="1"/>
      <c r="N16" s="1"/>
      <c r="O16" s="1"/>
      <c r="P16" s="1"/>
      <c r="Q16" s="16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</row>
    <row r="17" customFormat="false" ht="15.75" hidden="false" customHeight="false" outlineLevel="0" collapsed="false">
      <c r="A17" s="1"/>
      <c r="B17" s="1"/>
      <c r="C17" s="163"/>
      <c r="D17" s="1"/>
      <c r="E17" s="1"/>
      <c r="F17" s="1"/>
      <c r="G17" s="1"/>
      <c r="H17" s="1"/>
      <c r="I17" s="1"/>
      <c r="J17" s="1"/>
      <c r="K17" s="162"/>
      <c r="L17" s="1"/>
      <c r="M17" s="1"/>
      <c r="N17" s="1"/>
      <c r="O17" s="1"/>
      <c r="P17" s="1"/>
      <c r="Q17" s="162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2"/>
    </row>
    <row r="18" customFormat="false" ht="15.75" hidden="false" customHeight="false" outlineLevel="0" collapsed="false">
      <c r="A18" s="1"/>
      <c r="B18" s="1"/>
      <c r="C18" s="163"/>
      <c r="D18" s="1"/>
      <c r="E18" s="162"/>
      <c r="F18" s="1"/>
      <c r="G18" s="1"/>
      <c r="H18" s="1"/>
      <c r="I18" s="1"/>
      <c r="J18" s="1"/>
      <c r="K18" s="162"/>
      <c r="L18" s="1"/>
      <c r="M18" s="1"/>
      <c r="N18" s="1"/>
      <c r="O18" s="1"/>
      <c r="P18" s="1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</row>
    <row r="19" customFormat="false" ht="15.75" hidden="false" customHeight="false" outlineLevel="0" collapsed="false">
      <c r="A19" s="1"/>
      <c r="B19" s="1"/>
      <c r="C19" s="16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62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2"/>
    </row>
    <row r="20" customFormat="false" ht="15.75" hidden="false" customHeight="false" outlineLevel="0" collapsed="false">
      <c r="A20" s="1"/>
      <c r="B20" s="1"/>
      <c r="C20" s="163"/>
      <c r="D20" s="1"/>
      <c r="E20" s="162"/>
      <c r="F20" s="1"/>
      <c r="G20" s="1"/>
      <c r="H20" s="1"/>
      <c r="I20" s="1"/>
      <c r="J20" s="1"/>
      <c r="K20" s="162"/>
      <c r="L20" s="1"/>
      <c r="M20" s="1"/>
      <c r="N20" s="1"/>
      <c r="O20" s="1"/>
      <c r="P20" s="1"/>
      <c r="Q20" s="16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</row>
    <row r="21" customFormat="false" ht="15.75" hidden="false" customHeight="false" outlineLevel="0" collapsed="false">
      <c r="A21" s="1"/>
      <c r="B21" s="1"/>
      <c r="C21" s="163"/>
      <c r="D21" s="1"/>
      <c r="E21" s="1"/>
      <c r="F21" s="1"/>
      <c r="G21" s="1"/>
      <c r="H21" s="1"/>
      <c r="I21" s="1"/>
      <c r="J21" s="1"/>
      <c r="K21" s="162"/>
      <c r="L21" s="1"/>
      <c r="M21" s="1"/>
      <c r="N21" s="1"/>
      <c r="O21" s="1"/>
      <c r="P21" s="1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</row>
    <row r="22" customFormat="false" ht="15.75" hidden="false" customHeight="false" outlineLevel="0" collapsed="false">
      <c r="A22" s="1"/>
      <c r="B22" s="1"/>
      <c r="C22" s="163"/>
      <c r="D22" s="1"/>
      <c r="E22" s="162"/>
      <c r="F22" s="1"/>
      <c r="G22" s="1"/>
      <c r="H22" s="1"/>
      <c r="I22" s="1"/>
      <c r="J22" s="1"/>
      <c r="K22" s="162"/>
      <c r="L22" s="1"/>
      <c r="M22" s="1"/>
      <c r="N22" s="1"/>
      <c r="O22" s="1"/>
      <c r="P22" s="1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</row>
    <row r="23" customFormat="false" ht="15.75" hidden="false" customHeight="false" outlineLevel="0" collapsed="false">
      <c r="A23" s="1"/>
      <c r="B23" s="163"/>
      <c r="C23" s="1"/>
      <c r="D23" s="1"/>
      <c r="E23" s="162"/>
      <c r="F23" s="1"/>
      <c r="G23" s="1"/>
      <c r="H23" s="1"/>
      <c r="I23" s="1"/>
      <c r="J23" s="1"/>
      <c r="K23" s="162"/>
      <c r="L23" s="1"/>
      <c r="M23" s="1"/>
      <c r="N23" s="1"/>
      <c r="O23" s="1"/>
      <c r="P23" s="1"/>
      <c r="Q23" s="162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</row>
    <row r="24" customFormat="false" ht="15.75" hidden="false" customHeight="false" outlineLevel="0" collapsed="false">
      <c r="A24" s="1"/>
      <c r="B24" s="163"/>
      <c r="C24" s="163"/>
      <c r="D24" s="1"/>
      <c r="E24" s="1"/>
      <c r="F24" s="1"/>
      <c r="G24" s="1"/>
      <c r="H24" s="1"/>
      <c r="I24" s="1"/>
      <c r="J24" s="1"/>
      <c r="K24" s="162"/>
      <c r="L24" s="1"/>
      <c r="M24" s="1"/>
      <c r="N24" s="1"/>
      <c r="O24" s="1"/>
      <c r="P24" s="1"/>
      <c r="Q24" s="162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2"/>
    </row>
    <row r="25" customFormat="false" ht="15.75" hidden="false" customHeight="false" outlineLevel="0" collapsed="false">
      <c r="A25" s="1"/>
      <c r="B25" s="1"/>
      <c r="C25" s="163"/>
      <c r="D25" s="1"/>
      <c r="E25" s="162"/>
      <c r="F25" s="1"/>
      <c r="G25" s="1"/>
      <c r="H25" s="1"/>
      <c r="I25" s="1"/>
      <c r="J25" s="1"/>
      <c r="K25" s="162"/>
      <c r="L25" s="1"/>
      <c r="M25" s="1"/>
      <c r="N25" s="1"/>
      <c r="O25" s="1"/>
      <c r="P25" s="1"/>
      <c r="Q25" s="162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2"/>
    </row>
    <row r="26" customFormat="false" ht="15.75" hidden="false" customHeight="false" outlineLevel="0" collapsed="false">
      <c r="A26" s="1"/>
      <c r="B26" s="1"/>
      <c r="C26" s="163"/>
      <c r="D26" s="1"/>
      <c r="E26" s="162"/>
      <c r="F26" s="1"/>
      <c r="G26" s="1"/>
      <c r="H26" s="1"/>
      <c r="I26" s="1"/>
      <c r="J26" s="1"/>
      <c r="K26" s="162"/>
      <c r="L26" s="1"/>
      <c r="M26" s="1"/>
      <c r="N26" s="1"/>
      <c r="O26" s="1"/>
      <c r="P26" s="1"/>
      <c r="Q26" s="162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2"/>
    </row>
    <row r="27" customFormat="false" ht="15.75" hidden="false" customHeight="false" outlineLevel="0" collapsed="false">
      <c r="A27" s="1"/>
      <c r="B27" s="1"/>
      <c r="C27" s="163"/>
      <c r="D27" s="1"/>
      <c r="E27" s="1"/>
      <c r="F27" s="1"/>
      <c r="G27" s="1"/>
      <c r="H27" s="1"/>
      <c r="I27" s="1"/>
      <c r="J27" s="1"/>
      <c r="K27" s="162"/>
      <c r="L27" s="1"/>
      <c r="M27" s="1"/>
      <c r="N27" s="1"/>
      <c r="O27" s="1"/>
      <c r="P27" s="1"/>
      <c r="Q27" s="162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2"/>
    </row>
    <row r="28" customFormat="false" ht="15.75" hidden="false" customHeight="false" outlineLevel="0" collapsed="false">
      <c r="A28" s="1"/>
      <c r="B28" s="1"/>
      <c r="C28" s="16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62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2"/>
    </row>
    <row r="29" customFormat="false" ht="15.75" hidden="false" customHeight="false" outlineLevel="0" collapsed="false">
      <c r="A29" s="1"/>
      <c r="B29" s="1"/>
      <c r="C29" s="16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62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2"/>
    </row>
    <row r="30" customFormat="false" ht="15.75" hidden="false" customHeight="false" outlineLevel="0" collapsed="false">
      <c r="A30" s="1"/>
      <c r="B30" s="163"/>
      <c r="C30" s="163"/>
      <c r="D30" s="1"/>
      <c r="E30" s="1"/>
      <c r="F30" s="1"/>
      <c r="G30" s="1"/>
      <c r="H30" s="1"/>
      <c r="I30" s="1"/>
      <c r="J30" s="1"/>
      <c r="K30" s="162"/>
      <c r="L30" s="1"/>
      <c r="M30" s="1"/>
      <c r="N30" s="1"/>
      <c r="O30" s="1"/>
      <c r="P30" s="1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2"/>
    </row>
    <row r="31" customFormat="false" ht="15.7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62"/>
      <c r="L31" s="1"/>
      <c r="M31" s="1"/>
      <c r="N31" s="1"/>
      <c r="O31" s="1"/>
      <c r="P31" s="1"/>
      <c r="Q31" s="162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2"/>
    </row>
    <row r="32" customFormat="false" ht="15.75" hidden="false" customHeight="false" outlineLevel="0" collapsed="false">
      <c r="A32" s="1"/>
      <c r="B32" s="1"/>
      <c r="C32" s="163"/>
      <c r="D32" s="1"/>
      <c r="E32" s="1"/>
      <c r="F32" s="1"/>
      <c r="G32" s="1"/>
      <c r="H32" s="1"/>
      <c r="I32" s="1"/>
      <c r="J32" s="1"/>
      <c r="K32" s="162"/>
      <c r="L32" s="1"/>
      <c r="M32" s="1"/>
      <c r="N32" s="1"/>
      <c r="O32" s="1"/>
      <c r="P32" s="1"/>
      <c r="Q32" s="162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2"/>
    </row>
    <row r="33" customFormat="false" ht="15.75" hidden="false" customHeight="false" outlineLevel="0" collapsed="false">
      <c r="A33" s="1"/>
      <c r="B33" s="1"/>
      <c r="C33" s="16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62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2"/>
    </row>
    <row r="34" customFormat="false" ht="15.75" hidden="false" customHeight="false" outlineLevel="0" collapsed="false">
      <c r="A34" s="1"/>
      <c r="B34" s="163"/>
      <c r="C34" s="163"/>
      <c r="D34" s="1"/>
      <c r="E34" s="1"/>
      <c r="F34" s="1"/>
      <c r="G34" s="1"/>
      <c r="H34" s="1"/>
      <c r="I34" s="1"/>
      <c r="J34" s="1"/>
      <c r="K34" s="162"/>
      <c r="L34" s="1"/>
      <c r="M34" s="1"/>
      <c r="N34" s="1"/>
      <c r="O34" s="1"/>
      <c r="P34" s="1"/>
      <c r="Q34" s="162"/>
      <c r="R34" s="162"/>
      <c r="S34" s="162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2"/>
    </row>
    <row r="35" customFormat="false" ht="15.75" hidden="false" customHeight="false" outlineLevel="0" collapsed="false">
      <c r="A35" s="1"/>
      <c r="B35" s="1"/>
      <c r="C35" s="163"/>
      <c r="D35" s="1"/>
      <c r="E35" s="1"/>
      <c r="F35" s="1"/>
      <c r="G35" s="1"/>
      <c r="H35" s="1"/>
      <c r="I35" s="1"/>
      <c r="J35" s="1"/>
      <c r="K35" s="162"/>
      <c r="L35" s="1"/>
      <c r="M35" s="1"/>
      <c r="N35" s="1"/>
      <c r="O35" s="1"/>
      <c r="P35" s="1"/>
      <c r="Q35" s="162"/>
      <c r="R35" s="162"/>
      <c r="S35" s="162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2"/>
    </row>
    <row r="36" customFormat="false" ht="15.75" hidden="false" customHeight="false" outlineLevel="0" collapsed="false">
      <c r="A36" s="1"/>
      <c r="B36" s="1"/>
      <c r="C36" s="163"/>
      <c r="D36" s="1"/>
      <c r="E36" s="162"/>
      <c r="F36" s="1"/>
      <c r="G36" s="1"/>
      <c r="H36" s="1"/>
      <c r="I36" s="1"/>
      <c r="J36" s="1"/>
      <c r="K36" s="162"/>
      <c r="L36" s="1"/>
      <c r="M36" s="1"/>
      <c r="N36" s="1"/>
      <c r="O36" s="1"/>
      <c r="P36" s="1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</row>
    <row r="37" customFormat="false" ht="15.75" hidden="false" customHeight="false" outlineLevel="0" collapsed="false">
      <c r="A37" s="1"/>
      <c r="B37" s="1"/>
      <c r="C37" s="1"/>
      <c r="D37" s="1"/>
      <c r="E37" s="162"/>
      <c r="F37" s="1"/>
      <c r="G37" s="1"/>
      <c r="H37" s="1"/>
      <c r="I37" s="1"/>
      <c r="J37" s="1"/>
      <c r="K37" s="162"/>
      <c r="L37" s="1"/>
      <c r="M37" s="1"/>
      <c r="N37" s="1"/>
      <c r="O37" s="1"/>
      <c r="P37" s="1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</row>
    <row r="38" customFormat="false" ht="15.75" hidden="false" customHeight="false" outlineLevel="0" collapsed="false">
      <c r="A38" s="1"/>
      <c r="B38" s="1"/>
      <c r="C38" s="163"/>
      <c r="D38" s="1"/>
      <c r="E38" s="162"/>
      <c r="F38" s="1"/>
      <c r="G38" s="1"/>
      <c r="H38" s="1"/>
      <c r="I38" s="1"/>
      <c r="J38" s="1"/>
      <c r="K38" s="162"/>
      <c r="L38" s="1"/>
      <c r="M38" s="1"/>
      <c r="N38" s="1"/>
      <c r="O38" s="1"/>
      <c r="P38" s="1"/>
      <c r="Q38" s="162"/>
      <c r="R38" s="162"/>
      <c r="S38" s="162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2"/>
    </row>
    <row r="39" customFormat="false" ht="15.75" hidden="false" customHeight="false" outlineLevel="0" collapsed="false">
      <c r="A39" s="1"/>
      <c r="B39" s="1"/>
      <c r="C39" s="163"/>
      <c r="D39" s="1"/>
      <c r="E39" s="162"/>
      <c r="F39" s="1"/>
      <c r="G39" s="1"/>
      <c r="H39" s="1"/>
      <c r="I39" s="1"/>
      <c r="J39" s="1"/>
      <c r="K39" s="162"/>
      <c r="L39" s="1"/>
      <c r="M39" s="1"/>
      <c r="N39" s="1"/>
      <c r="O39" s="1"/>
      <c r="P39" s="1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</row>
    <row r="40" customFormat="false" ht="15.75" hidden="false" customHeight="false" outlineLevel="0" collapsed="false">
      <c r="A40" s="1"/>
      <c r="B40" s="163"/>
      <c r="C40" s="163"/>
      <c r="D40" s="1"/>
      <c r="E40" s="1"/>
      <c r="F40" s="1"/>
      <c r="G40" s="1"/>
      <c r="H40" s="1"/>
      <c r="I40" s="1"/>
      <c r="J40" s="1"/>
      <c r="K40" s="162"/>
      <c r="L40" s="1"/>
      <c r="M40" s="1"/>
      <c r="N40" s="1"/>
      <c r="O40" s="1"/>
      <c r="P40" s="1"/>
      <c r="Q40" s="162"/>
      <c r="R40" s="162"/>
      <c r="S40" s="162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2"/>
    </row>
    <row r="41" customFormat="false" ht="15.7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62"/>
      <c r="L41" s="1"/>
      <c r="M41" s="1"/>
      <c r="N41" s="1"/>
      <c r="O41" s="1"/>
      <c r="P41" s="1"/>
      <c r="Q41" s="162"/>
      <c r="R41" s="162"/>
      <c r="S41" s="162"/>
      <c r="T41" s="162"/>
      <c r="U41" s="162"/>
      <c r="V41" s="162"/>
      <c r="W41" s="162"/>
      <c r="X41" s="162"/>
      <c r="Y41" s="162"/>
      <c r="Z41" s="162"/>
      <c r="AA41" s="162"/>
      <c r="AB41" s="162"/>
      <c r="AC41" s="162"/>
      <c r="AD41" s="162"/>
      <c r="AE41" s="162"/>
      <c r="AF41" s="162"/>
    </row>
    <row r="42" customFormat="false" ht="15.75" hidden="false" customHeight="false" outlineLevel="0" collapsed="false">
      <c r="A42" s="1"/>
      <c r="B42" s="1"/>
      <c r="C42" s="163"/>
      <c r="D42" s="1"/>
      <c r="E42" s="162"/>
      <c r="F42" s="1"/>
      <c r="G42" s="1"/>
      <c r="H42" s="1"/>
      <c r="I42" s="1"/>
      <c r="J42" s="1"/>
      <c r="K42" s="162"/>
      <c r="L42" s="1"/>
      <c r="M42" s="1"/>
      <c r="N42" s="1"/>
      <c r="O42" s="1"/>
      <c r="P42" s="1"/>
      <c r="Q42" s="162"/>
      <c r="R42" s="162"/>
      <c r="S42" s="162"/>
      <c r="T42" s="162"/>
      <c r="U42" s="162"/>
      <c r="V42" s="162"/>
      <c r="W42" s="162"/>
      <c r="X42" s="162"/>
      <c r="Y42" s="162"/>
      <c r="Z42" s="162"/>
      <c r="AA42" s="162"/>
      <c r="AB42" s="162"/>
      <c r="AC42" s="162"/>
      <c r="AD42" s="162"/>
      <c r="AE42" s="162"/>
      <c r="AF42" s="162"/>
    </row>
    <row r="43" customFormat="false" ht="15.75" hidden="false" customHeight="false" outlineLevel="0" collapsed="false">
      <c r="A43" s="1"/>
      <c r="B43" s="1"/>
      <c r="C43" s="163"/>
      <c r="D43" s="1"/>
      <c r="E43" s="1"/>
      <c r="F43" s="1"/>
      <c r="G43" s="1"/>
      <c r="H43" s="1"/>
      <c r="I43" s="1"/>
      <c r="J43" s="1"/>
      <c r="K43" s="162"/>
      <c r="L43" s="1"/>
      <c r="M43" s="1"/>
      <c r="N43" s="1"/>
      <c r="O43" s="1"/>
      <c r="P43" s="1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2"/>
      <c r="AD43" s="162"/>
      <c r="AE43" s="162"/>
      <c r="AF43" s="162"/>
    </row>
    <row r="44" customFormat="false" ht="15.75" hidden="false" customHeight="false" outlineLevel="0" collapsed="false">
      <c r="A44" s="1"/>
      <c r="B44" s="1"/>
      <c r="C44" s="163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62"/>
      <c r="R44" s="162"/>
      <c r="S44" s="162"/>
      <c r="T44" s="162"/>
      <c r="U44" s="162"/>
      <c r="V44" s="162"/>
      <c r="W44" s="162"/>
      <c r="X44" s="162"/>
      <c r="Y44" s="162"/>
      <c r="Z44" s="162"/>
      <c r="AA44" s="162"/>
      <c r="AB44" s="162"/>
      <c r="AC44" s="162"/>
      <c r="AD44" s="162"/>
      <c r="AE44" s="162"/>
      <c r="AF44" s="162"/>
    </row>
    <row r="45" customFormat="false" ht="15.75" hidden="false" customHeight="false" outlineLevel="0" collapsed="false">
      <c r="A45" s="1"/>
      <c r="B45" s="1"/>
      <c r="C45" s="163"/>
      <c r="D45" s="1"/>
      <c r="E45" s="162"/>
      <c r="F45" s="1"/>
      <c r="G45" s="1"/>
      <c r="H45" s="1"/>
      <c r="I45" s="1"/>
      <c r="J45" s="1"/>
      <c r="K45" s="162"/>
      <c r="L45" s="1"/>
      <c r="M45" s="1"/>
      <c r="N45" s="1"/>
      <c r="O45" s="1"/>
      <c r="P45" s="1"/>
      <c r="Q45" s="162"/>
      <c r="R45" s="162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</row>
    <row r="46" customFormat="false" ht="15.75" hidden="false" customHeight="false" outlineLevel="0" collapsed="false">
      <c r="A46" s="1"/>
      <c r="B46" s="1"/>
      <c r="C46" s="163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62"/>
      <c r="R46" s="162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  <c r="AD46" s="162"/>
      <c r="AE46" s="162"/>
      <c r="AF46" s="162"/>
    </row>
    <row r="47" customFormat="false" ht="15.75" hidden="false" customHeight="false" outlineLevel="0" collapsed="false">
      <c r="A47" s="1"/>
      <c r="B47" s="163"/>
      <c r="C47" s="163"/>
      <c r="D47" s="1"/>
      <c r="E47" s="162"/>
      <c r="F47" s="1"/>
      <c r="G47" s="1"/>
      <c r="H47" s="1"/>
      <c r="I47" s="1"/>
      <c r="J47" s="1"/>
      <c r="K47" s="162"/>
      <c r="L47" s="1"/>
      <c r="M47" s="1"/>
      <c r="N47" s="1"/>
      <c r="O47" s="1"/>
      <c r="P47" s="1"/>
      <c r="Q47" s="162"/>
      <c r="R47" s="16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</row>
    <row r="48" customFormat="false" ht="15.75" hidden="false" customHeight="false" outlineLevel="0" collapsed="false">
      <c r="A48" s="1"/>
      <c r="B48" s="1"/>
      <c r="C48" s="163"/>
      <c r="D48" s="1"/>
      <c r="E48" s="162"/>
      <c r="F48" s="1"/>
      <c r="G48" s="1"/>
      <c r="H48" s="1"/>
      <c r="I48" s="1"/>
      <c r="J48" s="1"/>
      <c r="K48" s="162"/>
      <c r="L48" s="1"/>
      <c r="M48" s="1"/>
      <c r="N48" s="1"/>
      <c r="O48" s="1"/>
      <c r="P48" s="1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  <c r="AD48" s="162"/>
      <c r="AE48" s="162"/>
      <c r="AF48" s="162"/>
    </row>
    <row r="49" customFormat="false" ht="15.75" hidden="false" customHeight="false" outlineLevel="0" collapsed="false">
      <c r="A49" s="1"/>
      <c r="B49" s="1"/>
      <c r="C49" s="163"/>
      <c r="D49" s="1"/>
      <c r="E49" s="162"/>
      <c r="F49" s="1"/>
      <c r="G49" s="1"/>
      <c r="H49" s="1"/>
      <c r="I49" s="1"/>
      <c r="J49" s="1"/>
      <c r="K49" s="162"/>
      <c r="L49" s="1"/>
      <c r="M49" s="1"/>
      <c r="N49" s="1"/>
      <c r="O49" s="1"/>
      <c r="P49" s="1"/>
      <c r="Q49" s="162"/>
      <c r="R49" s="162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  <c r="AD49" s="162"/>
      <c r="AE49" s="162"/>
      <c r="AF49" s="162"/>
    </row>
    <row r="50" customFormat="false" ht="15.75" hidden="false" customHeight="false" outlineLevel="0" collapsed="false">
      <c r="A50" s="1"/>
      <c r="B50" s="1"/>
      <c r="C50" s="163"/>
      <c r="D50" s="1"/>
      <c r="E50" s="162"/>
      <c r="F50" s="1"/>
      <c r="G50" s="1"/>
      <c r="H50" s="1"/>
      <c r="I50" s="1"/>
      <c r="J50" s="1"/>
      <c r="K50" s="162"/>
      <c r="L50" s="1"/>
      <c r="M50" s="1"/>
      <c r="N50" s="1"/>
      <c r="O50" s="1"/>
      <c r="P50" s="1"/>
      <c r="Q50" s="162"/>
      <c r="R50" s="162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  <c r="AD50" s="162"/>
      <c r="AE50" s="162"/>
      <c r="AF50" s="162"/>
    </row>
    <row r="51" customFormat="false" ht="15.75" hidden="false" customHeight="false" outlineLevel="0" collapsed="false">
      <c r="A51" s="1"/>
      <c r="B51" s="1"/>
      <c r="C51" s="163"/>
      <c r="D51" s="1"/>
      <c r="E51" s="162"/>
      <c r="F51" s="1"/>
      <c r="G51" s="1"/>
      <c r="H51" s="1"/>
      <c r="I51" s="1"/>
      <c r="J51" s="1"/>
      <c r="K51" s="162"/>
      <c r="L51" s="1"/>
      <c r="M51" s="1"/>
      <c r="N51" s="1"/>
      <c r="O51" s="1"/>
      <c r="P51" s="1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</row>
    <row r="52" customFormat="false" ht="15.75" hidden="false" customHeight="false" outlineLevel="0" collapsed="false">
      <c r="A52" s="1"/>
      <c r="B52" s="1"/>
      <c r="C52" s="163"/>
      <c r="D52" s="1"/>
      <c r="E52" s="1"/>
      <c r="F52" s="1"/>
      <c r="G52" s="1"/>
      <c r="H52" s="1"/>
      <c r="I52" s="1"/>
      <c r="J52" s="1"/>
      <c r="K52" s="162"/>
      <c r="L52" s="1"/>
      <c r="M52" s="1"/>
      <c r="N52" s="1"/>
      <c r="O52" s="1"/>
      <c r="P52" s="1"/>
      <c r="Q52" s="162"/>
      <c r="R52" s="162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  <c r="AD52" s="162"/>
      <c r="AE52" s="162"/>
      <c r="AF52" s="162"/>
    </row>
    <row r="53" customFormat="false" ht="15.75" hidden="false" customHeight="false" outlineLevel="0" collapsed="false">
      <c r="A53" s="1"/>
      <c r="B53" s="163"/>
      <c r="C53" s="1"/>
      <c r="D53" s="1"/>
      <c r="E53" s="162"/>
      <c r="F53" s="1"/>
      <c r="G53" s="1"/>
      <c r="H53" s="1"/>
      <c r="I53" s="1"/>
      <c r="J53" s="1"/>
      <c r="K53" s="162"/>
      <c r="L53" s="1"/>
      <c r="M53" s="1"/>
      <c r="N53" s="1"/>
      <c r="O53" s="1"/>
      <c r="P53" s="1"/>
      <c r="Q53" s="162"/>
      <c r="R53" s="162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</row>
    <row r="54" customFormat="false" ht="15.75" hidden="false" customHeight="false" outlineLevel="0" collapsed="false">
      <c r="A54" s="1"/>
      <c r="B54" s="1"/>
      <c r="C54" s="163"/>
      <c r="D54" s="1"/>
      <c r="E54" s="162"/>
      <c r="F54" s="1"/>
      <c r="G54" s="1"/>
      <c r="H54" s="1"/>
      <c r="I54" s="1"/>
      <c r="J54" s="1"/>
      <c r="K54" s="162"/>
      <c r="L54" s="1"/>
      <c r="M54" s="1"/>
      <c r="N54" s="1"/>
      <c r="O54" s="1"/>
      <c r="P54" s="1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</row>
    <row r="55" customFormat="false" ht="15.75" hidden="false" customHeight="false" outlineLevel="0" collapsed="false">
      <c r="A55" s="1"/>
      <c r="B55" s="1"/>
      <c r="C55" s="16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62"/>
      <c r="R55" s="162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  <c r="AD55" s="162"/>
      <c r="AE55" s="162"/>
      <c r="AF55" s="162"/>
    </row>
    <row r="56" customFormat="false" ht="15.75" hidden="false" customHeight="false" outlineLevel="0" collapsed="false">
      <c r="A56" s="1"/>
      <c r="B56" s="1"/>
      <c r="C56" s="163"/>
      <c r="D56" s="1"/>
      <c r="E56" s="1"/>
      <c r="F56" s="1"/>
      <c r="G56" s="1"/>
      <c r="H56" s="1"/>
      <c r="I56" s="1"/>
      <c r="J56" s="1"/>
      <c r="K56" s="162"/>
      <c r="L56" s="1"/>
      <c r="M56" s="1"/>
      <c r="N56" s="1"/>
      <c r="O56" s="1"/>
      <c r="P56" s="1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  <c r="AD56" s="162"/>
      <c r="AE56" s="162"/>
      <c r="AF56" s="162"/>
    </row>
    <row r="57" customFormat="false" ht="15.75" hidden="false" customHeight="false" outlineLevel="0" collapsed="false">
      <c r="A57" s="1"/>
      <c r="B57" s="1"/>
      <c r="C57" s="163"/>
      <c r="D57" s="1"/>
      <c r="E57" s="162"/>
      <c r="F57" s="1"/>
      <c r="G57" s="1"/>
      <c r="H57" s="1"/>
      <c r="I57" s="1"/>
      <c r="J57" s="1"/>
      <c r="K57" s="162"/>
      <c r="L57" s="1"/>
      <c r="M57" s="1"/>
      <c r="N57" s="1"/>
      <c r="O57" s="1"/>
      <c r="P57" s="1"/>
      <c r="Q57" s="162"/>
      <c r="R57" s="162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  <c r="AD57" s="162"/>
      <c r="AE57" s="162"/>
      <c r="AF57" s="162"/>
    </row>
    <row r="58" customFormat="false" ht="15.75" hidden="false" customHeight="false" outlineLevel="0" collapsed="false">
      <c r="A58" s="1"/>
      <c r="B58" s="1"/>
      <c r="C58" s="1"/>
      <c r="D58" s="1"/>
      <c r="E58" s="162"/>
      <c r="F58" s="1"/>
      <c r="G58" s="1"/>
      <c r="H58" s="1"/>
      <c r="I58" s="1"/>
      <c r="J58" s="1"/>
      <c r="K58" s="162"/>
      <c r="L58" s="1"/>
      <c r="M58" s="1"/>
      <c r="N58" s="1"/>
      <c r="O58" s="1"/>
      <c r="P58" s="1"/>
      <c r="Q58" s="162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  <c r="AC58" s="162"/>
      <c r="AD58" s="162"/>
      <c r="AE58" s="162"/>
      <c r="AF58" s="162"/>
    </row>
    <row r="59" customFormat="false" ht="15.75" hidden="false" customHeight="false" outlineLevel="0" collapsed="false">
      <c r="A59" s="1"/>
      <c r="B59" s="1"/>
      <c r="C59" s="163"/>
      <c r="D59" s="1"/>
      <c r="E59" s="1"/>
      <c r="F59" s="1"/>
      <c r="G59" s="1"/>
      <c r="H59" s="1"/>
      <c r="I59" s="1"/>
      <c r="J59" s="1"/>
      <c r="K59" s="162"/>
      <c r="L59" s="1"/>
      <c r="M59" s="1"/>
      <c r="N59" s="1"/>
      <c r="O59" s="1"/>
      <c r="P59" s="1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</row>
    <row r="60" customFormat="false" ht="15.75" hidden="false" customHeight="false" outlineLevel="0" collapsed="false">
      <c r="A60" s="1"/>
      <c r="B60" s="1"/>
      <c r="C60" s="163"/>
      <c r="D60" s="1"/>
      <c r="E60" s="162"/>
      <c r="F60" s="1"/>
      <c r="G60" s="1"/>
      <c r="H60" s="1"/>
      <c r="I60" s="1"/>
      <c r="J60" s="1"/>
      <c r="K60" s="162"/>
      <c r="L60" s="1"/>
      <c r="M60" s="1"/>
      <c r="N60" s="1"/>
      <c r="O60" s="1"/>
      <c r="P60" s="1"/>
      <c r="Q60" s="162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  <c r="AC60" s="162"/>
      <c r="AD60" s="162"/>
      <c r="AE60" s="162"/>
      <c r="AF60" s="162"/>
    </row>
    <row r="61" customFormat="false" ht="15.75" hidden="false" customHeight="false" outlineLevel="0" collapsed="false">
      <c r="A61" s="1"/>
      <c r="B61" s="1"/>
      <c r="C61" s="163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  <c r="AC61" s="162"/>
      <c r="AD61" s="162"/>
      <c r="AE61" s="162"/>
      <c r="AF61" s="162"/>
    </row>
    <row r="62" customFormat="false" ht="15.75" hidden="false" customHeight="false" outlineLevel="0" collapsed="false">
      <c r="A62" s="1"/>
      <c r="B62" s="1"/>
      <c r="C62" s="163"/>
      <c r="D62" s="1"/>
      <c r="E62" s="1"/>
      <c r="F62" s="1"/>
      <c r="G62" s="1"/>
      <c r="H62" s="1"/>
      <c r="I62" s="1"/>
      <c r="J62" s="1"/>
      <c r="K62" s="162"/>
      <c r="L62" s="1"/>
      <c r="M62" s="1"/>
      <c r="N62" s="1"/>
      <c r="O62" s="1"/>
      <c r="P62" s="1"/>
      <c r="Q62" s="162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  <c r="AC62" s="162"/>
      <c r="AD62" s="162"/>
      <c r="AE62" s="162"/>
      <c r="AF62" s="162"/>
    </row>
    <row r="63" customFormat="false" ht="15.75" hidden="false" customHeight="false" outlineLevel="0" collapsed="false">
      <c r="A63" s="1"/>
      <c r="B63" s="1"/>
      <c r="C63" s="163"/>
      <c r="D63" s="1"/>
      <c r="E63" s="1"/>
      <c r="F63" s="1"/>
      <c r="G63" s="1"/>
      <c r="H63" s="1"/>
      <c r="I63" s="1"/>
      <c r="J63" s="1"/>
      <c r="K63" s="162"/>
      <c r="L63" s="1"/>
      <c r="M63" s="1"/>
      <c r="N63" s="1"/>
      <c r="O63" s="1"/>
      <c r="P63" s="1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  <c r="AC63" s="162"/>
      <c r="AD63" s="162"/>
      <c r="AE63" s="162"/>
      <c r="AF63" s="162"/>
    </row>
    <row r="64" customFormat="false" ht="15.7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62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  <c r="AD64" s="162"/>
      <c r="AE64" s="162"/>
      <c r="AF64" s="162"/>
    </row>
    <row r="65" customFormat="false" ht="15.75" hidden="false" customHeight="false" outlineLevel="0" collapsed="false">
      <c r="A65" s="1"/>
      <c r="B65" s="1"/>
      <c r="C65" s="16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62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  <c r="AD65" s="162"/>
      <c r="AE65" s="162"/>
      <c r="AF65" s="162"/>
    </row>
    <row r="66" customFormat="false" ht="15.75" hidden="false" customHeight="false" outlineLevel="0" collapsed="false">
      <c r="A66" s="1"/>
      <c r="B66" s="1"/>
      <c r="C66" s="163"/>
      <c r="D66" s="1"/>
      <c r="E66" s="162"/>
      <c r="F66" s="1"/>
      <c r="G66" s="1"/>
      <c r="H66" s="1"/>
      <c r="I66" s="1"/>
      <c r="J66" s="1"/>
      <c r="K66" s="162"/>
      <c r="L66" s="1"/>
      <c r="M66" s="1"/>
      <c r="N66" s="1"/>
      <c r="O66" s="1"/>
      <c r="P66" s="1"/>
      <c r="Q66" s="162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  <c r="AD66" s="162"/>
      <c r="AE66" s="162"/>
      <c r="AF66" s="162"/>
    </row>
    <row r="67" customFormat="false" ht="15.75" hidden="false" customHeight="false" outlineLevel="0" collapsed="false">
      <c r="A67" s="1"/>
      <c r="B67" s="1"/>
      <c r="C67" s="163"/>
      <c r="D67" s="1"/>
      <c r="E67" s="162"/>
      <c r="F67" s="1"/>
      <c r="G67" s="1"/>
      <c r="H67" s="1"/>
      <c r="I67" s="1"/>
      <c r="J67" s="1"/>
      <c r="K67" s="162"/>
      <c r="L67" s="1"/>
      <c r="M67" s="1"/>
      <c r="N67" s="1"/>
      <c r="O67" s="1"/>
      <c r="P67" s="1"/>
      <c r="Q67" s="162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  <c r="AD67" s="162"/>
      <c r="AE67" s="162"/>
      <c r="AF67" s="162"/>
    </row>
    <row r="68" customFormat="false" ht="15.75" hidden="false" customHeight="false" outlineLevel="0" collapsed="false">
      <c r="A68" s="1"/>
      <c r="B68" s="1"/>
      <c r="C68" s="163"/>
      <c r="D68" s="1"/>
      <c r="E68" s="1"/>
      <c r="F68" s="1"/>
      <c r="G68" s="1"/>
      <c r="H68" s="1"/>
      <c r="I68" s="1"/>
      <c r="J68" s="1"/>
      <c r="K68" s="162"/>
      <c r="L68" s="1"/>
      <c r="M68" s="1"/>
      <c r="N68" s="1"/>
      <c r="O68" s="1"/>
      <c r="P68" s="1"/>
      <c r="Q68" s="162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  <c r="AD68" s="162"/>
      <c r="AE68" s="162"/>
      <c r="AF68" s="162"/>
    </row>
    <row r="69" customFormat="false" ht="15.75" hidden="false" customHeight="false" outlineLevel="0" collapsed="false">
      <c r="A69" s="1"/>
      <c r="B69" s="1"/>
      <c r="C69" s="163"/>
      <c r="D69" s="1"/>
      <c r="E69" s="162"/>
      <c r="F69" s="1"/>
      <c r="G69" s="1"/>
      <c r="H69" s="1"/>
      <c r="I69" s="1"/>
      <c r="J69" s="1"/>
      <c r="K69" s="162"/>
      <c r="L69" s="1"/>
      <c r="M69" s="1"/>
      <c r="N69" s="1"/>
      <c r="O69" s="1"/>
      <c r="P69" s="1"/>
      <c r="Q69" s="162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  <c r="AD69" s="162"/>
      <c r="AE69" s="162"/>
      <c r="AF69" s="162"/>
    </row>
    <row r="70" customFormat="false" ht="15.75" hidden="false" customHeight="false" outlineLevel="0" collapsed="false">
      <c r="A70" s="1"/>
      <c r="B70" s="1"/>
      <c r="C70" s="163"/>
      <c r="D70" s="1"/>
      <c r="E70" s="1"/>
      <c r="F70" s="1"/>
      <c r="G70" s="1"/>
      <c r="H70" s="1"/>
      <c r="I70" s="1"/>
      <c r="J70" s="1"/>
      <c r="K70" s="162"/>
      <c r="L70" s="1"/>
      <c r="M70" s="1"/>
      <c r="N70" s="1"/>
      <c r="O70" s="1"/>
      <c r="P70" s="1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  <c r="AD70" s="162"/>
      <c r="AE70" s="162"/>
      <c r="AF70" s="162"/>
    </row>
    <row r="71" customFormat="false" ht="15.75" hidden="false" customHeight="false" outlineLevel="0" collapsed="false">
      <c r="A71" s="1"/>
      <c r="B71" s="1"/>
      <c r="C71" s="163"/>
      <c r="D71" s="1"/>
      <c r="E71" s="1"/>
      <c r="F71" s="1"/>
      <c r="G71" s="1"/>
      <c r="H71" s="1"/>
      <c r="I71" s="1"/>
      <c r="J71" s="1"/>
      <c r="K71" s="162"/>
      <c r="L71" s="1"/>
      <c r="M71" s="1"/>
      <c r="N71" s="1"/>
      <c r="O71" s="1"/>
      <c r="P71" s="1"/>
      <c r="Q71" s="162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  <c r="AD71" s="162"/>
      <c r="AE71" s="162"/>
      <c r="AF71" s="162"/>
    </row>
    <row r="72" customFormat="false" ht="15.7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62"/>
      <c r="L72" s="1"/>
      <c r="M72" s="1"/>
      <c r="N72" s="1"/>
      <c r="O72" s="1"/>
      <c r="P72" s="1"/>
      <c r="Q72" s="162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  <c r="AD72" s="162"/>
      <c r="AE72" s="162"/>
      <c r="AF72" s="162"/>
    </row>
    <row r="73" customFormat="false" ht="15.75" hidden="false" customHeight="false" outlineLevel="0" collapsed="false">
      <c r="A73" s="1"/>
      <c r="B73" s="1"/>
      <c r="C73" s="163"/>
      <c r="D73" s="1"/>
      <c r="E73" s="1"/>
      <c r="F73" s="1"/>
      <c r="G73" s="1"/>
      <c r="H73" s="1"/>
      <c r="I73" s="1"/>
      <c r="J73" s="1"/>
      <c r="K73" s="162"/>
      <c r="L73" s="1"/>
      <c r="M73" s="1"/>
      <c r="N73" s="1"/>
      <c r="O73" s="1"/>
      <c r="P73" s="1"/>
      <c r="Q73" s="162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  <c r="AD73" s="162"/>
      <c r="AE73" s="162"/>
      <c r="AF73" s="162"/>
    </row>
    <row r="74" customFormat="false" ht="15.75" hidden="false" customHeight="false" outlineLevel="0" collapsed="false">
      <c r="A74" s="1"/>
      <c r="B74" s="1"/>
      <c r="C74" s="163"/>
      <c r="D74" s="1"/>
      <c r="E74" s="1"/>
      <c r="F74" s="1"/>
      <c r="G74" s="1"/>
      <c r="H74" s="1"/>
      <c r="I74" s="1"/>
      <c r="J74" s="1"/>
      <c r="K74" s="162"/>
      <c r="L74" s="1"/>
      <c r="M74" s="1"/>
      <c r="N74" s="1"/>
      <c r="O74" s="1"/>
      <c r="P74" s="1"/>
      <c r="Q74" s="162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  <c r="AD74" s="162"/>
      <c r="AE74" s="162"/>
      <c r="AF74" s="162"/>
    </row>
    <row r="75" customFormat="false" ht="15.75" hidden="false" customHeight="false" outlineLevel="0" collapsed="false">
      <c r="A75" s="1"/>
      <c r="B75" s="1"/>
      <c r="C75" s="1"/>
      <c r="D75" s="1"/>
      <c r="E75" s="162"/>
      <c r="F75" s="1"/>
      <c r="G75" s="1"/>
      <c r="H75" s="1"/>
      <c r="I75" s="1"/>
      <c r="J75" s="1"/>
      <c r="K75" s="162"/>
      <c r="L75" s="1"/>
      <c r="M75" s="1"/>
      <c r="N75" s="1"/>
      <c r="O75" s="1"/>
      <c r="P75" s="1"/>
      <c r="Q75" s="162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  <c r="AD75" s="162"/>
      <c r="AE75" s="162"/>
      <c r="AF75" s="162"/>
    </row>
    <row r="76" customFormat="false" ht="15.7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62"/>
      <c r="L76" s="1"/>
      <c r="M76" s="1"/>
      <c r="N76" s="1"/>
      <c r="O76" s="1"/>
      <c r="P76" s="1"/>
      <c r="Q76" s="162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  <c r="AD76" s="162"/>
      <c r="AE76" s="162"/>
      <c r="AF76" s="162"/>
    </row>
    <row r="77" customFormat="false" ht="15.75" hidden="false" customHeight="false" outlineLevel="0" collapsed="false">
      <c r="A77" s="1"/>
      <c r="B77" s="1"/>
      <c r="C77" s="1"/>
      <c r="D77" s="1"/>
      <c r="E77" s="162"/>
      <c r="F77" s="1"/>
      <c r="G77" s="1"/>
      <c r="H77" s="1"/>
      <c r="I77" s="1"/>
      <c r="J77" s="1"/>
      <c r="K77" s="162"/>
      <c r="L77" s="1"/>
      <c r="M77" s="1"/>
      <c r="N77" s="1"/>
      <c r="O77" s="1"/>
      <c r="P77" s="1"/>
      <c r="Q77" s="162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  <c r="AD77" s="162"/>
      <c r="AE77" s="162"/>
      <c r="AF77" s="162"/>
    </row>
    <row r="78" customFormat="false" ht="15.75" hidden="false" customHeight="false" outlineLevel="0" collapsed="false">
      <c r="A78" s="1"/>
      <c r="B78" s="1"/>
      <c r="C78" s="163"/>
      <c r="D78" s="1"/>
      <c r="E78" s="162"/>
      <c r="F78" s="1"/>
      <c r="G78" s="1"/>
      <c r="H78" s="1"/>
      <c r="I78" s="1"/>
      <c r="J78" s="1"/>
      <c r="K78" s="162"/>
      <c r="L78" s="1"/>
      <c r="M78" s="1"/>
      <c r="N78" s="1"/>
      <c r="O78" s="1"/>
      <c r="P78" s="1"/>
      <c r="Q78" s="162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</row>
    <row r="79" customFormat="false" ht="15.75" hidden="false" customHeight="false" outlineLevel="0" collapsed="false">
      <c r="A79" s="1"/>
      <c r="B79" s="1"/>
      <c r="C79" s="163"/>
      <c r="D79" s="1"/>
      <c r="E79" s="162"/>
      <c r="F79" s="1"/>
      <c r="G79" s="1"/>
      <c r="H79" s="1"/>
      <c r="I79" s="1"/>
      <c r="J79" s="1"/>
      <c r="K79" s="162"/>
      <c r="L79" s="1"/>
      <c r="M79" s="1"/>
      <c r="N79" s="1"/>
      <c r="O79" s="1"/>
      <c r="P79" s="1"/>
      <c r="Q79" s="162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  <c r="AD79" s="162"/>
      <c r="AE79" s="162"/>
      <c r="AF79" s="162"/>
    </row>
    <row r="80" customFormat="false" ht="15.75" hidden="false" customHeight="false" outlineLevel="0" collapsed="false">
      <c r="A80" s="1"/>
      <c r="B80" s="1"/>
      <c r="C80" s="163"/>
      <c r="D80" s="1"/>
      <c r="E80" s="162"/>
      <c r="F80" s="1"/>
      <c r="G80" s="1"/>
      <c r="H80" s="1"/>
      <c r="I80" s="1"/>
      <c r="J80" s="1"/>
      <c r="K80" s="162"/>
      <c r="L80" s="1"/>
      <c r="M80" s="1"/>
      <c r="N80" s="1"/>
      <c r="O80" s="1"/>
      <c r="P80" s="1"/>
      <c r="Q80" s="162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  <c r="AD80" s="162"/>
      <c r="AE80" s="162"/>
      <c r="AF80" s="162"/>
    </row>
    <row r="81" customFormat="false" ht="15.75" hidden="false" customHeight="false" outlineLevel="0" collapsed="false">
      <c r="A81" s="1"/>
      <c r="B81" s="1"/>
      <c r="C81" s="1"/>
      <c r="D81" s="1"/>
      <c r="E81" s="162"/>
      <c r="F81" s="1"/>
      <c r="G81" s="1"/>
      <c r="H81" s="1"/>
      <c r="I81" s="1"/>
      <c r="J81" s="1"/>
      <c r="K81" s="162"/>
      <c r="L81" s="1"/>
      <c r="M81" s="1"/>
      <c r="N81" s="1"/>
      <c r="O81" s="1"/>
      <c r="P81" s="1"/>
      <c r="Q81" s="162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  <c r="AD81" s="162"/>
      <c r="AE81" s="162"/>
      <c r="AF81" s="162"/>
    </row>
    <row r="82" customFormat="false" ht="15.75" hidden="false" customHeight="false" outlineLevel="0" collapsed="false">
      <c r="A82" s="1"/>
      <c r="B82" s="1"/>
      <c r="C82" s="1"/>
      <c r="D82" s="1"/>
      <c r="E82" s="162"/>
      <c r="F82" s="1"/>
      <c r="G82" s="1"/>
      <c r="H82" s="1"/>
      <c r="I82" s="1"/>
      <c r="J82" s="1"/>
      <c r="K82" s="162"/>
      <c r="L82" s="1"/>
      <c r="M82" s="1"/>
      <c r="N82" s="1"/>
      <c r="O82" s="1"/>
      <c r="P82" s="1"/>
      <c r="Q82" s="162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</row>
    <row r="83" customFormat="false" ht="15.75" hidden="false" customHeight="false" outlineLevel="0" collapsed="false">
      <c r="A83" s="1"/>
      <c r="B83" s="1"/>
      <c r="C83" s="163"/>
      <c r="D83" s="1"/>
      <c r="E83" s="1"/>
      <c r="F83" s="1"/>
      <c r="G83" s="1"/>
      <c r="H83" s="1"/>
      <c r="I83" s="1"/>
      <c r="J83" s="1"/>
      <c r="K83" s="162"/>
      <c r="L83" s="1"/>
      <c r="M83" s="1"/>
      <c r="N83" s="1"/>
      <c r="O83" s="1"/>
      <c r="P83" s="1"/>
      <c r="Q83" s="162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</row>
    <row r="84" customFormat="false" ht="15.75" hidden="false" customHeight="false" outlineLevel="0" collapsed="false">
      <c r="A84" s="1"/>
      <c r="B84" s="1"/>
      <c r="C84" s="1"/>
      <c r="D84" s="1"/>
      <c r="E84" s="162"/>
      <c r="F84" s="1"/>
      <c r="G84" s="1"/>
      <c r="H84" s="1"/>
      <c r="I84" s="1"/>
      <c r="J84" s="1"/>
      <c r="K84" s="162"/>
      <c r="L84" s="1"/>
      <c r="M84" s="1"/>
      <c r="N84" s="1"/>
      <c r="O84" s="1"/>
      <c r="P84" s="1"/>
      <c r="Q84" s="162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  <c r="AD84" s="162"/>
      <c r="AE84" s="162"/>
      <c r="AF84" s="162"/>
    </row>
    <row r="85" customFormat="false" ht="15.75" hidden="false" customHeight="false" outlineLevel="0" collapsed="false">
      <c r="A85" s="1"/>
      <c r="B85" s="163"/>
      <c r="C85" s="163"/>
      <c r="D85" s="1"/>
      <c r="E85" s="162"/>
      <c r="F85" s="1"/>
      <c r="G85" s="1"/>
      <c r="H85" s="1"/>
      <c r="I85" s="1"/>
      <c r="J85" s="1"/>
      <c r="K85" s="162"/>
      <c r="L85" s="1"/>
      <c r="M85" s="1"/>
      <c r="N85" s="1"/>
      <c r="O85" s="1"/>
      <c r="P85" s="1"/>
      <c r="Q85" s="162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  <c r="AD85" s="162"/>
      <c r="AE85" s="162"/>
      <c r="AF85" s="162"/>
    </row>
    <row r="86" customFormat="false" ht="15.75" hidden="false" customHeight="false" outlineLevel="0" collapsed="false">
      <c r="A86" s="1"/>
      <c r="B86" s="1"/>
      <c r="C86" s="163"/>
      <c r="D86" s="1"/>
      <c r="E86" s="162"/>
      <c r="F86" s="1"/>
      <c r="G86" s="1"/>
      <c r="H86" s="1"/>
      <c r="I86" s="1"/>
      <c r="J86" s="1"/>
      <c r="K86" s="162"/>
      <c r="L86" s="1"/>
      <c r="M86" s="1"/>
      <c r="N86" s="1"/>
      <c r="O86" s="1"/>
      <c r="P86" s="1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  <c r="AD86" s="162"/>
      <c r="AE86" s="162"/>
      <c r="AF86" s="162"/>
    </row>
    <row r="87" customFormat="false" ht="15.75" hidden="false" customHeight="false" outlineLevel="0" collapsed="false">
      <c r="A87" s="1"/>
      <c r="B87" s="1"/>
      <c r="C87" s="163"/>
      <c r="D87" s="1"/>
      <c r="E87" s="162"/>
      <c r="F87" s="1"/>
      <c r="G87" s="1"/>
      <c r="H87" s="1"/>
      <c r="I87" s="1"/>
      <c r="J87" s="1"/>
      <c r="K87" s="162"/>
      <c r="L87" s="1"/>
      <c r="M87" s="1"/>
      <c r="N87" s="1"/>
      <c r="O87" s="1"/>
      <c r="P87" s="1"/>
      <c r="Q87" s="162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  <c r="AD87" s="162"/>
      <c r="AE87" s="162"/>
      <c r="AF87" s="162"/>
    </row>
    <row r="88" customFormat="false" ht="15.75" hidden="false" customHeight="false" outlineLevel="0" collapsed="false">
      <c r="A88" s="1"/>
      <c r="B88" s="1"/>
      <c r="C88" s="163"/>
      <c r="D88" s="1"/>
      <c r="E88" s="1"/>
      <c r="F88" s="1"/>
      <c r="G88" s="1"/>
      <c r="H88" s="1"/>
      <c r="I88" s="1"/>
      <c r="J88" s="1"/>
      <c r="K88" s="162"/>
      <c r="L88" s="1"/>
      <c r="M88" s="1"/>
      <c r="N88" s="1"/>
      <c r="O88" s="1"/>
      <c r="P88" s="1"/>
      <c r="Q88" s="162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  <c r="AD88" s="162"/>
      <c r="AE88" s="162"/>
      <c r="AF88" s="162"/>
    </row>
    <row r="89" customFormat="false" ht="15.75" hidden="false" customHeight="false" outlineLevel="0" collapsed="false">
      <c r="A89" s="1"/>
      <c r="B89" s="1"/>
      <c r="C89" s="163"/>
      <c r="D89" s="1"/>
      <c r="E89" s="162"/>
      <c r="F89" s="1"/>
      <c r="G89" s="1"/>
      <c r="H89" s="1"/>
      <c r="I89" s="1"/>
      <c r="J89" s="1"/>
      <c r="K89" s="162"/>
      <c r="L89" s="1"/>
      <c r="M89" s="1"/>
      <c r="N89" s="1"/>
      <c r="O89" s="1"/>
      <c r="P89" s="1"/>
      <c r="Q89" s="162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  <c r="AD89" s="162"/>
      <c r="AE89" s="162"/>
      <c r="AF89" s="162"/>
    </row>
    <row r="90" customFormat="false" ht="15.75" hidden="false" customHeight="false" outlineLevel="0" collapsed="false">
      <c r="A90" s="1"/>
      <c r="B90" s="1"/>
      <c r="C90" s="163"/>
      <c r="D90" s="1"/>
      <c r="E90" s="162"/>
      <c r="F90" s="1"/>
      <c r="G90" s="1"/>
      <c r="H90" s="1"/>
      <c r="I90" s="1"/>
      <c r="J90" s="1"/>
      <c r="K90" s="162"/>
      <c r="L90" s="1"/>
      <c r="M90" s="1"/>
      <c r="N90" s="1"/>
      <c r="O90" s="1"/>
      <c r="P90" s="1"/>
      <c r="Q90" s="162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  <c r="AD90" s="162"/>
      <c r="AE90" s="162"/>
      <c r="AF90" s="162"/>
    </row>
    <row r="91" customFormat="false" ht="15.75" hidden="false" customHeight="false" outlineLevel="0" collapsed="false">
      <c r="A91" s="1"/>
      <c r="B91" s="1"/>
      <c r="C91" s="163"/>
      <c r="D91" s="1"/>
      <c r="E91" s="162"/>
      <c r="F91" s="1"/>
      <c r="G91" s="1"/>
      <c r="H91" s="1"/>
      <c r="I91" s="1"/>
      <c r="J91" s="1"/>
      <c r="K91" s="162"/>
      <c r="L91" s="1"/>
      <c r="M91" s="1"/>
      <c r="N91" s="1"/>
      <c r="O91" s="1"/>
      <c r="P91" s="1"/>
      <c r="Q91" s="162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  <c r="AD91" s="162"/>
      <c r="AE91" s="162"/>
      <c r="AF91" s="162"/>
    </row>
    <row r="92" customFormat="false" ht="15.75" hidden="false" customHeight="false" outlineLevel="0" collapsed="false">
      <c r="A92" s="1"/>
      <c r="B92" s="1"/>
      <c r="C92" s="163"/>
      <c r="D92" s="1"/>
      <c r="E92" s="162"/>
      <c r="F92" s="1"/>
      <c r="G92" s="1"/>
      <c r="H92" s="1"/>
      <c r="I92" s="1"/>
      <c r="J92" s="1"/>
      <c r="K92" s="162"/>
      <c r="L92" s="1"/>
      <c r="M92" s="1"/>
      <c r="N92" s="1"/>
      <c r="O92" s="1"/>
      <c r="P92" s="1"/>
      <c r="Q92" s="162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  <c r="AD92" s="162"/>
      <c r="AE92" s="162"/>
      <c r="AF92" s="162"/>
    </row>
    <row r="93" customFormat="false" ht="15.75" hidden="false" customHeight="false" outlineLevel="0" collapsed="false">
      <c r="A93" s="1"/>
      <c r="B93" s="1"/>
      <c r="C93" s="163"/>
      <c r="D93" s="1"/>
      <c r="E93" s="1"/>
      <c r="F93" s="1"/>
      <c r="G93" s="1"/>
      <c r="H93" s="1"/>
      <c r="I93" s="1"/>
      <c r="J93" s="1"/>
      <c r="K93" s="162"/>
      <c r="L93" s="1"/>
      <c r="M93" s="1"/>
      <c r="N93" s="1"/>
      <c r="O93" s="1"/>
      <c r="P93" s="1"/>
      <c r="Q93" s="162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  <c r="AD93" s="162"/>
      <c r="AE93" s="162"/>
      <c r="AF93" s="162"/>
    </row>
    <row r="94" customFormat="false" ht="15.75" hidden="false" customHeight="false" outlineLevel="0" collapsed="false">
      <c r="A94" s="1"/>
      <c r="B94" s="1"/>
      <c r="C94" s="16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62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  <c r="AD94" s="162"/>
      <c r="AE94" s="162"/>
      <c r="AF94" s="162"/>
    </row>
    <row r="95" customFormat="false" ht="15.75" hidden="false" customHeight="false" outlineLevel="0" collapsed="false">
      <c r="A95" s="1"/>
      <c r="B95" s="163"/>
      <c r="C95" s="163"/>
      <c r="D95" s="1"/>
      <c r="E95" s="1"/>
      <c r="F95" s="1"/>
      <c r="G95" s="1"/>
      <c r="H95" s="1"/>
      <c r="I95" s="1"/>
      <c r="J95" s="1"/>
      <c r="K95" s="162"/>
      <c r="L95" s="1"/>
      <c r="M95" s="1"/>
      <c r="N95" s="1"/>
      <c r="O95" s="1"/>
      <c r="P95" s="1"/>
      <c r="Q95" s="162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  <c r="AD95" s="162"/>
      <c r="AE95" s="162"/>
      <c r="AF95" s="162"/>
    </row>
    <row r="96" customFormat="false" ht="15.75" hidden="false" customHeight="false" outlineLevel="0" collapsed="false">
      <c r="A96" s="1"/>
      <c r="B96" s="1"/>
      <c r="C96" s="16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62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  <c r="AD96" s="162"/>
      <c r="AE96" s="162"/>
      <c r="AF96" s="162"/>
    </row>
    <row r="97" customFormat="false" ht="15.7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62"/>
      <c r="L97" s="1"/>
      <c r="M97" s="1"/>
      <c r="N97" s="1"/>
      <c r="O97" s="1"/>
      <c r="P97" s="1"/>
      <c r="Q97" s="162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  <c r="AD97" s="162"/>
      <c r="AE97" s="162"/>
      <c r="AF97" s="162"/>
    </row>
    <row r="98" customFormat="false" ht="15.75" hidden="false" customHeight="false" outlineLevel="0" collapsed="false">
      <c r="A98" s="1"/>
      <c r="B98" s="1"/>
      <c r="C98" s="16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62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  <c r="AD98" s="162"/>
      <c r="AE98" s="162"/>
      <c r="AF98" s="162"/>
    </row>
    <row r="99" customFormat="false" ht="15.75" hidden="false" customHeight="false" outlineLevel="0" collapsed="false">
      <c r="A99" s="1"/>
      <c r="B99" s="1"/>
      <c r="C99" s="163"/>
      <c r="D99" s="1"/>
      <c r="E99" s="1"/>
      <c r="F99" s="1"/>
      <c r="G99" s="1"/>
      <c r="H99" s="1"/>
      <c r="I99" s="1"/>
      <c r="J99" s="1"/>
      <c r="K99" s="162"/>
      <c r="L99" s="1"/>
      <c r="M99" s="1"/>
      <c r="N99" s="1"/>
      <c r="O99" s="1"/>
      <c r="P99" s="1"/>
      <c r="Q99" s="162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  <c r="AD99" s="162"/>
      <c r="AE99" s="162"/>
      <c r="AF99" s="162"/>
    </row>
    <row r="100" customFormat="false" ht="15.75" hidden="false" customHeight="false" outlineLevel="0" collapsed="false">
      <c r="A100" s="1"/>
      <c r="B100" s="1"/>
      <c r="C100" s="163"/>
      <c r="D100" s="1"/>
      <c r="E100" s="1"/>
      <c r="F100" s="1"/>
      <c r="G100" s="1"/>
      <c r="H100" s="1"/>
      <c r="I100" s="1"/>
      <c r="J100" s="1"/>
      <c r="K100" s="162"/>
      <c r="L100" s="1"/>
      <c r="M100" s="1"/>
      <c r="N100" s="1"/>
      <c r="O100" s="1"/>
      <c r="P100" s="1"/>
      <c r="Q100" s="162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  <c r="AD100" s="162"/>
      <c r="AE100" s="162"/>
      <c r="AF100" s="162"/>
    </row>
    <row r="101" customFormat="false" ht="15.75" hidden="false" customHeight="false" outlineLevel="0" collapsed="false">
      <c r="A101" s="1"/>
      <c r="B101" s="1"/>
      <c r="C101" s="163"/>
      <c r="D101" s="1"/>
      <c r="E101" s="162"/>
      <c r="F101" s="1"/>
      <c r="G101" s="1"/>
      <c r="H101" s="1"/>
      <c r="I101" s="1"/>
      <c r="J101" s="1"/>
      <c r="K101" s="162"/>
      <c r="L101" s="1"/>
      <c r="M101" s="1"/>
      <c r="N101" s="1"/>
      <c r="O101" s="1"/>
      <c r="P101" s="1"/>
      <c r="Q101" s="16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  <c r="AD101" s="162"/>
      <c r="AE101" s="162"/>
      <c r="AF101" s="162"/>
    </row>
    <row r="102" customFormat="false" ht="15.75" hidden="false" customHeight="false" outlineLevel="0" collapsed="false">
      <c r="A102" s="1"/>
      <c r="B102" s="1"/>
      <c r="C102" s="163"/>
      <c r="D102" s="1"/>
      <c r="E102" s="162"/>
      <c r="F102" s="1"/>
      <c r="G102" s="1"/>
      <c r="H102" s="1"/>
      <c r="I102" s="1"/>
      <c r="J102" s="1"/>
      <c r="K102" s="162"/>
      <c r="L102" s="1"/>
      <c r="M102" s="1"/>
      <c r="N102" s="1"/>
      <c r="O102" s="1"/>
      <c r="P102" s="1"/>
      <c r="Q102" s="16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  <c r="AD102" s="162"/>
      <c r="AE102" s="162"/>
      <c r="AF102" s="162"/>
    </row>
    <row r="103" customFormat="false" ht="15.75" hidden="false" customHeight="false" outlineLevel="0" collapsed="false">
      <c r="A103" s="1"/>
      <c r="B103" s="1"/>
      <c r="C103" s="163"/>
      <c r="D103" s="1"/>
      <c r="E103" s="1"/>
      <c r="F103" s="1"/>
      <c r="G103" s="1"/>
      <c r="H103" s="1"/>
      <c r="I103" s="1"/>
      <c r="J103" s="1"/>
      <c r="K103" s="162"/>
      <c r="L103" s="1"/>
      <c r="M103" s="1"/>
      <c r="N103" s="1"/>
      <c r="O103" s="1"/>
      <c r="P103" s="1"/>
      <c r="Q103" s="162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  <c r="AD103" s="162"/>
      <c r="AE103" s="162"/>
      <c r="AF103" s="162"/>
    </row>
    <row r="104" customFormat="false" ht="15.75" hidden="false" customHeight="false" outlineLevel="0" collapsed="false">
      <c r="A104" s="1"/>
      <c r="B104" s="1"/>
      <c r="C104" s="16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62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  <c r="AD104" s="162"/>
      <c r="AE104" s="162"/>
      <c r="AF104" s="162"/>
    </row>
    <row r="105" customFormat="false" ht="15.75" hidden="false" customHeight="false" outlineLevel="0" collapsed="false">
      <c r="A105" s="1"/>
      <c r="B105" s="1"/>
      <c r="C105" s="163"/>
      <c r="D105" s="1"/>
      <c r="E105" s="162"/>
      <c r="F105" s="1"/>
      <c r="G105" s="1"/>
      <c r="H105" s="1"/>
      <c r="I105" s="1"/>
      <c r="J105" s="1"/>
      <c r="K105" s="162"/>
      <c r="L105" s="1"/>
      <c r="M105" s="1"/>
      <c r="N105" s="1"/>
      <c r="O105" s="1"/>
      <c r="P105" s="1"/>
      <c r="Q105" s="16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  <c r="AD105" s="162"/>
      <c r="AE105" s="162"/>
      <c r="AF105" s="162"/>
    </row>
    <row r="106" customFormat="false" ht="15.75" hidden="false" customHeight="false" outlineLevel="0" collapsed="false">
      <c r="A106" s="1"/>
      <c r="B106" s="1"/>
      <c r="C106" s="1"/>
      <c r="D106" s="1"/>
      <c r="E106" s="162"/>
      <c r="F106" s="1"/>
      <c r="G106" s="1"/>
      <c r="H106" s="1"/>
      <c r="I106" s="1"/>
      <c r="J106" s="1"/>
      <c r="K106" s="162"/>
      <c r="L106" s="1"/>
      <c r="M106" s="1"/>
      <c r="N106" s="1"/>
      <c r="O106" s="1"/>
      <c r="P106" s="1"/>
      <c r="Q106" s="162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  <c r="AD106" s="162"/>
      <c r="AE106" s="162"/>
      <c r="AF106" s="162"/>
    </row>
    <row r="107" customFormat="false" ht="15.75" hidden="false" customHeight="false" outlineLevel="0" collapsed="false">
      <c r="A107" s="1"/>
      <c r="B107" s="1"/>
      <c r="C107" s="163"/>
      <c r="D107" s="1"/>
      <c r="E107" s="162"/>
      <c r="F107" s="1"/>
      <c r="G107" s="1"/>
      <c r="H107" s="1"/>
      <c r="I107" s="1"/>
      <c r="J107" s="1"/>
      <c r="K107" s="162"/>
      <c r="L107" s="1"/>
      <c r="M107" s="1"/>
      <c r="N107" s="1"/>
      <c r="O107" s="1"/>
      <c r="P107" s="1"/>
      <c r="Q107" s="16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  <c r="AD107" s="162"/>
      <c r="AE107" s="162"/>
      <c r="AF107" s="162"/>
    </row>
    <row r="108" customFormat="false" ht="15.75" hidden="false" customHeight="false" outlineLevel="0" collapsed="false">
      <c r="A108" s="1"/>
      <c r="B108" s="1"/>
      <c r="C108" s="16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62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  <c r="AD108" s="162"/>
      <c r="AE108" s="162"/>
      <c r="AF108" s="162"/>
    </row>
    <row r="109" customFormat="false" ht="15.75" hidden="false" customHeight="false" outlineLevel="0" collapsed="false">
      <c r="A109" s="1"/>
      <c r="B109" s="1"/>
      <c r="C109" s="163"/>
      <c r="D109" s="1"/>
      <c r="E109" s="162"/>
      <c r="F109" s="1"/>
      <c r="G109" s="1"/>
      <c r="H109" s="1"/>
      <c r="I109" s="1"/>
      <c r="J109" s="1"/>
      <c r="K109" s="162"/>
      <c r="L109" s="1"/>
      <c r="M109" s="1"/>
      <c r="N109" s="1"/>
      <c r="O109" s="1"/>
      <c r="P109" s="1"/>
      <c r="Q109" s="162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  <c r="AD109" s="162"/>
      <c r="AE109" s="162"/>
      <c r="AF109" s="162"/>
    </row>
    <row r="110" customFormat="false" ht="15.7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62"/>
      <c r="L110" s="1"/>
      <c r="M110" s="1"/>
      <c r="N110" s="1"/>
      <c r="O110" s="1"/>
      <c r="P110" s="1"/>
      <c r="Q110" s="16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  <c r="AD110" s="162"/>
      <c r="AE110" s="162"/>
      <c r="AF110" s="162"/>
    </row>
    <row r="111" customFormat="false" ht="15.75" hidden="false" customHeight="false" outlineLevel="0" collapsed="false">
      <c r="A111" s="1"/>
      <c r="B111" s="1"/>
      <c r="C111" s="163"/>
      <c r="D111" s="1"/>
      <c r="E111" s="162"/>
      <c r="F111" s="1"/>
      <c r="G111" s="1"/>
      <c r="H111" s="1"/>
      <c r="I111" s="1"/>
      <c r="J111" s="1"/>
      <c r="K111" s="162"/>
      <c r="L111" s="1"/>
      <c r="M111" s="1"/>
      <c r="N111" s="1"/>
      <c r="O111" s="1"/>
      <c r="P111" s="1"/>
      <c r="Q111" s="16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  <c r="AD111" s="162"/>
      <c r="AE111" s="162"/>
      <c r="AF111" s="162"/>
    </row>
    <row r="112" customFormat="false" ht="15.75" hidden="false" customHeight="false" outlineLevel="0" collapsed="false">
      <c r="A112" s="1"/>
      <c r="B112" s="1"/>
      <c r="C112" s="163"/>
      <c r="D112" s="1"/>
      <c r="E112" s="162"/>
      <c r="F112" s="1"/>
      <c r="G112" s="1"/>
      <c r="H112" s="1"/>
      <c r="I112" s="1"/>
      <c r="J112" s="1"/>
      <c r="K112" s="162"/>
      <c r="L112" s="1"/>
      <c r="M112" s="1"/>
      <c r="N112" s="1"/>
      <c r="O112" s="1"/>
      <c r="P112" s="1"/>
      <c r="Q112" s="16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  <c r="AD112" s="162"/>
      <c r="AE112" s="162"/>
      <c r="AF112" s="162"/>
    </row>
    <row r="113" customFormat="false" ht="15.75" hidden="false" customHeight="false" outlineLevel="0" collapsed="false">
      <c r="A113" s="1"/>
      <c r="B113" s="1"/>
      <c r="C113" s="163"/>
      <c r="D113" s="1"/>
      <c r="E113" s="162"/>
      <c r="F113" s="1"/>
      <c r="G113" s="1"/>
      <c r="H113" s="1"/>
      <c r="I113" s="1"/>
      <c r="J113" s="1"/>
      <c r="K113" s="162"/>
      <c r="L113" s="1"/>
      <c r="M113" s="1"/>
      <c r="N113" s="1"/>
      <c r="O113" s="1"/>
      <c r="P113" s="1"/>
      <c r="Q113" s="162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  <c r="AD113" s="162"/>
      <c r="AE113" s="162"/>
      <c r="AF113" s="162"/>
    </row>
    <row r="114" customFormat="false" ht="15.75" hidden="false" customHeight="false" outlineLevel="0" collapsed="false">
      <c r="A114" s="1"/>
      <c r="B114" s="1"/>
      <c r="C114" s="16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6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  <c r="AD114" s="162"/>
      <c r="AE114" s="162"/>
      <c r="AF114" s="162"/>
    </row>
    <row r="115" customFormat="false" ht="15.75" hidden="false" customHeight="false" outlineLevel="0" collapsed="false">
      <c r="A115" s="1"/>
      <c r="B115" s="1"/>
      <c r="C115" s="163"/>
      <c r="D115" s="1"/>
      <c r="E115" s="162"/>
      <c r="F115" s="1"/>
      <c r="G115" s="1"/>
      <c r="H115" s="1"/>
      <c r="I115" s="1"/>
      <c r="J115" s="1"/>
      <c r="K115" s="162"/>
      <c r="L115" s="1"/>
      <c r="M115" s="1"/>
      <c r="N115" s="1"/>
      <c r="O115" s="1"/>
      <c r="P115" s="1"/>
      <c r="Q115" s="162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  <c r="AD115" s="162"/>
      <c r="AE115" s="162"/>
      <c r="AF115" s="162"/>
    </row>
    <row r="116" customFormat="false" ht="15.75" hidden="false" customHeight="false" outlineLevel="0" collapsed="false">
      <c r="A116" s="1"/>
      <c r="B116" s="163"/>
      <c r="C116" s="163"/>
      <c r="D116" s="1"/>
      <c r="E116" s="1"/>
      <c r="F116" s="1"/>
      <c r="G116" s="1"/>
      <c r="H116" s="1"/>
      <c r="I116" s="1"/>
      <c r="J116" s="1"/>
      <c r="K116" s="162"/>
      <c r="L116" s="1"/>
      <c r="M116" s="1"/>
      <c r="N116" s="1"/>
      <c r="O116" s="1"/>
      <c r="P116" s="1"/>
      <c r="Q116" s="162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  <c r="AD116" s="162"/>
      <c r="AE116" s="162"/>
      <c r="AF116" s="162"/>
    </row>
    <row r="117" customFormat="false" ht="15.75" hidden="false" customHeight="false" outlineLevel="0" collapsed="false">
      <c r="A117" s="1"/>
      <c r="B117" s="1"/>
      <c r="C117" s="1"/>
      <c r="D117" s="1"/>
      <c r="E117" s="162"/>
      <c r="F117" s="1"/>
      <c r="G117" s="1"/>
      <c r="H117" s="1"/>
      <c r="I117" s="1"/>
      <c r="J117" s="1"/>
      <c r="K117" s="162"/>
      <c r="L117" s="1"/>
      <c r="M117" s="1"/>
      <c r="N117" s="1"/>
      <c r="O117" s="1"/>
      <c r="P117" s="1"/>
      <c r="Q117" s="16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  <c r="AD117" s="162"/>
      <c r="AE117" s="162"/>
      <c r="AF117" s="162"/>
    </row>
    <row r="118" customFormat="false" ht="15.75" hidden="false" customHeight="false" outlineLevel="0" collapsed="false">
      <c r="A118" s="1"/>
      <c r="B118" s="1"/>
      <c r="C118" s="16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62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  <c r="AD118" s="162"/>
      <c r="AE118" s="162"/>
      <c r="AF118" s="162"/>
    </row>
    <row r="119" customFormat="false" ht="15.7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62"/>
      <c r="L119" s="1"/>
      <c r="M119" s="1"/>
      <c r="N119" s="1"/>
      <c r="O119" s="1"/>
      <c r="P119" s="1"/>
      <c r="Q119" s="16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  <c r="AD119" s="162"/>
      <c r="AE119" s="162"/>
      <c r="AF119" s="162"/>
    </row>
    <row r="120" customFormat="false" ht="15.75" hidden="false" customHeight="false" outlineLevel="0" collapsed="false">
      <c r="A120" s="1"/>
      <c r="B120" s="1"/>
      <c r="C120" s="163"/>
      <c r="D120" s="1"/>
      <c r="E120" s="162"/>
      <c r="F120" s="1"/>
      <c r="G120" s="1"/>
      <c r="H120" s="1"/>
      <c r="I120" s="1"/>
      <c r="J120" s="1"/>
      <c r="K120" s="162"/>
      <c r="L120" s="1"/>
      <c r="M120" s="1"/>
      <c r="N120" s="1"/>
      <c r="O120" s="1"/>
      <c r="P120" s="1"/>
      <c r="Q120" s="162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  <c r="AD120" s="162"/>
      <c r="AE120" s="162"/>
      <c r="AF120" s="162"/>
    </row>
    <row r="121" customFormat="false" ht="15.75" hidden="false" customHeight="false" outlineLevel="0" collapsed="false">
      <c r="A121" s="1"/>
      <c r="B121" s="1"/>
      <c r="C121" s="163"/>
      <c r="D121" s="1"/>
      <c r="E121" s="162"/>
      <c r="F121" s="1"/>
      <c r="G121" s="1"/>
      <c r="H121" s="1"/>
      <c r="I121" s="1"/>
      <c r="J121" s="1"/>
      <c r="K121" s="162"/>
      <c r="L121" s="1"/>
      <c r="M121" s="1"/>
      <c r="N121" s="1"/>
      <c r="O121" s="1"/>
      <c r="P121" s="1"/>
      <c r="Q121" s="162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  <c r="AD121" s="162"/>
      <c r="AE121" s="162"/>
      <c r="AF121" s="162"/>
    </row>
    <row r="122" customFormat="false" ht="15.75" hidden="false" customHeight="false" outlineLevel="0" collapsed="false">
      <c r="A122" s="1"/>
      <c r="B122" s="1"/>
      <c r="C122" s="1"/>
      <c r="D122" s="1"/>
      <c r="E122" s="162"/>
      <c r="F122" s="1"/>
      <c r="G122" s="1"/>
      <c r="H122" s="1"/>
      <c r="I122" s="1"/>
      <c r="J122" s="1"/>
      <c r="K122" s="162"/>
      <c r="L122" s="1"/>
      <c r="M122" s="1"/>
      <c r="N122" s="1"/>
      <c r="O122" s="1"/>
      <c r="P122" s="1"/>
      <c r="Q122" s="162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  <c r="AD122" s="162"/>
      <c r="AE122" s="162"/>
      <c r="AF122" s="162"/>
    </row>
    <row r="123" customFormat="false" ht="15.7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62"/>
      <c r="L123" s="1"/>
      <c r="M123" s="1"/>
      <c r="N123" s="1"/>
      <c r="O123" s="1"/>
      <c r="P123" s="1"/>
      <c r="Q123" s="16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  <c r="AD123" s="162"/>
      <c r="AE123" s="162"/>
      <c r="AF123" s="162"/>
    </row>
    <row r="124" customFormat="false" ht="15.75" hidden="false" customHeight="false" outlineLevel="0" collapsed="false">
      <c r="A124" s="1"/>
      <c r="B124" s="1"/>
      <c r="C124" s="163"/>
      <c r="D124" s="1"/>
      <c r="E124" s="1"/>
      <c r="F124" s="1"/>
      <c r="G124" s="1"/>
      <c r="H124" s="1"/>
      <c r="I124" s="1"/>
      <c r="J124" s="1"/>
      <c r="K124" s="162"/>
      <c r="L124" s="1"/>
      <c r="M124" s="1"/>
      <c r="N124" s="1"/>
      <c r="O124" s="1"/>
      <c r="P124" s="1"/>
      <c r="Q124" s="162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  <c r="AD124" s="162"/>
      <c r="AE124" s="162"/>
      <c r="AF124" s="162"/>
    </row>
    <row r="125" customFormat="false" ht="15.75" hidden="false" customHeight="false" outlineLevel="0" collapsed="false">
      <c r="A125" s="1"/>
      <c r="B125" s="1"/>
      <c r="C125" s="163"/>
      <c r="D125" s="1"/>
      <c r="E125" s="162"/>
      <c r="F125" s="1"/>
      <c r="G125" s="1"/>
      <c r="H125" s="1"/>
      <c r="I125" s="1"/>
      <c r="J125" s="1"/>
      <c r="K125" s="162"/>
      <c r="L125" s="1"/>
      <c r="M125" s="1"/>
      <c r="N125" s="1"/>
      <c r="O125" s="1"/>
      <c r="P125" s="1"/>
      <c r="Q125" s="162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  <c r="AD125" s="162"/>
      <c r="AE125" s="162"/>
      <c r="AF125" s="162"/>
    </row>
    <row r="126" customFormat="false" ht="15.75" hidden="false" customHeight="false" outlineLevel="0" collapsed="false">
      <c r="A126" s="1"/>
      <c r="B126" s="1"/>
      <c r="C126" s="163"/>
      <c r="D126" s="1"/>
      <c r="E126" s="162"/>
      <c r="F126" s="1"/>
      <c r="G126" s="1"/>
      <c r="H126" s="1"/>
      <c r="I126" s="1"/>
      <c r="J126" s="1"/>
      <c r="K126" s="162"/>
      <c r="L126" s="1"/>
      <c r="M126" s="1"/>
      <c r="N126" s="1"/>
      <c r="O126" s="1"/>
      <c r="P126" s="1"/>
      <c r="Q126" s="162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  <c r="AD126" s="162"/>
      <c r="AE126" s="162"/>
      <c r="AF126" s="162"/>
    </row>
    <row r="127" customFormat="false" ht="15.75" hidden="false" customHeight="false" outlineLevel="0" collapsed="false">
      <c r="A127" s="1"/>
      <c r="B127" s="1"/>
      <c r="C127" s="16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62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  <c r="AD127" s="162"/>
      <c r="AE127" s="162"/>
      <c r="AF127" s="162"/>
    </row>
    <row r="128" customFormat="false" ht="15.75" hidden="false" customHeight="false" outlineLevel="0" collapsed="false">
      <c r="A128" s="1"/>
      <c r="B128" s="1"/>
      <c r="C128" s="163"/>
      <c r="D128" s="1"/>
      <c r="E128" s="162"/>
      <c r="F128" s="1"/>
      <c r="G128" s="1"/>
      <c r="H128" s="1"/>
      <c r="I128" s="1"/>
      <c r="J128" s="1"/>
      <c r="K128" s="162"/>
      <c r="L128" s="1"/>
      <c r="M128" s="1"/>
      <c r="N128" s="1"/>
      <c r="O128" s="1"/>
      <c r="P128" s="1"/>
      <c r="Q128" s="16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  <c r="AD128" s="162"/>
      <c r="AE128" s="162"/>
      <c r="AF128" s="162"/>
    </row>
    <row r="129" customFormat="false" ht="15.75" hidden="false" customHeight="false" outlineLevel="0" collapsed="false">
      <c r="A129" s="1"/>
      <c r="B129" s="1"/>
      <c r="C129" s="163"/>
      <c r="D129" s="1"/>
      <c r="E129" s="1"/>
      <c r="F129" s="1"/>
      <c r="G129" s="1"/>
      <c r="H129" s="1"/>
      <c r="I129" s="1"/>
      <c r="J129" s="1"/>
      <c r="K129" s="162"/>
      <c r="L129" s="1"/>
      <c r="M129" s="1"/>
      <c r="N129" s="1"/>
      <c r="O129" s="1"/>
      <c r="P129" s="1"/>
      <c r="Q129" s="162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  <c r="AD129" s="162"/>
      <c r="AE129" s="162"/>
      <c r="AF129" s="162"/>
    </row>
    <row r="130" customFormat="false" ht="15.75" hidden="false" customHeight="false" outlineLevel="0" collapsed="false">
      <c r="A130" s="1"/>
      <c r="B130" s="1"/>
      <c r="C130" s="163"/>
      <c r="D130" s="1"/>
      <c r="E130" s="162"/>
      <c r="F130" s="1"/>
      <c r="G130" s="1"/>
      <c r="H130" s="1"/>
      <c r="I130" s="1"/>
      <c r="J130" s="1"/>
      <c r="K130" s="162"/>
      <c r="L130" s="1"/>
      <c r="M130" s="1"/>
      <c r="N130" s="1"/>
      <c r="O130" s="1"/>
      <c r="P130" s="1"/>
      <c r="Q130" s="162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  <c r="AD130" s="162"/>
      <c r="AE130" s="162"/>
      <c r="AF130" s="162"/>
    </row>
    <row r="131" customFormat="false" ht="15.75" hidden="false" customHeight="false" outlineLevel="0" collapsed="false">
      <c r="A131" s="1"/>
      <c r="B131" s="163"/>
      <c r="C131" s="163"/>
      <c r="D131" s="1"/>
      <c r="E131" s="162"/>
      <c r="F131" s="1"/>
      <c r="G131" s="1"/>
      <c r="H131" s="1"/>
      <c r="I131" s="1"/>
      <c r="J131" s="1"/>
      <c r="K131" s="162"/>
      <c r="L131" s="1"/>
      <c r="M131" s="1"/>
      <c r="N131" s="1"/>
      <c r="O131" s="1"/>
      <c r="P131" s="1"/>
      <c r="Q131" s="162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  <c r="AD131" s="162"/>
      <c r="AE131" s="162"/>
      <c r="AF131" s="162"/>
    </row>
    <row r="132" customFormat="false" ht="15.75" hidden="false" customHeight="false" outlineLevel="0" collapsed="false">
      <c r="A132" s="1"/>
      <c r="B132" s="1"/>
      <c r="C132" s="16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62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  <c r="AD132" s="162"/>
      <c r="AE132" s="162"/>
      <c r="AF132" s="162"/>
    </row>
    <row r="133" customFormat="false" ht="15.75" hidden="false" customHeight="false" outlineLevel="0" collapsed="false">
      <c r="A133" s="1"/>
      <c r="B133" s="1"/>
      <c r="C133" s="16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62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  <c r="AD133" s="162"/>
      <c r="AE133" s="162"/>
      <c r="AF133" s="162"/>
    </row>
    <row r="134" customFormat="false" ht="15.75" hidden="false" customHeight="false" outlineLevel="0" collapsed="false">
      <c r="A134" s="1"/>
      <c r="B134" s="1"/>
      <c r="C134" s="163"/>
      <c r="D134" s="1"/>
      <c r="E134" s="162"/>
      <c r="F134" s="1"/>
      <c r="G134" s="1"/>
      <c r="H134" s="1"/>
      <c r="I134" s="1"/>
      <c r="J134" s="1"/>
      <c r="K134" s="162"/>
      <c r="L134" s="1"/>
      <c r="M134" s="1"/>
      <c r="N134" s="1"/>
      <c r="O134" s="1"/>
      <c r="P134" s="1"/>
      <c r="Q134" s="162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  <c r="AD134" s="162"/>
      <c r="AE134" s="162"/>
      <c r="AF134" s="162"/>
    </row>
    <row r="135" customFormat="false" ht="15.75" hidden="false" customHeight="false" outlineLevel="0" collapsed="false">
      <c r="A135" s="1"/>
      <c r="B135" s="1"/>
      <c r="C135" s="163"/>
      <c r="D135" s="1"/>
      <c r="E135" s="162"/>
      <c r="F135" s="1"/>
      <c r="G135" s="1"/>
      <c r="H135" s="1"/>
      <c r="I135" s="1"/>
      <c r="J135" s="1"/>
      <c r="K135" s="162"/>
      <c r="L135" s="1"/>
      <c r="M135" s="1"/>
      <c r="N135" s="1"/>
      <c r="O135" s="1"/>
      <c r="P135" s="1"/>
      <c r="Q135" s="162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  <c r="AD135" s="162"/>
      <c r="AE135" s="162"/>
      <c r="AF135" s="162"/>
    </row>
    <row r="136" customFormat="false" ht="15.75" hidden="false" customHeight="false" outlineLevel="0" collapsed="false">
      <c r="A136" s="1"/>
      <c r="B136" s="1"/>
      <c r="C136" s="163"/>
      <c r="D136" s="1"/>
      <c r="E136" s="1"/>
      <c r="F136" s="1"/>
      <c r="G136" s="1"/>
      <c r="H136" s="1"/>
      <c r="I136" s="1"/>
      <c r="J136" s="1"/>
      <c r="K136" s="162"/>
      <c r="L136" s="1"/>
      <c r="M136" s="1"/>
      <c r="N136" s="1"/>
      <c r="O136" s="1"/>
      <c r="P136" s="1"/>
      <c r="Q136" s="162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  <c r="AD136" s="162"/>
      <c r="AE136" s="162"/>
      <c r="AF136" s="162"/>
    </row>
    <row r="137" customFormat="false" ht="15.7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62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  <c r="AD137" s="162"/>
      <c r="AE137" s="162"/>
      <c r="AF137" s="162"/>
    </row>
    <row r="138" customFormat="false" ht="15.75" hidden="false" customHeight="false" outlineLevel="0" collapsed="false">
      <c r="A138" s="1"/>
      <c r="B138" s="1"/>
      <c r="C138" s="163"/>
      <c r="D138" s="1"/>
      <c r="E138" s="162"/>
      <c r="F138" s="1"/>
      <c r="G138" s="1"/>
      <c r="H138" s="1"/>
      <c r="I138" s="1"/>
      <c r="J138" s="1"/>
      <c r="K138" s="162"/>
      <c r="L138" s="1"/>
      <c r="M138" s="1"/>
      <c r="N138" s="1"/>
      <c r="O138" s="1"/>
      <c r="P138" s="1"/>
      <c r="Q138" s="162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  <c r="AD138" s="162"/>
      <c r="AE138" s="162"/>
      <c r="AF138" s="162"/>
    </row>
    <row r="139" customFormat="false" ht="15.75" hidden="false" customHeight="false" outlineLevel="0" collapsed="false">
      <c r="A139" s="1"/>
      <c r="B139" s="1"/>
      <c r="C139" s="1"/>
      <c r="D139" s="1"/>
      <c r="E139" s="162"/>
      <c r="F139" s="1"/>
      <c r="G139" s="1"/>
      <c r="H139" s="1"/>
      <c r="I139" s="1"/>
      <c r="J139" s="1"/>
      <c r="K139" s="162"/>
      <c r="L139" s="1"/>
      <c r="M139" s="1"/>
      <c r="N139" s="1"/>
      <c r="O139" s="1"/>
      <c r="P139" s="1"/>
      <c r="Q139" s="162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  <c r="AD139" s="162"/>
      <c r="AE139" s="162"/>
      <c r="AF139" s="162"/>
    </row>
    <row r="140" customFormat="false" ht="15.75" hidden="false" customHeight="false" outlineLevel="0" collapsed="false">
      <c r="A140" s="1"/>
      <c r="B140" s="1"/>
      <c r="C140" s="163"/>
      <c r="D140" s="1"/>
      <c r="E140" s="162"/>
      <c r="F140" s="1"/>
      <c r="G140" s="1"/>
      <c r="H140" s="1"/>
      <c r="I140" s="1"/>
      <c r="J140" s="1"/>
      <c r="K140" s="162"/>
      <c r="L140" s="1"/>
      <c r="M140" s="1"/>
      <c r="N140" s="1"/>
      <c r="O140" s="1"/>
      <c r="P140" s="1"/>
      <c r="Q140" s="162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  <c r="AD140" s="162"/>
      <c r="AE140" s="162"/>
      <c r="AF140" s="162"/>
    </row>
    <row r="141" customFormat="false" ht="15.7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6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  <c r="AD141" s="162"/>
      <c r="AE141" s="162"/>
      <c r="AF141" s="162"/>
    </row>
    <row r="142" customFormat="false" ht="15.75" hidden="false" customHeight="false" outlineLevel="0" collapsed="false">
      <c r="A142" s="1"/>
      <c r="B142" s="1"/>
      <c r="C142" s="163"/>
      <c r="D142" s="1"/>
      <c r="E142" s="162"/>
      <c r="F142" s="1"/>
      <c r="G142" s="1"/>
      <c r="H142" s="1"/>
      <c r="I142" s="1"/>
      <c r="J142" s="1"/>
      <c r="K142" s="162"/>
      <c r="L142" s="1"/>
      <c r="M142" s="1"/>
      <c r="N142" s="1"/>
      <c r="O142" s="1"/>
      <c r="P142" s="1"/>
      <c r="Q142" s="162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  <c r="AD142" s="162"/>
      <c r="AE142" s="162"/>
      <c r="AF142" s="162"/>
    </row>
    <row r="143" customFormat="false" ht="15.7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62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  <c r="AD143" s="162"/>
      <c r="AE143" s="162"/>
      <c r="AF143" s="162"/>
    </row>
    <row r="144" customFormat="false" ht="15.7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62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  <c r="AD144" s="162"/>
      <c r="AE144" s="162"/>
      <c r="AF144" s="162"/>
    </row>
    <row r="145" customFormat="false" ht="15.7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62"/>
      <c r="L145" s="1"/>
      <c r="M145" s="1"/>
      <c r="N145" s="1"/>
      <c r="O145" s="1"/>
      <c r="P145" s="1"/>
      <c r="Q145" s="162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  <c r="AD145" s="162"/>
      <c r="AE145" s="162"/>
      <c r="AF145" s="162"/>
    </row>
    <row r="146" customFormat="false" ht="15.7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62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  <c r="AD146" s="162"/>
      <c r="AE146" s="162"/>
      <c r="AF146" s="162"/>
    </row>
    <row r="147" customFormat="false" ht="15.75" hidden="false" customHeight="false" outlineLevel="0" collapsed="false">
      <c r="A147" s="1"/>
      <c r="B147" s="1"/>
      <c r="C147" s="1"/>
      <c r="D147" s="1"/>
      <c r="E147" s="162"/>
      <c r="F147" s="1"/>
      <c r="G147" s="1"/>
      <c r="H147" s="1"/>
      <c r="I147" s="1"/>
      <c r="J147" s="1"/>
      <c r="K147" s="162"/>
      <c r="L147" s="1"/>
      <c r="M147" s="1"/>
      <c r="N147" s="1"/>
      <c r="O147" s="1"/>
      <c r="P147" s="1"/>
      <c r="Q147" s="162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  <c r="AD147" s="162"/>
      <c r="AE147" s="162"/>
      <c r="AF147" s="162"/>
    </row>
    <row r="148" customFormat="false" ht="15.75" hidden="false" customHeight="false" outlineLevel="0" collapsed="false">
      <c r="A148" s="1"/>
      <c r="B148" s="163"/>
      <c r="C148" s="163"/>
      <c r="D148" s="1"/>
      <c r="E148" s="162"/>
      <c r="F148" s="1"/>
      <c r="G148" s="1"/>
      <c r="H148" s="1"/>
      <c r="I148" s="1"/>
      <c r="J148" s="1"/>
      <c r="K148" s="162"/>
      <c r="L148" s="1"/>
      <c r="M148" s="1"/>
      <c r="N148" s="1"/>
      <c r="O148" s="1"/>
      <c r="P148" s="1"/>
      <c r="Q148" s="162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  <c r="AD148" s="162"/>
      <c r="AE148" s="162"/>
      <c r="AF148" s="162"/>
    </row>
    <row r="149" customFormat="false" ht="15.75" hidden="false" customHeight="false" outlineLevel="0" collapsed="false">
      <c r="A149" s="1"/>
      <c r="B149" s="1"/>
      <c r="C149" s="163"/>
      <c r="D149" s="1"/>
      <c r="E149" s="1"/>
      <c r="F149" s="1"/>
      <c r="G149" s="1"/>
      <c r="H149" s="1"/>
      <c r="I149" s="1"/>
      <c r="J149" s="1"/>
      <c r="K149" s="162"/>
      <c r="L149" s="1"/>
      <c r="M149" s="1"/>
      <c r="N149" s="1"/>
      <c r="O149" s="1"/>
      <c r="P149" s="1"/>
      <c r="Q149" s="162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  <c r="AD149" s="162"/>
      <c r="AE149" s="162"/>
      <c r="AF149" s="162"/>
    </row>
    <row r="150" customFormat="false" ht="15.75" hidden="false" customHeight="false" outlineLevel="0" collapsed="false">
      <c r="A150" s="1"/>
      <c r="B150" s="1"/>
      <c r="C150" s="163"/>
      <c r="D150" s="1"/>
      <c r="E150" s="162"/>
      <c r="F150" s="1"/>
      <c r="G150" s="1"/>
      <c r="H150" s="1"/>
      <c r="I150" s="1"/>
      <c r="J150" s="1"/>
      <c r="K150" s="162"/>
      <c r="L150" s="1"/>
      <c r="M150" s="1"/>
      <c r="N150" s="1"/>
      <c r="O150" s="1"/>
      <c r="P150" s="1"/>
      <c r="Q150" s="162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  <c r="AD150" s="162"/>
      <c r="AE150" s="162"/>
      <c r="AF150" s="162"/>
    </row>
    <row r="151" customFormat="false" ht="15.75" hidden="false" customHeight="false" outlineLevel="0" collapsed="false">
      <c r="A151" s="1"/>
      <c r="B151" s="1"/>
      <c r="C151" s="1"/>
      <c r="D151" s="1"/>
      <c r="E151" s="162"/>
      <c r="F151" s="1"/>
      <c r="G151" s="1"/>
      <c r="H151" s="1"/>
      <c r="I151" s="1"/>
      <c r="J151" s="1"/>
      <c r="K151" s="162"/>
      <c r="L151" s="1"/>
      <c r="M151" s="1"/>
      <c r="N151" s="1"/>
      <c r="O151" s="1"/>
      <c r="P151" s="1"/>
      <c r="Q151" s="162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  <c r="AD151" s="162"/>
      <c r="AE151" s="162"/>
      <c r="AF151" s="162"/>
    </row>
    <row r="152" customFormat="false" ht="15.75" hidden="false" customHeight="false" outlineLevel="0" collapsed="false">
      <c r="A152" s="1"/>
      <c r="B152" s="1"/>
      <c r="C152" s="16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62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  <c r="AD152" s="162"/>
      <c r="AE152" s="162"/>
      <c r="AF152" s="162"/>
    </row>
    <row r="153" customFormat="false" ht="15.75" hidden="false" customHeight="false" outlineLevel="0" collapsed="false">
      <c r="A153" s="1"/>
      <c r="B153" s="1"/>
      <c r="C153" s="163"/>
      <c r="D153" s="1"/>
      <c r="E153" s="162"/>
      <c r="F153" s="1"/>
      <c r="G153" s="1"/>
      <c r="H153" s="1"/>
      <c r="I153" s="1"/>
      <c r="J153" s="1"/>
      <c r="K153" s="162"/>
      <c r="L153" s="1"/>
      <c r="M153" s="1"/>
      <c r="N153" s="1"/>
      <c r="O153" s="1"/>
      <c r="P153" s="1"/>
      <c r="Q153" s="162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  <c r="AD153" s="162"/>
      <c r="AE153" s="162"/>
      <c r="AF153" s="162"/>
    </row>
    <row r="154" customFormat="false" ht="15.7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62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  <c r="AD154" s="162"/>
      <c r="AE154" s="162"/>
      <c r="AF154" s="162"/>
    </row>
    <row r="155" customFormat="false" ht="15.7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62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  <c r="AD155" s="162"/>
      <c r="AE155" s="162"/>
      <c r="AF155" s="162"/>
    </row>
    <row r="156" customFormat="false" ht="15.75" hidden="false" customHeight="false" outlineLevel="0" collapsed="false">
      <c r="A156" s="1"/>
      <c r="B156" s="1"/>
      <c r="C156" s="1"/>
      <c r="D156" s="1"/>
      <c r="E156" s="162"/>
      <c r="F156" s="1"/>
      <c r="G156" s="1"/>
      <c r="H156" s="1"/>
      <c r="I156" s="1"/>
      <c r="J156" s="1"/>
      <c r="K156" s="162"/>
      <c r="L156" s="1"/>
      <c r="M156" s="1"/>
      <c r="N156" s="1"/>
      <c r="O156" s="1"/>
      <c r="P156" s="1"/>
      <c r="Q156" s="162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  <c r="AD156" s="162"/>
      <c r="AE156" s="162"/>
      <c r="AF156" s="162"/>
    </row>
    <row r="157" customFormat="false" ht="15.75" hidden="false" customHeight="false" outlineLevel="0" collapsed="false">
      <c r="A157" s="1"/>
      <c r="B157" s="1"/>
      <c r="C157" s="16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62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  <c r="AD157" s="162"/>
      <c r="AE157" s="162"/>
      <c r="AF157" s="162"/>
    </row>
    <row r="158" customFormat="false" ht="15.75" hidden="false" customHeight="false" outlineLevel="0" collapsed="false">
      <c r="A158" s="162"/>
      <c r="B158" s="162"/>
      <c r="C158" s="164"/>
      <c r="D158" s="162"/>
      <c r="E158" s="162"/>
      <c r="F158" s="162"/>
      <c r="G158" s="162"/>
      <c r="H158" s="162"/>
      <c r="I158" s="162"/>
      <c r="J158" s="162"/>
      <c r="K158" s="162"/>
      <c r="L158" s="162"/>
      <c r="M158" s="162"/>
      <c r="N158" s="162"/>
      <c r="O158" s="162"/>
      <c r="P158" s="162"/>
      <c r="Q158" s="162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  <c r="AD158" s="162"/>
      <c r="AE158" s="162"/>
      <c r="AF158" s="162"/>
    </row>
    <row r="159" customFormat="false" ht="15.75" hidden="false" customHeight="false" outlineLevel="0" collapsed="false">
      <c r="A159" s="162"/>
      <c r="B159" s="162"/>
      <c r="C159" s="162"/>
      <c r="D159" s="162"/>
      <c r="E159" s="162"/>
      <c r="F159" s="162"/>
      <c r="G159" s="162"/>
      <c r="H159" s="162"/>
      <c r="I159" s="162"/>
      <c r="J159" s="162"/>
      <c r="K159" s="162"/>
      <c r="L159" s="162"/>
      <c r="M159" s="162"/>
      <c r="N159" s="162"/>
      <c r="O159" s="162"/>
      <c r="P159" s="162"/>
      <c r="Q159" s="162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  <c r="AD159" s="162"/>
      <c r="AE159" s="162"/>
      <c r="AF159" s="162"/>
    </row>
    <row r="160" customFormat="false" ht="15.75" hidden="false" customHeight="false" outlineLevel="0" collapsed="false">
      <c r="A160" s="162"/>
      <c r="B160" s="162"/>
      <c r="C160" s="162"/>
      <c r="D160" s="162"/>
      <c r="E160" s="162"/>
      <c r="F160" s="162"/>
      <c r="G160" s="162"/>
      <c r="H160" s="162"/>
      <c r="I160" s="162"/>
      <c r="J160" s="162"/>
      <c r="K160" s="162"/>
      <c r="L160" s="162"/>
      <c r="M160" s="162"/>
      <c r="N160" s="162"/>
      <c r="O160" s="162"/>
      <c r="P160" s="162"/>
      <c r="Q160" s="162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  <c r="AD160" s="162"/>
      <c r="AE160" s="162"/>
      <c r="AF160" s="162"/>
    </row>
    <row r="161" customFormat="false" ht="15.75" hidden="false" customHeight="false" outlineLevel="0" collapsed="false">
      <c r="A161" s="162"/>
      <c r="B161" s="162"/>
      <c r="C161" s="164"/>
      <c r="D161" s="162"/>
      <c r="E161" s="162"/>
      <c r="F161" s="162"/>
      <c r="G161" s="162"/>
      <c r="H161" s="162"/>
      <c r="I161" s="162"/>
      <c r="J161" s="162"/>
      <c r="K161" s="162"/>
      <c r="L161" s="162"/>
      <c r="M161" s="162"/>
      <c r="N161" s="162"/>
      <c r="O161" s="162"/>
      <c r="P161" s="162"/>
      <c r="Q161" s="162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  <c r="AD161" s="162"/>
      <c r="AE161" s="162"/>
      <c r="AF161" s="162"/>
    </row>
    <row r="162" customFormat="false" ht="15.75" hidden="false" customHeight="false" outlineLevel="0" collapsed="false">
      <c r="A162" s="162"/>
      <c r="B162" s="162"/>
      <c r="C162" s="162"/>
      <c r="D162" s="162"/>
      <c r="E162" s="162"/>
      <c r="F162" s="162"/>
      <c r="G162" s="162"/>
      <c r="H162" s="162"/>
      <c r="I162" s="162"/>
      <c r="J162" s="162"/>
      <c r="K162" s="162"/>
      <c r="L162" s="162"/>
      <c r="M162" s="162"/>
      <c r="N162" s="162"/>
      <c r="O162" s="162"/>
      <c r="P162" s="162"/>
      <c r="Q162" s="162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  <c r="AD162" s="162"/>
      <c r="AE162" s="162"/>
      <c r="AF162" s="162"/>
    </row>
    <row r="163" customFormat="false" ht="15.75" hidden="false" customHeight="false" outlineLevel="0" collapsed="false">
      <c r="A163" s="162"/>
      <c r="B163" s="162"/>
      <c r="C163" s="162"/>
      <c r="D163" s="162"/>
      <c r="E163" s="162"/>
      <c r="F163" s="162"/>
      <c r="G163" s="162"/>
      <c r="H163" s="162"/>
      <c r="I163" s="162"/>
      <c r="J163" s="162"/>
      <c r="K163" s="162"/>
      <c r="L163" s="162"/>
      <c r="M163" s="162"/>
      <c r="N163" s="162"/>
      <c r="O163" s="162"/>
      <c r="P163" s="162"/>
      <c r="Q163" s="162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  <c r="AD163" s="162"/>
      <c r="AE163" s="162"/>
      <c r="AF163" s="162"/>
    </row>
    <row r="164" customFormat="false" ht="15.75" hidden="false" customHeight="false" outlineLevel="0" collapsed="false">
      <c r="A164" s="162"/>
      <c r="B164" s="162"/>
      <c r="C164" s="164"/>
      <c r="D164" s="162"/>
      <c r="E164" s="162"/>
      <c r="F164" s="162"/>
      <c r="G164" s="162"/>
      <c r="H164" s="162"/>
      <c r="I164" s="162"/>
      <c r="J164" s="162"/>
      <c r="K164" s="162"/>
      <c r="L164" s="162"/>
      <c r="M164" s="162"/>
      <c r="N164" s="162"/>
      <c r="O164" s="162"/>
      <c r="P164" s="162"/>
      <c r="Q164" s="162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  <c r="AD164" s="162"/>
      <c r="AE164" s="162"/>
      <c r="AF164" s="162"/>
    </row>
    <row r="165" customFormat="false" ht="15.75" hidden="false" customHeight="false" outlineLevel="0" collapsed="false">
      <c r="A165" s="162"/>
      <c r="B165" s="162"/>
      <c r="C165" s="164"/>
      <c r="D165" s="162"/>
      <c r="E165" s="162"/>
      <c r="F165" s="162"/>
      <c r="G165" s="162"/>
      <c r="H165" s="162"/>
      <c r="I165" s="162"/>
      <c r="J165" s="162"/>
      <c r="K165" s="162"/>
      <c r="L165" s="162"/>
      <c r="M165" s="162"/>
      <c r="N165" s="162"/>
      <c r="O165" s="162"/>
      <c r="P165" s="162"/>
      <c r="Q165" s="162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  <c r="AD165" s="162"/>
      <c r="AE165" s="162"/>
      <c r="AF165" s="162"/>
    </row>
    <row r="166" customFormat="false" ht="15.75" hidden="false" customHeight="false" outlineLevel="0" collapsed="false">
      <c r="A166" s="162"/>
      <c r="B166" s="162"/>
      <c r="C166" s="162"/>
      <c r="D166" s="162"/>
      <c r="E166" s="162"/>
      <c r="F166" s="162"/>
      <c r="G166" s="162"/>
      <c r="H166" s="162"/>
      <c r="I166" s="162"/>
      <c r="J166" s="162"/>
      <c r="K166" s="162"/>
      <c r="L166" s="162"/>
      <c r="M166" s="162"/>
      <c r="N166" s="162"/>
      <c r="O166" s="162"/>
      <c r="P166" s="162"/>
      <c r="Q166" s="162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  <c r="AD166" s="162"/>
      <c r="AE166" s="162"/>
      <c r="AF166" s="162"/>
    </row>
    <row r="167" customFormat="false" ht="15.75" hidden="false" customHeight="false" outlineLevel="0" collapsed="false">
      <c r="A167" s="162"/>
      <c r="B167" s="162"/>
      <c r="C167" s="162"/>
      <c r="D167" s="162"/>
      <c r="E167" s="162"/>
      <c r="F167" s="162"/>
      <c r="G167" s="162"/>
      <c r="H167" s="162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  <c r="AD167" s="162"/>
      <c r="AE167" s="162"/>
      <c r="AF167" s="162"/>
    </row>
    <row r="168" customFormat="false" ht="15.75" hidden="false" customHeight="false" outlineLevel="0" collapsed="false">
      <c r="A168" s="162"/>
      <c r="B168" s="162"/>
      <c r="C168" s="162"/>
      <c r="D168" s="162"/>
      <c r="E168" s="162"/>
      <c r="F168" s="162"/>
      <c r="G168" s="162"/>
      <c r="H168" s="162"/>
      <c r="I168" s="162"/>
      <c r="J168" s="162"/>
      <c r="K168" s="162"/>
      <c r="L168" s="162"/>
      <c r="M168" s="162"/>
      <c r="N168" s="162"/>
      <c r="O168" s="162"/>
      <c r="P168" s="162"/>
      <c r="Q168" s="162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  <c r="AD168" s="162"/>
      <c r="AE168" s="162"/>
      <c r="AF168" s="162"/>
    </row>
    <row r="169" customFormat="false" ht="15.75" hidden="false" customHeight="false" outlineLevel="0" collapsed="false">
      <c r="A169" s="162"/>
      <c r="B169" s="162"/>
      <c r="C169" s="162"/>
      <c r="D169" s="162"/>
      <c r="E169" s="162"/>
      <c r="F169" s="162"/>
      <c r="G169" s="162"/>
      <c r="H169" s="162"/>
      <c r="I169" s="162"/>
      <c r="J169" s="162"/>
      <c r="K169" s="162"/>
      <c r="L169" s="162"/>
      <c r="M169" s="162"/>
      <c r="N169" s="162"/>
      <c r="O169" s="162"/>
      <c r="P169" s="162"/>
      <c r="Q169" s="162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  <c r="AD169" s="162"/>
      <c r="AE169" s="162"/>
      <c r="AF169" s="162"/>
    </row>
    <row r="170" customFormat="false" ht="15.75" hidden="false" customHeight="false" outlineLevel="0" collapsed="false">
      <c r="A170" s="162"/>
      <c r="B170" s="162"/>
      <c r="C170" s="164"/>
      <c r="D170" s="162"/>
      <c r="E170" s="162"/>
      <c r="F170" s="162"/>
      <c r="G170" s="162"/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  <c r="AD170" s="162"/>
      <c r="AE170" s="162"/>
      <c r="AF170" s="162"/>
    </row>
    <row r="171" customFormat="false" ht="15.75" hidden="false" customHeight="false" outlineLevel="0" collapsed="false">
      <c r="A171" s="162"/>
      <c r="B171" s="162"/>
      <c r="C171" s="162"/>
      <c r="D171" s="162"/>
      <c r="E171" s="162"/>
      <c r="F171" s="162"/>
      <c r="G171" s="162"/>
      <c r="H171" s="162"/>
      <c r="I171" s="162"/>
      <c r="J171" s="162"/>
      <c r="K171" s="162"/>
      <c r="L171" s="162"/>
      <c r="M171" s="162"/>
      <c r="N171" s="162"/>
      <c r="O171" s="162"/>
      <c r="P171" s="162"/>
      <c r="Q171" s="162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  <c r="AD171" s="162"/>
      <c r="AE171" s="162"/>
      <c r="AF171" s="162"/>
    </row>
    <row r="172" customFormat="false" ht="15.75" hidden="false" customHeight="false" outlineLevel="0" collapsed="false">
      <c r="A172" s="162"/>
      <c r="B172" s="162"/>
      <c r="C172" s="162"/>
      <c r="D172" s="162"/>
      <c r="E172" s="162"/>
      <c r="F172" s="162"/>
      <c r="G172" s="162"/>
      <c r="H172" s="162"/>
      <c r="I172" s="162"/>
      <c r="J172" s="162"/>
      <c r="K172" s="162"/>
      <c r="L172" s="162"/>
      <c r="M172" s="162"/>
      <c r="N172" s="162"/>
      <c r="O172" s="162"/>
      <c r="P172" s="162"/>
      <c r="Q172" s="162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  <c r="AD172" s="162"/>
      <c r="AE172" s="162"/>
      <c r="AF172" s="162"/>
    </row>
    <row r="173" customFormat="false" ht="15.75" hidden="false" customHeight="false" outlineLevel="0" collapsed="false">
      <c r="A173" s="162"/>
      <c r="B173" s="162"/>
      <c r="C173" s="162"/>
      <c r="D173" s="162"/>
      <c r="E173" s="162"/>
      <c r="F173" s="162"/>
      <c r="G173" s="162"/>
      <c r="H173" s="162"/>
      <c r="I173" s="162"/>
      <c r="J173" s="162"/>
      <c r="K173" s="162"/>
      <c r="L173" s="162"/>
      <c r="M173" s="162"/>
      <c r="N173" s="162"/>
      <c r="O173" s="162"/>
      <c r="P173" s="162"/>
      <c r="Q173" s="162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  <c r="AD173" s="162"/>
      <c r="AE173" s="162"/>
      <c r="AF173" s="162"/>
    </row>
    <row r="174" customFormat="false" ht="15.75" hidden="false" customHeight="false" outlineLevel="0" collapsed="false">
      <c r="A174" s="162"/>
      <c r="B174" s="164"/>
      <c r="C174" s="162"/>
      <c r="D174" s="162"/>
      <c r="E174" s="162"/>
      <c r="F174" s="162"/>
      <c r="G174" s="162"/>
      <c r="H174" s="162"/>
      <c r="I174" s="162"/>
      <c r="J174" s="162"/>
      <c r="K174" s="162"/>
      <c r="L174" s="162"/>
      <c r="M174" s="162"/>
      <c r="N174" s="162"/>
      <c r="O174" s="162"/>
      <c r="P174" s="162"/>
      <c r="Q174" s="162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  <c r="AD174" s="162"/>
      <c r="AE174" s="162"/>
      <c r="AF174" s="162"/>
    </row>
    <row r="175" customFormat="false" ht="15.75" hidden="false" customHeight="false" outlineLevel="0" collapsed="false">
      <c r="A175" s="162"/>
      <c r="B175" s="162"/>
      <c r="C175" s="162"/>
      <c r="D175" s="162"/>
      <c r="E175" s="162"/>
      <c r="F175" s="162"/>
      <c r="G175" s="162"/>
      <c r="H175" s="162"/>
      <c r="I175" s="162"/>
      <c r="J175" s="162"/>
      <c r="K175" s="162"/>
      <c r="L175" s="162"/>
      <c r="M175" s="162"/>
      <c r="N175" s="162"/>
      <c r="O175" s="162"/>
      <c r="P175" s="162"/>
      <c r="Q175" s="162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  <c r="AD175" s="162"/>
      <c r="AE175" s="162"/>
      <c r="AF175" s="162"/>
    </row>
    <row r="176" customFormat="false" ht="15.75" hidden="false" customHeight="false" outlineLevel="0" collapsed="false">
      <c r="A176" s="162"/>
      <c r="B176" s="162"/>
      <c r="C176" s="164"/>
      <c r="D176" s="162"/>
      <c r="E176" s="162"/>
      <c r="F176" s="162"/>
      <c r="G176" s="162"/>
      <c r="H176" s="162"/>
      <c r="I176" s="162"/>
      <c r="J176" s="162"/>
      <c r="K176" s="162"/>
      <c r="L176" s="162"/>
      <c r="M176" s="162"/>
      <c r="N176" s="162"/>
      <c r="O176" s="162"/>
      <c r="P176" s="162"/>
      <c r="Q176" s="162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  <c r="AD176" s="162"/>
      <c r="AE176" s="162"/>
      <c r="AF176" s="162"/>
    </row>
    <row r="177" customFormat="false" ht="15.75" hidden="false" customHeight="false" outlineLevel="0" collapsed="false">
      <c r="A177" s="162"/>
      <c r="B177" s="162"/>
      <c r="C177" s="162"/>
      <c r="D177" s="162"/>
      <c r="E177" s="162"/>
      <c r="F177" s="162"/>
      <c r="G177" s="162"/>
      <c r="H177" s="162"/>
      <c r="I177" s="162"/>
      <c r="J177" s="162"/>
      <c r="K177" s="162"/>
      <c r="L177" s="162"/>
      <c r="M177" s="162"/>
      <c r="N177" s="162"/>
      <c r="O177" s="162"/>
      <c r="P177" s="162"/>
      <c r="Q177" s="162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  <c r="AD177" s="162"/>
      <c r="AE177" s="162"/>
      <c r="AF177" s="162"/>
    </row>
    <row r="178" customFormat="false" ht="15.75" hidden="false" customHeight="false" outlineLevel="0" collapsed="false">
      <c r="A178" s="162"/>
      <c r="B178" s="162"/>
      <c r="C178" s="162"/>
      <c r="D178" s="162"/>
      <c r="E178" s="162"/>
      <c r="F178" s="162"/>
      <c r="G178" s="162"/>
      <c r="H178" s="162"/>
      <c r="I178" s="162"/>
      <c r="J178" s="162"/>
      <c r="K178" s="162"/>
      <c r="L178" s="162"/>
      <c r="M178" s="162"/>
      <c r="N178" s="162"/>
      <c r="O178" s="162"/>
      <c r="P178" s="162"/>
      <c r="Q178" s="162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  <c r="AD178" s="162"/>
      <c r="AE178" s="162"/>
      <c r="AF178" s="162"/>
    </row>
    <row r="179" customFormat="false" ht="15.75" hidden="false" customHeight="false" outlineLevel="0" collapsed="false">
      <c r="A179" s="162"/>
      <c r="B179" s="162"/>
      <c r="C179" s="164"/>
      <c r="D179" s="162"/>
      <c r="E179" s="162"/>
      <c r="F179" s="162"/>
      <c r="G179" s="162"/>
      <c r="H179" s="162"/>
      <c r="I179" s="162"/>
      <c r="J179" s="162"/>
      <c r="K179" s="162"/>
      <c r="L179" s="162"/>
      <c r="M179" s="162"/>
      <c r="N179" s="162"/>
      <c r="O179" s="162"/>
      <c r="P179" s="162"/>
      <c r="Q179" s="162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  <c r="AD179" s="162"/>
      <c r="AE179" s="162"/>
      <c r="AF179" s="162"/>
    </row>
    <row r="180" customFormat="false" ht="15.75" hidden="false" customHeight="false" outlineLevel="0" collapsed="false">
      <c r="A180" s="162"/>
      <c r="B180" s="162"/>
      <c r="C180" s="162"/>
      <c r="D180" s="162"/>
      <c r="E180" s="162"/>
      <c r="F180" s="162"/>
      <c r="G180" s="162"/>
      <c r="H180" s="162"/>
      <c r="I180" s="162"/>
      <c r="J180" s="162"/>
      <c r="K180" s="162"/>
      <c r="L180" s="162"/>
      <c r="M180" s="162"/>
      <c r="N180" s="162"/>
      <c r="O180" s="162"/>
      <c r="P180" s="162"/>
      <c r="Q180" s="162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  <c r="AD180" s="162"/>
      <c r="AE180" s="162"/>
      <c r="AF180" s="162"/>
    </row>
    <row r="181" customFormat="false" ht="15.75" hidden="false" customHeight="false" outlineLevel="0" collapsed="false">
      <c r="A181" s="162"/>
      <c r="B181" s="164"/>
      <c r="C181" s="164"/>
      <c r="D181" s="162"/>
      <c r="E181" s="162"/>
      <c r="F181" s="162"/>
      <c r="G181" s="162"/>
      <c r="H181" s="162"/>
      <c r="I181" s="162"/>
      <c r="J181" s="162"/>
      <c r="K181" s="162"/>
      <c r="L181" s="162"/>
      <c r="M181" s="162"/>
      <c r="N181" s="162"/>
      <c r="O181" s="162"/>
      <c r="P181" s="162"/>
      <c r="Q181" s="162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  <c r="AD181" s="162"/>
      <c r="AE181" s="162"/>
      <c r="AF181" s="162"/>
    </row>
    <row r="182" customFormat="false" ht="15.75" hidden="false" customHeight="false" outlineLevel="0" collapsed="false">
      <c r="A182" s="162"/>
      <c r="B182" s="162"/>
      <c r="C182" s="162"/>
      <c r="D182" s="162"/>
      <c r="E182" s="162"/>
      <c r="F182" s="162"/>
      <c r="G182" s="162"/>
      <c r="H182" s="162"/>
      <c r="I182" s="162"/>
      <c r="J182" s="162"/>
      <c r="K182" s="162"/>
      <c r="L182" s="162"/>
      <c r="M182" s="162"/>
      <c r="N182" s="162"/>
      <c r="O182" s="162"/>
      <c r="P182" s="162"/>
      <c r="Q182" s="162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  <c r="AE182" s="162"/>
      <c r="AF182" s="162"/>
    </row>
    <row r="183" customFormat="false" ht="15.75" hidden="false" customHeight="false" outlineLevel="0" collapsed="false">
      <c r="A183" s="162"/>
      <c r="B183" s="162"/>
      <c r="C183" s="162"/>
      <c r="D183" s="162"/>
      <c r="E183" s="162"/>
      <c r="F183" s="162"/>
      <c r="G183" s="162"/>
      <c r="H183" s="162"/>
      <c r="I183" s="162"/>
      <c r="J183" s="162"/>
      <c r="K183" s="162"/>
      <c r="L183" s="162"/>
      <c r="M183" s="162"/>
      <c r="N183" s="162"/>
      <c r="O183" s="162"/>
      <c r="P183" s="162"/>
      <c r="Q183" s="162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  <c r="AD183" s="162"/>
      <c r="AE183" s="162"/>
      <c r="AF183" s="162"/>
    </row>
    <row r="184" customFormat="false" ht="15.75" hidden="false" customHeight="false" outlineLevel="0" collapsed="false">
      <c r="A184" s="162"/>
      <c r="B184" s="162"/>
      <c r="C184" s="162"/>
      <c r="D184" s="162"/>
      <c r="E184" s="162"/>
      <c r="F184" s="162"/>
      <c r="G184" s="162"/>
      <c r="H184" s="162"/>
      <c r="I184" s="162"/>
      <c r="J184" s="162"/>
      <c r="K184" s="162"/>
      <c r="L184" s="162"/>
      <c r="M184" s="162"/>
      <c r="N184" s="162"/>
      <c r="O184" s="162"/>
      <c r="P184" s="162"/>
      <c r="Q184" s="162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  <c r="AD184" s="162"/>
      <c r="AE184" s="162"/>
      <c r="AF184" s="162"/>
    </row>
    <row r="185" customFormat="false" ht="15.75" hidden="false" customHeight="false" outlineLevel="0" collapsed="false">
      <c r="A185" s="162"/>
      <c r="B185" s="162"/>
      <c r="C185" s="162"/>
      <c r="D185" s="162"/>
      <c r="E185" s="162"/>
      <c r="F185" s="162"/>
      <c r="G185" s="162"/>
      <c r="H185" s="162"/>
      <c r="I185" s="162"/>
      <c r="J185" s="162"/>
      <c r="K185" s="162"/>
      <c r="L185" s="162"/>
      <c r="M185" s="162"/>
      <c r="N185" s="162"/>
      <c r="O185" s="162"/>
      <c r="P185" s="162"/>
      <c r="Q185" s="162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  <c r="AD185" s="162"/>
      <c r="AE185" s="162"/>
      <c r="AF185" s="162"/>
    </row>
    <row r="186" customFormat="false" ht="15.75" hidden="false" customHeight="false" outlineLevel="0" collapsed="false">
      <c r="A186" s="162"/>
      <c r="B186" s="162"/>
      <c r="C186" s="162"/>
      <c r="D186" s="162"/>
      <c r="E186" s="162"/>
      <c r="F186" s="162"/>
      <c r="G186" s="162"/>
      <c r="H186" s="162"/>
      <c r="I186" s="162"/>
      <c r="J186" s="162"/>
      <c r="K186" s="162"/>
      <c r="L186" s="162"/>
      <c r="M186" s="162"/>
      <c r="N186" s="162"/>
      <c r="O186" s="162"/>
      <c r="P186" s="162"/>
      <c r="Q186" s="162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  <c r="AD186" s="162"/>
      <c r="AE186" s="162"/>
      <c r="AF186" s="162"/>
    </row>
    <row r="187" customFormat="false" ht="15.75" hidden="false" customHeight="false" outlineLevel="0" collapsed="false">
      <c r="A187" s="162"/>
      <c r="B187" s="162"/>
      <c r="C187" s="164"/>
      <c r="D187" s="162"/>
      <c r="E187" s="162"/>
      <c r="F187" s="162"/>
      <c r="G187" s="162"/>
      <c r="H187" s="162"/>
      <c r="I187" s="162"/>
      <c r="J187" s="162"/>
      <c r="K187" s="162"/>
      <c r="L187" s="162"/>
      <c r="M187" s="162"/>
      <c r="N187" s="162"/>
      <c r="O187" s="162"/>
      <c r="P187" s="162"/>
      <c r="Q187" s="162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  <c r="AD187" s="162"/>
      <c r="AE187" s="162"/>
      <c r="AF187" s="162"/>
    </row>
    <row r="188" customFormat="false" ht="15.75" hidden="false" customHeight="false" outlineLevel="0" collapsed="false">
      <c r="A188" s="162"/>
      <c r="B188" s="162"/>
      <c r="C188" s="164"/>
      <c r="D188" s="162"/>
      <c r="E188" s="162"/>
      <c r="F188" s="162"/>
      <c r="G188" s="162"/>
      <c r="H188" s="162"/>
      <c r="I188" s="162"/>
      <c r="J188" s="162"/>
      <c r="K188" s="162"/>
      <c r="L188" s="162"/>
      <c r="M188" s="162"/>
      <c r="N188" s="162"/>
      <c r="O188" s="162"/>
      <c r="P188" s="162"/>
      <c r="Q188" s="162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  <c r="AD188" s="162"/>
      <c r="AE188" s="162"/>
      <c r="AF188" s="162"/>
    </row>
    <row r="189" customFormat="false" ht="15.75" hidden="false" customHeight="false" outlineLevel="0" collapsed="false">
      <c r="A189" s="162"/>
      <c r="B189" s="162"/>
      <c r="C189" s="164"/>
      <c r="D189" s="162"/>
      <c r="E189" s="162"/>
      <c r="F189" s="162"/>
      <c r="G189" s="162"/>
      <c r="H189" s="162"/>
      <c r="I189" s="162"/>
      <c r="J189" s="162"/>
      <c r="K189" s="162"/>
      <c r="L189" s="162"/>
      <c r="M189" s="162"/>
      <c r="N189" s="162"/>
      <c r="O189" s="162"/>
      <c r="P189" s="162"/>
      <c r="Q189" s="162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  <c r="AD189" s="162"/>
      <c r="AE189" s="162"/>
      <c r="AF189" s="162"/>
    </row>
    <row r="190" customFormat="false" ht="15.75" hidden="false" customHeight="false" outlineLevel="0" collapsed="false">
      <c r="A190" s="162"/>
      <c r="B190" s="162"/>
      <c r="C190" s="164"/>
      <c r="D190" s="162"/>
      <c r="E190" s="162"/>
      <c r="F190" s="162"/>
      <c r="G190" s="162"/>
      <c r="H190" s="162"/>
      <c r="I190" s="162"/>
      <c r="J190" s="162"/>
      <c r="K190" s="162"/>
      <c r="L190" s="162"/>
      <c r="M190" s="162"/>
      <c r="N190" s="162"/>
      <c r="O190" s="162"/>
      <c r="P190" s="162"/>
      <c r="Q190" s="162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  <c r="AD190" s="162"/>
      <c r="AE190" s="162"/>
      <c r="AF190" s="162"/>
    </row>
    <row r="191" customFormat="false" ht="15.75" hidden="false" customHeight="false" outlineLevel="0" collapsed="false">
      <c r="A191" s="162"/>
      <c r="B191" s="162"/>
      <c r="C191" s="164"/>
      <c r="D191" s="162"/>
      <c r="E191" s="162"/>
      <c r="F191" s="162"/>
      <c r="G191" s="162"/>
      <c r="H191" s="162"/>
      <c r="I191" s="162"/>
      <c r="J191" s="162"/>
      <c r="K191" s="162"/>
      <c r="L191" s="162"/>
      <c r="M191" s="162"/>
      <c r="N191" s="162"/>
      <c r="O191" s="162"/>
      <c r="P191" s="162"/>
      <c r="Q191" s="162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  <c r="AD191" s="162"/>
      <c r="AE191" s="162"/>
      <c r="AF191" s="162"/>
    </row>
    <row r="192" customFormat="false" ht="15.75" hidden="false" customHeight="false" outlineLevel="0" collapsed="false">
      <c r="A192" s="162"/>
      <c r="B192" s="162"/>
      <c r="C192" s="164"/>
      <c r="D192" s="162"/>
      <c r="E192" s="162"/>
      <c r="F192" s="162"/>
      <c r="G192" s="162"/>
      <c r="H192" s="162"/>
      <c r="I192" s="162"/>
      <c r="J192" s="162"/>
      <c r="K192" s="162"/>
      <c r="L192" s="162"/>
      <c r="M192" s="162"/>
      <c r="N192" s="162"/>
      <c r="O192" s="162"/>
      <c r="P192" s="162"/>
      <c r="Q192" s="162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  <c r="AD192" s="162"/>
      <c r="AE192" s="162"/>
      <c r="AF192" s="162"/>
    </row>
    <row r="193" customFormat="false" ht="15.75" hidden="false" customHeight="false" outlineLevel="0" collapsed="false">
      <c r="A193" s="162"/>
      <c r="B193" s="162"/>
      <c r="C193" s="162"/>
      <c r="D193" s="162"/>
      <c r="E193" s="162"/>
      <c r="F193" s="162"/>
      <c r="G193" s="162"/>
      <c r="H193" s="162"/>
      <c r="I193" s="162"/>
      <c r="J193" s="162"/>
      <c r="K193" s="162"/>
      <c r="L193" s="162"/>
      <c r="M193" s="162"/>
      <c r="N193" s="162"/>
      <c r="O193" s="162"/>
      <c r="P193" s="162"/>
      <c r="Q193" s="162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  <c r="AD193" s="162"/>
      <c r="AE193" s="162"/>
      <c r="AF193" s="162"/>
    </row>
    <row r="194" customFormat="false" ht="15.75" hidden="false" customHeight="false" outlineLevel="0" collapsed="false">
      <c r="A194" s="162"/>
      <c r="B194" s="162"/>
      <c r="C194" s="162"/>
      <c r="D194" s="162"/>
      <c r="E194" s="162"/>
      <c r="F194" s="162"/>
      <c r="G194" s="162"/>
      <c r="H194" s="162"/>
      <c r="I194" s="162"/>
      <c r="J194" s="162"/>
      <c r="K194" s="162"/>
      <c r="L194" s="162"/>
      <c r="M194" s="162"/>
      <c r="N194" s="162"/>
      <c r="O194" s="162"/>
      <c r="P194" s="162"/>
      <c r="Q194" s="162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  <c r="AE194" s="162"/>
      <c r="AF194" s="162"/>
    </row>
    <row r="195" customFormat="false" ht="15.75" hidden="false" customHeight="false" outlineLevel="0" collapsed="false">
      <c r="A195" s="162"/>
      <c r="B195" s="162"/>
      <c r="C195" s="162"/>
      <c r="D195" s="162"/>
      <c r="E195" s="162"/>
      <c r="F195" s="162"/>
      <c r="G195" s="162"/>
      <c r="H195" s="162"/>
      <c r="I195" s="162"/>
      <c r="J195" s="162"/>
      <c r="K195" s="162"/>
      <c r="L195" s="162"/>
      <c r="M195" s="162"/>
      <c r="N195" s="162"/>
      <c r="O195" s="162"/>
      <c r="P195" s="162"/>
      <c r="Q195" s="162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  <c r="AE195" s="162"/>
      <c r="AF195" s="162"/>
    </row>
    <row r="196" customFormat="false" ht="15.75" hidden="false" customHeight="false" outlineLevel="0" collapsed="false">
      <c r="A196" s="162"/>
      <c r="B196" s="162"/>
      <c r="C196" s="162"/>
      <c r="D196" s="162"/>
      <c r="E196" s="162"/>
      <c r="F196" s="162"/>
      <c r="G196" s="162"/>
      <c r="H196" s="162"/>
      <c r="I196" s="162"/>
      <c r="J196" s="162"/>
      <c r="K196" s="162"/>
      <c r="L196" s="162"/>
      <c r="M196" s="162"/>
      <c r="N196" s="162"/>
      <c r="O196" s="162"/>
      <c r="P196" s="162"/>
      <c r="Q196" s="162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  <c r="AD196" s="162"/>
      <c r="AE196" s="162"/>
      <c r="AF196" s="162"/>
    </row>
    <row r="197" customFormat="false" ht="15.75" hidden="false" customHeight="false" outlineLevel="0" collapsed="false">
      <c r="A197" s="162"/>
      <c r="B197" s="162"/>
      <c r="C197" s="164"/>
      <c r="D197" s="162"/>
      <c r="E197" s="162"/>
      <c r="F197" s="162"/>
      <c r="G197" s="162"/>
      <c r="H197" s="162"/>
      <c r="I197" s="162"/>
      <c r="J197" s="162"/>
      <c r="K197" s="162"/>
      <c r="L197" s="162"/>
      <c r="M197" s="162"/>
      <c r="N197" s="162"/>
      <c r="O197" s="162"/>
      <c r="P197" s="162"/>
      <c r="Q197" s="162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  <c r="AE197" s="162"/>
      <c r="AF197" s="162"/>
    </row>
    <row r="198" customFormat="false" ht="15.75" hidden="false" customHeight="false" outlineLevel="0" collapsed="false">
      <c r="A198" s="162"/>
      <c r="B198" s="162"/>
      <c r="C198" s="162"/>
      <c r="D198" s="162"/>
      <c r="E198" s="162"/>
      <c r="F198" s="162"/>
      <c r="G198" s="162"/>
      <c r="H198" s="162"/>
      <c r="I198" s="162"/>
      <c r="J198" s="162"/>
      <c r="K198" s="162"/>
      <c r="L198" s="162"/>
      <c r="M198" s="162"/>
      <c r="N198" s="162"/>
      <c r="O198" s="162"/>
      <c r="P198" s="162"/>
      <c r="Q198" s="162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  <c r="AD198" s="162"/>
      <c r="AE198" s="162"/>
      <c r="AF198" s="162"/>
    </row>
    <row r="199" customFormat="false" ht="15.75" hidden="false" customHeight="false" outlineLevel="0" collapsed="false">
      <c r="A199" s="162"/>
      <c r="B199" s="162"/>
      <c r="C199" s="162"/>
      <c r="D199" s="162"/>
      <c r="E199" s="162"/>
      <c r="F199" s="162"/>
      <c r="G199" s="162"/>
      <c r="H199" s="162"/>
      <c r="I199" s="162"/>
      <c r="J199" s="162"/>
      <c r="K199" s="162"/>
      <c r="L199" s="162"/>
      <c r="M199" s="162"/>
      <c r="N199" s="162"/>
      <c r="O199" s="162"/>
      <c r="P199" s="162"/>
      <c r="Q199" s="162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  <c r="AD199" s="162"/>
      <c r="AE199" s="162"/>
      <c r="AF199" s="162"/>
    </row>
    <row r="200" customFormat="false" ht="15.75" hidden="false" customHeight="false" outlineLevel="0" collapsed="false">
      <c r="A200" s="162"/>
      <c r="B200" s="162"/>
      <c r="C200" s="162"/>
      <c r="D200" s="162"/>
      <c r="E200" s="162"/>
      <c r="F200" s="162"/>
      <c r="G200" s="162"/>
      <c r="H200" s="162"/>
      <c r="I200" s="162"/>
      <c r="J200" s="162"/>
      <c r="K200" s="162"/>
      <c r="L200" s="162"/>
      <c r="M200" s="162"/>
      <c r="N200" s="162"/>
      <c r="O200" s="162"/>
      <c r="P200" s="162"/>
      <c r="Q200" s="162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  <c r="AD200" s="162"/>
      <c r="AE200" s="162"/>
      <c r="AF200" s="162"/>
    </row>
    <row r="201" customFormat="false" ht="15.75" hidden="false" customHeight="false" outlineLevel="0" collapsed="false">
      <c r="A201" s="162"/>
      <c r="B201" s="162"/>
      <c r="C201" s="162"/>
      <c r="D201" s="162"/>
      <c r="E201" s="162"/>
      <c r="F201" s="162"/>
      <c r="G201" s="162"/>
      <c r="H201" s="162"/>
      <c r="I201" s="162"/>
      <c r="J201" s="162"/>
      <c r="K201" s="162"/>
      <c r="L201" s="162"/>
      <c r="M201" s="162"/>
      <c r="N201" s="162"/>
      <c r="O201" s="162"/>
      <c r="P201" s="162"/>
      <c r="Q201" s="162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  <c r="AE201" s="162"/>
      <c r="AF201" s="162"/>
    </row>
    <row r="202" customFormat="false" ht="15.75" hidden="false" customHeight="false" outlineLevel="0" collapsed="false">
      <c r="A202" s="162"/>
      <c r="B202" s="162"/>
      <c r="C202" s="164"/>
      <c r="D202" s="162"/>
      <c r="E202" s="162"/>
      <c r="F202" s="162"/>
      <c r="G202" s="162"/>
      <c r="H202" s="162"/>
      <c r="I202" s="162"/>
      <c r="J202" s="162"/>
      <c r="K202" s="162"/>
      <c r="L202" s="162"/>
      <c r="M202" s="162"/>
      <c r="N202" s="162"/>
      <c r="O202" s="162"/>
      <c r="P202" s="162"/>
      <c r="Q202" s="162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  <c r="AD202" s="162"/>
      <c r="AE202" s="162"/>
      <c r="AF202" s="162"/>
    </row>
    <row r="203" customFormat="false" ht="15.75" hidden="false" customHeight="false" outlineLevel="0" collapsed="false">
      <c r="A203" s="162"/>
      <c r="B203" s="162"/>
      <c r="C203" s="162"/>
      <c r="D203" s="162"/>
      <c r="E203" s="162"/>
      <c r="F203" s="162"/>
      <c r="G203" s="162"/>
      <c r="H203" s="162"/>
      <c r="I203" s="162"/>
      <c r="J203" s="162"/>
      <c r="K203" s="162"/>
      <c r="L203" s="162"/>
      <c r="M203" s="162"/>
      <c r="N203" s="162"/>
      <c r="O203" s="162"/>
      <c r="P203" s="162"/>
      <c r="Q203" s="162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  <c r="AE203" s="162"/>
      <c r="AF203" s="162"/>
    </row>
    <row r="204" customFormat="false" ht="15.75" hidden="false" customHeight="false" outlineLevel="0" collapsed="false">
      <c r="A204" s="162"/>
      <c r="B204" s="162"/>
      <c r="C204" s="162"/>
      <c r="D204" s="162"/>
      <c r="E204" s="162"/>
      <c r="F204" s="162"/>
      <c r="G204" s="162"/>
      <c r="H204" s="162"/>
      <c r="I204" s="162"/>
      <c r="J204" s="162"/>
      <c r="K204" s="162"/>
      <c r="L204" s="162"/>
      <c r="M204" s="162"/>
      <c r="N204" s="162"/>
      <c r="O204" s="162"/>
      <c r="P204" s="162"/>
      <c r="Q204" s="162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  <c r="AD204" s="162"/>
      <c r="AE204" s="162"/>
      <c r="AF204" s="162"/>
    </row>
    <row r="205" customFormat="false" ht="15.75" hidden="false" customHeight="false" outlineLevel="0" collapsed="false">
      <c r="A205" s="162"/>
      <c r="B205" s="162"/>
      <c r="C205" s="162"/>
      <c r="D205" s="162"/>
      <c r="E205" s="162"/>
      <c r="F205" s="162"/>
      <c r="G205" s="162"/>
      <c r="H205" s="162"/>
      <c r="I205" s="162"/>
      <c r="J205" s="162"/>
      <c r="K205" s="162"/>
      <c r="L205" s="162"/>
      <c r="M205" s="162"/>
      <c r="N205" s="162"/>
      <c r="O205" s="162"/>
      <c r="P205" s="162"/>
      <c r="Q205" s="162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  <c r="AE205" s="162"/>
      <c r="AF205" s="162"/>
    </row>
    <row r="206" customFormat="false" ht="15.75" hidden="false" customHeight="false" outlineLevel="0" collapsed="false">
      <c r="A206" s="162"/>
      <c r="B206" s="162"/>
      <c r="C206" s="162"/>
      <c r="D206" s="162"/>
      <c r="E206" s="162"/>
      <c r="F206" s="162"/>
      <c r="G206" s="162"/>
      <c r="H206" s="162"/>
      <c r="I206" s="162"/>
      <c r="J206" s="162"/>
      <c r="K206" s="162"/>
      <c r="L206" s="162"/>
      <c r="M206" s="162"/>
      <c r="N206" s="162"/>
      <c r="O206" s="162"/>
      <c r="P206" s="162"/>
      <c r="Q206" s="162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  <c r="AD206" s="162"/>
      <c r="AE206" s="162"/>
      <c r="AF206" s="162"/>
    </row>
    <row r="207" customFormat="false" ht="15.75" hidden="false" customHeight="false" outlineLevel="0" collapsed="false">
      <c r="A207" s="162"/>
      <c r="B207" s="162"/>
      <c r="C207" s="162"/>
      <c r="D207" s="162"/>
      <c r="E207" s="162"/>
      <c r="F207" s="162"/>
      <c r="G207" s="162"/>
      <c r="H207" s="162"/>
      <c r="I207" s="162"/>
      <c r="J207" s="162"/>
      <c r="K207" s="162"/>
      <c r="L207" s="162"/>
      <c r="M207" s="162"/>
      <c r="N207" s="162"/>
      <c r="O207" s="162"/>
      <c r="P207" s="162"/>
      <c r="Q207" s="162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  <c r="AD207" s="162"/>
      <c r="AE207" s="162"/>
      <c r="AF207" s="162"/>
    </row>
    <row r="208" customFormat="false" ht="15.75" hidden="false" customHeight="false" outlineLevel="0" collapsed="false">
      <c r="A208" s="162"/>
      <c r="B208" s="162"/>
      <c r="C208" s="162"/>
      <c r="D208" s="162"/>
      <c r="E208" s="162"/>
      <c r="F208" s="162"/>
      <c r="G208" s="162"/>
      <c r="H208" s="162"/>
      <c r="I208" s="162"/>
      <c r="J208" s="162"/>
      <c r="K208" s="162"/>
      <c r="L208" s="162"/>
      <c r="M208" s="162"/>
      <c r="N208" s="162"/>
      <c r="O208" s="162"/>
      <c r="P208" s="162"/>
      <c r="Q208" s="162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  <c r="AE208" s="162"/>
      <c r="AF208" s="162"/>
    </row>
    <row r="209" customFormat="false" ht="15.75" hidden="false" customHeight="false" outlineLevel="0" collapsed="false">
      <c r="A209" s="162"/>
      <c r="B209" s="162"/>
      <c r="C209" s="164"/>
      <c r="D209" s="162"/>
      <c r="E209" s="162"/>
      <c r="F209" s="162"/>
      <c r="G209" s="162"/>
      <c r="H209" s="162"/>
      <c r="I209" s="162"/>
      <c r="J209" s="162"/>
      <c r="K209" s="162"/>
      <c r="L209" s="162"/>
      <c r="M209" s="162"/>
      <c r="N209" s="162"/>
      <c r="O209" s="162"/>
      <c r="P209" s="162"/>
      <c r="Q209" s="162"/>
      <c r="S209" s="162"/>
      <c r="T209" s="162"/>
      <c r="U209" s="162"/>
      <c r="V209" s="162"/>
      <c r="W209" s="162"/>
      <c r="X209" s="162"/>
      <c r="Y209" s="162"/>
      <c r="Z209" s="162"/>
      <c r="AB209" s="162"/>
      <c r="AC209" s="162"/>
      <c r="AE209" s="162"/>
      <c r="AF209" s="162"/>
    </row>
    <row r="210" customFormat="false" ht="15.75" hidden="false" customHeight="false" outlineLevel="0" collapsed="false">
      <c r="A210" s="162"/>
      <c r="B210" s="162"/>
      <c r="C210" s="162"/>
      <c r="D210" s="162"/>
      <c r="E210" s="162"/>
      <c r="F210" s="162"/>
      <c r="G210" s="162"/>
      <c r="H210" s="162"/>
      <c r="I210" s="162"/>
      <c r="J210" s="162"/>
      <c r="K210" s="162"/>
      <c r="L210" s="162"/>
      <c r="M210" s="162"/>
      <c r="N210" s="162"/>
      <c r="O210" s="162"/>
      <c r="P210" s="162"/>
      <c r="Q210" s="162"/>
      <c r="S210" s="162"/>
      <c r="T210" s="162"/>
      <c r="U210" s="162"/>
      <c r="V210" s="162"/>
      <c r="W210" s="162"/>
      <c r="X210" s="162"/>
      <c r="Y210" s="162"/>
      <c r="Z210" s="162"/>
      <c r="AB210" s="162"/>
      <c r="AC210" s="162"/>
      <c r="AE210" s="162"/>
      <c r="AF210" s="162"/>
    </row>
    <row r="211" customFormat="false" ht="15.75" hidden="false" customHeight="false" outlineLevel="0" collapsed="false">
      <c r="A211" s="162"/>
      <c r="B211" s="162"/>
      <c r="C211" s="162"/>
      <c r="D211" s="162"/>
      <c r="E211" s="162"/>
      <c r="F211" s="162"/>
      <c r="G211" s="162"/>
      <c r="H211" s="162"/>
      <c r="I211" s="162"/>
      <c r="J211" s="162"/>
      <c r="K211" s="162"/>
      <c r="L211" s="162"/>
      <c r="M211" s="162"/>
      <c r="N211" s="162"/>
      <c r="O211" s="162"/>
      <c r="P211" s="162"/>
      <c r="Q211" s="162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  <c r="AE211" s="162"/>
      <c r="AF211" s="162"/>
    </row>
    <row r="212" customFormat="false" ht="15.75" hidden="false" customHeight="false" outlineLevel="0" collapsed="false">
      <c r="A212" s="162"/>
      <c r="B212" s="162"/>
      <c r="C212" s="162"/>
      <c r="D212" s="162"/>
      <c r="E212" s="162"/>
      <c r="F212" s="162"/>
      <c r="G212" s="162"/>
      <c r="H212" s="162"/>
      <c r="I212" s="162"/>
      <c r="J212" s="162"/>
      <c r="K212" s="162"/>
      <c r="L212" s="162"/>
      <c r="M212" s="162"/>
      <c r="N212" s="162"/>
      <c r="O212" s="162"/>
      <c r="P212" s="162"/>
      <c r="Q212" s="162"/>
      <c r="S212" s="162"/>
      <c r="T212" s="162"/>
      <c r="U212" s="162"/>
      <c r="V212" s="162"/>
      <c r="W212" s="162"/>
      <c r="X212" s="162"/>
      <c r="Y212" s="162"/>
      <c r="Z212" s="162"/>
      <c r="AB212" s="162"/>
      <c r="AC212" s="162"/>
      <c r="AE212" s="162"/>
      <c r="AF212" s="162"/>
    </row>
    <row r="213" customFormat="false" ht="15.75" hidden="false" customHeight="false" outlineLevel="0" collapsed="false">
      <c r="A213" s="162"/>
      <c r="B213" s="162"/>
      <c r="C213" s="162"/>
      <c r="D213" s="162"/>
      <c r="E213" s="162"/>
      <c r="F213" s="162"/>
      <c r="G213" s="162"/>
      <c r="H213" s="162"/>
      <c r="I213" s="162"/>
      <c r="J213" s="162"/>
      <c r="K213" s="162"/>
      <c r="L213" s="162"/>
      <c r="M213" s="162"/>
      <c r="N213" s="162"/>
      <c r="O213" s="162"/>
      <c r="P213" s="162"/>
      <c r="Q213" s="162"/>
      <c r="S213" s="162"/>
      <c r="T213" s="162"/>
      <c r="U213" s="162"/>
      <c r="V213" s="162"/>
      <c r="W213" s="162"/>
      <c r="X213" s="162"/>
      <c r="Y213" s="162"/>
      <c r="Z213" s="162"/>
      <c r="AB213" s="162"/>
      <c r="AC213" s="162"/>
      <c r="AE213" s="162"/>
      <c r="AF213" s="162"/>
    </row>
    <row r="214" customFormat="false" ht="15.75" hidden="false" customHeight="false" outlineLevel="0" collapsed="false">
      <c r="A214" s="162"/>
      <c r="B214" s="162"/>
      <c r="C214" s="162"/>
      <c r="D214" s="162"/>
      <c r="E214" s="162"/>
      <c r="F214" s="162"/>
      <c r="G214" s="162"/>
      <c r="H214" s="162"/>
      <c r="I214" s="162"/>
      <c r="J214" s="162"/>
      <c r="K214" s="162"/>
      <c r="L214" s="162"/>
      <c r="M214" s="162"/>
      <c r="N214" s="162"/>
      <c r="O214" s="162"/>
      <c r="P214" s="162"/>
      <c r="Q214" s="162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  <c r="AD214" s="162"/>
      <c r="AE214" s="162"/>
      <c r="AF214" s="162"/>
    </row>
    <row r="215" customFormat="false" ht="15.75" hidden="false" customHeight="false" outlineLevel="0" collapsed="false">
      <c r="A215" s="162"/>
      <c r="B215" s="162"/>
      <c r="C215" s="162"/>
      <c r="D215" s="162"/>
      <c r="E215" s="162"/>
      <c r="F215" s="162"/>
      <c r="G215" s="162"/>
      <c r="H215" s="162"/>
      <c r="I215" s="162"/>
      <c r="J215" s="162"/>
      <c r="K215" s="162"/>
      <c r="L215" s="162"/>
      <c r="M215" s="162"/>
      <c r="N215" s="162"/>
      <c r="O215" s="162"/>
      <c r="P215" s="162"/>
      <c r="Q215" s="162"/>
      <c r="S215" s="162"/>
      <c r="T215" s="162"/>
      <c r="U215" s="162"/>
      <c r="V215" s="162"/>
      <c r="W215" s="162"/>
      <c r="X215" s="162"/>
      <c r="Y215" s="162"/>
      <c r="Z215" s="162"/>
      <c r="AB215" s="162"/>
      <c r="AC215" s="162"/>
      <c r="AE215" s="162"/>
      <c r="AF215" s="162"/>
    </row>
    <row r="216" customFormat="false" ht="15.75" hidden="false" customHeight="false" outlineLevel="0" collapsed="false">
      <c r="A216" s="162"/>
      <c r="B216" s="162"/>
      <c r="C216" s="162"/>
      <c r="D216" s="162"/>
      <c r="E216" s="162"/>
      <c r="F216" s="162"/>
      <c r="G216" s="162"/>
      <c r="H216" s="162"/>
      <c r="I216" s="162"/>
      <c r="J216" s="162"/>
      <c r="K216" s="162"/>
      <c r="L216" s="162"/>
      <c r="M216" s="162"/>
      <c r="N216" s="162"/>
      <c r="O216" s="162"/>
      <c r="P216" s="162"/>
      <c r="Q216" s="162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  <c r="AE216" s="162"/>
      <c r="AF216" s="162"/>
    </row>
    <row r="217" customFormat="false" ht="15.75" hidden="false" customHeight="false" outlineLevel="0" collapsed="false">
      <c r="A217" s="162"/>
      <c r="B217" s="162"/>
      <c r="C217" s="162"/>
      <c r="D217" s="162"/>
      <c r="E217" s="162"/>
      <c r="F217" s="162"/>
      <c r="G217" s="162"/>
      <c r="H217" s="162"/>
      <c r="I217" s="162"/>
      <c r="J217" s="162"/>
      <c r="K217" s="162"/>
      <c r="L217" s="162"/>
      <c r="M217" s="162"/>
      <c r="N217" s="162"/>
      <c r="O217" s="162"/>
      <c r="P217" s="162"/>
      <c r="Q217" s="162"/>
      <c r="S217" s="162"/>
      <c r="T217" s="162"/>
      <c r="U217" s="162"/>
      <c r="V217" s="162"/>
      <c r="W217" s="162"/>
      <c r="X217" s="162"/>
      <c r="Y217" s="162"/>
      <c r="Z217" s="162"/>
      <c r="AB217" s="162"/>
      <c r="AC217" s="162"/>
      <c r="AE217" s="162"/>
      <c r="AF217" s="162"/>
    </row>
    <row r="218" customFormat="false" ht="15.75" hidden="false" customHeight="false" outlineLevel="0" collapsed="false">
      <c r="A218" s="162"/>
      <c r="B218" s="162"/>
      <c r="C218" s="162"/>
      <c r="D218" s="162"/>
      <c r="E218" s="162"/>
      <c r="F218" s="162"/>
      <c r="G218" s="162"/>
      <c r="H218" s="162"/>
      <c r="I218" s="162"/>
      <c r="J218" s="162"/>
      <c r="K218" s="162"/>
      <c r="L218" s="162"/>
      <c r="M218" s="162"/>
      <c r="O218" s="162"/>
      <c r="P218" s="162"/>
      <c r="Q218" s="162"/>
      <c r="S218" s="162"/>
      <c r="T218" s="162"/>
      <c r="U218" s="162"/>
      <c r="V218" s="162"/>
      <c r="W218" s="162"/>
      <c r="X218" s="162"/>
      <c r="Y218" s="162"/>
      <c r="Z218" s="162"/>
      <c r="AB218" s="162"/>
      <c r="AC218" s="162"/>
    </row>
    <row r="219" customFormat="false" ht="15.75" hidden="false" customHeight="false" outlineLevel="0" collapsed="false">
      <c r="A219" s="162"/>
      <c r="B219" s="162"/>
      <c r="C219" s="162"/>
      <c r="D219" s="162"/>
      <c r="E219" s="162"/>
      <c r="F219" s="162"/>
      <c r="G219" s="162"/>
      <c r="H219" s="162"/>
      <c r="I219" s="162"/>
      <c r="J219" s="162"/>
      <c r="K219" s="162"/>
      <c r="L219" s="162"/>
      <c r="M219" s="162"/>
      <c r="N219" s="162"/>
      <c r="O219" s="162"/>
      <c r="P219" s="162"/>
      <c r="Q219" s="162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customFormat="false" ht="15.75" hidden="false" customHeight="false" outlineLevel="0" collapsed="false">
      <c r="A220" s="162"/>
      <c r="B220" s="162"/>
      <c r="C220" s="162"/>
      <c r="D220" s="162"/>
      <c r="E220" s="162"/>
      <c r="F220" s="162"/>
      <c r="G220" s="162"/>
      <c r="H220" s="162"/>
      <c r="I220" s="162"/>
      <c r="J220" s="162"/>
      <c r="K220" s="162"/>
      <c r="L220" s="162"/>
      <c r="M220" s="162"/>
      <c r="O220" s="162"/>
      <c r="P220" s="162"/>
      <c r="Q220" s="162"/>
      <c r="S220" s="162"/>
      <c r="T220" s="162"/>
      <c r="U220" s="162"/>
      <c r="V220" s="162"/>
      <c r="W220" s="162"/>
      <c r="X220" s="162"/>
      <c r="Y220" s="162"/>
      <c r="Z220" s="162"/>
      <c r="AB220" s="162"/>
      <c r="AC220" s="162"/>
    </row>
    <row r="221" customFormat="false" ht="15.75" hidden="false" customHeight="false" outlineLevel="0" collapsed="false">
      <c r="A221" s="162"/>
      <c r="B221" s="162"/>
      <c r="C221" s="162"/>
      <c r="D221" s="162"/>
      <c r="E221" s="162"/>
      <c r="F221" s="162"/>
      <c r="G221" s="162"/>
      <c r="H221" s="162"/>
      <c r="I221" s="162"/>
      <c r="J221" s="162"/>
      <c r="K221" s="162"/>
      <c r="L221" s="162"/>
      <c r="M221" s="162"/>
      <c r="O221" s="162"/>
      <c r="P221" s="162"/>
      <c r="Q221" s="162"/>
      <c r="S221" s="162"/>
      <c r="T221" s="162"/>
      <c r="U221" s="162"/>
      <c r="V221" s="162"/>
      <c r="W221" s="162"/>
      <c r="X221" s="162"/>
      <c r="Y221" s="162"/>
      <c r="Z221" s="162"/>
      <c r="AB221" s="162"/>
      <c r="AC221" s="162"/>
    </row>
    <row r="222" customFormat="false" ht="15.75" hidden="false" customHeight="false" outlineLevel="0" collapsed="false">
      <c r="A222" s="162"/>
      <c r="B222" s="162"/>
      <c r="C222" s="162"/>
      <c r="D222" s="162"/>
      <c r="E222" s="162"/>
      <c r="F222" s="162"/>
      <c r="G222" s="162"/>
      <c r="H222" s="162"/>
      <c r="I222" s="162"/>
      <c r="J222" s="162"/>
      <c r="K222" s="162"/>
      <c r="L222" s="162"/>
      <c r="M222" s="162"/>
      <c r="O222" s="162"/>
      <c r="P222" s="162"/>
      <c r="Q222" s="162"/>
      <c r="S222" s="162"/>
      <c r="T222" s="162"/>
      <c r="U222" s="162"/>
      <c r="V222" s="162"/>
      <c r="W222" s="162"/>
      <c r="X222" s="162"/>
      <c r="Y222" s="162"/>
      <c r="Z222" s="162"/>
      <c r="AB222" s="162"/>
      <c r="AC222" s="162"/>
    </row>
    <row r="223" customFormat="false" ht="15.75" hidden="false" customHeight="false" outlineLevel="0" collapsed="false">
      <c r="A223" s="162"/>
      <c r="B223" s="162"/>
      <c r="C223" s="162"/>
      <c r="D223" s="162"/>
      <c r="E223" s="162"/>
      <c r="F223" s="162"/>
      <c r="G223" s="162"/>
      <c r="H223" s="162"/>
      <c r="I223" s="162"/>
      <c r="J223" s="162"/>
      <c r="K223" s="162"/>
      <c r="L223" s="162"/>
      <c r="M223" s="162"/>
      <c r="N223" s="162"/>
      <c r="O223" s="162"/>
      <c r="P223" s="162"/>
      <c r="Q223" s="162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customFormat="false" ht="15.75" hidden="false" customHeight="false" outlineLevel="0" collapsed="false">
      <c r="A224" s="162"/>
      <c r="B224" s="162"/>
      <c r="C224" s="164"/>
      <c r="D224" s="162"/>
      <c r="E224" s="162"/>
      <c r="F224" s="162"/>
      <c r="G224" s="162"/>
      <c r="H224" s="162"/>
      <c r="I224" s="162"/>
      <c r="J224" s="162"/>
      <c r="K224" s="162"/>
      <c r="L224" s="162"/>
      <c r="M224" s="162"/>
      <c r="N224" s="162"/>
      <c r="O224" s="162"/>
      <c r="P224" s="162"/>
      <c r="Q224" s="16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customFormat="false" ht="15.75" hidden="false" customHeight="false" outlineLevel="0" collapsed="false">
      <c r="A225" s="162"/>
      <c r="B225" s="162"/>
      <c r="C225" s="162"/>
      <c r="D225" s="162"/>
      <c r="E225" s="162"/>
      <c r="F225" s="162"/>
      <c r="G225" s="162"/>
      <c r="H225" s="162"/>
      <c r="I225" s="162"/>
      <c r="J225" s="162"/>
      <c r="K225" s="162"/>
      <c r="L225" s="162"/>
      <c r="M225" s="162"/>
      <c r="O225" s="162"/>
      <c r="P225" s="162"/>
      <c r="Q225" s="162"/>
      <c r="S225" s="162"/>
      <c r="T225" s="162"/>
      <c r="U225" s="162"/>
      <c r="V225" s="162"/>
      <c r="W225" s="162"/>
      <c r="X225" s="162"/>
      <c r="Y225" s="162"/>
      <c r="Z225" s="162"/>
      <c r="AB225" s="162"/>
      <c r="AC225" s="162"/>
    </row>
    <row r="226" customFormat="false" ht="15.75" hidden="false" customHeight="false" outlineLevel="0" collapsed="false">
      <c r="A226" s="162"/>
      <c r="B226" s="162"/>
      <c r="C226" s="162"/>
      <c r="D226" s="162"/>
      <c r="E226" s="162"/>
      <c r="F226" s="162"/>
      <c r="G226" s="162"/>
      <c r="H226" s="162"/>
      <c r="I226" s="162"/>
      <c r="J226" s="162"/>
      <c r="K226" s="162"/>
      <c r="L226" s="162"/>
      <c r="M226" s="162"/>
      <c r="N226" s="162"/>
      <c r="O226" s="162"/>
      <c r="P226" s="162"/>
      <c r="Q226" s="162"/>
      <c r="S226" s="162"/>
      <c r="T226" s="162"/>
      <c r="U226" s="162"/>
      <c r="V226" s="162"/>
      <c r="W226" s="162"/>
      <c r="X226" s="162"/>
      <c r="Y226" s="162"/>
      <c r="Z226" s="162"/>
      <c r="AB226" s="162"/>
      <c r="AC226" s="162"/>
    </row>
    <row r="227" customFormat="false" ht="15.75" hidden="false" customHeight="false" outlineLevel="0" collapsed="false">
      <c r="A227" s="162"/>
      <c r="B227" s="162"/>
      <c r="C227" s="162"/>
      <c r="D227" s="162"/>
      <c r="E227" s="162"/>
      <c r="F227" s="162"/>
      <c r="G227" s="162"/>
      <c r="H227" s="162"/>
      <c r="I227" s="162"/>
      <c r="J227" s="162"/>
      <c r="K227" s="162"/>
      <c r="L227" s="162"/>
      <c r="M227" s="162"/>
      <c r="N227" s="162"/>
      <c r="O227" s="162"/>
      <c r="P227" s="162"/>
      <c r="Q227" s="162"/>
      <c r="S227" s="162"/>
      <c r="T227" s="162"/>
      <c r="U227" s="162"/>
      <c r="V227" s="162"/>
      <c r="W227" s="162"/>
      <c r="X227" s="162"/>
      <c r="Y227" s="162"/>
      <c r="Z227" s="162"/>
      <c r="AB227" s="162"/>
      <c r="AC227" s="162"/>
    </row>
    <row r="228" customFormat="false" ht="15.75" hidden="false" customHeight="false" outlineLevel="0" collapsed="false">
      <c r="A228" s="162"/>
      <c r="B228" s="162"/>
      <c r="C228" s="162"/>
      <c r="D228" s="162"/>
      <c r="E228" s="162"/>
      <c r="F228" s="162"/>
      <c r="G228" s="162"/>
      <c r="H228" s="162"/>
      <c r="I228" s="162"/>
      <c r="J228" s="162"/>
      <c r="K228" s="162"/>
      <c r="L228" s="162"/>
      <c r="M228" s="162"/>
      <c r="N228" s="162"/>
      <c r="O228" s="162"/>
      <c r="P228" s="162"/>
      <c r="Q228" s="162"/>
      <c r="S228" s="162"/>
      <c r="T228" s="162"/>
      <c r="U228" s="162"/>
      <c r="V228" s="162"/>
      <c r="W228" s="162"/>
      <c r="X228" s="162"/>
      <c r="Y228" s="162"/>
      <c r="Z228" s="162"/>
      <c r="AB228" s="162"/>
      <c r="AC228" s="162"/>
    </row>
    <row r="229" customFormat="false" ht="15.75" hidden="false" customHeight="false" outlineLevel="0" collapsed="false">
      <c r="A229" s="162"/>
      <c r="B229" s="162"/>
      <c r="C229" s="162"/>
      <c r="D229" s="162"/>
      <c r="E229" s="162"/>
      <c r="F229" s="162"/>
      <c r="G229" s="162"/>
      <c r="H229" s="162"/>
      <c r="I229" s="162"/>
      <c r="J229" s="162"/>
      <c r="K229" s="162"/>
      <c r="L229" s="162"/>
      <c r="M229" s="162"/>
      <c r="O229" s="162"/>
      <c r="P229" s="162"/>
      <c r="Q229" s="162"/>
      <c r="S229" s="162"/>
      <c r="T229" s="162"/>
      <c r="U229" s="162"/>
      <c r="V229" s="162"/>
      <c r="W229" s="162"/>
      <c r="X229" s="162"/>
      <c r="Y229" s="162"/>
      <c r="Z229" s="162"/>
      <c r="AB229" s="162"/>
      <c r="AC229" s="162"/>
    </row>
    <row r="230" customFormat="false" ht="15.75" hidden="false" customHeight="false" outlineLevel="0" collapsed="false">
      <c r="A230" s="162"/>
      <c r="B230" s="162"/>
      <c r="C230" s="162"/>
      <c r="D230" s="162"/>
      <c r="E230" s="162"/>
      <c r="F230" s="162"/>
      <c r="G230" s="162"/>
      <c r="H230" s="162"/>
      <c r="I230" s="162"/>
      <c r="J230" s="162"/>
      <c r="K230" s="162"/>
      <c r="L230" s="162"/>
      <c r="M230" s="162"/>
      <c r="N230" s="162"/>
      <c r="O230" s="162"/>
      <c r="P230" s="162"/>
      <c r="Q230" s="162"/>
      <c r="S230" s="162"/>
      <c r="T230" s="162"/>
      <c r="U230" s="162"/>
      <c r="V230" s="162"/>
      <c r="W230" s="162"/>
      <c r="X230" s="162"/>
      <c r="Y230" s="162"/>
      <c r="Z230" s="162"/>
      <c r="AB230" s="162"/>
      <c r="AC230" s="162"/>
    </row>
    <row r="231" customFormat="false" ht="15.75" hidden="false" customHeight="false" outlineLevel="0" collapsed="false">
      <c r="A231" s="162"/>
      <c r="B231" s="162"/>
      <c r="C231" s="162"/>
      <c r="D231" s="162"/>
      <c r="E231" s="162"/>
      <c r="F231" s="162"/>
      <c r="G231" s="162"/>
      <c r="H231" s="162"/>
      <c r="I231" s="162"/>
      <c r="J231" s="162"/>
      <c r="K231" s="162"/>
      <c r="L231" s="162"/>
      <c r="M231" s="162"/>
      <c r="O231" s="162"/>
      <c r="P231" s="162"/>
      <c r="Q231" s="162"/>
      <c r="S231" s="162"/>
      <c r="T231" s="162"/>
      <c r="U231" s="162"/>
      <c r="V231" s="162"/>
      <c r="W231" s="162"/>
      <c r="X231" s="162"/>
      <c r="Y231" s="162"/>
      <c r="Z231" s="162"/>
      <c r="AB231" s="162"/>
      <c r="AC231" s="162"/>
    </row>
    <row r="232" customFormat="false" ht="15.75" hidden="false" customHeight="false" outlineLevel="0" collapsed="false">
      <c r="A232" s="162"/>
      <c r="B232" s="162"/>
      <c r="C232" s="162"/>
      <c r="D232" s="162"/>
      <c r="E232" s="162"/>
      <c r="F232" s="162"/>
      <c r="G232" s="162"/>
      <c r="H232" s="162"/>
      <c r="I232" s="162"/>
      <c r="J232" s="162"/>
      <c r="K232" s="162"/>
      <c r="L232" s="162"/>
      <c r="M232" s="162"/>
      <c r="O232" s="162"/>
      <c r="P232" s="162"/>
      <c r="Q232" s="162"/>
      <c r="S232" s="162"/>
      <c r="T232" s="162"/>
      <c r="U232" s="162"/>
      <c r="V232" s="162"/>
      <c r="W232" s="162"/>
      <c r="X232" s="162"/>
      <c r="Y232" s="162"/>
      <c r="Z232" s="162"/>
      <c r="AB232" s="162"/>
      <c r="AC232" s="162"/>
    </row>
    <row r="233" customFormat="false" ht="15.75" hidden="false" customHeight="false" outlineLevel="0" collapsed="false">
      <c r="A233" s="162"/>
      <c r="B233" s="162"/>
      <c r="C233" s="162"/>
      <c r="D233" s="162"/>
      <c r="E233" s="162"/>
      <c r="F233" s="162"/>
      <c r="G233" s="162"/>
      <c r="H233" s="162"/>
      <c r="I233" s="162"/>
      <c r="J233" s="162"/>
      <c r="K233" s="162"/>
      <c r="L233" s="162"/>
      <c r="M233" s="162"/>
      <c r="O233" s="162"/>
      <c r="P233" s="162"/>
      <c r="Q233" s="162"/>
      <c r="S233" s="162"/>
      <c r="T233" s="162"/>
      <c r="U233" s="162"/>
      <c r="V233" s="162"/>
      <c r="W233" s="162"/>
      <c r="X233" s="162"/>
      <c r="Y233" s="162"/>
      <c r="Z233" s="162"/>
      <c r="AB233" s="162"/>
      <c r="AC233" s="162"/>
    </row>
    <row r="234" customFormat="false" ht="15.75" hidden="false" customHeight="false" outlineLevel="0" collapsed="false">
      <c r="A234" s="162"/>
      <c r="B234" s="162"/>
      <c r="C234" s="162"/>
      <c r="D234" s="162"/>
      <c r="E234" s="162"/>
      <c r="F234" s="162"/>
      <c r="G234" s="162"/>
      <c r="H234" s="162"/>
      <c r="I234" s="162"/>
      <c r="J234" s="162"/>
      <c r="K234" s="162"/>
      <c r="L234" s="162"/>
      <c r="M234" s="162"/>
      <c r="N234" s="162"/>
      <c r="O234" s="162"/>
      <c r="P234" s="162"/>
      <c r="Q234" s="162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customFormat="false" ht="15.75" hidden="false" customHeight="false" outlineLevel="0" collapsed="false">
      <c r="A235" s="162"/>
      <c r="B235" s="162"/>
      <c r="C235" s="162"/>
      <c r="D235" s="162"/>
      <c r="E235" s="162"/>
      <c r="F235" s="162"/>
      <c r="G235" s="162"/>
      <c r="H235" s="162"/>
      <c r="I235" s="162"/>
      <c r="J235" s="162"/>
      <c r="K235" s="162"/>
      <c r="L235" s="162"/>
      <c r="M235" s="162"/>
      <c r="N235" s="162"/>
      <c r="O235" s="162"/>
      <c r="P235" s="162"/>
      <c r="Q235" s="162"/>
      <c r="S235" s="162"/>
      <c r="T235" s="162"/>
      <c r="U235" s="162"/>
      <c r="V235" s="162"/>
      <c r="W235" s="162"/>
      <c r="X235" s="162"/>
      <c r="Y235" s="162"/>
      <c r="Z235" s="162"/>
      <c r="AB235" s="162"/>
      <c r="AC235" s="162"/>
    </row>
    <row r="236" customFormat="false" ht="15.75" hidden="false" customHeight="false" outlineLevel="0" collapsed="false">
      <c r="A236" s="162"/>
      <c r="B236" s="162"/>
      <c r="C236" s="162"/>
      <c r="D236" s="162"/>
      <c r="E236" s="162"/>
      <c r="F236" s="162"/>
      <c r="G236" s="162"/>
      <c r="H236" s="162"/>
      <c r="I236" s="162"/>
      <c r="J236" s="162"/>
      <c r="K236" s="162"/>
      <c r="L236" s="162"/>
      <c r="M236" s="162"/>
      <c r="N236" s="162"/>
      <c r="O236" s="162"/>
      <c r="P236" s="162"/>
      <c r="Q236" s="162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  <c r="AD236" s="162"/>
      <c r="AE236" s="162"/>
      <c r="AF236" s="162"/>
    </row>
    <row r="237" customFormat="false" ht="15.75" hidden="false" customHeight="false" outlineLevel="0" collapsed="false">
      <c r="A237" s="162"/>
      <c r="B237" s="162"/>
      <c r="C237" s="162"/>
      <c r="D237" s="162"/>
      <c r="E237" s="162"/>
      <c r="F237" s="162"/>
      <c r="G237" s="162"/>
      <c r="H237" s="162"/>
      <c r="I237" s="162"/>
      <c r="J237" s="162"/>
      <c r="K237" s="162"/>
      <c r="L237" s="162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customFormat="false" ht="15.75" hidden="false" customHeight="false" outlineLevel="0" collapsed="false">
      <c r="A238" s="162"/>
      <c r="B238" s="162"/>
      <c r="C238" s="162"/>
      <c r="D238" s="162"/>
      <c r="E238" s="162"/>
      <c r="F238" s="162"/>
      <c r="G238" s="162"/>
      <c r="H238" s="162"/>
      <c r="I238" s="162"/>
      <c r="J238" s="162"/>
      <c r="K238" s="162"/>
      <c r="L238" s="162"/>
      <c r="M238" s="162"/>
      <c r="N238" s="162"/>
      <c r="O238" s="162"/>
      <c r="P238" s="162"/>
      <c r="Q238" s="162"/>
      <c r="S238" s="162"/>
      <c r="T238" s="162"/>
      <c r="U238" s="162"/>
      <c r="V238" s="162"/>
      <c r="W238" s="162"/>
      <c r="X238" s="162"/>
      <c r="Y238" s="162"/>
      <c r="Z238" s="162"/>
      <c r="AB238" s="162"/>
      <c r="AC238" s="162"/>
    </row>
    <row r="239" customFormat="false" ht="15.75" hidden="false" customHeight="false" outlineLevel="0" collapsed="false">
      <c r="A239" s="162"/>
      <c r="B239" s="162"/>
      <c r="C239" s="162"/>
      <c r="D239" s="162"/>
      <c r="E239" s="162"/>
      <c r="F239" s="162"/>
      <c r="G239" s="162"/>
      <c r="H239" s="162"/>
      <c r="I239" s="162"/>
      <c r="J239" s="162"/>
      <c r="K239" s="162"/>
      <c r="L239" s="162"/>
      <c r="M239" s="162"/>
      <c r="N239" s="162"/>
      <c r="O239" s="162"/>
      <c r="P239" s="162"/>
      <c r="Q239" s="162"/>
      <c r="S239" s="162"/>
      <c r="T239" s="162"/>
      <c r="U239" s="162"/>
      <c r="V239" s="162"/>
      <c r="W239" s="162"/>
      <c r="X239" s="162"/>
      <c r="Y239" s="162"/>
      <c r="Z239" s="162"/>
      <c r="AB239" s="162"/>
      <c r="AC239" s="162"/>
    </row>
    <row r="240" customFormat="false" ht="15.75" hidden="false" customHeight="false" outlineLevel="0" collapsed="false">
      <c r="A240" s="162"/>
      <c r="B240" s="162"/>
      <c r="C240" s="162"/>
      <c r="D240" s="162"/>
      <c r="E240" s="162"/>
      <c r="F240" s="162"/>
      <c r="G240" s="162"/>
      <c r="H240" s="162"/>
      <c r="I240" s="162"/>
      <c r="J240" s="162"/>
      <c r="K240" s="162"/>
      <c r="L240" s="162"/>
      <c r="M240" s="162"/>
      <c r="O240" s="162"/>
      <c r="P240" s="162"/>
      <c r="Q240" s="162"/>
      <c r="S240" s="162"/>
      <c r="T240" s="162"/>
      <c r="U240" s="162"/>
      <c r="V240" s="162"/>
      <c r="W240" s="162"/>
      <c r="X240" s="162"/>
      <c r="Y240" s="162"/>
      <c r="Z240" s="162"/>
      <c r="AB240" s="162"/>
      <c r="AC240" s="162"/>
    </row>
    <row r="241" customFormat="false" ht="15.75" hidden="false" customHeight="false" outlineLevel="0" collapsed="false">
      <c r="A241" s="162"/>
      <c r="B241" s="162"/>
      <c r="C241" s="162"/>
      <c r="D241" s="162"/>
      <c r="E241" s="162"/>
      <c r="F241" s="162"/>
      <c r="G241" s="162"/>
      <c r="H241" s="162"/>
      <c r="I241" s="162"/>
      <c r="J241" s="162"/>
      <c r="K241" s="162"/>
      <c r="L241" s="162"/>
      <c r="M241" s="162"/>
      <c r="N241" s="162"/>
      <c r="O241" s="162"/>
      <c r="P241" s="162"/>
      <c r="Q241" s="162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customFormat="false" ht="15.75" hidden="false" customHeight="false" outlineLevel="0" collapsed="false">
      <c r="A242" s="162"/>
      <c r="B242" s="162"/>
      <c r="C242" s="162"/>
      <c r="D242" s="162"/>
      <c r="E242" s="162"/>
      <c r="F242" s="162"/>
      <c r="G242" s="162"/>
      <c r="H242" s="162"/>
      <c r="I242" s="162"/>
      <c r="J242" s="162"/>
      <c r="K242" s="162"/>
      <c r="L242" s="162"/>
      <c r="M242" s="162"/>
      <c r="N242" s="162"/>
      <c r="O242" s="162"/>
      <c r="P242" s="162"/>
      <c r="Q242" s="162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customFormat="false" ht="15.75" hidden="false" customHeight="false" outlineLevel="0" collapsed="false">
      <c r="A243" s="162"/>
      <c r="B243" s="162"/>
      <c r="C243" s="162"/>
      <c r="D243" s="162"/>
      <c r="E243" s="162"/>
      <c r="F243" s="162"/>
      <c r="G243" s="162"/>
      <c r="H243" s="162"/>
      <c r="I243" s="162"/>
      <c r="J243" s="162"/>
      <c r="K243" s="162"/>
      <c r="L243" s="162"/>
      <c r="M243" s="162"/>
      <c r="N243" s="162"/>
      <c r="O243" s="162"/>
      <c r="P243" s="162"/>
      <c r="Q243" s="162"/>
      <c r="S243" s="162"/>
      <c r="T243" s="162"/>
      <c r="U243" s="162"/>
      <c r="V243" s="162"/>
      <c r="W243" s="162"/>
      <c r="X243" s="162"/>
      <c r="Y243" s="162"/>
      <c r="Z243" s="162"/>
      <c r="AB243" s="162"/>
      <c r="AC243" s="162"/>
    </row>
    <row r="244" customFormat="false" ht="15.75" hidden="false" customHeight="false" outlineLevel="0" collapsed="false">
      <c r="A244" s="162"/>
      <c r="B244" s="162"/>
      <c r="C244" s="162"/>
      <c r="D244" s="162"/>
      <c r="E244" s="162"/>
      <c r="F244" s="162"/>
      <c r="G244" s="162"/>
      <c r="H244" s="162"/>
      <c r="I244" s="162"/>
      <c r="J244" s="162"/>
      <c r="K244" s="162"/>
      <c r="L244" s="162"/>
      <c r="M244" s="162"/>
      <c r="O244" s="162"/>
      <c r="P244" s="162"/>
      <c r="Q244" s="162"/>
      <c r="S244" s="162"/>
      <c r="T244" s="162"/>
      <c r="U244" s="162"/>
      <c r="V244" s="162"/>
      <c r="W244" s="162"/>
      <c r="X244" s="162"/>
      <c r="Y244" s="162"/>
      <c r="Z244" s="162"/>
      <c r="AB244" s="162"/>
      <c r="AC244" s="162"/>
    </row>
    <row r="245" customFormat="false" ht="15.75" hidden="false" customHeight="false" outlineLevel="0" collapsed="false">
      <c r="A245" s="162"/>
      <c r="B245" s="162"/>
      <c r="C245" s="162"/>
      <c r="D245" s="162"/>
      <c r="E245" s="162"/>
      <c r="F245" s="162"/>
      <c r="G245" s="162"/>
      <c r="H245" s="162"/>
      <c r="I245" s="162"/>
      <c r="J245" s="162"/>
      <c r="K245" s="162"/>
      <c r="L245" s="162"/>
      <c r="M245" s="162"/>
      <c r="N245" s="162"/>
      <c r="O245" s="162"/>
      <c r="P245" s="162"/>
      <c r="Q245" s="162"/>
      <c r="S245" s="162"/>
      <c r="T245" s="162"/>
      <c r="U245" s="162"/>
      <c r="V245" s="162"/>
      <c r="W245" s="162"/>
      <c r="X245" s="162"/>
      <c r="Y245" s="162"/>
      <c r="Z245" s="162"/>
      <c r="AB245" s="162"/>
      <c r="AC245" s="162"/>
    </row>
    <row r="246" customFormat="false" ht="15.75" hidden="false" customHeight="false" outlineLevel="0" collapsed="false">
      <c r="A246" s="162"/>
      <c r="B246" s="162"/>
      <c r="C246" s="162"/>
      <c r="D246" s="162"/>
      <c r="E246" s="162"/>
      <c r="F246" s="162"/>
      <c r="G246" s="162"/>
      <c r="H246" s="162"/>
      <c r="I246" s="162"/>
      <c r="J246" s="162"/>
      <c r="K246" s="162"/>
      <c r="L246" s="162"/>
      <c r="M246" s="162"/>
      <c r="N246" s="162"/>
      <c r="O246" s="162"/>
      <c r="P246" s="162"/>
      <c r="Q246" s="162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customFormat="false" ht="15.75" hidden="false" customHeight="false" outlineLevel="0" collapsed="false">
      <c r="A247" s="162"/>
      <c r="B247" s="162"/>
      <c r="C247" s="162"/>
      <c r="D247" s="162"/>
      <c r="E247" s="162"/>
      <c r="F247" s="162"/>
      <c r="G247" s="162"/>
      <c r="H247" s="162"/>
      <c r="I247" s="162"/>
      <c r="J247" s="162"/>
      <c r="K247" s="162"/>
      <c r="L247" s="162"/>
      <c r="M247" s="162"/>
      <c r="O247" s="162"/>
      <c r="P247" s="162"/>
      <c r="Q247" s="162"/>
      <c r="S247" s="162"/>
      <c r="T247" s="162"/>
      <c r="U247" s="162"/>
      <c r="V247" s="162"/>
      <c r="W247" s="162"/>
      <c r="X247" s="162"/>
      <c r="Y247" s="162"/>
      <c r="Z247" s="162"/>
      <c r="AB247" s="162"/>
      <c r="AC247" s="162"/>
    </row>
    <row r="248" customFormat="false" ht="15.75" hidden="false" customHeight="false" outlineLevel="0" collapsed="false">
      <c r="A248" s="162"/>
      <c r="B248" s="162"/>
      <c r="C248" s="162"/>
      <c r="D248" s="162"/>
      <c r="E248" s="162"/>
      <c r="F248" s="162"/>
      <c r="G248" s="162"/>
      <c r="H248" s="162"/>
      <c r="I248" s="162"/>
      <c r="J248" s="162"/>
      <c r="K248" s="162"/>
      <c r="L248" s="162"/>
      <c r="M248" s="162"/>
      <c r="O248" s="162"/>
      <c r="P248" s="162"/>
      <c r="Q248" s="162"/>
      <c r="S248" s="162"/>
      <c r="T248" s="162"/>
      <c r="U248" s="162"/>
      <c r="V248" s="162"/>
      <c r="W248" s="162"/>
      <c r="X248" s="162"/>
      <c r="Y248" s="162"/>
      <c r="Z248" s="162"/>
      <c r="AB248" s="162"/>
      <c r="AC248" s="162"/>
      <c r="AD248" s="162"/>
      <c r="AE248" s="162"/>
      <c r="AF248" s="162"/>
    </row>
    <row r="249" customFormat="false" ht="15.75" hidden="false" customHeight="false" outlineLevel="0" collapsed="false">
      <c r="A249" s="162"/>
      <c r="B249" s="162"/>
      <c r="C249" s="162"/>
      <c r="D249" s="162"/>
      <c r="E249" s="162"/>
      <c r="F249" s="162"/>
      <c r="G249" s="162"/>
      <c r="H249" s="162"/>
      <c r="I249" s="162"/>
      <c r="J249" s="162"/>
      <c r="K249" s="162"/>
      <c r="L249" s="162"/>
      <c r="M249" s="162"/>
      <c r="O249" s="162"/>
      <c r="P249" s="162"/>
      <c r="Q249" s="162"/>
      <c r="S249" s="162"/>
      <c r="T249" s="162"/>
      <c r="U249" s="162"/>
      <c r="V249" s="162"/>
      <c r="W249" s="162"/>
      <c r="X249" s="162"/>
      <c r="Y249" s="162"/>
      <c r="Z249" s="162"/>
      <c r="AB249" s="162"/>
      <c r="AC249" s="162"/>
    </row>
    <row r="250" customFormat="false" ht="15.75" hidden="false" customHeight="false" outlineLevel="0" collapsed="false">
      <c r="A250" s="162"/>
      <c r="B250" s="162"/>
      <c r="C250" s="162"/>
      <c r="D250" s="162"/>
      <c r="E250" s="162"/>
      <c r="F250" s="162"/>
      <c r="G250" s="162"/>
      <c r="H250" s="162"/>
      <c r="I250" s="162"/>
      <c r="J250" s="162"/>
      <c r="K250" s="162"/>
      <c r="L250" s="162"/>
      <c r="M250" s="162"/>
      <c r="O250" s="162"/>
      <c r="P250" s="162"/>
      <c r="Q250" s="162"/>
      <c r="S250" s="162"/>
      <c r="T250" s="162"/>
      <c r="U250" s="162"/>
      <c r="V250" s="162"/>
      <c r="W250" s="162"/>
      <c r="X250" s="162"/>
      <c r="Y250" s="162"/>
      <c r="Z250" s="162"/>
      <c r="AB250" s="162"/>
      <c r="AC250" s="162"/>
    </row>
    <row r="251" customFormat="false" ht="15.75" hidden="false" customHeight="false" outlineLevel="0" collapsed="false">
      <c r="A251" s="162"/>
      <c r="B251" s="162"/>
      <c r="C251" s="162"/>
      <c r="D251" s="162"/>
      <c r="E251" s="162"/>
      <c r="F251" s="162"/>
      <c r="G251" s="162"/>
      <c r="H251" s="162"/>
      <c r="I251" s="162"/>
      <c r="J251" s="162"/>
      <c r="K251" s="162"/>
      <c r="L251" s="162"/>
      <c r="M251" s="162"/>
      <c r="O251" s="162"/>
      <c r="P251" s="162"/>
      <c r="Q251" s="162"/>
      <c r="S251" s="162"/>
      <c r="T251" s="162"/>
      <c r="U251" s="162"/>
      <c r="V251" s="162"/>
      <c r="W251" s="162"/>
      <c r="X251" s="162"/>
      <c r="Y251" s="162"/>
      <c r="Z251" s="162"/>
      <c r="AB251" s="162"/>
      <c r="AC251" s="162"/>
    </row>
    <row r="252" customFormat="false" ht="15.75" hidden="false" customHeight="false" outlineLevel="0" collapsed="false">
      <c r="A252" s="162"/>
      <c r="B252" s="162"/>
      <c r="C252" s="162"/>
      <c r="D252" s="162"/>
      <c r="E252" s="162"/>
      <c r="F252" s="162"/>
      <c r="G252" s="162"/>
      <c r="H252" s="162"/>
      <c r="I252" s="162"/>
      <c r="J252" s="162"/>
      <c r="K252" s="162"/>
      <c r="L252" s="162"/>
      <c r="M252" s="162"/>
      <c r="N252" s="162"/>
      <c r="O252" s="162"/>
      <c r="P252" s="162"/>
      <c r="Q252" s="162"/>
      <c r="S252" s="162"/>
      <c r="T252" s="162"/>
      <c r="U252" s="162"/>
      <c r="V252" s="162"/>
      <c r="W252" s="162"/>
      <c r="X252" s="162"/>
      <c r="Y252" s="162"/>
      <c r="Z252" s="162"/>
      <c r="AB252" s="162"/>
      <c r="AC252" s="162"/>
    </row>
    <row r="253" customFormat="false" ht="15.75" hidden="false" customHeight="false" outlineLevel="0" collapsed="false">
      <c r="A253" s="162"/>
      <c r="B253" s="162"/>
      <c r="C253" s="162"/>
      <c r="D253" s="162"/>
      <c r="E253" s="162"/>
      <c r="F253" s="162"/>
      <c r="G253" s="162"/>
      <c r="H253" s="162"/>
      <c r="I253" s="162"/>
      <c r="J253" s="162"/>
      <c r="K253" s="162"/>
      <c r="L253" s="162"/>
      <c r="M253" s="162"/>
      <c r="O253" s="162"/>
      <c r="P253" s="162"/>
      <c r="Q253" s="162"/>
      <c r="S253" s="162"/>
      <c r="T253" s="162"/>
      <c r="U253" s="162"/>
      <c r="V253" s="162"/>
      <c r="W253" s="162"/>
      <c r="X253" s="162"/>
      <c r="Y253" s="162"/>
      <c r="Z253" s="162"/>
      <c r="AB253" s="162"/>
      <c r="AC253" s="162"/>
    </row>
    <row r="254" customFormat="false" ht="15.75" hidden="false" customHeight="false" outlineLevel="0" collapsed="false">
      <c r="A254" s="162"/>
      <c r="B254" s="162"/>
      <c r="C254" s="162"/>
      <c r="D254" s="162"/>
      <c r="E254" s="162"/>
      <c r="F254" s="162"/>
      <c r="G254" s="162"/>
      <c r="H254" s="162"/>
      <c r="I254" s="162"/>
      <c r="J254" s="162"/>
      <c r="K254" s="162"/>
      <c r="L254" s="162"/>
      <c r="M254" s="162"/>
      <c r="N254" s="162"/>
      <c r="O254" s="162"/>
      <c r="P254" s="162"/>
      <c r="Q254" s="162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customFormat="false" ht="15.75" hidden="false" customHeight="false" outlineLevel="0" collapsed="false">
      <c r="A255" s="162"/>
      <c r="B255" s="162"/>
      <c r="C255" s="162"/>
      <c r="D255" s="162"/>
      <c r="E255" s="162"/>
      <c r="F255" s="162"/>
      <c r="G255" s="162"/>
      <c r="H255" s="162"/>
      <c r="I255" s="162"/>
      <c r="J255" s="162"/>
      <c r="K255" s="162"/>
      <c r="L255" s="162"/>
      <c r="M255" s="162"/>
      <c r="N255" s="162"/>
      <c r="O255" s="162"/>
      <c r="P255" s="162"/>
      <c r="Q255" s="162"/>
      <c r="S255" s="162"/>
      <c r="T255" s="162"/>
      <c r="U255" s="162"/>
      <c r="V255" s="162"/>
      <c r="W255" s="162"/>
      <c r="X255" s="162"/>
      <c r="Y255" s="162"/>
      <c r="Z255" s="162"/>
      <c r="AB255" s="162"/>
      <c r="AC255" s="162"/>
    </row>
    <row r="256" customFormat="false" ht="15.75" hidden="false" customHeight="false" outlineLevel="0" collapsed="false">
      <c r="A256" s="162"/>
      <c r="B256" s="162"/>
      <c r="C256" s="162"/>
      <c r="D256" s="162"/>
      <c r="E256" s="162"/>
      <c r="F256" s="162"/>
      <c r="G256" s="162"/>
      <c r="H256" s="162"/>
      <c r="I256" s="162"/>
      <c r="J256" s="162"/>
      <c r="K256" s="162"/>
      <c r="L256" s="162"/>
      <c r="M256" s="162"/>
      <c r="O256" s="162"/>
      <c r="P256" s="162"/>
      <c r="Q256" s="162"/>
      <c r="S256" s="162"/>
      <c r="T256" s="162"/>
      <c r="U256" s="162"/>
      <c r="V256" s="162"/>
      <c r="W256" s="162"/>
      <c r="X256" s="162"/>
      <c r="Y256" s="162"/>
      <c r="Z256" s="162"/>
      <c r="AB256" s="162"/>
      <c r="AC256" s="162"/>
    </row>
    <row r="257" customFormat="false" ht="15.75" hidden="false" customHeight="false" outlineLevel="0" collapsed="false">
      <c r="A257" s="162"/>
      <c r="B257" s="162"/>
      <c r="C257" s="162"/>
      <c r="D257" s="162"/>
      <c r="E257" s="162"/>
      <c r="F257" s="162"/>
      <c r="G257" s="162"/>
      <c r="H257" s="162"/>
      <c r="I257" s="162"/>
      <c r="J257" s="162"/>
      <c r="K257" s="162"/>
      <c r="L257" s="162"/>
      <c r="M257" s="162"/>
      <c r="N257" s="162"/>
      <c r="O257" s="162"/>
      <c r="P257" s="162"/>
      <c r="Q257" s="162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customFormat="false" ht="15.75" hidden="false" customHeight="false" outlineLevel="0" collapsed="false">
      <c r="A258" s="162"/>
      <c r="B258" s="162"/>
      <c r="C258" s="162"/>
      <c r="D258" s="162"/>
      <c r="E258" s="162"/>
      <c r="F258" s="162"/>
      <c r="G258" s="162"/>
      <c r="H258" s="162"/>
      <c r="I258" s="162"/>
      <c r="J258" s="162"/>
      <c r="K258" s="162"/>
      <c r="L258" s="162"/>
      <c r="M258" s="162"/>
      <c r="O258" s="162"/>
      <c r="P258" s="162"/>
      <c r="Q258" s="162"/>
      <c r="S258" s="162"/>
      <c r="T258" s="162"/>
      <c r="U258" s="162"/>
      <c r="V258" s="162"/>
      <c r="W258" s="162"/>
      <c r="X258" s="162"/>
      <c r="Y258" s="162"/>
      <c r="Z258" s="162"/>
      <c r="AB258" s="162"/>
      <c r="AC258" s="162"/>
    </row>
    <row r="259" customFormat="false" ht="15.75" hidden="false" customHeight="false" outlineLevel="0" collapsed="false">
      <c r="A259" s="162"/>
      <c r="B259" s="162"/>
      <c r="C259" s="162"/>
      <c r="D259" s="162"/>
      <c r="E259" s="162"/>
      <c r="F259" s="162"/>
      <c r="G259" s="162"/>
      <c r="H259" s="162"/>
      <c r="I259" s="162"/>
      <c r="J259" s="162"/>
      <c r="K259" s="162"/>
      <c r="L259" s="162"/>
      <c r="M259" s="162"/>
      <c r="N259" s="162"/>
      <c r="O259" s="162"/>
      <c r="P259" s="162"/>
      <c r="Q259" s="162"/>
      <c r="S259" s="162"/>
      <c r="T259" s="162"/>
      <c r="U259" s="162"/>
      <c r="V259" s="162"/>
      <c r="W259" s="162"/>
      <c r="X259" s="162"/>
      <c r="Y259" s="162"/>
      <c r="Z259" s="162"/>
      <c r="AB259" s="162"/>
      <c r="AC259" s="162"/>
    </row>
    <row r="260" customFormat="false" ht="15.75" hidden="false" customHeight="false" outlineLevel="0" collapsed="false">
      <c r="A260" s="162"/>
      <c r="B260" s="162"/>
      <c r="C260" s="162"/>
      <c r="D260" s="162"/>
      <c r="E260" s="162"/>
      <c r="F260" s="162"/>
      <c r="G260" s="162"/>
      <c r="H260" s="162"/>
      <c r="I260" s="162"/>
      <c r="J260" s="162"/>
      <c r="K260" s="162"/>
      <c r="L260" s="162"/>
      <c r="M260" s="162"/>
      <c r="O260" s="162"/>
      <c r="P260" s="162"/>
      <c r="Q260" s="162"/>
      <c r="S260" s="162"/>
      <c r="T260" s="162"/>
      <c r="U260" s="162"/>
      <c r="V260" s="162"/>
      <c r="W260" s="162"/>
      <c r="X260" s="162"/>
      <c r="Y260" s="162"/>
      <c r="Z260" s="162"/>
      <c r="AB260" s="162"/>
      <c r="AC260" s="162"/>
    </row>
    <row r="261" customFormat="false" ht="15.75" hidden="false" customHeight="false" outlineLevel="0" collapsed="false">
      <c r="A261" s="162"/>
      <c r="B261" s="162"/>
      <c r="C261" s="162"/>
      <c r="D261" s="162"/>
      <c r="E261" s="162"/>
      <c r="F261" s="162"/>
      <c r="G261" s="162"/>
      <c r="H261" s="162"/>
      <c r="I261" s="162"/>
      <c r="J261" s="162"/>
      <c r="K261" s="162"/>
      <c r="L261" s="162"/>
      <c r="M261" s="162"/>
      <c r="O261" s="162"/>
      <c r="P261" s="162"/>
      <c r="Q261" s="162"/>
      <c r="S261" s="162"/>
      <c r="T261" s="162"/>
      <c r="U261" s="162"/>
      <c r="V261" s="162"/>
      <c r="W261" s="162"/>
      <c r="X261" s="162"/>
      <c r="Y261" s="162"/>
      <c r="Z261" s="162"/>
      <c r="AB261" s="162"/>
      <c r="AC261" s="162"/>
    </row>
    <row r="262" customFormat="false" ht="15.75" hidden="false" customHeight="false" outlineLevel="0" collapsed="false">
      <c r="A262" s="162"/>
      <c r="B262" s="162"/>
      <c r="C262" s="162"/>
      <c r="D262" s="162"/>
      <c r="E262" s="162"/>
      <c r="F262" s="162"/>
      <c r="G262" s="162"/>
      <c r="H262" s="162"/>
      <c r="I262" s="162"/>
      <c r="J262" s="162"/>
      <c r="K262" s="162"/>
      <c r="L262" s="162"/>
      <c r="M262" s="162"/>
      <c r="O262" s="162"/>
      <c r="P262" s="162"/>
      <c r="Q262" s="162"/>
      <c r="S262" s="162"/>
      <c r="T262" s="162"/>
      <c r="U262" s="162"/>
      <c r="V262" s="162"/>
      <c r="W262" s="162"/>
      <c r="X262" s="162"/>
      <c r="Y262" s="162"/>
      <c r="Z262" s="162"/>
      <c r="AB262" s="162"/>
      <c r="AC262" s="162"/>
    </row>
    <row r="263" customFormat="false" ht="15.75" hidden="false" customHeight="false" outlineLevel="0" collapsed="false">
      <c r="A263" s="162"/>
      <c r="B263" s="162"/>
      <c r="C263" s="162"/>
      <c r="D263" s="162"/>
      <c r="E263" s="162"/>
      <c r="F263" s="162"/>
      <c r="G263" s="162"/>
      <c r="H263" s="162"/>
      <c r="I263" s="162"/>
      <c r="J263" s="162"/>
      <c r="K263" s="162"/>
      <c r="L263" s="162"/>
      <c r="M263" s="162"/>
      <c r="N263" s="162"/>
      <c r="O263" s="162"/>
      <c r="P263" s="162"/>
      <c r="Q263" s="162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customFormat="false" ht="15.75" hidden="false" customHeight="false" outlineLevel="0" collapsed="false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O264" s="162"/>
      <c r="P264" s="162"/>
      <c r="Q264" s="162"/>
      <c r="S264" s="162"/>
      <c r="T264" s="162"/>
      <c r="U264" s="162"/>
      <c r="V264" s="162"/>
      <c r="W264" s="162"/>
      <c r="X264" s="162"/>
      <c r="Y264" s="162"/>
      <c r="Z264" s="162"/>
      <c r="AB264" s="162"/>
      <c r="AC264" s="162"/>
    </row>
    <row r="265" customFormat="false" ht="15.75" hidden="false" customHeight="false" outlineLevel="0" collapsed="false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O265" s="162"/>
      <c r="P265" s="162"/>
      <c r="Q265" s="162"/>
      <c r="S265" s="162"/>
      <c r="T265" s="162"/>
      <c r="U265" s="162"/>
      <c r="V265" s="162"/>
      <c r="W265" s="162"/>
      <c r="X265" s="162"/>
      <c r="Y265" s="162"/>
      <c r="Z265" s="162"/>
      <c r="AB265" s="162"/>
      <c r="AC265" s="162"/>
    </row>
    <row r="266" customFormat="false" ht="15.75" hidden="false" customHeight="false" outlineLevel="0" collapsed="false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customFormat="false" ht="15.75" hidden="false" customHeight="false" outlineLevel="0" collapsed="false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O267" s="162"/>
      <c r="P267" s="162"/>
      <c r="Q267" s="162"/>
      <c r="S267" s="162"/>
      <c r="T267" s="162"/>
      <c r="U267" s="162"/>
      <c r="V267" s="162"/>
      <c r="W267" s="162"/>
      <c r="X267" s="162"/>
      <c r="Y267" s="162"/>
      <c r="Z267" s="162"/>
      <c r="AB267" s="162"/>
      <c r="AC267" s="162"/>
    </row>
    <row r="268" customFormat="false" ht="15.75" hidden="false" customHeight="false" outlineLevel="0" collapsed="false">
      <c r="A268" s="162"/>
      <c r="B268" s="162"/>
      <c r="C268" s="162"/>
      <c r="D268" s="162"/>
      <c r="E268" s="162"/>
      <c r="F268" s="162"/>
      <c r="G268" s="162"/>
      <c r="H268" s="162"/>
      <c r="I268" s="162"/>
      <c r="J268" s="162"/>
      <c r="K268" s="162"/>
      <c r="L268" s="162"/>
      <c r="M268" s="162"/>
      <c r="N268" s="162"/>
      <c r="O268" s="162"/>
      <c r="P268" s="162"/>
      <c r="Q268" s="162"/>
      <c r="R268" s="162"/>
      <c r="S268" s="162"/>
      <c r="T268" s="162"/>
      <c r="U268" s="162"/>
      <c r="V268" s="162"/>
      <c r="W268" s="162"/>
      <c r="X268" s="162"/>
      <c r="Y268" s="162"/>
      <c r="Z268" s="162"/>
      <c r="AA268" s="162"/>
      <c r="AB268" s="162"/>
      <c r="AC268" s="162"/>
    </row>
    <row r="269" customFormat="false" ht="15.75" hidden="false" customHeight="false" outlineLevel="0" collapsed="false">
      <c r="A269" s="162"/>
      <c r="B269" s="162"/>
      <c r="C269" s="162"/>
      <c r="D269" s="162"/>
      <c r="E269" s="162"/>
      <c r="F269" s="162"/>
      <c r="G269" s="162"/>
      <c r="H269" s="162"/>
      <c r="I269" s="162"/>
      <c r="J269" s="162"/>
      <c r="K269" s="162"/>
      <c r="L269" s="162"/>
      <c r="M269" s="162"/>
      <c r="N269" s="162"/>
      <c r="O269" s="162"/>
      <c r="P269" s="162"/>
      <c r="Q269" s="162"/>
      <c r="S269" s="162"/>
      <c r="T269" s="162"/>
      <c r="U269" s="162"/>
      <c r="V269" s="162"/>
      <c r="W269" s="162"/>
      <c r="X269" s="162"/>
      <c r="Y269" s="162"/>
      <c r="Z269" s="162"/>
      <c r="AB269" s="162"/>
      <c r="AC269" s="162"/>
    </row>
    <row r="270" customFormat="false" ht="15.75" hidden="false" customHeight="false" outlineLevel="0" collapsed="false">
      <c r="A270" s="162"/>
      <c r="B270" s="162"/>
      <c r="C270" s="162"/>
      <c r="D270" s="162"/>
      <c r="E270" s="162"/>
      <c r="F270" s="162"/>
      <c r="G270" s="162"/>
      <c r="H270" s="162"/>
      <c r="I270" s="162"/>
      <c r="J270" s="162"/>
      <c r="K270" s="162"/>
      <c r="L270" s="162"/>
      <c r="M270" s="162"/>
      <c r="O270" s="162"/>
      <c r="P270" s="162"/>
      <c r="Q270" s="162"/>
      <c r="S270" s="162"/>
      <c r="T270" s="162"/>
      <c r="U270" s="162"/>
      <c r="V270" s="162"/>
      <c r="W270" s="162"/>
      <c r="X270" s="162"/>
      <c r="Y270" s="162"/>
      <c r="Z270" s="162"/>
      <c r="AB270" s="162"/>
      <c r="AC270" s="162"/>
    </row>
    <row r="271" customFormat="false" ht="15.75" hidden="false" customHeight="false" outlineLevel="0" collapsed="false">
      <c r="A271" s="162"/>
      <c r="B271" s="162"/>
      <c r="C271" s="162"/>
      <c r="D271" s="162"/>
      <c r="E271" s="162"/>
      <c r="F271" s="162"/>
      <c r="G271" s="162"/>
      <c r="H271" s="162"/>
      <c r="I271" s="162"/>
      <c r="J271" s="162"/>
      <c r="K271" s="162"/>
      <c r="L271" s="162"/>
      <c r="M271" s="162"/>
      <c r="N271" s="162"/>
      <c r="O271" s="162"/>
      <c r="P271" s="162"/>
      <c r="Q271" s="162"/>
      <c r="S271" s="162"/>
      <c r="T271" s="162"/>
      <c r="U271" s="162"/>
      <c r="V271" s="162"/>
      <c r="W271" s="162"/>
      <c r="X271" s="162"/>
      <c r="Y271" s="162"/>
      <c r="Z271" s="162"/>
      <c r="AB271" s="162"/>
      <c r="AC271" s="162"/>
    </row>
    <row r="272" customFormat="false" ht="15.75" hidden="false" customHeight="false" outlineLevel="0" collapsed="false">
      <c r="A272" s="162"/>
      <c r="B272" s="162"/>
      <c r="C272" s="162"/>
      <c r="D272" s="162"/>
      <c r="E272" s="162"/>
      <c r="F272" s="162"/>
      <c r="G272" s="162"/>
      <c r="H272" s="162"/>
      <c r="I272" s="162"/>
      <c r="J272" s="162"/>
      <c r="K272" s="162"/>
      <c r="L272" s="162"/>
      <c r="M272" s="162"/>
      <c r="O272" s="162"/>
      <c r="P272" s="162"/>
      <c r="Q272" s="162"/>
      <c r="S272" s="162"/>
      <c r="T272" s="162"/>
      <c r="U272" s="162"/>
      <c r="V272" s="162"/>
      <c r="W272" s="162"/>
      <c r="X272" s="162"/>
      <c r="Y272" s="162"/>
      <c r="Z272" s="162"/>
      <c r="AB272" s="162"/>
      <c r="AC272" s="162"/>
    </row>
    <row r="273" customFormat="false" ht="15.75" hidden="false" customHeight="false" outlineLevel="0" collapsed="false">
      <c r="A273" s="162"/>
      <c r="B273" s="162"/>
      <c r="C273" s="162"/>
      <c r="D273" s="162"/>
      <c r="E273" s="162"/>
      <c r="F273" s="162"/>
      <c r="G273" s="162"/>
      <c r="H273" s="162"/>
      <c r="I273" s="162"/>
      <c r="J273" s="162"/>
      <c r="K273" s="162"/>
      <c r="L273" s="162"/>
      <c r="M273" s="162"/>
      <c r="N273" s="162"/>
      <c r="O273" s="162"/>
      <c r="P273" s="162"/>
      <c r="Q273" s="162"/>
      <c r="R273" s="162"/>
      <c r="S273" s="162"/>
      <c r="T273" s="162"/>
      <c r="U273" s="162"/>
      <c r="V273" s="162"/>
      <c r="W273" s="162"/>
      <c r="X273" s="162"/>
      <c r="Y273" s="162"/>
      <c r="Z273" s="162"/>
      <c r="AA273" s="162"/>
      <c r="AB273" s="162"/>
      <c r="AC273" s="162"/>
    </row>
    <row r="274" customFormat="false" ht="15.75" hidden="false" customHeight="false" outlineLevel="0" collapsed="false">
      <c r="A274" s="162"/>
      <c r="B274" s="162"/>
      <c r="C274" s="162"/>
      <c r="D274" s="162"/>
      <c r="E274" s="162"/>
      <c r="F274" s="162"/>
      <c r="G274" s="162"/>
      <c r="H274" s="162"/>
      <c r="I274" s="162"/>
      <c r="J274" s="162"/>
      <c r="K274" s="162"/>
      <c r="L274" s="162"/>
      <c r="M274" s="162"/>
      <c r="N274" s="162"/>
      <c r="O274" s="162"/>
      <c r="P274" s="162"/>
      <c r="Q274" s="162"/>
      <c r="R274" s="162"/>
      <c r="S274" s="162"/>
      <c r="T274" s="162"/>
      <c r="U274" s="162"/>
      <c r="V274" s="162"/>
      <c r="W274" s="162"/>
      <c r="X274" s="162"/>
      <c r="Y274" s="162"/>
      <c r="Z274" s="162"/>
      <c r="AA274" s="162"/>
      <c r="AB274" s="162"/>
      <c r="AC274" s="162"/>
    </row>
    <row r="275" customFormat="false" ht="15.75" hidden="false" customHeight="false" outlineLevel="0" collapsed="false">
      <c r="A275" s="162"/>
      <c r="B275" s="162"/>
      <c r="C275" s="162"/>
      <c r="D275" s="162"/>
      <c r="E275" s="162"/>
      <c r="F275" s="162"/>
      <c r="G275" s="162"/>
      <c r="H275" s="162"/>
      <c r="I275" s="162"/>
      <c r="J275" s="162"/>
      <c r="K275" s="162"/>
      <c r="L275" s="162"/>
      <c r="M275" s="162"/>
      <c r="O275" s="162"/>
      <c r="P275" s="162"/>
      <c r="Q275" s="162"/>
      <c r="S275" s="162"/>
      <c r="T275" s="162"/>
      <c r="U275" s="162"/>
      <c r="V275" s="162"/>
      <c r="W275" s="162"/>
      <c r="X275" s="162"/>
      <c r="Y275" s="162"/>
      <c r="Z275" s="162"/>
      <c r="AB275" s="162"/>
      <c r="AC275" s="162"/>
    </row>
    <row r="276" customFormat="false" ht="15.75" hidden="false" customHeight="false" outlineLevel="0" collapsed="false">
      <c r="A276" s="162"/>
      <c r="B276" s="162"/>
      <c r="C276" s="162"/>
      <c r="D276" s="162"/>
      <c r="E276" s="162"/>
      <c r="F276" s="162"/>
      <c r="G276" s="162"/>
      <c r="H276" s="162"/>
      <c r="I276" s="162"/>
      <c r="J276" s="162"/>
      <c r="K276" s="162"/>
      <c r="L276" s="162"/>
      <c r="M276" s="162"/>
      <c r="O276" s="162"/>
      <c r="P276" s="162"/>
      <c r="Q276" s="162"/>
      <c r="S276" s="162"/>
      <c r="T276" s="162"/>
      <c r="U276" s="162"/>
      <c r="V276" s="162"/>
      <c r="W276" s="162"/>
      <c r="X276" s="162"/>
      <c r="Y276" s="162"/>
      <c r="Z276" s="162"/>
      <c r="AB276" s="162"/>
      <c r="AC276" s="162"/>
    </row>
    <row r="277" customFormat="false" ht="15.75" hidden="false" customHeight="false" outlineLevel="0" collapsed="false">
      <c r="A277" s="162"/>
      <c r="B277" s="162"/>
      <c r="C277" s="162"/>
      <c r="D277" s="162"/>
      <c r="E277" s="162"/>
      <c r="F277" s="162"/>
      <c r="G277" s="162"/>
      <c r="H277" s="162"/>
      <c r="I277" s="162"/>
      <c r="J277" s="162"/>
      <c r="K277" s="162"/>
      <c r="L277" s="162"/>
      <c r="M277" s="162"/>
      <c r="O277" s="162"/>
      <c r="P277" s="162"/>
      <c r="Q277" s="162"/>
      <c r="S277" s="162"/>
      <c r="T277" s="162"/>
      <c r="U277" s="162"/>
      <c r="V277" s="162"/>
      <c r="W277" s="162"/>
      <c r="X277" s="162"/>
      <c r="Y277" s="162"/>
      <c r="Z277" s="162"/>
      <c r="AB277" s="162"/>
      <c r="AC277" s="162"/>
    </row>
    <row r="278" customFormat="false" ht="15.75" hidden="false" customHeight="false" outlineLevel="0" collapsed="false">
      <c r="A278" s="162"/>
      <c r="B278" s="162"/>
      <c r="C278" s="162"/>
      <c r="D278" s="162"/>
      <c r="E278" s="162"/>
      <c r="F278" s="162"/>
      <c r="G278" s="162"/>
      <c r="H278" s="162"/>
      <c r="I278" s="162"/>
      <c r="J278" s="162"/>
      <c r="K278" s="162"/>
      <c r="L278" s="162"/>
      <c r="M278" s="162"/>
      <c r="N278" s="162"/>
      <c r="O278" s="162"/>
      <c r="P278" s="162"/>
      <c r="Q278" s="162"/>
      <c r="R278" s="162"/>
      <c r="S278" s="162"/>
      <c r="T278" s="162"/>
      <c r="U278" s="162"/>
      <c r="V278" s="162"/>
      <c r="W278" s="162"/>
      <c r="X278" s="162"/>
      <c r="Y278" s="162"/>
      <c r="Z278" s="162"/>
      <c r="AA278" s="162"/>
      <c r="AB278" s="162"/>
      <c r="AC278" s="162"/>
    </row>
    <row r="279" customFormat="false" ht="15.75" hidden="false" customHeight="false" outlineLevel="0" collapsed="false">
      <c r="A279" s="162"/>
      <c r="B279" s="162"/>
      <c r="C279" s="162"/>
      <c r="D279" s="162"/>
      <c r="E279" s="162"/>
      <c r="F279" s="162"/>
      <c r="G279" s="162"/>
      <c r="H279" s="162"/>
      <c r="I279" s="162"/>
      <c r="J279" s="162"/>
      <c r="K279" s="162"/>
      <c r="L279" s="162"/>
      <c r="M279" s="162"/>
      <c r="O279" s="162"/>
      <c r="P279" s="162"/>
      <c r="Q279" s="162"/>
      <c r="S279" s="162"/>
      <c r="T279" s="162"/>
      <c r="U279" s="162"/>
      <c r="V279" s="162"/>
      <c r="W279" s="162"/>
      <c r="X279" s="162"/>
      <c r="Y279" s="162"/>
      <c r="Z279" s="162"/>
      <c r="AB279" s="162"/>
      <c r="AC279" s="162"/>
    </row>
    <row r="280" customFormat="false" ht="15.75" hidden="false" customHeight="false" outlineLevel="0" collapsed="false">
      <c r="A280" s="162"/>
      <c r="B280" s="162"/>
      <c r="C280" s="162"/>
      <c r="D280" s="162"/>
      <c r="E280" s="162"/>
      <c r="F280" s="162"/>
      <c r="G280" s="162"/>
      <c r="H280" s="162"/>
      <c r="I280" s="162"/>
      <c r="J280" s="162"/>
      <c r="K280" s="162"/>
      <c r="L280" s="162"/>
      <c r="M280" s="162"/>
      <c r="O280" s="162"/>
      <c r="P280" s="162"/>
      <c r="Q280" s="162"/>
      <c r="S280" s="162"/>
      <c r="T280" s="162"/>
      <c r="U280" s="162"/>
      <c r="V280" s="162"/>
      <c r="W280" s="162"/>
      <c r="X280" s="162"/>
      <c r="Y280" s="162"/>
      <c r="Z280" s="162"/>
      <c r="AB280" s="162"/>
      <c r="AC280" s="162"/>
    </row>
    <row r="281" customFormat="false" ht="15.75" hidden="false" customHeight="false" outlineLevel="0" collapsed="false">
      <c r="A281" s="162"/>
      <c r="B281" s="162"/>
      <c r="C281" s="162"/>
      <c r="D281" s="162"/>
      <c r="E281" s="162"/>
      <c r="F281" s="162"/>
      <c r="G281" s="162"/>
      <c r="H281" s="162"/>
      <c r="I281" s="162"/>
      <c r="J281" s="162"/>
      <c r="K281" s="162"/>
      <c r="L281" s="162"/>
      <c r="M281" s="162"/>
      <c r="N281" s="162"/>
      <c r="O281" s="162"/>
      <c r="P281" s="162"/>
      <c r="Q281" s="162"/>
      <c r="S281" s="162"/>
      <c r="T281" s="162"/>
      <c r="U281" s="162"/>
      <c r="V281" s="162"/>
      <c r="W281" s="162"/>
      <c r="X281" s="162"/>
      <c r="Y281" s="162"/>
      <c r="Z281" s="162"/>
      <c r="AB281" s="162"/>
      <c r="AC281" s="162"/>
    </row>
    <row r="282" customFormat="false" ht="15.75" hidden="false" customHeight="false" outlineLevel="0" collapsed="false">
      <c r="A282" s="162"/>
      <c r="B282" s="162"/>
      <c r="C282" s="162"/>
      <c r="D282" s="162"/>
      <c r="E282" s="162"/>
      <c r="F282" s="162"/>
      <c r="G282" s="162"/>
      <c r="H282" s="162"/>
      <c r="I282" s="162"/>
      <c r="J282" s="162"/>
      <c r="K282" s="162"/>
      <c r="L282" s="162"/>
      <c r="M282" s="162"/>
      <c r="N282" s="162"/>
      <c r="O282" s="162"/>
      <c r="P282" s="162"/>
      <c r="Q282" s="162"/>
      <c r="S282" s="162"/>
      <c r="T282" s="162"/>
      <c r="U282" s="162"/>
      <c r="V282" s="162"/>
      <c r="W282" s="162"/>
      <c r="X282" s="162"/>
      <c r="Y282" s="162"/>
      <c r="Z282" s="162"/>
      <c r="AB282" s="162"/>
      <c r="AC282" s="162"/>
    </row>
    <row r="283" customFormat="false" ht="15.75" hidden="false" customHeight="false" outlineLevel="0" collapsed="false">
      <c r="A283" s="162"/>
      <c r="B283" s="162"/>
      <c r="C283" s="162"/>
      <c r="D283" s="162"/>
      <c r="E283" s="162"/>
      <c r="F283" s="162"/>
      <c r="G283" s="162"/>
      <c r="H283" s="162"/>
      <c r="I283" s="162"/>
      <c r="J283" s="162"/>
      <c r="K283" s="162"/>
      <c r="L283" s="162"/>
      <c r="M283" s="162"/>
      <c r="N283" s="162"/>
      <c r="O283" s="162"/>
      <c r="P283" s="162"/>
      <c r="Q283" s="162"/>
      <c r="S283" s="162"/>
      <c r="T283" s="162"/>
      <c r="U283" s="162"/>
      <c r="V283" s="162"/>
      <c r="W283" s="162"/>
      <c r="X283" s="162"/>
      <c r="Y283" s="162"/>
      <c r="Z283" s="162"/>
      <c r="AB283" s="162"/>
      <c r="AC283" s="162"/>
    </row>
    <row r="284" customFormat="false" ht="15.75" hidden="false" customHeight="false" outlineLevel="0" collapsed="false">
      <c r="A284" s="162"/>
      <c r="B284" s="162"/>
      <c r="C284" s="162"/>
      <c r="D284" s="162"/>
      <c r="E284" s="162"/>
      <c r="F284" s="162"/>
      <c r="G284" s="162"/>
      <c r="H284" s="162"/>
      <c r="I284" s="162"/>
      <c r="J284" s="162"/>
      <c r="K284" s="162"/>
      <c r="L284" s="162"/>
      <c r="M284" s="162"/>
      <c r="N284" s="162"/>
      <c r="O284" s="162"/>
      <c r="P284" s="162"/>
      <c r="Q284" s="162"/>
      <c r="S284" s="162"/>
      <c r="T284" s="162"/>
      <c r="U284" s="162"/>
      <c r="V284" s="162"/>
      <c r="W284" s="162"/>
      <c r="X284" s="162"/>
      <c r="Y284" s="162"/>
      <c r="Z284" s="162"/>
      <c r="AB284" s="162"/>
      <c r="AC284" s="162"/>
    </row>
    <row r="285" customFormat="false" ht="15.75" hidden="false" customHeight="false" outlineLevel="0" collapsed="false">
      <c r="A285" s="162"/>
      <c r="B285" s="162"/>
      <c r="C285" s="162"/>
      <c r="D285" s="162"/>
      <c r="E285" s="162"/>
      <c r="F285" s="162"/>
      <c r="G285" s="162"/>
      <c r="H285" s="162"/>
      <c r="I285" s="162"/>
      <c r="J285" s="162"/>
      <c r="K285" s="162"/>
      <c r="L285" s="162"/>
      <c r="M285" s="162"/>
      <c r="N285" s="162"/>
      <c r="O285" s="162"/>
      <c r="P285" s="162"/>
      <c r="Q285" s="162"/>
      <c r="S285" s="162"/>
      <c r="T285" s="162"/>
      <c r="U285" s="162"/>
      <c r="V285" s="162"/>
      <c r="W285" s="162"/>
      <c r="X285" s="162"/>
      <c r="Y285" s="162"/>
      <c r="Z285" s="162"/>
      <c r="AB285" s="162"/>
      <c r="AC285" s="162"/>
    </row>
    <row r="286" customFormat="false" ht="15.75" hidden="false" customHeight="false" outlineLevel="0" collapsed="false">
      <c r="A286" s="162"/>
      <c r="B286" s="162"/>
      <c r="C286" s="162"/>
      <c r="D286" s="162"/>
      <c r="E286" s="162"/>
      <c r="F286" s="162"/>
      <c r="G286" s="162"/>
      <c r="H286" s="162"/>
      <c r="I286" s="162"/>
      <c r="J286" s="162"/>
      <c r="K286" s="162"/>
      <c r="L286" s="162"/>
      <c r="M286" s="162"/>
      <c r="N286" s="162"/>
      <c r="O286" s="162"/>
      <c r="P286" s="162"/>
      <c r="Q286" s="162"/>
      <c r="S286" s="162"/>
      <c r="T286" s="162"/>
      <c r="U286" s="162"/>
      <c r="V286" s="162"/>
      <c r="W286" s="162"/>
      <c r="X286" s="162"/>
      <c r="Y286" s="162"/>
      <c r="Z286" s="162"/>
      <c r="AB286" s="162"/>
      <c r="AC286" s="162"/>
    </row>
    <row r="287" customFormat="false" ht="15.75" hidden="false" customHeight="false" outlineLevel="0" collapsed="false">
      <c r="A287" s="162"/>
      <c r="B287" s="162"/>
      <c r="C287" s="162"/>
      <c r="D287" s="162"/>
      <c r="E287" s="162"/>
      <c r="F287" s="162"/>
      <c r="G287" s="162"/>
      <c r="H287" s="162"/>
      <c r="I287" s="162"/>
      <c r="J287" s="162"/>
      <c r="K287" s="162"/>
      <c r="L287" s="162"/>
      <c r="M287" s="162"/>
      <c r="N287" s="162"/>
      <c r="O287" s="162"/>
      <c r="P287" s="162"/>
      <c r="Q287" s="162"/>
      <c r="R287" s="162"/>
      <c r="S287" s="162"/>
      <c r="T287" s="162"/>
      <c r="U287" s="162"/>
      <c r="V287" s="162"/>
      <c r="W287" s="162"/>
      <c r="X287" s="162"/>
      <c r="Y287" s="162"/>
      <c r="Z287" s="162"/>
      <c r="AA287" s="162"/>
      <c r="AB287" s="162"/>
      <c r="AC287" s="162"/>
    </row>
    <row r="288" customFormat="false" ht="15.75" hidden="false" customHeight="false" outlineLevel="0" collapsed="false">
      <c r="A288" s="162"/>
      <c r="B288" s="162"/>
      <c r="C288" s="162"/>
      <c r="D288" s="162"/>
      <c r="E288" s="162"/>
      <c r="F288" s="162"/>
      <c r="G288" s="162"/>
      <c r="H288" s="162"/>
      <c r="I288" s="162"/>
      <c r="J288" s="162"/>
      <c r="K288" s="162"/>
      <c r="L288" s="162"/>
      <c r="M288" s="162"/>
      <c r="O288" s="162"/>
      <c r="P288" s="162"/>
      <c r="Q288" s="162"/>
      <c r="S288" s="162"/>
      <c r="T288" s="162"/>
      <c r="U288" s="162"/>
      <c r="V288" s="162"/>
      <c r="W288" s="162"/>
      <c r="X288" s="162"/>
      <c r="Y288" s="162"/>
      <c r="Z288" s="162"/>
      <c r="AB288" s="162"/>
      <c r="AC288" s="162"/>
    </row>
    <row r="289" customFormat="false" ht="15.75" hidden="false" customHeight="false" outlineLevel="0" collapsed="false">
      <c r="A289" s="162"/>
      <c r="B289" s="162"/>
      <c r="C289" s="162"/>
      <c r="D289" s="162"/>
      <c r="E289" s="162"/>
      <c r="F289" s="162"/>
      <c r="G289" s="162"/>
      <c r="H289" s="162"/>
      <c r="I289" s="162"/>
      <c r="J289" s="162"/>
      <c r="K289" s="162"/>
      <c r="L289" s="162"/>
      <c r="M289" s="162"/>
      <c r="N289" s="162"/>
      <c r="O289" s="162"/>
      <c r="P289" s="162"/>
      <c r="Q289" s="162"/>
      <c r="R289" s="162"/>
      <c r="S289" s="162"/>
      <c r="T289" s="162"/>
      <c r="U289" s="162"/>
      <c r="V289" s="162"/>
      <c r="W289" s="162"/>
      <c r="X289" s="162"/>
      <c r="Y289" s="162"/>
      <c r="Z289" s="162"/>
      <c r="AA289" s="162"/>
      <c r="AB289" s="162"/>
      <c r="AC289" s="162"/>
    </row>
    <row r="290" customFormat="false" ht="15.75" hidden="false" customHeight="false" outlineLevel="0" collapsed="false">
      <c r="A290" s="162"/>
      <c r="B290" s="162"/>
      <c r="C290" s="162"/>
      <c r="D290" s="162"/>
      <c r="E290" s="162"/>
      <c r="F290" s="162"/>
      <c r="G290" s="162"/>
      <c r="H290" s="162"/>
      <c r="I290" s="162"/>
      <c r="J290" s="162"/>
      <c r="K290" s="162"/>
      <c r="L290" s="162"/>
      <c r="M290" s="162"/>
      <c r="O290" s="162"/>
      <c r="P290" s="162"/>
      <c r="Q290" s="162"/>
      <c r="S290" s="162"/>
      <c r="T290" s="162"/>
      <c r="U290" s="162"/>
      <c r="V290" s="162"/>
      <c r="W290" s="162"/>
      <c r="X290" s="162"/>
      <c r="Y290" s="162"/>
      <c r="Z290" s="162"/>
      <c r="AB290" s="162"/>
      <c r="AC290" s="162"/>
    </row>
    <row r="291" customFormat="false" ht="15.75" hidden="false" customHeight="false" outlineLevel="0" collapsed="false">
      <c r="A291" s="162"/>
      <c r="B291" s="162"/>
      <c r="C291" s="162"/>
      <c r="D291" s="162"/>
      <c r="E291" s="162"/>
      <c r="F291" s="162"/>
      <c r="G291" s="162"/>
      <c r="H291" s="162"/>
      <c r="I291" s="162"/>
      <c r="J291" s="162"/>
      <c r="K291" s="162"/>
      <c r="L291" s="162"/>
      <c r="M291" s="162"/>
      <c r="N291" s="162"/>
      <c r="O291" s="162"/>
      <c r="P291" s="162"/>
      <c r="Q291" s="162"/>
      <c r="R291" s="162"/>
      <c r="S291" s="162"/>
      <c r="T291" s="162"/>
      <c r="U291" s="162"/>
      <c r="V291" s="162"/>
      <c r="W291" s="162"/>
      <c r="X291" s="162"/>
      <c r="Y291" s="162"/>
      <c r="Z291" s="162"/>
      <c r="AA291" s="162"/>
      <c r="AB291" s="162"/>
      <c r="AC291" s="162"/>
    </row>
    <row r="292" customFormat="false" ht="15.75" hidden="false" customHeight="false" outlineLevel="0" collapsed="false">
      <c r="A292" s="162"/>
      <c r="B292" s="162"/>
      <c r="C292" s="162"/>
      <c r="D292" s="162"/>
      <c r="E292" s="162"/>
      <c r="F292" s="162"/>
      <c r="G292" s="162"/>
      <c r="H292" s="162"/>
      <c r="I292" s="162"/>
      <c r="J292" s="162"/>
      <c r="K292" s="162"/>
      <c r="L292" s="162"/>
      <c r="M292" s="162"/>
      <c r="O292" s="162"/>
      <c r="P292" s="162"/>
      <c r="Q292" s="162"/>
      <c r="S292" s="162"/>
      <c r="T292" s="162"/>
      <c r="U292" s="162"/>
      <c r="V292" s="162"/>
      <c r="W292" s="162"/>
      <c r="X292" s="162"/>
      <c r="Y292" s="162"/>
      <c r="Z292" s="162"/>
      <c r="AB292" s="162"/>
      <c r="AC292" s="162"/>
    </row>
    <row r="293" customFormat="false" ht="15.75" hidden="false" customHeight="false" outlineLevel="0" collapsed="false">
      <c r="A293" s="162"/>
      <c r="B293" s="162"/>
      <c r="C293" s="162"/>
      <c r="D293" s="162"/>
      <c r="E293" s="162"/>
      <c r="F293" s="162"/>
      <c r="G293" s="162"/>
      <c r="H293" s="162"/>
      <c r="I293" s="162"/>
      <c r="J293" s="162"/>
      <c r="K293" s="162"/>
      <c r="L293" s="162"/>
      <c r="M293" s="162"/>
      <c r="N293" s="162"/>
      <c r="O293" s="162"/>
      <c r="P293" s="162"/>
      <c r="Q293" s="162"/>
      <c r="S293" s="162"/>
      <c r="T293" s="162"/>
      <c r="U293" s="162"/>
      <c r="V293" s="162"/>
      <c r="W293" s="162"/>
      <c r="X293" s="162"/>
      <c r="Y293" s="162"/>
      <c r="Z293" s="162"/>
      <c r="AB293" s="162"/>
      <c r="AC293" s="162"/>
    </row>
    <row r="294" customFormat="false" ht="15.75" hidden="false" customHeight="false" outlineLevel="0" collapsed="false">
      <c r="A294" s="162"/>
      <c r="B294" s="162"/>
      <c r="C294" s="162"/>
      <c r="D294" s="162"/>
      <c r="E294" s="162"/>
      <c r="F294" s="162"/>
      <c r="G294" s="162"/>
      <c r="H294" s="162"/>
      <c r="I294" s="162"/>
      <c r="J294" s="162"/>
      <c r="K294" s="162"/>
      <c r="L294" s="162"/>
      <c r="M294" s="162"/>
      <c r="O294" s="162"/>
      <c r="P294" s="162"/>
      <c r="Q294" s="162"/>
      <c r="S294" s="162"/>
      <c r="T294" s="162"/>
      <c r="U294" s="162"/>
      <c r="V294" s="162"/>
      <c r="W294" s="162"/>
      <c r="X294" s="162"/>
      <c r="Y294" s="162"/>
      <c r="Z294" s="162"/>
      <c r="AB294" s="162"/>
      <c r="AC294" s="162"/>
    </row>
    <row r="295" customFormat="false" ht="15.75" hidden="false" customHeight="false" outlineLevel="0" collapsed="false">
      <c r="A295" s="162"/>
      <c r="B295" s="162"/>
      <c r="C295" s="162"/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O295" s="162"/>
      <c r="P295" s="162"/>
      <c r="Q295" s="162"/>
      <c r="S295" s="162"/>
      <c r="T295" s="162"/>
      <c r="U295" s="162"/>
      <c r="V295" s="162"/>
      <c r="W295" s="162"/>
      <c r="X295" s="162"/>
      <c r="Y295" s="162"/>
      <c r="Z295" s="162"/>
      <c r="AB295" s="162"/>
      <c r="AC295" s="162"/>
    </row>
    <row r="296" customFormat="false" ht="15.75" hidden="false" customHeight="false" outlineLevel="0" collapsed="false">
      <c r="A296" s="162"/>
      <c r="B296" s="162"/>
      <c r="C296" s="162"/>
      <c r="D296" s="162"/>
      <c r="E296" s="162"/>
      <c r="F296" s="162"/>
      <c r="G296" s="162"/>
      <c r="H296" s="162"/>
      <c r="I296" s="162"/>
      <c r="J296" s="162"/>
      <c r="K296" s="162"/>
      <c r="L296" s="162"/>
      <c r="M296" s="162"/>
      <c r="N296" s="162"/>
      <c r="O296" s="162"/>
      <c r="P296" s="162"/>
      <c r="Q296" s="162"/>
      <c r="R296" s="162"/>
      <c r="S296" s="162"/>
      <c r="T296" s="162"/>
      <c r="U296" s="162"/>
      <c r="V296" s="162"/>
      <c r="W296" s="162"/>
      <c r="X296" s="162"/>
      <c r="Y296" s="162"/>
      <c r="Z296" s="162"/>
      <c r="AA296" s="162"/>
      <c r="AB296" s="162"/>
      <c r="AC296" s="162"/>
      <c r="AD296" s="162"/>
      <c r="AE296" s="162"/>
      <c r="AF296" s="162"/>
    </row>
    <row r="297" customFormat="false" ht="15.75" hidden="false" customHeight="false" outlineLevel="0" collapsed="false">
      <c r="A297" s="162"/>
      <c r="B297" s="162"/>
      <c r="C297" s="162"/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O297" s="162"/>
      <c r="P297" s="162"/>
      <c r="Q297" s="162"/>
      <c r="S297" s="162"/>
      <c r="T297" s="162"/>
      <c r="U297" s="162"/>
      <c r="V297" s="162"/>
      <c r="W297" s="162"/>
      <c r="X297" s="162"/>
      <c r="Y297" s="162"/>
      <c r="Z297" s="162"/>
      <c r="AB297" s="162"/>
      <c r="AC297" s="162"/>
    </row>
    <row r="298" customFormat="false" ht="15.75" hidden="false" customHeight="false" outlineLevel="0" collapsed="false">
      <c r="A298" s="162"/>
      <c r="B298" s="162"/>
      <c r="C298" s="162"/>
      <c r="D298" s="162"/>
      <c r="E298" s="162"/>
      <c r="F298" s="162"/>
      <c r="G298" s="162"/>
      <c r="H298" s="162"/>
      <c r="I298" s="162"/>
      <c r="J298" s="162"/>
      <c r="K298" s="162"/>
      <c r="L298" s="162"/>
      <c r="M298" s="162"/>
      <c r="O298" s="162"/>
      <c r="P298" s="162"/>
      <c r="Q298" s="162"/>
      <c r="S298" s="162"/>
      <c r="T298" s="162"/>
      <c r="U298" s="162"/>
      <c r="V298" s="162"/>
      <c r="W298" s="162"/>
      <c r="X298" s="162"/>
      <c r="Y298" s="162"/>
      <c r="Z298" s="162"/>
      <c r="AB298" s="162"/>
      <c r="AC298" s="162"/>
    </row>
    <row r="299" customFormat="false" ht="15.75" hidden="false" customHeight="false" outlineLevel="0" collapsed="false">
      <c r="A299" s="162"/>
      <c r="B299" s="162"/>
      <c r="C299" s="162"/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O299" s="162"/>
      <c r="P299" s="162"/>
      <c r="Q299" s="162"/>
      <c r="S299" s="162"/>
      <c r="T299" s="162"/>
      <c r="U299" s="162"/>
      <c r="V299" s="162"/>
      <c r="W299" s="162"/>
      <c r="X299" s="162"/>
      <c r="Y299" s="162"/>
      <c r="Z299" s="162"/>
      <c r="AB299" s="162"/>
      <c r="AC299" s="162"/>
    </row>
    <row r="300" customFormat="false" ht="15.75" hidden="false" customHeight="false" outlineLevel="0" collapsed="false">
      <c r="A300" s="162"/>
      <c r="B300" s="162"/>
      <c r="C300" s="162"/>
      <c r="D300" s="162"/>
      <c r="E300" s="162"/>
      <c r="F300" s="162"/>
      <c r="G300" s="162"/>
      <c r="H300" s="162"/>
      <c r="I300" s="162"/>
      <c r="J300" s="162"/>
      <c r="K300" s="162"/>
      <c r="L300" s="162"/>
      <c r="M300" s="162"/>
      <c r="O300" s="162"/>
      <c r="P300" s="162"/>
      <c r="Q300" s="162"/>
      <c r="S300" s="162"/>
      <c r="T300" s="162"/>
      <c r="U300" s="162"/>
      <c r="V300" s="162"/>
      <c r="W300" s="162"/>
      <c r="X300" s="162"/>
      <c r="Y300" s="162"/>
      <c r="Z300" s="162"/>
      <c r="AB300" s="162"/>
      <c r="AC300" s="162"/>
    </row>
    <row r="301" customFormat="false" ht="15.75" hidden="false" customHeight="false" outlineLevel="0" collapsed="false">
      <c r="A301" s="162"/>
      <c r="B301" s="162"/>
      <c r="C301" s="162"/>
      <c r="D301" s="162"/>
      <c r="E301" s="162"/>
      <c r="F301" s="162"/>
      <c r="G301" s="162"/>
      <c r="H301" s="162"/>
      <c r="I301" s="162"/>
      <c r="J301" s="162"/>
      <c r="K301" s="162"/>
      <c r="L301" s="162"/>
      <c r="M301" s="162"/>
      <c r="O301" s="162"/>
      <c r="P301" s="162"/>
      <c r="Q301" s="162"/>
      <c r="S301" s="162"/>
      <c r="T301" s="162"/>
      <c r="U301" s="162"/>
      <c r="V301" s="162"/>
      <c r="W301" s="162"/>
      <c r="X301" s="162"/>
      <c r="Y301" s="162"/>
      <c r="Z301" s="162"/>
      <c r="AB301" s="162"/>
      <c r="AC301" s="162"/>
    </row>
    <row r="302" customFormat="false" ht="15.75" hidden="false" customHeight="false" outlineLevel="0" collapsed="false">
      <c r="A302" s="162"/>
      <c r="B302" s="162"/>
      <c r="C302" s="162"/>
      <c r="D302" s="162"/>
      <c r="E302" s="162"/>
      <c r="F302" s="162"/>
      <c r="G302" s="162"/>
      <c r="H302" s="162"/>
      <c r="I302" s="162"/>
      <c r="J302" s="162"/>
      <c r="K302" s="162"/>
      <c r="L302" s="162"/>
      <c r="M302" s="162"/>
      <c r="N302" s="162"/>
      <c r="O302" s="162"/>
      <c r="P302" s="162"/>
      <c r="Q302" s="162"/>
      <c r="S302" s="162"/>
      <c r="T302" s="162"/>
      <c r="U302" s="162"/>
      <c r="V302" s="162"/>
      <c r="W302" s="162"/>
      <c r="X302" s="162"/>
      <c r="Y302" s="162"/>
      <c r="Z302" s="162"/>
      <c r="AB302" s="162"/>
      <c r="AC302" s="162"/>
    </row>
    <row r="303" customFormat="false" ht="15.75" hidden="false" customHeight="false" outlineLevel="0" collapsed="false">
      <c r="A303" s="162"/>
      <c r="B303" s="162"/>
      <c r="C303" s="162"/>
      <c r="D303" s="162"/>
      <c r="E303" s="162"/>
      <c r="F303" s="162"/>
      <c r="G303" s="162"/>
      <c r="H303" s="162"/>
      <c r="I303" s="162"/>
      <c r="J303" s="162"/>
      <c r="K303" s="162"/>
      <c r="L303" s="162"/>
      <c r="M303" s="162"/>
      <c r="O303" s="162"/>
      <c r="P303" s="162"/>
      <c r="Q303" s="162"/>
      <c r="S303" s="162"/>
      <c r="T303" s="162"/>
      <c r="U303" s="162"/>
      <c r="V303" s="162"/>
      <c r="W303" s="162"/>
      <c r="X303" s="162"/>
      <c r="Y303" s="162"/>
      <c r="Z303" s="162"/>
      <c r="AB303" s="162"/>
      <c r="AC303" s="162"/>
    </row>
    <row r="304" customFormat="false" ht="15.75" hidden="false" customHeight="false" outlineLevel="0" collapsed="false">
      <c r="A304" s="162"/>
      <c r="B304" s="162"/>
      <c r="C304" s="162"/>
      <c r="D304" s="162"/>
      <c r="E304" s="162"/>
      <c r="F304" s="162"/>
      <c r="G304" s="162"/>
      <c r="H304" s="162"/>
      <c r="I304" s="162"/>
      <c r="J304" s="162"/>
      <c r="K304" s="162"/>
      <c r="L304" s="162"/>
      <c r="M304" s="162"/>
      <c r="O304" s="162"/>
      <c r="P304" s="162"/>
      <c r="Q304" s="162"/>
      <c r="S304" s="162"/>
      <c r="T304" s="162"/>
      <c r="U304" s="162"/>
      <c r="V304" s="162"/>
      <c r="W304" s="162"/>
      <c r="X304" s="162"/>
      <c r="Y304" s="162"/>
      <c r="Z304" s="162"/>
      <c r="AB304" s="162"/>
      <c r="AC304" s="162"/>
    </row>
    <row r="305" customFormat="false" ht="15.75" hidden="false" customHeight="false" outlineLevel="0" collapsed="false">
      <c r="A305" s="162"/>
      <c r="B305" s="162"/>
      <c r="C305" s="162"/>
      <c r="D305" s="162"/>
      <c r="E305" s="162"/>
      <c r="F305" s="162"/>
      <c r="G305" s="162"/>
      <c r="H305" s="162"/>
      <c r="I305" s="162"/>
      <c r="J305" s="162"/>
      <c r="K305" s="162"/>
      <c r="L305" s="162"/>
      <c r="M305" s="162"/>
      <c r="N305" s="162"/>
      <c r="O305" s="162"/>
      <c r="P305" s="162"/>
      <c r="Q305" s="162"/>
      <c r="R305" s="162"/>
      <c r="S305" s="162"/>
      <c r="T305" s="162"/>
      <c r="U305" s="162"/>
      <c r="V305" s="162"/>
      <c r="W305" s="162"/>
      <c r="X305" s="162"/>
      <c r="Y305" s="162"/>
      <c r="Z305" s="162"/>
      <c r="AA305" s="162"/>
      <c r="AB305" s="162"/>
      <c r="AC305" s="162"/>
    </row>
    <row r="306" customFormat="false" ht="15.75" hidden="false" customHeight="false" outlineLevel="0" collapsed="false">
      <c r="A306" s="162"/>
      <c r="B306" s="162"/>
      <c r="C306" s="162"/>
      <c r="D306" s="162"/>
      <c r="E306" s="162"/>
      <c r="F306" s="162"/>
      <c r="G306" s="162"/>
      <c r="H306" s="162"/>
      <c r="I306" s="162"/>
      <c r="J306" s="162"/>
      <c r="K306" s="162"/>
      <c r="L306" s="162"/>
      <c r="M306" s="162"/>
      <c r="N306" s="162"/>
      <c r="O306" s="162"/>
      <c r="P306" s="162"/>
      <c r="Q306" s="162"/>
      <c r="R306" s="162"/>
      <c r="S306" s="162"/>
      <c r="T306" s="162"/>
      <c r="U306" s="162"/>
      <c r="V306" s="162"/>
      <c r="W306" s="162"/>
      <c r="X306" s="162"/>
      <c r="Y306" s="162"/>
      <c r="Z306" s="162"/>
      <c r="AA306" s="162"/>
      <c r="AB306" s="162"/>
      <c r="AC306" s="162"/>
      <c r="AD306" s="162"/>
      <c r="AE306" s="162"/>
      <c r="AF306" s="162"/>
    </row>
    <row r="414" customFormat="false" ht="15.75" hidden="false" customHeight="false" outlineLevel="0" collapsed="false">
      <c r="C414" s="164"/>
    </row>
  </sheetData>
  <autoFilter ref="A1:M48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/>
      <c r="B1" s="1"/>
      <c r="C1" s="165" t="str">
        <f aca="false">IFERROR(__xludf.dummyfunction("IMPORTRANGE(""1TpIiNTfR1pnpn85VWQTTdvQ2Xcr0GStmWJ2UvfKxG_A"", ""Mzdy!A1:F200"")")," ")</f>
        <v> 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66" t="n">
        <f aca="false">IFERROR(__xludf.dummyfunction("IMPORTRANGE(""1TpIiNTfR1pnpn85VWQTTdvQ2Xcr0GStmWJ2UvfKxG_A"", ""Mzdy!ac1:ad200"")"),30)</f>
        <v>30</v>
      </c>
      <c r="W1" s="167" t="str">
        <f aca="false">IFERROR(__xludf.dummyfunction("""COMPUTED_VALUE"""),"dní")</f>
        <v>dní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15.75" hidden="false" customHeight="false" outlineLevel="0" collapsed="false">
      <c r="A2" s="168"/>
      <c r="B2" s="168"/>
      <c r="C2" s="168"/>
      <c r="D2" s="168"/>
      <c r="E2" s="168"/>
      <c r="F2" s="168"/>
      <c r="G2" s="168"/>
      <c r="H2" s="16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69"/>
      <c r="W2" s="170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15.75" hidden="false" customHeight="false" outlineLevel="0" collapsed="false">
      <c r="A3" s="168"/>
      <c r="B3" s="168"/>
      <c r="C3" s="168"/>
      <c r="D3" s="168"/>
      <c r="E3" s="168"/>
      <c r="F3" s="168"/>
      <c r="G3" s="168"/>
      <c r="H3" s="168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69"/>
      <c r="W3" s="170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customFormat="false" ht="15.75" hidden="false" customHeight="false" outlineLevel="0" collapsed="false">
      <c r="A4" s="168" t="s">
        <v>1598</v>
      </c>
      <c r="B4" s="168" t="s">
        <v>1599</v>
      </c>
      <c r="C4" s="168" t="str">
        <f aca="false">IFERROR(__xludf.dummyfunction("""COMPUTED_VALUE"""),"Manažer")</f>
        <v>Manažer</v>
      </c>
      <c r="D4" s="168" t="str">
        <f aca="false">IFERROR(__xludf.dummyfunction("""COMPUTED_VALUE"""),"Instore")</f>
        <v>Instore</v>
      </c>
      <c r="E4" s="168" t="str">
        <f aca="false">IFERROR(__xludf.dummyfunction("""COMPUTED_VALUE"""),"První domácí,          Pobočky max 4")</f>
        <v>První domácí,          Pobočky max 4</v>
      </c>
      <c r="F4" s="168"/>
      <c r="G4" s="168"/>
      <c r="H4" s="16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69" t="str">
        <f aca="false">IFERROR(__xludf.dummyfunction("""COMPUTED_VALUE"""),"Sp.hr. / h")</f>
        <v>Sp.hr. / h</v>
      </c>
      <c r="W4" s="170" t="str">
        <f aca="false">IFERROR(__xludf.dummyfunction("""COMPUTED_VALUE"""),"Sp.hr. / den")</f>
        <v>Sp.hr. / den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customFormat="false" ht="15.75" hidden="false" customHeight="false" outlineLevel="0" collapsed="false">
      <c r="A5" s="168" t="str">
        <f aca="false">IF(AND(B5&lt;&gt;"", C5=TRUE(), E5=Report!$B$1), B5, "")</f>
        <v/>
      </c>
      <c r="B5" s="171" t="str">
        <f aca="false">IF(OR(E5=Report!$B$1, F5=Report!$B$1, G5=Report!$B$1, H5=Report!$B$1), D5, "")</f>
        <v/>
      </c>
      <c r="C5" s="172" t="b">
        <f aca="false">IFERROR(__xludf.dummyfunction("""COMPUTED_VALUE"""),TRUE())</f>
        <v>1</v>
      </c>
      <c r="D5" s="168" t="str">
        <f aca="false">IFERROR(__xludf.dummyfunction("""COMPUTED_VALUE"""),"Nedbal Michal")</f>
        <v>Nedbal Michal</v>
      </c>
      <c r="E5" s="168" t="str">
        <f aca="false">IFERROR(__xludf.dummyfunction("""COMPUTED_VALUE"""),"Zličín")</f>
        <v>Zličín</v>
      </c>
      <c r="F5" s="168" t="str">
        <f aca="false">IFERROR(__xludf.dummyfunction("""COMPUTED_VALUE"""),"Malešice")</f>
        <v>Malešice</v>
      </c>
      <c r="G5" s="168" t="str">
        <f aca="false">IFERROR(__xludf.dummyfunction("""COMPUTED_VALUE"""),"Prosek")</f>
        <v>Prosek</v>
      </c>
      <c r="H5" s="168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70" t="n">
        <f aca="false">IFERROR(__xludf.dummyfunction("""COMPUTED_VALUE"""),432.3078)</f>
        <v>432.3078</v>
      </c>
      <c r="W5" s="170" t="n">
        <f aca="false">IFERROR(__xludf.dummyfunction("""COMPUTED_VALUE"""),2882.052)</f>
        <v>2882.052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customFormat="false" ht="15.75" hidden="false" customHeight="false" outlineLevel="0" collapsed="false">
      <c r="A6" s="168" t="str">
        <f aca="false">IF(AND(B6&lt;&gt;"", C6=TRUE(), E6=Report!$B$1), B6, "")</f>
        <v>Sova Martin</v>
      </c>
      <c r="B6" s="171" t="str">
        <f aca="false">IF(OR(E6=Report!$B$1, F6=Report!$B$1, G6=Report!$B$1, H6=Report!$B$1), D6, "")</f>
        <v>Sova Martin</v>
      </c>
      <c r="C6" s="172" t="b">
        <f aca="false">IFERROR(__xludf.dummyfunction("""COMPUTED_VALUE"""),TRUE())</f>
        <v>1</v>
      </c>
      <c r="D6" s="168" t="str">
        <f aca="false">IFERROR(__xludf.dummyfunction("""COMPUTED_VALUE"""),"Sova Martin")</f>
        <v>Sova Martin</v>
      </c>
      <c r="E6" s="168" t="str">
        <f aca="false">IFERROR(__xludf.dummyfunction("""COMPUTED_VALUE"""),"Chodov")</f>
        <v>Chodov</v>
      </c>
      <c r="F6" s="168" t="str">
        <f aca="false">IFERROR(__xludf.dummyfunction("""COMPUTED_VALUE"""),"Libuš")</f>
        <v>Libuš</v>
      </c>
      <c r="G6" s="168" t="str">
        <f aca="false">IFERROR(__xludf.dummyfunction("""COMPUTED_VALUE"""),"Výroba")</f>
        <v>Výroba</v>
      </c>
      <c r="H6" s="16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70" t="n">
        <f aca="false">IFERROR(__xludf.dummyfunction("""COMPUTED_VALUE"""),432.3078)</f>
        <v>432.3078</v>
      </c>
      <c r="W6" s="170" t="n">
        <f aca="false">IFERROR(__xludf.dummyfunction("""COMPUTED_VALUE"""),2882.052)</f>
        <v>2882.052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customFormat="false" ht="15.75" hidden="false" customHeight="false" outlineLevel="0" collapsed="false">
      <c r="A7" s="168" t="str">
        <f aca="false">IF(AND(B7&lt;&gt;"", C7=TRUE(), E7=Report!$B$1), B7, "")</f>
        <v/>
      </c>
      <c r="B7" s="171" t="str">
        <f aca="false">IF(OR(E7=Report!$B$1, F7=Report!$B$1, G7=Report!$B$1, H7=Report!$B$1), D7, "")</f>
        <v/>
      </c>
      <c r="C7" s="172" t="b">
        <f aca="false">IFERROR(__xludf.dummyfunction("""COMPUTED_VALUE"""),TRUE())</f>
        <v>1</v>
      </c>
      <c r="D7" s="168" t="str">
        <f aca="false">IFERROR(__xludf.dummyfunction("""COMPUTED_VALUE"""),"Paziak Viktoriia")</f>
        <v>Paziak Viktoriia</v>
      </c>
      <c r="E7" s="168" t="str">
        <f aca="false">IFERROR(__xludf.dummyfunction("""COMPUTED_VALUE"""),"Výroba")</f>
        <v>Výroba</v>
      </c>
      <c r="F7" s="168"/>
      <c r="G7" s="168"/>
      <c r="H7" s="16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70" t="n">
        <f aca="false">IFERROR(__xludf.dummyfunction("""COMPUTED_VALUE"""),341.19)</f>
        <v>341.19</v>
      </c>
      <c r="W7" s="170" t="n">
        <f aca="false">IFERROR(__xludf.dummyfunction("""COMPUTED_VALUE"""),2274.6)</f>
        <v>2274.6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customFormat="false" ht="15.75" hidden="false" customHeight="false" outlineLevel="0" collapsed="false">
      <c r="A8" s="168" t="str">
        <f aca="false">IF(AND(B8&lt;&gt;"", C8=TRUE(), E8=Report!$B$1), B8, "")</f>
        <v/>
      </c>
      <c r="B8" s="171" t="str">
        <f aca="false">IF(OR(E8=Report!$B$1, F8=Report!$B$1, G8=Report!$B$1, H8=Report!$B$1), D8, "")</f>
        <v/>
      </c>
      <c r="C8" s="172" t="b">
        <f aca="false">IFERROR(__xludf.dummyfunction("""COMPUTED_VALUE"""),FALSE())</f>
        <v>0</v>
      </c>
      <c r="D8" s="168" t="str">
        <f aca="false">IFERROR(__xludf.dummyfunction("""COMPUTED_VALUE"""),"Ahurieva Viktoriia")</f>
        <v>Ahurieva Viktoriia</v>
      </c>
      <c r="E8" s="168" t="str">
        <f aca="false">IFERROR(__xludf.dummyfunction("""COMPUTED_VALUE"""),"Libuš")</f>
        <v>Libuš</v>
      </c>
      <c r="F8" s="168" t="str">
        <f aca="false">IFERROR(__xludf.dummyfunction("""COMPUTED_VALUE"""),"Malešice")</f>
        <v>Malešice</v>
      </c>
      <c r="G8" s="168" t="str">
        <f aca="false">IFERROR(__xludf.dummyfunction("""COMPUTED_VALUE"""),"Výroba")</f>
        <v>Výroba</v>
      </c>
      <c r="H8" s="168" t="str">
        <f aca="false">IFERROR(__xludf.dummyfunction("""COMPUTED_VALUE"""),"Prosek")</f>
        <v>Prosek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70" t="n">
        <f aca="false">IFERROR(__xludf.dummyfunction("""COMPUTED_VALUE"""),432.3078)</f>
        <v>432.3078</v>
      </c>
      <c r="W8" s="170" t="n">
        <f aca="false">IFERROR(__xludf.dummyfunction("""COMPUTED_VALUE"""),2882.052)</f>
        <v>2882.052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customFormat="false" ht="15.75" hidden="false" customHeight="false" outlineLevel="0" collapsed="false">
      <c r="A9" s="168" t="str">
        <f aca="false">IF(AND(B9&lt;&gt;"", C9=TRUE(), E9=Report!$B$1), B9, "")</f>
        <v>Pešová Hana</v>
      </c>
      <c r="B9" s="171" t="str">
        <f aca="false">IF(OR(E9=Report!$B$1, F9=Report!$B$1, G9=Report!$B$1, H9=Report!$B$1), D9, "")</f>
        <v>Pešová Hana</v>
      </c>
      <c r="C9" s="172" t="b">
        <f aca="false">IFERROR(__xludf.dummyfunction("""COMPUTED_VALUE"""),TRUE())</f>
        <v>1</v>
      </c>
      <c r="D9" s="168" t="str">
        <f aca="false">IFERROR(__xludf.dummyfunction("""COMPUTED_VALUE"""),"Pešová Hana")</f>
        <v>Pešová Hana</v>
      </c>
      <c r="E9" s="168" t="str">
        <f aca="false">IFERROR(__xludf.dummyfunction("""COMPUTED_VALUE"""),"Chodov")</f>
        <v>Chodov</v>
      </c>
      <c r="F9" s="168" t="str">
        <f aca="false">IFERROR(__xludf.dummyfunction("""COMPUTED_VALUE"""),"Prosek")</f>
        <v>Prosek</v>
      </c>
      <c r="G9" s="168"/>
      <c r="H9" s="168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70" t="n">
        <f aca="false">IFERROR(__xludf.dummyfunction("""COMPUTED_VALUE"""),341.19)</f>
        <v>341.19</v>
      </c>
      <c r="W9" s="170" t="n">
        <f aca="false">IFERROR(__xludf.dummyfunction("""COMPUTED_VALUE"""),2274.6)</f>
        <v>2274.6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customFormat="false" ht="15.75" hidden="false" customHeight="false" outlineLevel="0" collapsed="false">
      <c r="A10" s="168" t="str">
        <f aca="false">IF(AND(B10&lt;&gt;"", C10=TRUE(), E10=Report!$B$1), B10, "")</f>
        <v/>
      </c>
      <c r="B10" s="171" t="str">
        <f aca="false">IF(OR(E10=Report!$B$1, F10=Report!$B$1, G10=Report!$B$1, H10=Report!$B$1), D10, "")</f>
        <v>Šebesta Tomáš</v>
      </c>
      <c r="C10" s="172" t="b">
        <f aca="false">IFERROR(__xludf.dummyfunction("""COMPUTED_VALUE"""),TRUE())</f>
        <v>1</v>
      </c>
      <c r="D10" s="168" t="str">
        <f aca="false">IFERROR(__xludf.dummyfunction("""COMPUTED_VALUE"""),"Šebesta Tomáš")</f>
        <v>Šebesta Tomáš</v>
      </c>
      <c r="E10" s="168" t="str">
        <f aca="false">IFERROR(__xludf.dummyfunction("""COMPUTED_VALUE"""),"Prosek")</f>
        <v>Prosek</v>
      </c>
      <c r="F10" s="168" t="str">
        <f aca="false">IFERROR(__xludf.dummyfunction("""COMPUTED_VALUE"""),"Libuš")</f>
        <v>Libuš</v>
      </c>
      <c r="G10" s="168" t="str">
        <f aca="false">IFERROR(__xludf.dummyfunction("""COMPUTED_VALUE"""),"Malešice")</f>
        <v>Malešice</v>
      </c>
      <c r="H10" s="168" t="str">
        <f aca="false">IFERROR(__xludf.dummyfunction("""COMPUTED_VALUE"""),"Chodov")</f>
        <v>Chodov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70" t="n">
        <f aca="false">IFERROR(__xludf.dummyfunction("""COMPUTED_VALUE"""),432.3078)</f>
        <v>432.3078</v>
      </c>
      <c r="W10" s="170" t="n">
        <f aca="false">IFERROR(__xludf.dummyfunction("""COMPUTED_VALUE"""),2882.052)</f>
        <v>2882.052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customFormat="false" ht="15.75" hidden="false" customHeight="false" outlineLevel="0" collapsed="false">
      <c r="A11" s="168" t="str">
        <f aca="false">IF(AND(B11&lt;&gt;"", C11=TRUE(), E11=Report!$B$1), B11, "")</f>
        <v/>
      </c>
      <c r="B11" s="171" t="str">
        <f aca="false">IF(OR(E11=Report!$B$1, F11=Report!$B$1, G11=Report!$B$1, H11=Report!$B$1), D11, "")</f>
        <v/>
      </c>
      <c r="C11" s="172" t="b">
        <f aca="false">IFERROR(__xludf.dummyfunction("""COMPUTED_VALUE"""),FALSE())</f>
        <v>0</v>
      </c>
      <c r="D11" s="168" t="str">
        <f aca="false">IFERROR(__xludf.dummyfunction("""COMPUTED_VALUE"""),"Hanakova Ayuna")</f>
        <v>Hanakova Ayuna</v>
      </c>
      <c r="E11" s="168" t="str">
        <f aca="false">IFERROR(__xludf.dummyfunction("""COMPUTED_VALUE"""),"Zličín")</f>
        <v>Zličín</v>
      </c>
      <c r="F11" s="168"/>
      <c r="G11" s="168"/>
      <c r="H11" s="16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70" t="n">
        <f aca="false">IFERROR(__xludf.dummyfunction("""COMPUTED_VALUE"""),295.698)</f>
        <v>295.698</v>
      </c>
      <c r="W11" s="170" t="n">
        <f aca="false">IFERROR(__xludf.dummyfunction("""COMPUTED_VALUE"""),0)</f>
        <v>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customFormat="false" ht="15.75" hidden="false" customHeight="false" outlineLevel="0" collapsed="false">
      <c r="A12" s="168" t="str">
        <f aca="false">IF(AND(B12&lt;&gt;"", C12=TRUE(), E12=Report!$B$1), B12, "")</f>
        <v/>
      </c>
      <c r="B12" s="171" t="str">
        <f aca="false">IF(OR(E12=Report!$B$1, F12=Report!$B$1, G12=Report!$B$1, H12=Report!$B$1), D12, "")</f>
        <v/>
      </c>
      <c r="C12" s="172" t="b">
        <f aca="false">IFERROR(__xludf.dummyfunction("""COMPUTED_VALUE"""),FALSE())</f>
        <v>0</v>
      </c>
      <c r="D12" s="168" t="str">
        <f aca="false">IFERROR(__xludf.dummyfunction("""COMPUTED_VALUE"""),"Vondráček Lukáš")</f>
        <v>Vondráček Lukáš</v>
      </c>
      <c r="E12" s="168"/>
      <c r="F12" s="168"/>
      <c r="G12" s="168"/>
      <c r="H12" s="16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70" t="n">
        <f aca="false">IFERROR(__xludf.dummyfunction("""COMPUTED_VALUE"""),0)</f>
        <v>0</v>
      </c>
      <c r="W12" s="170" t="n">
        <f aca="false">IFERROR(__xludf.dummyfunction("""COMPUTED_VALUE"""),0)</f>
        <v>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customFormat="false" ht="15.75" hidden="false" customHeight="false" outlineLevel="0" collapsed="false">
      <c r="A13" s="168" t="str">
        <f aca="false">IF(AND(B13&lt;&gt;"", C13=TRUE(), E13=Report!$B$1), B13, "")</f>
        <v/>
      </c>
      <c r="B13" s="171" t="str">
        <f aca="false">IF(OR(E13=Report!$B$1, F13=Report!$B$1, G13=Report!$B$1, H13=Report!$B$1), D13, "")</f>
        <v/>
      </c>
      <c r="C13" s="172" t="b">
        <f aca="false">IFERROR(__xludf.dummyfunction("""COMPUTED_VALUE"""),TRUE())</f>
        <v>1</v>
      </c>
      <c r="D13" s="168" t="str">
        <f aca="false">IFERROR(__xludf.dummyfunction("""COMPUTED_VALUE"""),"Veselý Ondřej")</f>
        <v>Veselý Ondřej</v>
      </c>
      <c r="E13" s="168" t="str">
        <f aca="false">IFERROR(__xludf.dummyfunction("""COMPUTED_VALUE"""),"Zličín")</f>
        <v>Zličín</v>
      </c>
      <c r="F13" s="168" t="str">
        <f aca="false">IFERROR(__xludf.dummyfunction("""COMPUTED_VALUE"""),"Malešice")</f>
        <v>Malešice</v>
      </c>
      <c r="G13" s="168"/>
      <c r="H13" s="16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70" t="n">
        <f aca="false">IFERROR(__xludf.dummyfunction("""COMPUTED_VALUE"""),341.19)</f>
        <v>341.19</v>
      </c>
      <c r="W13" s="170" t="n">
        <f aca="false">IFERROR(__xludf.dummyfunction("""COMPUTED_VALUE"""),2274.6)</f>
        <v>2274.6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customFormat="false" ht="15.75" hidden="false" customHeight="false" outlineLevel="0" collapsed="false">
      <c r="A14" s="168" t="str">
        <f aca="false">IF(AND(B14&lt;&gt;"", C14=TRUE(), E14=Report!$B$1), B14, "")</f>
        <v/>
      </c>
      <c r="B14" s="171" t="str">
        <f aca="false">IF(OR(E14=Report!$B$1, F14=Report!$B$1, G14=Report!$B$1, H14=Report!$B$1), D14, "")</f>
        <v/>
      </c>
      <c r="C14" s="172" t="b">
        <f aca="false">IFERROR(__xludf.dummyfunction("""COMPUTED_VALUE"""),FALSE())</f>
        <v>0</v>
      </c>
      <c r="D14" s="168" t="str">
        <f aca="false">IFERROR(__xludf.dummyfunction("""COMPUTED_VALUE"""),"Coufal Jakub")</f>
        <v>Coufal Jakub</v>
      </c>
      <c r="E14" s="168" t="str">
        <f aca="false">IFERROR(__xludf.dummyfunction("""COMPUTED_VALUE"""),"Libuš")</f>
        <v>Libuš</v>
      </c>
      <c r="F14" s="168" t="str">
        <f aca="false">IFERROR(__xludf.dummyfunction("""COMPUTED_VALUE"""),"Malešice")</f>
        <v>Malešice</v>
      </c>
      <c r="G14" s="168" t="str">
        <f aca="false">IFERROR(__xludf.dummyfunction("""COMPUTED_VALUE"""),"Prosek")</f>
        <v>Prosek</v>
      </c>
      <c r="H14" s="16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70" t="n">
        <f aca="false">IFERROR(__xludf.dummyfunction("""COMPUTED_VALUE"""),250.206)</f>
        <v>250.206</v>
      </c>
      <c r="W14" s="170" t="n">
        <f aca="false">IFERROR(__xludf.dummyfunction("""COMPUTED_VALUE"""),0)</f>
        <v>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customFormat="false" ht="15.75" hidden="false" customHeight="false" outlineLevel="0" collapsed="false">
      <c r="A15" s="168" t="str">
        <f aca="false">IF(AND(B15&lt;&gt;"", C15=TRUE(), E15=Report!$B$1), B15, "")</f>
        <v/>
      </c>
      <c r="B15" s="171" t="str">
        <f aca="false">IF(OR(E15=Report!$B$1, F15=Report!$B$1, G15=Report!$B$1, H15=Report!$B$1), D15, "")</f>
        <v/>
      </c>
      <c r="C15" s="172" t="b">
        <f aca="false">IFERROR(__xludf.dummyfunction("""COMPUTED_VALUE"""),TRUE())</f>
        <v>1</v>
      </c>
      <c r="D15" s="168" t="str">
        <f aca="false">IFERROR(__xludf.dummyfunction("""COMPUTED_VALUE"""),"Kinkorová Petra")</f>
        <v>Kinkorová Petra</v>
      </c>
      <c r="E15" s="168" t="str">
        <f aca="false">IFERROR(__xludf.dummyfunction("""COMPUTED_VALUE"""),"Malešice")</f>
        <v>Malešice</v>
      </c>
      <c r="F15" s="168" t="str">
        <f aca="false">IFERROR(__xludf.dummyfunction("""COMPUTED_VALUE"""),"Zličín")</f>
        <v>Zličín</v>
      </c>
      <c r="G15" s="168"/>
      <c r="H15" s="16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70" t="n">
        <f aca="false">IFERROR(__xludf.dummyfunction("""COMPUTED_VALUE"""),341.19)</f>
        <v>341.19</v>
      </c>
      <c r="W15" s="170" t="n">
        <f aca="false">IFERROR(__xludf.dummyfunction("""COMPUTED_VALUE"""),2274.6)</f>
        <v>2274.6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customFormat="false" ht="15.75" hidden="false" customHeight="false" outlineLevel="0" collapsed="false">
      <c r="A16" s="168" t="str">
        <f aca="false">IF(AND(B16&lt;&gt;"", C16=TRUE(), E16=Report!$B$1), B16, "")</f>
        <v/>
      </c>
      <c r="B16" s="171" t="str">
        <f aca="false">IF(OR(E16=Report!$B$1, F16=Report!$B$1, G16=Report!$B$1, H16=Report!$B$1), D16, "")</f>
        <v/>
      </c>
      <c r="C16" s="172" t="b">
        <f aca="false">IFERROR(__xludf.dummyfunction("""COMPUTED_VALUE"""),TRUE())</f>
        <v>1</v>
      </c>
      <c r="D16" s="168" t="str">
        <f aca="false">IFERROR(__xludf.dummyfunction("""COMPUTED_VALUE"""),"Nováková Adéla")</f>
        <v>Nováková Adéla</v>
      </c>
      <c r="E16" s="168" t="str">
        <f aca="false">IFERROR(__xludf.dummyfunction("""COMPUTED_VALUE"""),"Prosek")</f>
        <v>Prosek</v>
      </c>
      <c r="F16" s="168" t="str">
        <f aca="false">IFERROR(__xludf.dummyfunction("""COMPUTED_VALUE"""),"Malešice")</f>
        <v>Malešice</v>
      </c>
      <c r="G16" s="168"/>
      <c r="H16" s="168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70" t="n">
        <f aca="false">IFERROR(__xludf.dummyfunction("""COMPUTED_VALUE"""),341.19)</f>
        <v>341.19</v>
      </c>
      <c r="W16" s="170" t="n">
        <f aca="false">IFERROR(__xludf.dummyfunction("""COMPUTED_VALUE"""),2274.6)</f>
        <v>2274.6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customFormat="false" ht="15.75" hidden="false" customHeight="false" outlineLevel="0" collapsed="false">
      <c r="A17" s="168" t="str">
        <f aca="false">IF(AND(B17&lt;&gt;"", C17=TRUE(), E17=Report!$B$1), B17, "")</f>
        <v/>
      </c>
      <c r="B17" s="171" t="str">
        <f aca="false">IF(OR(E17=Report!$B$1, F17=Report!$B$1, G17=Report!$B$1, H17=Report!$B$1), D17, "")</f>
        <v/>
      </c>
      <c r="C17" s="172" t="b">
        <f aca="false">IFERROR(__xludf.dummyfunction("""COMPUTED_VALUE"""),FALSE())</f>
        <v>0</v>
      </c>
      <c r="D17" s="168" t="str">
        <f aca="false">IFERROR(__xludf.dummyfunction("""COMPUTED_VALUE"""),"Pechová Barbora")</f>
        <v>Pechová Barbora</v>
      </c>
      <c r="E17" s="168" t="str">
        <f aca="false">IFERROR(__xludf.dummyfunction("""COMPUTED_VALUE"""),"Zličín")</f>
        <v>Zličín</v>
      </c>
      <c r="F17" s="168"/>
      <c r="G17" s="168"/>
      <c r="H17" s="16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70" t="n">
        <f aca="false">IFERROR(__xludf.dummyfunction("""COMPUTED_VALUE"""),267.6)</f>
        <v>267.6</v>
      </c>
      <c r="W17" s="170" t="n">
        <f aca="false">IFERROR(__xludf.dummyfunction("""COMPUTED_VALUE"""),0)</f>
        <v>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customFormat="false" ht="15.75" hidden="false" customHeight="false" outlineLevel="0" collapsed="false">
      <c r="A18" s="168" t="str">
        <f aca="false">IF(AND(B18&lt;&gt;"", C18=TRUE(), E18=Report!$B$1), B18, "")</f>
        <v/>
      </c>
      <c r="B18" s="171" t="str">
        <f aca="false">IF(OR(E18=Report!$B$1, F18=Report!$B$1, G18=Report!$B$1, H18=Report!$B$1), D18, "")</f>
        <v/>
      </c>
      <c r="C18" s="172" t="b">
        <f aca="false">IFERROR(__xludf.dummyfunction("""COMPUTED_VALUE"""),FALSE())</f>
        <v>0</v>
      </c>
      <c r="D18" s="168"/>
      <c r="E18" s="168"/>
      <c r="F18" s="168"/>
      <c r="G18" s="168"/>
      <c r="H18" s="16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70" t="n">
        <f aca="false">IFERROR(__xludf.dummyfunction("""COMPUTED_VALUE"""),0)</f>
        <v>0</v>
      </c>
      <c r="W18" s="170" t="n">
        <f aca="false">IFERROR(__xludf.dummyfunction("""COMPUTED_VALUE"""),0)</f>
        <v>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customFormat="false" ht="15.75" hidden="false" customHeight="false" outlineLevel="0" collapsed="false">
      <c r="A19" s="168" t="str">
        <f aca="false">IF(AND(B19&lt;&gt;"", C19=TRUE(), E19=Report!$B$1), B19, "")</f>
        <v/>
      </c>
      <c r="B19" s="171" t="str">
        <f aca="false">IF(OR(E19=Report!$B$1, F19=Report!$B$1, G19=Report!$B$1, H19=Report!$B$1), D19, "")</f>
        <v/>
      </c>
      <c r="C19" s="172" t="b">
        <f aca="false">IFERROR(__xludf.dummyfunction("""COMPUTED_VALUE"""),FALSE())</f>
        <v>0</v>
      </c>
      <c r="D19" s="168"/>
      <c r="E19" s="168"/>
      <c r="F19" s="168"/>
      <c r="G19" s="168"/>
      <c r="H19" s="16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70" t="n">
        <f aca="false">IFERROR(__xludf.dummyfunction("""COMPUTED_VALUE"""),0)</f>
        <v>0</v>
      </c>
      <c r="W19" s="170" t="n">
        <f aca="false">IFERROR(__xludf.dummyfunction("""COMPUTED_VALUE"""),0)</f>
        <v>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customFormat="false" ht="15.75" hidden="false" customHeight="false" outlineLevel="0" collapsed="false">
      <c r="A20" s="168" t="str">
        <f aca="false">IF(AND(B20&lt;&gt;"", C20=TRUE(), E20=Report!$B$1), B20, "")</f>
        <v/>
      </c>
      <c r="B20" s="171" t="str">
        <f aca="false">IF(OR(E20=Report!$B$1, F20=Report!$B$1, G20=Report!$B$1, H20=Report!$B$1), D20, "")</f>
        <v/>
      </c>
      <c r="C20" s="172" t="b">
        <f aca="false">IFERROR(__xludf.dummyfunction("""COMPUTED_VALUE"""),FALSE())</f>
        <v>0</v>
      </c>
      <c r="D20" s="168" t="str">
        <f aca="false">IFERROR(__xludf.dummyfunction("""COMPUTED_VALUE"""),"Pánková Vendula")</f>
        <v>Pánková Vendula</v>
      </c>
      <c r="E20" s="168" t="str">
        <f aca="false">IFERROR(__xludf.dummyfunction("""COMPUTED_VALUE"""),"Zličín")</f>
        <v>Zličín</v>
      </c>
      <c r="F20" s="168"/>
      <c r="G20" s="168"/>
      <c r="H20" s="16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70" t="n">
        <f aca="false">IFERROR(__xludf.dummyfunction("""COMPUTED_VALUE"""),267.6)</f>
        <v>267.6</v>
      </c>
      <c r="W20" s="170" t="n">
        <f aca="false">IFERROR(__xludf.dummyfunction("""COMPUTED_VALUE"""),0)</f>
        <v>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customFormat="false" ht="15.75" hidden="false" customHeight="false" outlineLevel="0" collapsed="false">
      <c r="A21" s="168" t="str">
        <f aca="false">IF(AND(B21&lt;&gt;"", C21=TRUE(), E21=Report!$B$1), B21, "")</f>
        <v/>
      </c>
      <c r="B21" s="171" t="str">
        <f aca="false">IF(OR(E21=Report!$B$1, F21=Report!$B$1, G21=Report!$B$1, H21=Report!$B$1), D21, "")</f>
        <v>Hegedüs Erik</v>
      </c>
      <c r="C21" s="172" t="b">
        <f aca="false">IFERROR(__xludf.dummyfunction("""COMPUTED_VALUE"""),TRUE())</f>
        <v>1</v>
      </c>
      <c r="D21" s="168" t="str">
        <f aca="false">IFERROR(__xludf.dummyfunction("""COMPUTED_VALUE"""),"Hegedüs Erik")</f>
        <v>Hegedüs Erik</v>
      </c>
      <c r="E21" s="168" t="str">
        <f aca="false">IFERROR(__xludf.dummyfunction("""COMPUTED_VALUE"""),"Libuš")</f>
        <v>Libuš</v>
      </c>
      <c r="F21" s="168" t="str">
        <f aca="false">IFERROR(__xludf.dummyfunction("""COMPUTED_VALUE"""),"Chodov")</f>
        <v>Chodov</v>
      </c>
      <c r="G21" s="168" t="str">
        <f aca="false">IFERROR(__xludf.dummyfunction("""COMPUTED_VALUE"""),"Malešice")</f>
        <v>Malešice</v>
      </c>
      <c r="H21" s="168" t="str">
        <f aca="false">IFERROR(__xludf.dummyfunction("""COMPUTED_VALUE"""),"Zličín")</f>
        <v>Zličín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70" t="n">
        <f aca="false">IFERROR(__xludf.dummyfunction("""COMPUTED_VALUE"""),432.3078)</f>
        <v>432.3078</v>
      </c>
      <c r="W21" s="170" t="n">
        <f aca="false">IFERROR(__xludf.dummyfunction("""COMPUTED_VALUE"""),2882.052)</f>
        <v>2882.052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customFormat="false" ht="15.75" hidden="false" customHeight="false" outlineLevel="0" collapsed="false">
      <c r="A22" s="168" t="str">
        <f aca="false">IF(AND(B22&lt;&gt;"", C22=TRUE(), E22=Report!$B$1), B22, "")</f>
        <v/>
      </c>
      <c r="B22" s="171" t="str">
        <f aca="false">IF(OR(E22=Report!$B$1, F22=Report!$B$1, G22=Report!$B$1, H22=Report!$B$1), D22, "")</f>
        <v/>
      </c>
      <c r="C22" s="172" t="b">
        <f aca="false">IFERROR(__xludf.dummyfunction("""COMPUTED_VALUE"""),TRUE())</f>
        <v>1</v>
      </c>
      <c r="D22" s="168" t="str">
        <f aca="false">IFERROR(__xludf.dummyfunction("""COMPUTED_VALUE"""),"Roth Stanislav ml.")</f>
        <v>Roth Stanislav ml.</v>
      </c>
      <c r="E22" s="168" t="str">
        <f aca="false">IFERROR(__xludf.dummyfunction("""COMPUTED_VALUE"""),"Bolevec")</f>
        <v>Bolevec</v>
      </c>
      <c r="F22" s="168"/>
      <c r="G22" s="168"/>
      <c r="H22" s="16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70" t="n">
        <f aca="false">IFERROR(__xludf.dummyfunction("""COMPUTED_VALUE"""),432.3078)</f>
        <v>432.3078</v>
      </c>
      <c r="W22" s="170" t="n">
        <f aca="false">IFERROR(__xludf.dummyfunction("""COMPUTED_VALUE"""),2882.052)</f>
        <v>2882.052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customFormat="false" ht="15.75" hidden="false" customHeight="false" outlineLevel="0" collapsed="false">
      <c r="A23" s="168" t="str">
        <f aca="false">IF(AND(B23&lt;&gt;"", C23=TRUE(), E23=Report!$B$1), B23, "")</f>
        <v/>
      </c>
      <c r="B23" s="171" t="str">
        <f aca="false">IF(OR(E23=Report!$B$1, F23=Report!$B$1, G23=Report!$B$1, H23=Report!$B$1), D23, "")</f>
        <v/>
      </c>
      <c r="C23" s="172" t="b">
        <f aca="false">IFERROR(__xludf.dummyfunction("""COMPUTED_VALUE"""),FALSE())</f>
        <v>0</v>
      </c>
      <c r="D23" s="168" t="str">
        <f aca="false">IFERROR(__xludf.dummyfunction("""COMPUTED_VALUE"""),"Makula Radek")</f>
        <v>Makula Radek</v>
      </c>
      <c r="E23" s="168" t="str">
        <f aca="false">IFERROR(__xludf.dummyfunction("""COMPUTED_VALUE"""),"Prosek")</f>
        <v>Prosek</v>
      </c>
      <c r="F23" s="168"/>
      <c r="G23" s="168"/>
      <c r="H23" s="16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70" t="n">
        <f aca="false">IFERROR(__xludf.dummyfunction("""COMPUTED_VALUE"""),250.206)</f>
        <v>250.206</v>
      </c>
      <c r="W23" s="170" t="n">
        <f aca="false">IFERROR(__xludf.dummyfunction("""COMPUTED_VALUE"""),0)</f>
        <v>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customFormat="false" ht="15.75" hidden="false" customHeight="false" outlineLevel="0" collapsed="false">
      <c r="A24" s="168" t="str">
        <f aca="false">IF(AND(B24&lt;&gt;"", C24=TRUE(), E24=Report!$B$1), B24, "")</f>
        <v/>
      </c>
      <c r="B24" s="171" t="str">
        <f aca="false">IF(OR(E24=Report!$B$1, F24=Report!$B$1, G24=Report!$B$1, H24=Report!$B$1), D24, "")</f>
        <v/>
      </c>
      <c r="C24" s="172" t="b">
        <f aca="false">IFERROR(__xludf.dummyfunction("""COMPUTED_VALUE"""),FALSE())</f>
        <v>0</v>
      </c>
      <c r="D24" s="168" t="str">
        <f aca="false">IFERROR(__xludf.dummyfunction("""COMPUTED_VALUE"""),"Bubník Martin")</f>
        <v>Bubník Martin</v>
      </c>
      <c r="E24" s="168" t="str">
        <f aca="false">IFERROR(__xludf.dummyfunction("""COMPUTED_VALUE"""),"Libuš")</f>
        <v>Libuš</v>
      </c>
      <c r="F24" s="168" t="str">
        <f aca="false">IFERROR(__xludf.dummyfunction("""COMPUTED_VALUE"""),"Malešice")</f>
        <v>Malešice</v>
      </c>
      <c r="G24" s="168"/>
      <c r="H24" s="16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70" t="n">
        <f aca="false">IFERROR(__xludf.dummyfunction("""COMPUTED_VALUE"""),267.6)</f>
        <v>267.6</v>
      </c>
      <c r="W24" s="170" t="n">
        <f aca="false">IFERROR(__xludf.dummyfunction("""COMPUTED_VALUE"""),0)</f>
        <v>0</v>
      </c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customFormat="false" ht="15.75" hidden="false" customHeight="false" outlineLevel="0" collapsed="false">
      <c r="A25" s="168" t="str">
        <f aca="false">IF(AND(B25&lt;&gt;"", C25=TRUE(), E25=Report!$B$1), B25, "")</f>
        <v/>
      </c>
      <c r="B25" s="171" t="str">
        <f aca="false">IF(OR(E25=Report!$B$1, F25=Report!$B$1, G25=Report!$B$1, H25=Report!$B$1), D25, "")</f>
        <v/>
      </c>
      <c r="C25" s="172" t="b">
        <f aca="false">IFERROR(__xludf.dummyfunction("""COMPUTED_VALUE"""),FALSE())</f>
        <v>0</v>
      </c>
      <c r="D25" s="168" t="str">
        <f aca="false">IFERROR(__xludf.dummyfunction("""COMPUTED_VALUE"""),"Mirga Simon")</f>
        <v>Mirga Simon</v>
      </c>
      <c r="E25" s="168" t="str">
        <f aca="false">IFERROR(__xludf.dummyfunction("""COMPUTED_VALUE"""),"Malešice")</f>
        <v>Malešice</v>
      </c>
      <c r="F25" s="168"/>
      <c r="G25" s="168"/>
      <c r="H25" s="16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70" t="n">
        <f aca="false">IFERROR(__xludf.dummyfunction("""COMPUTED_VALUE"""),231.474)</f>
        <v>231.474</v>
      </c>
      <c r="W25" s="170" t="n">
        <f aca="false">IFERROR(__xludf.dummyfunction("""COMPUTED_VALUE"""),0)</f>
        <v>0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customFormat="false" ht="15.75" hidden="false" customHeight="false" outlineLevel="0" collapsed="false">
      <c r="A26" s="168" t="str">
        <f aca="false">IF(AND(B26&lt;&gt;"", C26=TRUE(), E26=Report!$B$1), B26, "")</f>
        <v/>
      </c>
      <c r="B26" s="171" t="str">
        <f aca="false">IF(OR(E26=Report!$B$1, F26=Report!$B$1, G26=Report!$B$1, H26=Report!$B$1), D26, "")</f>
        <v/>
      </c>
      <c r="C26" s="172" t="b">
        <f aca="false">IFERROR(__xludf.dummyfunction("""COMPUTED_VALUE"""),FALSE())</f>
        <v>0</v>
      </c>
      <c r="D26" s="168"/>
      <c r="E26" s="168"/>
      <c r="F26" s="168"/>
      <c r="G26" s="168"/>
      <c r="H26" s="168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70" t="n">
        <f aca="false">IFERROR(__xludf.dummyfunction("""COMPUTED_VALUE"""),0)</f>
        <v>0</v>
      </c>
      <c r="W26" s="170" t="n">
        <f aca="false">IFERROR(__xludf.dummyfunction("""COMPUTED_VALUE"""),0)</f>
        <v>0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customFormat="false" ht="15.75" hidden="false" customHeight="false" outlineLevel="0" collapsed="false">
      <c r="A27" s="168" t="str">
        <f aca="false">IF(AND(B27&lt;&gt;"", C27=TRUE(), E27=Report!$B$1), B27, "")</f>
        <v/>
      </c>
      <c r="B27" s="171" t="str">
        <f aca="false">IF(OR(E27=Report!$B$1, F27=Report!$B$1, G27=Report!$B$1, H27=Report!$B$1), D27, "")</f>
        <v/>
      </c>
      <c r="C27" s="172" t="b">
        <f aca="false">IFERROR(__xludf.dummyfunction("""COMPUTED_VALUE"""),FALSE())</f>
        <v>0</v>
      </c>
      <c r="D27" s="168" t="str">
        <f aca="false">IFERROR(__xludf.dummyfunction("""COMPUTED_VALUE"""),"Berdar Vasyl")</f>
        <v>Berdar Vasyl</v>
      </c>
      <c r="E27" s="168" t="str">
        <f aca="false">IFERROR(__xludf.dummyfunction("""COMPUTED_VALUE"""),"Libuš")</f>
        <v>Libuš</v>
      </c>
      <c r="F27" s="168"/>
      <c r="G27" s="168"/>
      <c r="H27" s="16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70" t="n">
        <f aca="false">IFERROR(__xludf.dummyfunction("""COMPUTED_VALUE"""),286.332)</f>
        <v>286.332</v>
      </c>
      <c r="W27" s="170" t="n">
        <f aca="false">IFERROR(__xludf.dummyfunction("""COMPUTED_VALUE"""),0)</f>
        <v>0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customFormat="false" ht="15.75" hidden="false" customHeight="false" outlineLevel="0" collapsed="false">
      <c r="A28" s="168" t="str">
        <f aca="false">IF(AND(B28&lt;&gt;"", C28=TRUE(), E28=Report!$B$1), B28, "")</f>
        <v/>
      </c>
      <c r="B28" s="171" t="str">
        <f aca="false">IF(OR(E28=Report!$B$1, F28=Report!$B$1, G28=Report!$B$1, H28=Report!$B$1), D28, "")</f>
        <v>Yarushynskyi Vladyslav</v>
      </c>
      <c r="C28" s="172" t="b">
        <f aca="false">IFERROR(__xludf.dummyfunction("""COMPUTED_VALUE"""),FALSE())</f>
        <v>0</v>
      </c>
      <c r="D28" s="168" t="str">
        <f aca="false">IFERROR(__xludf.dummyfunction("""COMPUTED_VALUE"""),"Yarushynskyi Vladyslav")</f>
        <v>Yarushynskyi Vladyslav</v>
      </c>
      <c r="E28" s="168" t="str">
        <f aca="false">IFERROR(__xludf.dummyfunction("""COMPUTED_VALUE"""),"Malešice")</f>
        <v>Malešice</v>
      </c>
      <c r="F28" s="168" t="str">
        <f aca="false">IFERROR(__xludf.dummyfunction("""COMPUTED_VALUE"""),"Chodov")</f>
        <v>Chodov</v>
      </c>
      <c r="G28" s="168" t="str">
        <f aca="false">IFERROR(__xludf.dummyfunction("""COMPUTED_VALUE"""),"Zličín")</f>
        <v>Zličín</v>
      </c>
      <c r="H28" s="168" t="str">
        <f aca="false">IFERROR(__xludf.dummyfunction("""COMPUTED_VALUE"""),"Prosek")</f>
        <v>Prosek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70" t="n">
        <f aca="false">IFERROR(__xludf.dummyfunction("""COMPUTED_VALUE"""),267.6)</f>
        <v>267.6</v>
      </c>
      <c r="W28" s="170" t="n">
        <f aca="false">IFERROR(__xludf.dummyfunction("""COMPUTED_VALUE"""),0)</f>
        <v>0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customFormat="false" ht="15.75" hidden="false" customHeight="false" outlineLevel="0" collapsed="false">
      <c r="A29" s="168" t="str">
        <f aca="false">IF(AND(B29&lt;&gt;"", C29=TRUE(), E29=Report!$B$1), B29, "")</f>
        <v/>
      </c>
      <c r="B29" s="171" t="str">
        <f aca="false">IF(OR(E29=Report!$B$1, F29=Report!$B$1, G29=Report!$B$1, H29=Report!$B$1), D29, "")</f>
        <v/>
      </c>
      <c r="C29" s="172" t="b">
        <f aca="false">IFERROR(__xludf.dummyfunction("""COMPUTED_VALUE"""),FALSE())</f>
        <v>0</v>
      </c>
      <c r="D29" s="168"/>
      <c r="E29" s="168"/>
      <c r="F29" s="168"/>
      <c r="G29" s="168"/>
      <c r="H29" s="168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70" t="n">
        <f aca="false">IFERROR(__xludf.dummyfunction("""COMPUTED_VALUE"""),0)</f>
        <v>0</v>
      </c>
      <c r="W29" s="170" t="n">
        <f aca="false">IFERROR(__xludf.dummyfunction("""COMPUTED_VALUE"""),0)</f>
        <v>0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customFormat="false" ht="15.75" hidden="false" customHeight="false" outlineLevel="0" collapsed="false">
      <c r="A30" s="168" t="str">
        <f aca="false">IF(AND(B30&lt;&gt;"", C30=TRUE(), E30=Report!$B$1), B30, "")</f>
        <v/>
      </c>
      <c r="B30" s="171" t="str">
        <f aca="false">IF(OR(E30=Report!$B$1, F30=Report!$B$1, G30=Report!$B$1, H30=Report!$B$1), D30, "")</f>
        <v>Židek Petr</v>
      </c>
      <c r="C30" s="172" t="b">
        <f aca="false">IFERROR(__xludf.dummyfunction("""COMPUTED_VALUE"""),FALSE())</f>
        <v>0</v>
      </c>
      <c r="D30" s="168" t="str">
        <f aca="false">IFERROR(__xludf.dummyfunction("""COMPUTED_VALUE"""),"Židek Petr")</f>
        <v>Židek Petr</v>
      </c>
      <c r="E30" s="168" t="str">
        <f aca="false">IFERROR(__xludf.dummyfunction("""COMPUTED_VALUE"""),"Chodov")</f>
        <v>Chodov</v>
      </c>
      <c r="F30" s="168" t="str">
        <f aca="false">IFERROR(__xludf.dummyfunction("""COMPUTED_VALUE"""),"Malešice")</f>
        <v>Malešice</v>
      </c>
      <c r="G30" s="168"/>
      <c r="H30" s="168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70" t="n">
        <f aca="false">IFERROR(__xludf.dummyfunction("""COMPUTED_VALUE"""),250.206)</f>
        <v>250.206</v>
      </c>
      <c r="W30" s="170" t="n">
        <f aca="false">IFERROR(__xludf.dummyfunction("""COMPUTED_VALUE"""),0)</f>
        <v>0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customFormat="false" ht="15.75" hidden="false" customHeight="false" outlineLevel="0" collapsed="false">
      <c r="A31" s="168" t="str">
        <f aca="false">IF(AND(B31&lt;&gt;"", C31=TRUE(), E31=Report!$B$1), B31, "")</f>
        <v/>
      </c>
      <c r="B31" s="171" t="str">
        <f aca="false">IF(OR(E31=Report!$B$1, F31=Report!$B$1, G31=Report!$B$1, H31=Report!$B$1), D31, "")</f>
        <v/>
      </c>
      <c r="C31" s="172" t="b">
        <f aca="false">IFERROR(__xludf.dummyfunction("""COMPUTED_VALUE"""),FALSE())</f>
        <v>0</v>
      </c>
      <c r="D31" s="168" t="str">
        <f aca="false">IFERROR(__xludf.dummyfunction("""COMPUTED_VALUE"""),"Gorol Patrik")</f>
        <v>Gorol Patrik</v>
      </c>
      <c r="E31" s="168" t="str">
        <f aca="false">IFERROR(__xludf.dummyfunction("""COMPUTED_VALUE"""),"Malešice")</f>
        <v>Malešice</v>
      </c>
      <c r="F31" s="168" t="str">
        <f aca="false">IFERROR(__xludf.dummyfunction("""COMPUTED_VALUE"""),"Libuš")</f>
        <v>Libuš</v>
      </c>
      <c r="G31" s="168" t="str">
        <f aca="false">IFERROR(__xludf.dummyfunction("""COMPUTED_VALUE"""),"Prosek")</f>
        <v>Prosek</v>
      </c>
      <c r="H31" s="168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70" t="n">
        <f aca="false">IFERROR(__xludf.dummyfunction("""COMPUTED_VALUE"""),231.474)</f>
        <v>231.474</v>
      </c>
      <c r="W31" s="170" t="n">
        <f aca="false">IFERROR(__xludf.dummyfunction("""COMPUTED_VALUE"""),0)</f>
        <v>0</v>
      </c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customFormat="false" ht="15.75" hidden="false" customHeight="false" outlineLevel="0" collapsed="false">
      <c r="A32" s="168" t="str">
        <f aca="false">IF(AND(B32&lt;&gt;"", C32=TRUE(), E32=Report!$B$1), B32, "")</f>
        <v/>
      </c>
      <c r="B32" s="171" t="str">
        <f aca="false">IF(OR(E32=Report!$B$1, F32=Report!$B$1, G32=Report!$B$1, H32=Report!$B$1), D32, "")</f>
        <v/>
      </c>
      <c r="C32" s="172" t="b">
        <f aca="false">IFERROR(__xludf.dummyfunction("""COMPUTED_VALUE"""),FALSE())</f>
        <v>0</v>
      </c>
      <c r="D32" s="168" t="str">
        <f aca="false">IFERROR(__xludf.dummyfunction("""COMPUTED_VALUE"""),"Kratochvíl Kryštof")</f>
        <v>Kratochvíl Kryštof</v>
      </c>
      <c r="E32" s="168" t="str">
        <f aca="false">IFERROR(__xludf.dummyfunction("""COMPUTED_VALUE"""),"Bolevec")</f>
        <v>Bolevec</v>
      </c>
      <c r="F32" s="168"/>
      <c r="G32" s="168"/>
      <c r="H32" s="168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70" t="n">
        <f aca="false">IFERROR(__xludf.dummyfunction("""COMPUTED_VALUE"""),267.6)</f>
        <v>267.6</v>
      </c>
      <c r="W32" s="170" t="n">
        <f aca="false">IFERROR(__xludf.dummyfunction("""COMPUTED_VALUE"""),0)</f>
        <v>0</v>
      </c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customFormat="false" ht="15.75" hidden="false" customHeight="false" outlineLevel="0" collapsed="false">
      <c r="A33" s="168" t="str">
        <f aca="false">IF(AND(B33&lt;&gt;"", C33=TRUE(), E33=Report!$B$1), B33, "")</f>
        <v/>
      </c>
      <c r="B33" s="171" t="str">
        <f aca="false">IF(OR(E33=Report!$B$1, F33=Report!$B$1, G33=Report!$B$1, H33=Report!$B$1), D33, "")</f>
        <v/>
      </c>
      <c r="C33" s="172" t="b">
        <f aca="false">IFERROR(__xludf.dummyfunction("""COMPUTED_VALUE"""),FALSE())</f>
        <v>0</v>
      </c>
      <c r="D33" s="168" t="str">
        <f aca="false">IFERROR(__xludf.dummyfunction("""COMPUTED_VALUE"""),"Hegedüs Gergö")</f>
        <v>Hegedüs Gergö</v>
      </c>
      <c r="E33" s="168" t="str">
        <f aca="false">IFERROR(__xludf.dummyfunction("""COMPUTED_VALUE"""),"Libuš")</f>
        <v>Libuš</v>
      </c>
      <c r="F33" s="168"/>
      <c r="G33" s="168"/>
      <c r="H33" s="16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70" t="n">
        <f aca="false">IFERROR(__xludf.dummyfunction("""COMPUTED_VALUE"""),214.08)</f>
        <v>214.08</v>
      </c>
      <c r="W33" s="170" t="n">
        <f aca="false">IFERROR(__xludf.dummyfunction("""COMPUTED_VALUE"""),0)</f>
        <v>0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customFormat="false" ht="15.75" hidden="false" customHeight="false" outlineLevel="0" collapsed="false">
      <c r="A34" s="168" t="str">
        <f aca="false">IF(AND(B34&lt;&gt;"", C34=TRUE(), E34=Report!$B$1), B34, "")</f>
        <v/>
      </c>
      <c r="B34" s="171" t="str">
        <f aca="false">IF(OR(E34=Report!$B$1, F34=Report!$B$1, G34=Report!$B$1, H34=Report!$B$1), D34, "")</f>
        <v/>
      </c>
      <c r="C34" s="172" t="b">
        <f aca="false">IFERROR(__xludf.dummyfunction("""COMPUTED_VALUE"""),FALSE())</f>
        <v>0</v>
      </c>
      <c r="D34" s="168" t="str">
        <f aca="false">IFERROR(__xludf.dummyfunction("""COMPUTED_VALUE"""),"Barvínková Eliška")</f>
        <v>Barvínková Eliška</v>
      </c>
      <c r="E34" s="168" t="str">
        <f aca="false">IFERROR(__xludf.dummyfunction("""COMPUTED_VALUE"""),"Libuš")</f>
        <v>Libuš</v>
      </c>
      <c r="F34" s="168"/>
      <c r="G34" s="168"/>
      <c r="H34" s="168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70" t="n">
        <f aca="false">IFERROR(__xludf.dummyfunction("""COMPUTED_VALUE"""),231.474)</f>
        <v>231.474</v>
      </c>
      <c r="W34" s="170" t="n">
        <f aca="false">IFERROR(__xludf.dummyfunction("""COMPUTED_VALUE"""),0)</f>
        <v>0</v>
      </c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customFormat="false" ht="15.75" hidden="false" customHeight="false" outlineLevel="0" collapsed="false">
      <c r="A35" s="168" t="str">
        <f aca="false">IF(AND(B35&lt;&gt;"", C35=TRUE(), E35=Report!$B$1), B35, "")</f>
        <v/>
      </c>
      <c r="B35" s="171" t="str">
        <f aca="false">IF(OR(E35=Report!$B$1, F35=Report!$B$1, G35=Report!$B$1, H35=Report!$B$1), D35, "")</f>
        <v>Kursheva Diana</v>
      </c>
      <c r="C35" s="172" t="b">
        <f aca="false">IFERROR(__xludf.dummyfunction("""COMPUTED_VALUE"""),FALSE())</f>
        <v>0</v>
      </c>
      <c r="D35" s="168" t="str">
        <f aca="false">IFERROR(__xludf.dummyfunction("""COMPUTED_VALUE"""),"Kursheva Diana")</f>
        <v>Kursheva Diana</v>
      </c>
      <c r="E35" s="168" t="str">
        <f aca="false">IFERROR(__xludf.dummyfunction("""COMPUTED_VALUE"""),"Výroba")</f>
        <v>Výroba</v>
      </c>
      <c r="F35" s="168" t="str">
        <f aca="false">IFERROR(__xludf.dummyfunction("""COMPUTED_VALUE"""),"Chodov")</f>
        <v>Chodov</v>
      </c>
      <c r="G35" s="168"/>
      <c r="H35" s="168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70" t="n">
        <f aca="false">IFERROR(__xludf.dummyfunction("""COMPUTED_VALUE"""),250.206)</f>
        <v>250.206</v>
      </c>
      <c r="W35" s="170" t="n">
        <f aca="false">IFERROR(__xludf.dummyfunction("""COMPUTED_VALUE"""),0)</f>
        <v>0</v>
      </c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  <row r="36" customFormat="false" ht="15.75" hidden="false" customHeight="false" outlineLevel="0" collapsed="false">
      <c r="A36" s="168" t="str">
        <f aca="false">IF(AND(B36&lt;&gt;"", C36=TRUE(), E36=Report!$B$1), B36, "")</f>
        <v/>
      </c>
      <c r="B36" s="171" t="str">
        <f aca="false">IF(OR(E36=Report!$B$1, F36=Report!$B$1, G36=Report!$B$1, H36=Report!$B$1), D36, "")</f>
        <v/>
      </c>
      <c r="C36" s="172" t="b">
        <f aca="false">IFERROR(__xludf.dummyfunction("""COMPUTED_VALUE"""),FALSE())</f>
        <v>0</v>
      </c>
      <c r="D36" s="168" t="str">
        <f aca="false">IFERROR(__xludf.dummyfunction("""COMPUTED_VALUE"""),"Tůma Vladimír")</f>
        <v>Tůma Vladimír</v>
      </c>
      <c r="E36" s="168" t="str">
        <f aca="false">IFERROR(__xludf.dummyfunction("""COMPUTED_VALUE"""),"Bolevec")</f>
        <v>Bolevec</v>
      </c>
      <c r="F36" s="168"/>
      <c r="G36" s="168"/>
      <c r="H36" s="168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70" t="n">
        <f aca="false">IFERROR(__xludf.dummyfunction("""COMPUTED_VALUE"""),250.206)</f>
        <v>250.206</v>
      </c>
      <c r="W36" s="170" t="n">
        <f aca="false">IFERROR(__xludf.dummyfunction("""COMPUTED_VALUE"""),0)</f>
        <v>0</v>
      </c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</row>
    <row r="37" customFormat="false" ht="15.75" hidden="false" customHeight="false" outlineLevel="0" collapsed="false">
      <c r="A37" s="168" t="str">
        <f aca="false">IF(AND(B37&lt;&gt;"", C37=TRUE(), E37=Report!$B$1), B37, "")</f>
        <v/>
      </c>
      <c r="B37" s="171" t="str">
        <f aca="false">IF(OR(E37=Report!$B$1, F37=Report!$B$1, G37=Report!$B$1, H37=Report!$B$1), D37, "")</f>
        <v/>
      </c>
      <c r="C37" s="172" t="b">
        <f aca="false">IFERROR(__xludf.dummyfunction("""COMPUTED_VALUE"""),FALSE())</f>
        <v>0</v>
      </c>
      <c r="D37" s="168" t="str">
        <f aca="false">IFERROR(__xludf.dummyfunction("""COMPUTED_VALUE"""),"Kubík Martin")</f>
        <v>Kubík Martin</v>
      </c>
      <c r="E37" s="168" t="str">
        <f aca="false">IFERROR(__xludf.dummyfunction("""COMPUTED_VALUE"""),"Libuš")</f>
        <v>Libuš</v>
      </c>
      <c r="F37" s="168"/>
      <c r="G37" s="168"/>
      <c r="H37" s="168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70" t="n">
        <f aca="false">IFERROR(__xludf.dummyfunction("""COMPUTED_VALUE"""),250.206)</f>
        <v>250.206</v>
      </c>
      <c r="W37" s="170" t="n">
        <f aca="false">IFERROR(__xludf.dummyfunction("""COMPUTED_VALUE"""),0)</f>
        <v>0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</row>
    <row r="38" customFormat="false" ht="15.75" hidden="false" customHeight="false" outlineLevel="0" collapsed="false">
      <c r="A38" s="168" t="str">
        <f aca="false">IF(AND(B38&lt;&gt;"", C38=TRUE(), E38=Report!$B$1), B38, "")</f>
        <v/>
      </c>
      <c r="B38" s="171" t="str">
        <f aca="false">IF(OR(E38=Report!$B$1, F38=Report!$B$1, G38=Report!$B$1, H38=Report!$B$1), D38, "")</f>
        <v/>
      </c>
      <c r="C38" s="172" t="b">
        <f aca="false">IFERROR(__xludf.dummyfunction("""COMPUTED_VALUE"""),FALSE())</f>
        <v>0</v>
      </c>
      <c r="D38" s="168" t="str">
        <f aca="false">IFERROR(__xludf.dummyfunction("""COMPUTED_VALUE"""),"Putna Jaroslav")</f>
        <v>Putna Jaroslav</v>
      </c>
      <c r="E38" s="168" t="str">
        <f aca="false">IFERROR(__xludf.dummyfunction("""COMPUTED_VALUE"""),"Zličín")</f>
        <v>Zličín</v>
      </c>
      <c r="F38" s="168" t="str">
        <f aca="false">IFERROR(__xludf.dummyfunction("""COMPUTED_VALUE"""),"Prosek")</f>
        <v>Prosek</v>
      </c>
      <c r="G38" s="168"/>
      <c r="H38" s="168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70" t="n">
        <f aca="false">IFERROR(__xludf.dummyfunction("""COMPUTED_VALUE"""),250.206)</f>
        <v>250.206</v>
      </c>
      <c r="W38" s="170" t="n">
        <f aca="false">IFERROR(__xludf.dummyfunction("""COMPUTED_VALUE"""),0)</f>
        <v>0</v>
      </c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</row>
    <row r="39" customFormat="false" ht="15.75" hidden="false" customHeight="false" outlineLevel="0" collapsed="false">
      <c r="A39" s="168" t="str">
        <f aca="false">IF(AND(B39&lt;&gt;"", C39=TRUE(), E39=Report!$B$1), B39, "")</f>
        <v/>
      </c>
      <c r="B39" s="171" t="str">
        <f aca="false">IF(OR(E39=Report!$B$1, F39=Report!$B$1, G39=Report!$B$1, H39=Report!$B$1), D39, "")</f>
        <v/>
      </c>
      <c r="C39" s="172" t="b">
        <f aca="false">IFERROR(__xludf.dummyfunction("""COMPUTED_VALUE"""),FALSE())</f>
        <v>0</v>
      </c>
      <c r="D39" s="168" t="str">
        <f aca="false">IFERROR(__xludf.dummyfunction("""COMPUTED_VALUE"""),"Kopic Jakub")</f>
        <v>Kopic Jakub</v>
      </c>
      <c r="E39" s="168" t="str">
        <f aca="false">IFERROR(__xludf.dummyfunction("""COMPUTED_VALUE"""),"Malešice")</f>
        <v>Malešice</v>
      </c>
      <c r="F39" s="168" t="str">
        <f aca="false">IFERROR(__xludf.dummyfunction("""COMPUTED_VALUE"""),"Prosek")</f>
        <v>Prosek</v>
      </c>
      <c r="G39" s="168" t="str">
        <f aca="false">IFERROR(__xludf.dummyfunction("""COMPUTED_VALUE"""),"Libuš")</f>
        <v>Libuš</v>
      </c>
      <c r="H39" s="168" t="str">
        <f aca="false">IFERROR(__xludf.dummyfunction("""COMPUTED_VALUE"""),"Prosek")</f>
        <v>Prosek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70" t="n">
        <f aca="false">IFERROR(__xludf.dummyfunction("""COMPUTED_VALUE"""),250.206)</f>
        <v>250.206</v>
      </c>
      <c r="W39" s="170" t="n">
        <f aca="false">IFERROR(__xludf.dummyfunction("""COMPUTED_VALUE"""),0)</f>
        <v>0</v>
      </c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</row>
    <row r="40" customFormat="false" ht="15.75" hidden="false" customHeight="false" outlineLevel="0" collapsed="false">
      <c r="A40" s="168" t="str">
        <f aca="false">IF(AND(B40&lt;&gt;"", C40=TRUE(), E40=Report!$B$1), B40, "")</f>
        <v/>
      </c>
      <c r="B40" s="171" t="str">
        <f aca="false">IF(OR(E40=Report!$B$1, F40=Report!$B$1, G40=Report!$B$1, H40=Report!$B$1), D40, "")</f>
        <v/>
      </c>
      <c r="C40" s="172" t="b">
        <f aca="false">IFERROR(__xludf.dummyfunction("""COMPUTED_VALUE"""),FALSE())</f>
        <v>0</v>
      </c>
      <c r="D40" s="168" t="str">
        <f aca="false">IFERROR(__xludf.dummyfunction("""COMPUTED_VALUE"""),"Fáberová Kateřina")</f>
        <v>Fáberová Kateřina</v>
      </c>
      <c r="E40" s="168" t="str">
        <f aca="false">IFERROR(__xludf.dummyfunction("""COMPUTED_VALUE"""),"Prosek")</f>
        <v>Prosek</v>
      </c>
      <c r="F40" s="168"/>
      <c r="G40" s="168"/>
      <c r="H40" s="16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70" t="n">
        <f aca="false">IFERROR(__xludf.dummyfunction("""COMPUTED_VALUE"""),250.206)</f>
        <v>250.206</v>
      </c>
      <c r="W40" s="170" t="n">
        <f aca="false">IFERROR(__xludf.dummyfunction("""COMPUTED_VALUE"""),0)</f>
        <v>0</v>
      </c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</row>
    <row r="41" customFormat="false" ht="15.75" hidden="false" customHeight="false" outlineLevel="0" collapsed="false">
      <c r="A41" s="168" t="str">
        <f aca="false">IF(AND(B41&lt;&gt;"", C41=TRUE(), E41=Report!$B$1), B41, "")</f>
        <v/>
      </c>
      <c r="B41" s="171" t="str">
        <f aca="false">IF(OR(E41=Report!$B$1, F41=Report!$B$1, G41=Report!$B$1, H41=Report!$B$1), D41, "")</f>
        <v>Chlubnová Adéla</v>
      </c>
      <c r="C41" s="172" t="b">
        <f aca="false">IFERROR(__xludf.dummyfunction("""COMPUTED_VALUE"""),FALSE())</f>
        <v>0</v>
      </c>
      <c r="D41" s="168" t="str">
        <f aca="false">IFERROR(__xludf.dummyfunction("""COMPUTED_VALUE"""),"Chlubnová Adéla")</f>
        <v>Chlubnová Adéla</v>
      </c>
      <c r="E41" s="168" t="str">
        <f aca="false">IFERROR(__xludf.dummyfunction("""COMPUTED_VALUE"""),"Chodov")</f>
        <v>Chodov</v>
      </c>
      <c r="F41" s="168"/>
      <c r="G41" s="168"/>
      <c r="H41" s="16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70" t="n">
        <f aca="false">IFERROR(__xludf.dummyfunction("""COMPUTED_VALUE"""),250.206)</f>
        <v>250.206</v>
      </c>
      <c r="W41" s="170" t="n">
        <f aca="false">IFERROR(__xludf.dummyfunction("""COMPUTED_VALUE"""),0)</f>
        <v>0</v>
      </c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</row>
    <row r="42" customFormat="false" ht="15.75" hidden="false" customHeight="false" outlineLevel="0" collapsed="false">
      <c r="A42" s="168" t="str">
        <f aca="false">IF(AND(B42&lt;&gt;"", C42=TRUE(), E42=Report!$B$1), B42, "")</f>
        <v/>
      </c>
      <c r="B42" s="171" t="str">
        <f aca="false">IF(OR(E42=Report!$B$1, F42=Report!$B$1, G42=Report!$B$1, H42=Report!$B$1), D42, "")</f>
        <v/>
      </c>
      <c r="C42" s="172" t="b">
        <f aca="false">IFERROR(__xludf.dummyfunction("""COMPUTED_VALUE"""),FALSE())</f>
        <v>0</v>
      </c>
      <c r="D42" s="168" t="str">
        <f aca="false">IFERROR(__xludf.dummyfunction("""COMPUTED_VALUE"""),"Prošek Václav")</f>
        <v>Prošek Václav</v>
      </c>
      <c r="E42" s="168" t="str">
        <f aca="false">IFERROR(__xludf.dummyfunction("""COMPUTED_VALUE"""),"Libuš")</f>
        <v>Libuš</v>
      </c>
      <c r="F42" s="168"/>
      <c r="G42" s="168"/>
      <c r="H42" s="16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70" t="n">
        <f aca="false">IFERROR(__xludf.dummyfunction("""COMPUTED_VALUE"""),250.206)</f>
        <v>250.206</v>
      </c>
      <c r="W42" s="170" t="n">
        <f aca="false">IFERROR(__xludf.dummyfunction("""COMPUTED_VALUE"""),0)</f>
        <v>0</v>
      </c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</row>
    <row r="43" customFormat="false" ht="15.75" hidden="false" customHeight="false" outlineLevel="0" collapsed="false">
      <c r="A43" s="168" t="str">
        <f aca="false">IF(AND(B43&lt;&gt;"", C43=TRUE(), E43=Report!$B$1), B43, "")</f>
        <v/>
      </c>
      <c r="B43" s="171" t="str">
        <f aca="false">IF(OR(E43=Report!$B$1, F43=Report!$B$1, G43=Report!$B$1, H43=Report!$B$1), D43, "")</f>
        <v/>
      </c>
      <c r="C43" s="172" t="b">
        <f aca="false">IFERROR(__xludf.dummyfunction("""COMPUTED_VALUE"""),FALSE())</f>
        <v>0</v>
      </c>
      <c r="D43" s="168"/>
      <c r="E43" s="168"/>
      <c r="F43" s="168"/>
      <c r="G43" s="168"/>
      <c r="H43" s="16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70" t="n">
        <f aca="false">IFERROR(__xludf.dummyfunction("""COMPUTED_VALUE"""),0)</f>
        <v>0</v>
      </c>
      <c r="W43" s="170" t="n">
        <f aca="false">IFERROR(__xludf.dummyfunction("""COMPUTED_VALUE"""),0)</f>
        <v>0</v>
      </c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</row>
    <row r="44" customFormat="false" ht="15.75" hidden="false" customHeight="false" outlineLevel="0" collapsed="false">
      <c r="A44" s="168"/>
      <c r="B44" s="168" t="str">
        <f aca="false">IF(OR(E44=Report!$B$1, F44=Report!$B$1, G44=Report!$B$1, H44=Report!$B$1), D44, "")</f>
        <v/>
      </c>
      <c r="C44" s="172" t="b">
        <f aca="false">IFERROR(__xludf.dummyfunction("""COMPUTED_VALUE"""),FALSE())</f>
        <v>0</v>
      </c>
      <c r="D44" s="168"/>
      <c r="E44" s="168"/>
      <c r="F44" s="168"/>
      <c r="G44" s="168"/>
      <c r="H44" s="16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70" t="n">
        <f aca="false">IFERROR(__xludf.dummyfunction("""COMPUTED_VALUE"""),0)</f>
        <v>0</v>
      </c>
      <c r="W44" s="170" t="n">
        <f aca="false">IFERROR(__xludf.dummyfunction("""COMPUTED_VALUE"""),0)</f>
        <v>0</v>
      </c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</row>
    <row r="45" customFormat="false" ht="15.75" hidden="false" customHeight="false" outlineLevel="0" collapsed="false">
      <c r="A45" s="168"/>
      <c r="B45" s="168" t="str">
        <f aca="false">IF(OR(E45=Report!$B$1, F45=Report!$B$1, G45=Report!$B$1, H45=Report!$B$1), D45, "")</f>
        <v/>
      </c>
      <c r="C45" s="172" t="b">
        <f aca="false">IFERROR(__xludf.dummyfunction("""COMPUTED_VALUE"""),FALSE())</f>
        <v>0</v>
      </c>
      <c r="D45" s="168"/>
      <c r="E45" s="168"/>
      <c r="F45" s="168"/>
      <c r="G45" s="168"/>
      <c r="H45" s="168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70" t="n">
        <f aca="false">IFERROR(__xludf.dummyfunction("""COMPUTED_VALUE"""),0)</f>
        <v>0</v>
      </c>
      <c r="W45" s="170" t="n">
        <f aca="false">IFERROR(__xludf.dummyfunction("""COMPUTED_VALUE"""),0)</f>
        <v>0</v>
      </c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customFormat="false" ht="15.75" hidden="false" customHeight="false" outlineLevel="0" collapsed="false">
      <c r="A46" s="168"/>
      <c r="B46" s="168" t="str">
        <f aca="false">IF(OR(E46=Report!$B$1, F46=Report!$B$1, G46=Report!$B$1, H46=Report!$B$1), D46, "")</f>
        <v/>
      </c>
      <c r="C46" s="172" t="b">
        <f aca="false">IFERROR(__xludf.dummyfunction("""COMPUTED_VALUE"""),FALSE())</f>
        <v>0</v>
      </c>
      <c r="D46" s="168"/>
      <c r="E46" s="168"/>
      <c r="F46" s="168"/>
      <c r="G46" s="168"/>
      <c r="H46" s="16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70" t="n">
        <f aca="false">IFERROR(__xludf.dummyfunction("""COMPUTED_VALUE"""),0)</f>
        <v>0</v>
      </c>
      <c r="W46" s="170" t="n">
        <f aca="false">IFERROR(__xludf.dummyfunction("""COMPUTED_VALUE"""),0)</f>
        <v>0</v>
      </c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</row>
    <row r="47" customFormat="false" ht="15.75" hidden="false" customHeight="false" outlineLevel="0" collapsed="false">
      <c r="A47" s="168"/>
      <c r="B47" s="168" t="str">
        <f aca="false">IF(OR(E47=Report!$B$1, F47=Report!$B$1, G47=Report!$B$1, H47=Report!$B$1), D47, "")</f>
        <v/>
      </c>
      <c r="C47" s="172" t="b">
        <f aca="false">IFERROR(__xludf.dummyfunction("""COMPUTED_VALUE"""),FALSE())</f>
        <v>0</v>
      </c>
      <c r="D47" s="168"/>
      <c r="E47" s="168"/>
      <c r="F47" s="168"/>
      <c r="G47" s="168"/>
      <c r="H47" s="16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70" t="n">
        <f aca="false">IFERROR(__xludf.dummyfunction("""COMPUTED_VALUE"""),0)</f>
        <v>0</v>
      </c>
      <c r="W47" s="170" t="n">
        <f aca="false">IFERROR(__xludf.dummyfunction("""COMPUTED_VALUE"""),0)</f>
        <v>0</v>
      </c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customFormat="false" ht="15.75" hidden="false" customHeight="false" outlineLevel="0" collapsed="false">
      <c r="A48" s="168"/>
      <c r="B48" s="168" t="str">
        <f aca="false">IF(OR(E48=Report!$B$1, F48=Report!$B$1, G48=Report!$B$1, H48=Report!$B$1), D48, "")</f>
        <v/>
      </c>
      <c r="C48" s="172" t="b">
        <f aca="false">IFERROR(__xludf.dummyfunction("""COMPUTED_VALUE"""),FALSE())</f>
        <v>0</v>
      </c>
      <c r="D48" s="168"/>
      <c r="E48" s="168"/>
      <c r="F48" s="168"/>
      <c r="G48" s="168"/>
      <c r="H48" s="168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70" t="n">
        <f aca="false">IFERROR(__xludf.dummyfunction("""COMPUTED_VALUE"""),0)</f>
        <v>0</v>
      </c>
      <c r="W48" s="170" t="n">
        <f aca="false">IFERROR(__xludf.dummyfunction("""COMPUTED_VALUE"""),0)</f>
        <v>0</v>
      </c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customFormat="false" ht="15.75" hidden="false" customHeight="false" outlineLevel="0" collapsed="false">
      <c r="A49" s="168"/>
      <c r="B49" s="168" t="str">
        <f aca="false">IF(OR(E49=Report!$B$1, F49=Report!$B$1, G49=Report!$B$1, H49=Report!$B$1), D49, "")</f>
        <v/>
      </c>
      <c r="C49" s="172" t="b">
        <f aca="false">IFERROR(__xludf.dummyfunction("""COMPUTED_VALUE"""),FALSE())</f>
        <v>0</v>
      </c>
      <c r="D49" s="168"/>
      <c r="E49" s="168"/>
      <c r="F49" s="168"/>
      <c r="G49" s="168"/>
      <c r="H49" s="168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70" t="n">
        <f aca="false">IFERROR(__xludf.dummyfunction("""COMPUTED_VALUE"""),0)</f>
        <v>0</v>
      </c>
      <c r="W49" s="170" t="n">
        <f aca="false">IFERROR(__xludf.dummyfunction("""COMPUTED_VALUE"""),0)</f>
        <v>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customFormat="false" ht="15.75" hidden="false" customHeight="false" outlineLevel="0" collapsed="false">
      <c r="A50" s="168"/>
      <c r="B50" s="168" t="str">
        <f aca="false">IF(OR(E50=Report!$B$1, F50=Report!$B$1, G50=Report!$B$1, H50=Report!$B$1), D50, "")</f>
        <v/>
      </c>
      <c r="C50" s="172" t="b">
        <f aca="false">IFERROR(__xludf.dummyfunction("""COMPUTED_VALUE"""),FALSE())</f>
        <v>0</v>
      </c>
      <c r="D50" s="168"/>
      <c r="E50" s="168"/>
      <c r="F50" s="168"/>
      <c r="G50" s="168"/>
      <c r="H50" s="168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70" t="n">
        <f aca="false">IFERROR(__xludf.dummyfunction("""COMPUTED_VALUE"""),0)</f>
        <v>0</v>
      </c>
      <c r="W50" s="170" t="n">
        <f aca="false">IFERROR(__xludf.dummyfunction("""COMPUTED_VALUE"""),0)</f>
        <v>0</v>
      </c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</row>
    <row r="51" customFormat="false" ht="15.75" hidden="false" customHeight="false" outlineLevel="0" collapsed="false">
      <c r="A51" s="168"/>
      <c r="B51" s="168" t="str">
        <f aca="false">IF(OR(E51=Report!$B$1, F51=Report!$B$1, G51=Report!$B$1, H51=Report!$B$1), D51, "")</f>
        <v/>
      </c>
      <c r="C51" s="172" t="b">
        <f aca="false">IFERROR(__xludf.dummyfunction("""COMPUTED_VALUE"""),FALSE())</f>
        <v>0</v>
      </c>
      <c r="D51" s="168"/>
      <c r="E51" s="168"/>
      <c r="F51" s="168"/>
      <c r="G51" s="168"/>
      <c r="H51" s="168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70" t="n">
        <f aca="false">IFERROR(__xludf.dummyfunction("""COMPUTED_VALUE"""),0)</f>
        <v>0</v>
      </c>
      <c r="W51" s="170" t="n">
        <f aca="false">IFERROR(__xludf.dummyfunction("""COMPUTED_VALUE"""),0)</f>
        <v>0</v>
      </c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</row>
    <row r="52" customFormat="false" ht="15.75" hidden="false" customHeight="false" outlineLevel="0" collapsed="false">
      <c r="A52" s="168"/>
      <c r="B52" s="168" t="str">
        <f aca="false">IF(OR(E52=Report!$B$1, F52=Report!$B$1, G52=Report!$B$1, H52=Report!$B$1), D52, "")</f>
        <v/>
      </c>
      <c r="C52" s="172" t="b">
        <f aca="false">IFERROR(__xludf.dummyfunction("""COMPUTED_VALUE"""),FALSE())</f>
        <v>0</v>
      </c>
      <c r="D52" s="168"/>
      <c r="E52" s="168"/>
      <c r="F52" s="168"/>
      <c r="G52" s="168"/>
      <c r="H52" s="16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70" t="n">
        <f aca="false">IFERROR(__xludf.dummyfunction("""COMPUTED_VALUE"""),0)</f>
        <v>0</v>
      </c>
      <c r="W52" s="170" t="n">
        <f aca="false">IFERROR(__xludf.dummyfunction("""COMPUTED_VALUE"""),0)</f>
        <v>0</v>
      </c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</row>
    <row r="53" customFormat="false" ht="15.75" hidden="false" customHeight="false" outlineLevel="0" collapsed="false">
      <c r="A53" s="168"/>
      <c r="B53" s="168" t="str">
        <f aca="false">IF(OR(E53=Report!$B$1, F53=Report!$B$1, G53=Report!$B$1, H53=Report!$B$1), D53, "")</f>
        <v/>
      </c>
      <c r="C53" s="172" t="b">
        <f aca="false">IFERROR(__xludf.dummyfunction("""COMPUTED_VALUE"""),FALSE())</f>
        <v>0</v>
      </c>
      <c r="D53" s="168"/>
      <c r="E53" s="168"/>
      <c r="F53" s="168"/>
      <c r="G53" s="168"/>
      <c r="H53" s="168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70" t="n">
        <f aca="false">IFERROR(__xludf.dummyfunction("""COMPUTED_VALUE"""),0)</f>
        <v>0</v>
      </c>
      <c r="W53" s="170" t="n">
        <f aca="false">IFERROR(__xludf.dummyfunction("""COMPUTED_VALUE"""),0)</f>
        <v>0</v>
      </c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</row>
    <row r="54" customFormat="false" ht="15.75" hidden="false" customHeight="false" outlineLevel="0" collapsed="false">
      <c r="A54" s="168"/>
      <c r="B54" s="168" t="str">
        <f aca="false">IF(OR(E54=Report!$B$1, F54=Report!$B$1, G54=Report!$B$1, H54=Report!$B$1), D54, "")</f>
        <v/>
      </c>
      <c r="C54" s="172" t="b">
        <f aca="false">IFERROR(__xludf.dummyfunction("""COMPUTED_VALUE"""),FALSE())</f>
        <v>0</v>
      </c>
      <c r="D54" s="168"/>
      <c r="E54" s="168"/>
      <c r="F54" s="168"/>
      <c r="G54" s="168"/>
      <c r="H54" s="168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70" t="n">
        <f aca="false">IFERROR(__xludf.dummyfunction("""COMPUTED_VALUE"""),0)</f>
        <v>0</v>
      </c>
      <c r="W54" s="170" t="n">
        <f aca="false">IFERROR(__xludf.dummyfunction("""COMPUTED_VALUE"""),0)</f>
        <v>0</v>
      </c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</row>
    <row r="55" customFormat="false" ht="15.75" hidden="false" customHeight="false" outlineLevel="0" collapsed="false">
      <c r="A55" s="168"/>
      <c r="B55" s="168" t="str">
        <f aca="false">IF(OR(E55=Report!$B$1, F55=Report!$B$1, G55=Report!$B$1, H55=Report!$B$1), D55, "")</f>
        <v/>
      </c>
      <c r="C55" s="172" t="b">
        <f aca="false">IFERROR(__xludf.dummyfunction("""COMPUTED_VALUE"""),FALSE())</f>
        <v>0</v>
      </c>
      <c r="D55" s="168"/>
      <c r="E55" s="168"/>
      <c r="F55" s="168"/>
      <c r="G55" s="168"/>
      <c r="H55" s="168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70" t="n">
        <f aca="false">IFERROR(__xludf.dummyfunction("""COMPUTED_VALUE"""),0)</f>
        <v>0</v>
      </c>
      <c r="W55" s="170" t="n">
        <f aca="false">IFERROR(__xludf.dummyfunction("""COMPUTED_VALUE"""),0)</f>
        <v>0</v>
      </c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</row>
    <row r="56" customFormat="false" ht="15.75" hidden="false" customHeight="false" outlineLevel="0" collapsed="false">
      <c r="A56" s="168"/>
      <c r="B56" s="168" t="str">
        <f aca="false">IF(OR(E56=Report!$B$1, F56=Report!$B$1, G56=Report!$B$1, H56=Report!$B$1), D56, "")</f>
        <v/>
      </c>
      <c r="C56" s="172" t="b">
        <f aca="false">IFERROR(__xludf.dummyfunction("""COMPUTED_VALUE"""),FALSE())</f>
        <v>0</v>
      </c>
      <c r="D56" s="168"/>
      <c r="E56" s="168"/>
      <c r="F56" s="168"/>
      <c r="G56" s="168"/>
      <c r="H56" s="168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70" t="n">
        <f aca="false">IFERROR(__xludf.dummyfunction("""COMPUTED_VALUE"""),250.206)</f>
        <v>250.206</v>
      </c>
      <c r="W56" s="170" t="n">
        <f aca="false">IFERROR(__xludf.dummyfunction("""COMPUTED_VALUE"""),0)</f>
        <v>0</v>
      </c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customFormat="false" ht="15.75" hidden="false" customHeight="false" outlineLevel="0" collapsed="false">
      <c r="A57" s="168"/>
      <c r="B57" s="168" t="str">
        <f aca="false">IF(OR(E57=Report!$B$1, F57=Report!$B$1, G57=Report!$B$1, H57=Report!$B$1), D57, "")</f>
        <v/>
      </c>
      <c r="C57" s="172" t="b">
        <f aca="false">IFERROR(__xludf.dummyfunction("""COMPUTED_VALUE"""),FALSE())</f>
        <v>0</v>
      </c>
      <c r="D57" s="168"/>
      <c r="E57" s="168"/>
      <c r="F57" s="168"/>
      <c r="G57" s="168"/>
      <c r="H57" s="16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70" t="n">
        <f aca="false">IFERROR(__xludf.dummyfunction("""COMPUTED_VALUE"""),0)</f>
        <v>0</v>
      </c>
      <c r="W57" s="170" t="n">
        <f aca="false">IFERROR(__xludf.dummyfunction("""COMPUTED_VALUE"""),0)</f>
        <v>0</v>
      </c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  <row r="58" customFormat="false" ht="15.75" hidden="false" customHeight="false" outlineLevel="0" collapsed="false">
      <c r="A58" s="168"/>
      <c r="B58" s="168" t="str">
        <f aca="false">IF(OR(E58=Report!$B$1, F58=Report!$B$1, G58=Report!$B$1, H58=Report!$B$1), D58, "")</f>
        <v/>
      </c>
      <c r="C58" s="168"/>
      <c r="D58" s="168" t="str">
        <f aca="false">IFERROR(__xludf.dummyfunction("""COMPUTED_VALUE"""),"End")</f>
        <v>End</v>
      </c>
      <c r="E58" s="168"/>
      <c r="F58" s="168"/>
      <c r="G58" s="168"/>
      <c r="H58" s="16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70" t="n">
        <f aca="false">IFERROR(__xludf.dummyfunction("""COMPUTED_VALUE"""),0)</f>
        <v>0</v>
      </c>
      <c r="W58" s="170" t="n">
        <f aca="false">IFERROR(__xludf.dummyfunction("""COMPUTED_VALUE"""),0)</f>
        <v>0</v>
      </c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</row>
    <row r="59" customFormat="false" ht="15.75" hidden="false" customHeight="false" outlineLevel="0" collapsed="false">
      <c r="A59" s="168"/>
      <c r="B59" s="168" t="str">
        <f aca="false">IF(OR(E59=Report!$B$1, F59=Report!$B$1, G59=Report!$B$1, H59=Report!$B$1), D59, "")</f>
        <v/>
      </c>
      <c r="C59" s="168"/>
      <c r="D59" s="168" t="str">
        <f aca="false">IFERROR(__xludf.dummyfunction("""COMPUTED_VALUE"""),"Suma instor")</f>
        <v>Suma instor</v>
      </c>
      <c r="E59" s="168"/>
      <c r="F59" s="168"/>
      <c r="G59" s="168"/>
      <c r="H59" s="168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69"/>
      <c r="W59" s="170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</row>
    <row r="60" customFormat="false" ht="15.75" hidden="false" customHeight="false" outlineLevel="0" collapsed="false">
      <c r="A60" s="168"/>
      <c r="B60" s="168" t="str">
        <f aca="false">IF(OR(E60=Report!$B$1, F60=Report!$B$1, G60=Report!$B$1, H60=Report!$B$1), D60, "")</f>
        <v/>
      </c>
      <c r="C60" s="168"/>
      <c r="D60" s="168"/>
      <c r="E60" s="168"/>
      <c r="F60" s="168"/>
      <c r="G60" s="168"/>
      <c r="H60" s="168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69"/>
      <c r="W60" s="170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</row>
    <row r="61" customFormat="false" ht="15.75" hidden="false" customHeight="false" outlineLevel="0" collapsed="false">
      <c r="A61" s="168"/>
      <c r="B61" s="171" t="str">
        <f aca="false">IF(OR(E61=Report!$B$1, F61=Report!$B$1, G61=Report!$B$1, H61=Report!$B$1), D61, "")</f>
        <v/>
      </c>
      <c r="C61" s="168"/>
      <c r="D61" s="168"/>
      <c r="E61" s="168"/>
      <c r="F61" s="168"/>
      <c r="G61" s="168"/>
      <c r="H61" s="168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69"/>
      <c r="W61" s="170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</row>
    <row r="62" customFormat="false" ht="15.75" hidden="false" customHeight="false" outlineLevel="0" collapsed="false">
      <c r="A62" s="168"/>
      <c r="B62" s="171" t="str">
        <f aca="false">IF(OR(E62=Report!$B$1, F62=Report!$B$1, G62=Report!$B$1, H62=Report!$B$1), D62, "")</f>
        <v/>
      </c>
      <c r="C62" s="168"/>
      <c r="D62" s="168"/>
      <c r="E62" s="168"/>
      <c r="F62" s="168"/>
      <c r="G62" s="168"/>
      <c r="H62" s="168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69"/>
      <c r="W62" s="170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</row>
    <row r="63" customFormat="false" ht="15.75" hidden="false" customHeight="false" outlineLevel="0" collapsed="false">
      <c r="A63" s="168"/>
      <c r="B63" s="171" t="str">
        <f aca="false">IF(OR(E63=Report!$B$1, F63=Report!$B$1, G63=Report!$B$1, H63=Report!$B$1), D63, "")</f>
        <v/>
      </c>
      <c r="C63" s="168"/>
      <c r="D63" s="168"/>
      <c r="E63" s="168"/>
      <c r="F63" s="168"/>
      <c r="G63" s="168"/>
      <c r="H63" s="168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69"/>
      <c r="W63" s="170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</row>
    <row r="64" customFormat="false" ht="15.75" hidden="false" customHeight="false" outlineLevel="0" collapsed="false">
      <c r="A64" s="168"/>
      <c r="B64" s="171" t="str">
        <f aca="false">IF(OR(E64=Report!$B$1, F64=Report!$B$1, G64=Report!$B$1, H64=Report!$B$1), D64, "")</f>
        <v/>
      </c>
      <c r="C64" s="168"/>
      <c r="D64" s="168"/>
      <c r="E64" s="168"/>
      <c r="F64" s="168"/>
      <c r="G64" s="168"/>
      <c r="H64" s="168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69"/>
      <c r="W64" s="170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</row>
    <row r="65" customFormat="false" ht="15.75" hidden="false" customHeight="false" outlineLevel="0" collapsed="false">
      <c r="A65" s="168"/>
      <c r="B65" s="171" t="str">
        <f aca="false">IF(OR(E65=Report!$B$1, F65=Report!$B$1, G65=Report!$B$1, H65=Report!$B$1), D65, "")</f>
        <v/>
      </c>
      <c r="C65" s="168"/>
      <c r="D65" s="168"/>
      <c r="E65" s="168"/>
      <c r="F65" s="168"/>
      <c r="G65" s="168"/>
      <c r="H65" s="168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69"/>
      <c r="W65" s="170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</row>
    <row r="66" customFormat="false" ht="15.75" hidden="false" customHeight="false" outlineLevel="0" collapsed="false">
      <c r="A66" s="168"/>
      <c r="B66" s="171" t="str">
        <f aca="false">IF(OR(E66=Report!$B$1, F66=Report!$B$1, G66=Report!$B$1, H66=Report!$B$1), D66, "")</f>
        <v/>
      </c>
      <c r="C66" s="168"/>
      <c r="D66" s="168"/>
      <c r="E66" s="168"/>
      <c r="F66" s="168"/>
      <c r="G66" s="168"/>
      <c r="H66" s="168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69"/>
      <c r="W66" s="170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</row>
    <row r="67" customFormat="false" ht="15.75" hidden="false" customHeight="false" outlineLevel="0" collapsed="false">
      <c r="A67" s="168"/>
      <c r="B67" s="171" t="str">
        <f aca="false">IF(OR(E67=Report!$B$1, F67=Report!$B$1, G67=Report!$B$1, H67=Report!$B$1), D67, "")</f>
        <v/>
      </c>
      <c r="C67" s="168"/>
      <c r="D67" s="168"/>
      <c r="E67" s="168"/>
      <c r="F67" s="168"/>
      <c r="G67" s="168"/>
      <c r="H67" s="168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69"/>
      <c r="W67" s="170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</row>
    <row r="68" customFormat="false" ht="15.75" hidden="false" customHeight="false" outlineLevel="0" collapsed="false">
      <c r="A68" s="168"/>
      <c r="B68" s="171" t="str">
        <f aca="false">IF(OR(E68=Report!$B$1, F68=Report!$B$1, G68=Report!$B$1, H68=Report!$B$1), D68, "")</f>
        <v/>
      </c>
      <c r="C68" s="168"/>
      <c r="D68" s="168"/>
      <c r="E68" s="168"/>
      <c r="F68" s="168"/>
      <c r="G68" s="168"/>
      <c r="H68" s="168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69"/>
      <c r="W68" s="170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</row>
    <row r="69" customFormat="false" ht="15.75" hidden="false" customHeight="false" outlineLevel="0" collapsed="false">
      <c r="A69" s="168"/>
      <c r="B69" s="171" t="str">
        <f aca="false">IF(OR(E69=Report!$B$1, F69=Report!$B$1, G69=Report!$B$1, H69=Report!$B$1), D69, "")</f>
        <v/>
      </c>
      <c r="C69" s="168"/>
      <c r="D69" s="168"/>
      <c r="E69" s="168"/>
      <c r="F69" s="168"/>
      <c r="G69" s="168"/>
      <c r="H69" s="168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69"/>
      <c r="W69" s="170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</row>
    <row r="70" customFormat="false" ht="15.75" hidden="false" customHeight="false" outlineLevel="0" collapsed="false">
      <c r="A70" s="168"/>
      <c r="B70" s="171" t="str">
        <f aca="false">IF(OR(E70=Report!$B$1, F70=Report!$B$1, G70=Report!$B$1, H70=Report!$B$1), D70, "")</f>
        <v/>
      </c>
      <c r="C70" s="168"/>
      <c r="D70" s="168"/>
      <c r="E70" s="168"/>
      <c r="F70" s="168"/>
      <c r="G70" s="168"/>
      <c r="H70" s="168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69"/>
      <c r="W70" s="170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</row>
    <row r="71" customFormat="false" ht="15.75" hidden="false" customHeight="false" outlineLevel="0" collapsed="false">
      <c r="A71" s="168"/>
      <c r="B71" s="171" t="str">
        <f aca="false">IF(OR(E71=Report!$B$1, F71=Report!$B$1, G71=Report!$B$1, H71=Report!$B$1), D71, "")</f>
        <v/>
      </c>
      <c r="C71" s="168"/>
      <c r="D71" s="168"/>
      <c r="E71" s="168"/>
      <c r="F71" s="168"/>
      <c r="G71" s="168"/>
      <c r="H71" s="168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69"/>
      <c r="W71" s="170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</row>
    <row r="72" customFormat="false" ht="15.75" hidden="false" customHeight="false" outlineLevel="0" collapsed="false">
      <c r="A72" s="168"/>
      <c r="B72" s="171" t="str">
        <f aca="false">IF(OR(E72=Report!$B$1, F72=Report!$B$1, G72=Report!$B$1, H72=Report!$B$1), D72, "")</f>
        <v/>
      </c>
      <c r="C72" s="168"/>
      <c r="D72" s="168"/>
      <c r="E72" s="168"/>
      <c r="F72" s="168"/>
      <c r="G72" s="168"/>
      <c r="H72" s="168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69"/>
      <c r="W72" s="170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</row>
    <row r="73" customFormat="false" ht="15.75" hidden="false" customHeight="false" outlineLevel="0" collapsed="false">
      <c r="A73" s="168"/>
      <c r="B73" s="171" t="str">
        <f aca="false">IF(OR(E73=Report!$B$1, F73=Report!$B$1, G73=Report!$B$1, H73=Report!$B$1), D73, "")</f>
        <v/>
      </c>
      <c r="C73" s="168"/>
      <c r="D73" s="168"/>
      <c r="E73" s="168"/>
      <c r="F73" s="168"/>
      <c r="G73" s="168"/>
      <c r="H73" s="168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69"/>
      <c r="W73" s="170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</row>
    <row r="74" customFormat="false" ht="15.75" hidden="false" customHeight="false" outlineLevel="0" collapsed="false">
      <c r="A74" s="168"/>
      <c r="B74" s="171" t="str">
        <f aca="false">IF(OR(E74=Report!$B$1, F74=Report!$B$1, G74=Report!$B$1, H74=Report!$B$1), D74, "")</f>
        <v/>
      </c>
      <c r="C74" s="168" t="str">
        <f aca="false">IFERROR(__xludf.dummyfunction("""COMPUTED_VALUE"""),"Manažer")</f>
        <v>Manažer</v>
      </c>
      <c r="D74" s="168" t="str">
        <f aca="false">IFERROR(__xludf.dummyfunction("""COMPUTED_VALUE"""),"Kurýr")</f>
        <v>Kurýr</v>
      </c>
      <c r="E74" s="168" t="str">
        <f aca="false">IFERROR(__xludf.dummyfunction("""COMPUTED_VALUE"""),"První domácí,          Pobočky max 4    ")</f>
        <v>První domácí,          Pobočky max 4    </v>
      </c>
      <c r="F74" s="168"/>
      <c r="G74" s="168"/>
      <c r="H74" s="168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69" t="str">
        <f aca="false">IFERROR(__xludf.dummyfunction("""COMPUTED_VALUE"""),"Sp.hr. / h")</f>
        <v>Sp.hr. / h</v>
      </c>
      <c r="W74" s="170" t="str">
        <f aca="false">IFERROR(__xludf.dummyfunction("""COMPUTED_VALUE"""),"Sp.hr. / den")</f>
        <v>Sp.hr. / den</v>
      </c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</row>
    <row r="75" customFormat="false" ht="15.75" hidden="false" customHeight="false" outlineLevel="0" collapsed="false">
      <c r="A75" s="168"/>
      <c r="B75" s="171" t="str">
        <f aca="false">IF(OR(E75=Report!$B$1, F75=Report!$B$1, G75=Report!$B$1, H75=Report!$B$1), D75, "")</f>
        <v>Jurkovič Martin</v>
      </c>
      <c r="C75" s="172" t="b">
        <f aca="false">IFERROR(__xludf.dummyfunction("""COMPUTED_VALUE"""),FALSE())</f>
        <v>0</v>
      </c>
      <c r="D75" s="168" t="str">
        <f aca="false">IFERROR(__xludf.dummyfunction("""COMPUTED_VALUE"""),"Jurkovič Martin")</f>
        <v>Jurkovič Martin</v>
      </c>
      <c r="E75" s="168" t="str">
        <f aca="false">IFERROR(__xludf.dummyfunction("""COMPUTED_VALUE"""),"Libuš")</f>
        <v>Libuš</v>
      </c>
      <c r="F75" s="168" t="str">
        <f aca="false">IFERROR(__xludf.dummyfunction("""COMPUTED_VALUE"""),"Chodov")</f>
        <v>Chodov</v>
      </c>
      <c r="G75" s="168" t="str">
        <f aca="false">IFERROR(__xludf.dummyfunction("""COMPUTED_VALUE"""),"Malešice")</f>
        <v>Malešice</v>
      </c>
      <c r="H75" s="168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70" t="n">
        <f aca="false">IFERROR(__xludf.dummyfunction("""COMPUTED_VALUE"""),150)</f>
        <v>150</v>
      </c>
      <c r="W75" s="170" t="n">
        <f aca="false">IFERROR(__xludf.dummyfunction("""COMPUTED_VALUE"""),0)</f>
        <v>0</v>
      </c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</row>
    <row r="76" customFormat="false" ht="15.75" hidden="false" customHeight="false" outlineLevel="0" collapsed="false">
      <c r="A76" s="168"/>
      <c r="B76" s="171" t="str">
        <f aca="false">IF(OR(E76=Report!$B$1, F76=Report!$B$1, G76=Report!$B$1, H76=Report!$B$1), D76, "")</f>
        <v>Navrátil Ondřej</v>
      </c>
      <c r="C76" s="172" t="b">
        <f aca="false">IFERROR(__xludf.dummyfunction("""COMPUTED_VALUE"""),FALSE())</f>
        <v>0</v>
      </c>
      <c r="D76" s="168" t="str">
        <f aca="false">IFERROR(__xludf.dummyfunction("""COMPUTED_VALUE"""),"Navrátil Ondřej")</f>
        <v>Navrátil Ondřej</v>
      </c>
      <c r="E76" s="168" t="str">
        <f aca="false">IFERROR(__xludf.dummyfunction("""COMPUTED_VALUE"""),"Chodov")</f>
        <v>Chodov</v>
      </c>
      <c r="F76" s="168"/>
      <c r="G76" s="168"/>
      <c r="H76" s="168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70" t="n">
        <f aca="false">IFERROR(__xludf.dummyfunction("""COMPUTED_VALUE"""),267.6)</f>
        <v>267.6</v>
      </c>
      <c r="W76" s="170" t="n">
        <f aca="false">IFERROR(__xludf.dummyfunction("""COMPUTED_VALUE"""),0)</f>
        <v>0</v>
      </c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</row>
    <row r="77" customFormat="false" ht="15.75" hidden="false" customHeight="false" outlineLevel="0" collapsed="false">
      <c r="A77" s="168"/>
      <c r="B77" s="171" t="str">
        <f aca="false">IF(OR(E77=Report!$B$1, F77=Report!$B$1, G77=Report!$B$1, H77=Report!$B$1), D77, "")</f>
        <v/>
      </c>
      <c r="C77" s="172" t="b">
        <f aca="false">IFERROR(__xludf.dummyfunction("""COMPUTED_VALUE"""),FALSE())</f>
        <v>0</v>
      </c>
      <c r="D77" s="168" t="str">
        <f aca="false">IFERROR(__xludf.dummyfunction("""COMPUTED_VALUE"""),"Němec Filip")</f>
        <v>Němec Filip</v>
      </c>
      <c r="E77" s="168" t="str">
        <f aca="false">IFERROR(__xludf.dummyfunction("""COMPUTED_VALUE"""),"Zličín")</f>
        <v>Zličín</v>
      </c>
      <c r="F77" s="168"/>
      <c r="G77" s="168"/>
      <c r="H77" s="168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70" t="n">
        <f aca="false">IFERROR(__xludf.dummyfunction("""COMPUTED_VALUE"""),231.474)</f>
        <v>231.474</v>
      </c>
      <c r="W77" s="170" t="n">
        <f aca="false">IFERROR(__xludf.dummyfunction("""COMPUTED_VALUE"""),0)</f>
        <v>0</v>
      </c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</row>
    <row r="78" customFormat="false" ht="15.75" hidden="false" customHeight="false" outlineLevel="0" collapsed="false">
      <c r="A78" s="168"/>
      <c r="B78" s="171" t="str">
        <f aca="false">IF(OR(E78=Report!$B$1, F78=Report!$B$1, G78=Report!$B$1, H78=Report!$B$1), D78, "")</f>
        <v/>
      </c>
      <c r="C78" s="172" t="b">
        <f aca="false">IFERROR(__xludf.dummyfunction("""COMPUTED_VALUE"""),FALSE())</f>
        <v>0</v>
      </c>
      <c r="D78" s="168" t="str">
        <f aca="false">IFERROR(__xludf.dummyfunction("""COMPUTED_VALUE"""),"Zimmer Jakub")</f>
        <v>Zimmer Jakub</v>
      </c>
      <c r="E78" s="168" t="str">
        <f aca="false">IFERROR(__xludf.dummyfunction("""COMPUTED_VALUE"""),"Zličín")</f>
        <v>Zličín</v>
      </c>
      <c r="F78" s="168"/>
      <c r="G78" s="168"/>
      <c r="H78" s="168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70" t="n">
        <f aca="false">IFERROR(__xludf.dummyfunction("""COMPUTED_VALUE"""),267.6)</f>
        <v>267.6</v>
      </c>
      <c r="W78" s="170" t="n">
        <f aca="false">IFERROR(__xludf.dummyfunction("""COMPUTED_VALUE"""),0)</f>
        <v>0</v>
      </c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</row>
    <row r="79" customFormat="false" ht="15.75" hidden="false" customHeight="false" outlineLevel="0" collapsed="false">
      <c r="A79" s="168"/>
      <c r="B79" s="171" t="str">
        <f aca="false">IF(OR(E79=Report!$B$1, F79=Report!$B$1, G79=Report!$B$1, H79=Report!$B$1), D79, "")</f>
        <v>Nekolný Vladimír</v>
      </c>
      <c r="C79" s="172" t="b">
        <f aca="false">IFERROR(__xludf.dummyfunction("""COMPUTED_VALUE"""),FALSE())</f>
        <v>0</v>
      </c>
      <c r="D79" s="168" t="str">
        <f aca="false">IFERROR(__xludf.dummyfunction("""COMPUTED_VALUE"""),"Nekolný Vladimír")</f>
        <v>Nekolný Vladimír</v>
      </c>
      <c r="E79" s="168" t="str">
        <f aca="false">IFERROR(__xludf.dummyfunction("""COMPUTED_VALUE"""),"Chodov")</f>
        <v>Chodov</v>
      </c>
      <c r="F79" s="168" t="str">
        <f aca="false">IFERROR(__xludf.dummyfunction("""COMPUTED_VALUE"""),"Libuš")</f>
        <v>Libuš</v>
      </c>
      <c r="G79" s="168" t="str">
        <f aca="false">IFERROR(__xludf.dummyfunction("""COMPUTED_VALUE"""),"Zličín")</f>
        <v>Zličín</v>
      </c>
      <c r="H79" s="168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70" t="n">
        <f aca="false">IFERROR(__xludf.dummyfunction("""COMPUTED_VALUE"""),231.474)</f>
        <v>231.474</v>
      </c>
      <c r="W79" s="170" t="n">
        <f aca="false">IFERROR(__xludf.dummyfunction("""COMPUTED_VALUE"""),0)</f>
        <v>0</v>
      </c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</row>
    <row r="80" customFormat="false" ht="15.75" hidden="false" customHeight="false" outlineLevel="0" collapsed="false">
      <c r="A80" s="168"/>
      <c r="B80" s="171" t="str">
        <f aca="false">IF(OR(E80=Report!$B$1, F80=Report!$B$1, G80=Report!$B$1, H80=Report!$B$1), D80, "")</f>
        <v/>
      </c>
      <c r="C80" s="172" t="b">
        <f aca="false">IFERROR(__xludf.dummyfunction("""COMPUTED_VALUE"""),FALSE())</f>
        <v>0</v>
      </c>
      <c r="D80" s="168" t="str">
        <f aca="false">IFERROR(__xludf.dummyfunction("""COMPUTED_VALUE"""),"Hanibal Filip")</f>
        <v>Hanibal Filip</v>
      </c>
      <c r="E80" s="168" t="str">
        <f aca="false">IFERROR(__xludf.dummyfunction("""COMPUTED_VALUE"""),"Malešice")</f>
        <v>Malešice</v>
      </c>
      <c r="F80" s="168" t="str">
        <f aca="false">IFERROR(__xludf.dummyfunction("""COMPUTED_VALUE"""),"Libuš")</f>
        <v>Libuš</v>
      </c>
      <c r="G80" s="168" t="str">
        <f aca="false">IFERROR(__xludf.dummyfunction("""COMPUTED_VALUE"""),"Prosek")</f>
        <v>Prosek</v>
      </c>
      <c r="H80" s="168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70" t="n">
        <f aca="false">IFERROR(__xludf.dummyfunction("""COMPUTED_VALUE"""),250.206)</f>
        <v>250.206</v>
      </c>
      <c r="W80" s="170" t="n">
        <f aca="false">IFERROR(__xludf.dummyfunction("""COMPUTED_VALUE"""),0)</f>
        <v>0</v>
      </c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</row>
    <row r="81" customFormat="false" ht="15.75" hidden="false" customHeight="false" outlineLevel="0" collapsed="false">
      <c r="A81" s="168"/>
      <c r="B81" s="171" t="str">
        <f aca="false">IF(OR(E81=Report!$B$1, F81=Report!$B$1, G81=Report!$B$1, H81=Report!$B$1), D81, "")</f>
        <v/>
      </c>
      <c r="C81" s="172" t="b">
        <f aca="false">IFERROR(__xludf.dummyfunction("""COMPUTED_VALUE"""),FALSE())</f>
        <v>0</v>
      </c>
      <c r="D81" s="168" t="str">
        <f aca="false">IFERROR(__xludf.dummyfunction("""COMPUTED_VALUE"""),"Novák Jakub")</f>
        <v>Novák Jakub</v>
      </c>
      <c r="E81" s="168" t="str">
        <f aca="false">IFERROR(__xludf.dummyfunction("""COMPUTED_VALUE"""),"Zličín")</f>
        <v>Zličín</v>
      </c>
      <c r="F81" s="168" t="str">
        <f aca="false">IFERROR(__xludf.dummyfunction("""COMPUTED_VALUE"""),"Malešice")</f>
        <v>Malešice</v>
      </c>
      <c r="G81" s="168"/>
      <c r="H81" s="168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70" t="n">
        <f aca="false">IFERROR(__xludf.dummyfunction("""COMPUTED_VALUE"""),231.474)</f>
        <v>231.474</v>
      </c>
      <c r="W81" s="170" t="n">
        <f aca="false">IFERROR(__xludf.dummyfunction("""COMPUTED_VALUE"""),0)</f>
        <v>0</v>
      </c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</row>
    <row r="82" customFormat="false" ht="15.75" hidden="false" customHeight="false" outlineLevel="0" collapsed="false">
      <c r="A82" s="168"/>
      <c r="B82" s="171" t="str">
        <f aca="false">IF(OR(E82=Report!$B$1, F82=Report!$B$1, G82=Report!$B$1, H82=Report!$B$1), D82, "")</f>
        <v/>
      </c>
      <c r="C82" s="172" t="b">
        <f aca="false">IFERROR(__xludf.dummyfunction("""COMPUTED_VALUE"""),FALSE())</f>
        <v>0</v>
      </c>
      <c r="D82" s="168" t="str">
        <f aca="false">IFERROR(__xludf.dummyfunction("""COMPUTED_VALUE"""),"Černohorský Otakar")</f>
        <v>Černohorský Otakar</v>
      </c>
      <c r="E82" s="168" t="str">
        <f aca="false">IFERROR(__xludf.dummyfunction("""COMPUTED_VALUE"""),"Zličín")</f>
        <v>Zličín</v>
      </c>
      <c r="F82" s="168"/>
      <c r="G82" s="168"/>
      <c r="H82" s="168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70" t="n">
        <f aca="false">IFERROR(__xludf.dummyfunction("""COMPUTED_VALUE"""),231.474)</f>
        <v>231.474</v>
      </c>
      <c r="W82" s="170" t="n">
        <f aca="false">IFERROR(__xludf.dummyfunction("""COMPUTED_VALUE"""),0)</f>
        <v>0</v>
      </c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</row>
    <row r="83" customFormat="false" ht="15.75" hidden="false" customHeight="false" outlineLevel="0" collapsed="false">
      <c r="A83" s="168"/>
      <c r="B83" s="171" t="str">
        <f aca="false">IF(OR(E83=Report!$B$1, F83=Report!$B$1, G83=Report!$B$1, H83=Report!$B$1), D83, "")</f>
        <v/>
      </c>
      <c r="C83" s="172" t="b">
        <f aca="false">IFERROR(__xludf.dummyfunction("""COMPUTED_VALUE"""),FALSE())</f>
        <v>0</v>
      </c>
      <c r="D83" s="168" t="str">
        <f aca="false">IFERROR(__xludf.dummyfunction("""COMPUTED_VALUE"""),"Nedvěd Dominik")</f>
        <v>Nedvěd Dominik</v>
      </c>
      <c r="E83" s="168" t="str">
        <f aca="false">IFERROR(__xludf.dummyfunction("""COMPUTED_VALUE"""),"Libuš")</f>
        <v>Libuš</v>
      </c>
      <c r="F83" s="168" t="str">
        <f aca="false">IFERROR(__xludf.dummyfunction("""COMPUTED_VALUE"""),"Malešice")</f>
        <v>Malešice</v>
      </c>
      <c r="G83" s="168"/>
      <c r="H83" s="168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70" t="n">
        <f aca="false">IFERROR(__xludf.dummyfunction("""COMPUTED_VALUE"""),231.474)</f>
        <v>231.474</v>
      </c>
      <c r="W83" s="170" t="n">
        <f aca="false">IFERROR(__xludf.dummyfunction("""COMPUTED_VALUE"""),0)</f>
        <v>0</v>
      </c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</row>
    <row r="84" customFormat="false" ht="15.75" hidden="false" customHeight="false" outlineLevel="0" collapsed="false">
      <c r="A84" s="168"/>
      <c r="B84" s="171" t="str">
        <f aca="false">IF(OR(E84=Report!$B$1, F84=Report!$B$1, G84=Report!$B$1, H84=Report!$B$1), D84, "")</f>
        <v>Lanský Zoltan</v>
      </c>
      <c r="C84" s="172" t="b">
        <f aca="false">IFERROR(__xludf.dummyfunction("""COMPUTED_VALUE"""),FALSE())</f>
        <v>0</v>
      </c>
      <c r="D84" s="168" t="str">
        <f aca="false">IFERROR(__xludf.dummyfunction("""COMPUTED_VALUE"""),"Lanský Zoltan")</f>
        <v>Lanský Zoltan</v>
      </c>
      <c r="E84" s="168" t="str">
        <f aca="false">IFERROR(__xludf.dummyfunction("""COMPUTED_VALUE"""),"Chodov")</f>
        <v>Chodov</v>
      </c>
      <c r="F84" s="168" t="str">
        <f aca="false">IFERROR(__xludf.dummyfunction("""COMPUTED_VALUE"""),"Libuš")</f>
        <v>Libuš</v>
      </c>
      <c r="G84" s="168"/>
      <c r="H84" s="168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70" t="n">
        <f aca="false">IFERROR(__xludf.dummyfunction("""COMPUTED_VALUE"""),250.206)</f>
        <v>250.206</v>
      </c>
      <c r="W84" s="170" t="n">
        <f aca="false">IFERROR(__xludf.dummyfunction("""COMPUTED_VALUE"""),0)</f>
        <v>0</v>
      </c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</row>
    <row r="85" customFormat="false" ht="15.75" hidden="false" customHeight="false" outlineLevel="0" collapsed="false">
      <c r="A85" s="168"/>
      <c r="B85" s="171" t="str">
        <f aca="false">IF(OR(E85=Report!$B$1, F85=Report!$B$1, G85=Report!$B$1, H85=Report!$B$1), D85, "")</f>
        <v/>
      </c>
      <c r="C85" s="172" t="b">
        <f aca="false">IFERROR(__xludf.dummyfunction("""COMPUTED_VALUE"""),FALSE())</f>
        <v>0</v>
      </c>
      <c r="D85" s="168" t="str">
        <f aca="false">IFERROR(__xludf.dummyfunction("""COMPUTED_VALUE"""),"Lowe Jana")</f>
        <v>Lowe Jana</v>
      </c>
      <c r="E85" s="168" t="str">
        <f aca="false">IFERROR(__xludf.dummyfunction("""COMPUTED_VALUE"""),"Zličín")</f>
        <v>Zličín</v>
      </c>
      <c r="F85" s="168"/>
      <c r="G85" s="168"/>
      <c r="H85" s="168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70" t="n">
        <f aca="false">IFERROR(__xludf.dummyfunction("""COMPUTED_VALUE"""),150)</f>
        <v>150</v>
      </c>
      <c r="W85" s="170" t="n">
        <f aca="false">IFERROR(__xludf.dummyfunction("""COMPUTED_VALUE"""),0)</f>
        <v>0</v>
      </c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</row>
    <row r="86" customFormat="false" ht="15.75" hidden="false" customHeight="false" outlineLevel="0" collapsed="false">
      <c r="A86" s="168"/>
      <c r="B86" s="171" t="str">
        <f aca="false">IF(OR(E86=Report!$B$1, F86=Report!$B$1, G86=Report!$B$1, H86=Report!$B$1), D86, "")</f>
        <v/>
      </c>
      <c r="C86" s="172" t="b">
        <f aca="false">IFERROR(__xludf.dummyfunction("""COMPUTED_VALUE"""),FALSE())</f>
        <v>0</v>
      </c>
      <c r="D86" s="168" t="str">
        <f aca="false">IFERROR(__xludf.dummyfunction("""COMPUTED_VALUE"""),"Mikuš Pavel")</f>
        <v>Mikuš Pavel</v>
      </c>
      <c r="E86" s="168" t="str">
        <f aca="false">IFERROR(__xludf.dummyfunction("""COMPUTED_VALUE"""),"Prosek")</f>
        <v>Prosek</v>
      </c>
      <c r="F86" s="168"/>
      <c r="G86" s="168"/>
      <c r="H86" s="16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70" t="n">
        <f aca="false">IFERROR(__xludf.dummyfunction("""COMPUTED_VALUE"""),250.206)</f>
        <v>250.206</v>
      </c>
      <c r="W86" s="170" t="n">
        <f aca="false">IFERROR(__xludf.dummyfunction("""COMPUTED_VALUE"""),0)</f>
        <v>0</v>
      </c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</row>
    <row r="87" customFormat="false" ht="15.75" hidden="false" customHeight="false" outlineLevel="0" collapsed="false">
      <c r="A87" s="168"/>
      <c r="B87" s="171" t="str">
        <f aca="false">IF(OR(E87=Report!$B$1, F87=Report!$B$1, G87=Report!$B$1, H87=Report!$B$1), D87, "")</f>
        <v>Hyský Aleš</v>
      </c>
      <c r="C87" s="172" t="b">
        <f aca="false">IFERROR(__xludf.dummyfunction("""COMPUTED_VALUE"""),FALSE())</f>
        <v>0</v>
      </c>
      <c r="D87" s="168" t="str">
        <f aca="false">IFERROR(__xludf.dummyfunction("""COMPUTED_VALUE"""),"Hyský Aleš")</f>
        <v>Hyský Aleš</v>
      </c>
      <c r="E87" s="168" t="str">
        <f aca="false">IFERROR(__xludf.dummyfunction("""COMPUTED_VALUE"""),"Chodov")</f>
        <v>Chodov</v>
      </c>
      <c r="F87" s="168"/>
      <c r="G87" s="168"/>
      <c r="H87" s="16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70" t="n">
        <f aca="false">IFERROR(__xludf.dummyfunction("""COMPUTED_VALUE"""),231.474)</f>
        <v>231.474</v>
      </c>
      <c r="W87" s="170" t="n">
        <f aca="false">IFERROR(__xludf.dummyfunction("""COMPUTED_VALUE"""),0)</f>
        <v>0</v>
      </c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</row>
    <row r="88" customFormat="false" ht="15.75" hidden="false" customHeight="false" outlineLevel="0" collapsed="false">
      <c r="A88" s="168"/>
      <c r="B88" s="171" t="str">
        <f aca="false">IF(OR(E88=Report!$B$1, F88=Report!$B$1, G88=Report!$B$1, H88=Report!$B$1), D88, "")</f>
        <v>Šmídová Sabina</v>
      </c>
      <c r="C88" s="172" t="b">
        <f aca="false">IFERROR(__xludf.dummyfunction("""COMPUTED_VALUE"""),FALSE())</f>
        <v>0</v>
      </c>
      <c r="D88" s="168" t="str">
        <f aca="false">IFERROR(__xludf.dummyfunction("""COMPUTED_VALUE"""),"Šmídová Sabina")</f>
        <v>Šmídová Sabina</v>
      </c>
      <c r="E88" s="168" t="str">
        <f aca="false">IFERROR(__xludf.dummyfunction("""COMPUTED_VALUE"""),"Chodov")</f>
        <v>Chodov</v>
      </c>
      <c r="F88" s="168" t="str">
        <f aca="false">IFERROR(__xludf.dummyfunction("""COMPUTED_VALUE"""),"Prosek")</f>
        <v>Prosek</v>
      </c>
      <c r="G88" s="168"/>
      <c r="H88" s="16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70" t="n">
        <f aca="false">IFERROR(__xludf.dummyfunction("""COMPUTED_VALUE"""),250.206)</f>
        <v>250.206</v>
      </c>
      <c r="W88" s="170" t="n">
        <f aca="false">IFERROR(__xludf.dummyfunction("""COMPUTED_VALUE"""),0)</f>
        <v>0</v>
      </c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</row>
    <row r="89" customFormat="false" ht="15.75" hidden="false" customHeight="false" outlineLevel="0" collapsed="false">
      <c r="A89" s="168"/>
      <c r="B89" s="171" t="str">
        <f aca="false">IF(OR(E89=Report!$B$1, F89=Report!$B$1, G89=Report!$B$1, H89=Report!$B$1), D89, "")</f>
        <v>Lažek Jaroslav</v>
      </c>
      <c r="C89" s="172" t="b">
        <f aca="false">IFERROR(__xludf.dummyfunction("""COMPUTED_VALUE"""),FALSE())</f>
        <v>0</v>
      </c>
      <c r="D89" s="168" t="str">
        <f aca="false">IFERROR(__xludf.dummyfunction("""COMPUTED_VALUE"""),"Lažek Jaroslav")</f>
        <v>Lažek Jaroslav</v>
      </c>
      <c r="E89" s="168" t="str">
        <f aca="false">IFERROR(__xludf.dummyfunction("""COMPUTED_VALUE"""),"Libuš")</f>
        <v>Libuš</v>
      </c>
      <c r="F89" s="168" t="str">
        <f aca="false">IFERROR(__xludf.dummyfunction("""COMPUTED_VALUE"""),"Chodov")</f>
        <v>Chodov</v>
      </c>
      <c r="G89" s="168" t="str">
        <f aca="false">IFERROR(__xludf.dummyfunction("""COMPUTED_VALUE"""),"Malešice")</f>
        <v>Malešice</v>
      </c>
      <c r="H89" s="168" t="str">
        <f aca="false">IFERROR(__xludf.dummyfunction("""COMPUTED_VALUE"""),"Výroba")</f>
        <v>Výroba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70" t="n">
        <f aca="false">IFERROR(__xludf.dummyfunction("""COMPUTED_VALUE"""),170)</f>
        <v>170</v>
      </c>
      <c r="W89" s="170" t="n">
        <f aca="false">IFERROR(__xludf.dummyfunction("""COMPUTED_VALUE"""),0)</f>
        <v>0</v>
      </c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</row>
    <row r="90" customFormat="false" ht="15.75" hidden="false" customHeight="false" outlineLevel="0" collapsed="false">
      <c r="A90" s="168"/>
      <c r="B90" s="171" t="str">
        <f aca="false">IF(OR(E90=Report!$B$1, F90=Report!$B$1, G90=Report!$B$1, H90=Report!$B$1), D90, "")</f>
        <v/>
      </c>
      <c r="C90" s="172" t="b">
        <f aca="false">IFERROR(__xludf.dummyfunction("""COMPUTED_VALUE"""),FALSE())</f>
        <v>0</v>
      </c>
      <c r="D90" s="168" t="str">
        <f aca="false">IFERROR(__xludf.dummyfunction("""COMPUTED_VALUE"""),"Kormash Liubov")</f>
        <v>Kormash Liubov</v>
      </c>
      <c r="E90" s="168" t="str">
        <f aca="false">IFERROR(__xludf.dummyfunction("""COMPUTED_VALUE"""),"Zličín")</f>
        <v>Zličín</v>
      </c>
      <c r="F90" s="168" t="str">
        <f aca="false">IFERROR(__xludf.dummyfunction("""COMPUTED_VALUE"""),"Prosek")</f>
        <v>Prosek</v>
      </c>
      <c r="G90" s="168"/>
      <c r="H90" s="168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70" t="n">
        <f aca="false">IFERROR(__xludf.dummyfunction("""COMPUTED_VALUE"""),160)</f>
        <v>160</v>
      </c>
      <c r="W90" s="170" t="n">
        <f aca="false">IFERROR(__xludf.dummyfunction("""COMPUTED_VALUE"""),0)</f>
        <v>0</v>
      </c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</row>
    <row r="91" customFormat="false" ht="15.75" hidden="false" customHeight="false" outlineLevel="0" collapsed="false">
      <c r="A91" s="168"/>
      <c r="B91" s="171" t="str">
        <f aca="false">IF(OR(E91=Report!$B$1, F91=Report!$B$1, G91=Report!$B$1, H91=Report!$B$1), D91, "")</f>
        <v/>
      </c>
      <c r="C91" s="172" t="b">
        <f aca="false">IFERROR(__xludf.dummyfunction("""COMPUTED_VALUE"""),FALSE())</f>
        <v>0</v>
      </c>
      <c r="D91" s="168"/>
      <c r="E91" s="168"/>
      <c r="F91" s="168"/>
      <c r="G91" s="168"/>
      <c r="H91" s="168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70" t="n">
        <f aca="false">IFERROR(__xludf.dummyfunction("""COMPUTED_VALUE"""),0)</f>
        <v>0</v>
      </c>
      <c r="W91" s="170" t="n">
        <f aca="false">IFERROR(__xludf.dummyfunction("""COMPUTED_VALUE"""),0)</f>
        <v>0</v>
      </c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customFormat="false" ht="15.75" hidden="false" customHeight="false" outlineLevel="0" collapsed="false">
      <c r="A92" s="168"/>
      <c r="B92" s="171" t="str">
        <f aca="false">IF(OR(E92=Report!$B$1, F92=Report!$B$1, G92=Report!$B$1, H92=Report!$B$1), D92, "")</f>
        <v/>
      </c>
      <c r="C92" s="172" t="b">
        <f aca="false">IFERROR(__xludf.dummyfunction("""COMPUTED_VALUE"""),FALSE())</f>
        <v>0</v>
      </c>
      <c r="D92" s="168"/>
      <c r="E92" s="168"/>
      <c r="F92" s="168"/>
      <c r="G92" s="168"/>
      <c r="H92" s="168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70" t="n">
        <f aca="false">IFERROR(__xludf.dummyfunction("""COMPUTED_VALUE"""),0)</f>
        <v>0</v>
      </c>
      <c r="W92" s="170" t="n">
        <f aca="false">IFERROR(__xludf.dummyfunction("""COMPUTED_VALUE"""),0)</f>
        <v>0</v>
      </c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</row>
    <row r="93" customFormat="false" ht="15.75" hidden="false" customHeight="false" outlineLevel="0" collapsed="false">
      <c r="A93" s="168"/>
      <c r="B93" s="171" t="str">
        <f aca="false">IF(OR(E93=Report!$B$1, F93=Report!$B$1, G93=Report!$B$1, H93=Report!$B$1), D93, "")</f>
        <v>Chlubna Tomáš</v>
      </c>
      <c r="C93" s="172" t="b">
        <f aca="false">IFERROR(__xludf.dummyfunction("""COMPUTED_VALUE"""),FALSE())</f>
        <v>0</v>
      </c>
      <c r="D93" s="168" t="str">
        <f aca="false">IFERROR(__xludf.dummyfunction("""COMPUTED_VALUE"""),"Chlubna Tomáš")</f>
        <v>Chlubna Tomáš</v>
      </c>
      <c r="E93" s="168" t="str">
        <f aca="false">IFERROR(__xludf.dummyfunction("""COMPUTED_VALUE"""),"Chodov")</f>
        <v>Chodov</v>
      </c>
      <c r="F93" s="168" t="str">
        <f aca="false">IFERROR(__xludf.dummyfunction("""COMPUTED_VALUE"""),"Libuš")</f>
        <v>Libuš</v>
      </c>
      <c r="G93" s="168" t="str">
        <f aca="false">IFERROR(__xludf.dummyfunction("""COMPUTED_VALUE"""),"Výroba")</f>
        <v>Výroba</v>
      </c>
      <c r="H93" s="168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70" t="n">
        <f aca="false">IFERROR(__xludf.dummyfunction("""COMPUTED_VALUE"""),250.206)</f>
        <v>250.206</v>
      </c>
      <c r="W93" s="170" t="n">
        <f aca="false">IFERROR(__xludf.dummyfunction("""COMPUTED_VALUE"""),0)</f>
        <v>0</v>
      </c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</row>
    <row r="94" customFormat="false" ht="15.75" hidden="false" customHeight="false" outlineLevel="0" collapsed="false">
      <c r="A94" s="168"/>
      <c r="B94" s="171" t="str">
        <f aca="false">IF(OR(E94=Report!$B$1, F94=Report!$B$1, G94=Report!$B$1, H94=Report!$B$1), D94, "")</f>
        <v/>
      </c>
      <c r="C94" s="172" t="b">
        <f aca="false">IFERROR(__xludf.dummyfunction("""COMPUTED_VALUE"""),FALSE())</f>
        <v>0</v>
      </c>
      <c r="D94" s="168" t="str">
        <f aca="false">IFERROR(__xludf.dummyfunction("""COMPUTED_VALUE"""),"Vychivskyi Volodymyr")</f>
        <v>Vychivskyi Volodymyr</v>
      </c>
      <c r="E94" s="168" t="str">
        <f aca="false">IFERROR(__xludf.dummyfunction("""COMPUTED_VALUE"""),"Malešice")</f>
        <v>Malešice</v>
      </c>
      <c r="F94" s="168" t="str">
        <f aca="false">IFERROR(__xludf.dummyfunction("""COMPUTED_VALUE"""),"Prosek")</f>
        <v>Prosek</v>
      </c>
      <c r="G94" s="168" t="str">
        <f aca="false">IFERROR(__xludf.dummyfunction("""COMPUTED_VALUE"""),"Zličín")</f>
        <v>Zličín</v>
      </c>
      <c r="H94" s="168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70" t="n">
        <f aca="false">IFERROR(__xludf.dummyfunction("""COMPUTED_VALUE"""),250.206)</f>
        <v>250.206</v>
      </c>
      <c r="W94" s="170" t="n">
        <f aca="false">IFERROR(__xludf.dummyfunction("""COMPUTED_VALUE"""),0)</f>
        <v>0</v>
      </c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customFormat="false" ht="15.75" hidden="false" customHeight="false" outlineLevel="0" collapsed="false">
      <c r="A95" s="168"/>
      <c r="B95" s="171" t="str">
        <f aca="false">IF(OR(E95=Report!$B$1, F95=Report!$B$1, G95=Report!$B$1, H95=Report!$B$1), D95, "")</f>
        <v/>
      </c>
      <c r="C95" s="172" t="b">
        <f aca="false">IFERROR(__xludf.dummyfunction("""COMPUTED_VALUE"""),FALSE())</f>
        <v>0</v>
      </c>
      <c r="D95" s="168"/>
      <c r="E95" s="168"/>
      <c r="F95" s="168"/>
      <c r="G95" s="168"/>
      <c r="H95" s="168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70" t="n">
        <f aca="false">IFERROR(__xludf.dummyfunction("""COMPUTED_VALUE"""),0)</f>
        <v>0</v>
      </c>
      <c r="W95" s="170" t="n">
        <f aca="false">IFERROR(__xludf.dummyfunction("""COMPUTED_VALUE"""),0)</f>
        <v>0</v>
      </c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customFormat="false" ht="15.75" hidden="false" customHeight="false" outlineLevel="0" collapsed="false">
      <c r="A96" s="168"/>
      <c r="B96" s="171" t="str">
        <f aca="false">IF(OR(E96=Report!$B$1, F96=Report!$B$1, G96=Report!$B$1, H96=Report!$B$1), D96, "")</f>
        <v>Hřebík Martin</v>
      </c>
      <c r="C96" s="172" t="b">
        <f aca="false">IFERROR(__xludf.dummyfunction("""COMPUTED_VALUE"""),FALSE())</f>
        <v>0</v>
      </c>
      <c r="D96" s="168" t="str">
        <f aca="false">IFERROR(__xludf.dummyfunction("""COMPUTED_VALUE"""),"Hřebík Martin")</f>
        <v>Hřebík Martin</v>
      </c>
      <c r="E96" s="168" t="str">
        <f aca="false">IFERROR(__xludf.dummyfunction("""COMPUTED_VALUE"""),"Výroba")</f>
        <v>Výroba</v>
      </c>
      <c r="F96" s="168" t="str">
        <f aca="false">IFERROR(__xludf.dummyfunction("""COMPUTED_VALUE"""),"Chodov")</f>
        <v>Chodov</v>
      </c>
      <c r="G96" s="168" t="str">
        <f aca="false">IFERROR(__xludf.dummyfunction("""COMPUTED_VALUE"""),"Prosek")</f>
        <v>Prosek</v>
      </c>
      <c r="H96" s="168" t="str">
        <f aca="false">IFERROR(__xludf.dummyfunction("""COMPUTED_VALUE"""),"Libuš")</f>
        <v>Libuš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70" t="n">
        <f aca="false">IFERROR(__xludf.dummyfunction("""COMPUTED_VALUE"""),386.682)</f>
        <v>386.682</v>
      </c>
      <c r="W96" s="170" t="n">
        <f aca="false">IFERROR(__xludf.dummyfunction("""COMPUTED_VALUE"""),2577.88)</f>
        <v>2577.88</v>
      </c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customFormat="false" ht="15.75" hidden="false" customHeight="false" outlineLevel="0" collapsed="false">
      <c r="A97" s="168"/>
      <c r="B97" s="171" t="str">
        <f aca="false">IF(OR(E97=Report!$B$1, F97=Report!$B$1, G97=Report!$B$1, H97=Report!$B$1), D97, "")</f>
        <v/>
      </c>
      <c r="C97" s="172" t="b">
        <f aca="false">IFERROR(__xludf.dummyfunction("""COMPUTED_VALUE"""),FALSE())</f>
        <v>0</v>
      </c>
      <c r="D97" s="168" t="str">
        <f aca="false">IFERROR(__xludf.dummyfunction("""COMPUTED_VALUE"""),"Eszenyiová Patrícia")</f>
        <v>Eszenyiová Patrícia</v>
      </c>
      <c r="E97" s="168" t="str">
        <f aca="false">IFERROR(__xludf.dummyfunction("""COMPUTED_VALUE"""),"Libuš")</f>
        <v>Libuš</v>
      </c>
      <c r="F97" s="168"/>
      <c r="G97" s="168"/>
      <c r="H97" s="168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70" t="n">
        <f aca="false">IFERROR(__xludf.dummyfunction("""COMPUTED_VALUE"""),250.206)</f>
        <v>250.206</v>
      </c>
      <c r="W97" s="170" t="n">
        <f aca="false">IFERROR(__xludf.dummyfunction("""COMPUTED_VALUE"""),0)</f>
        <v>0</v>
      </c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customFormat="false" ht="15.75" hidden="false" customHeight="false" outlineLevel="0" collapsed="false">
      <c r="A98" s="168"/>
      <c r="B98" s="171" t="str">
        <f aca="false">IF(OR(E98=Report!$B$1, F98=Report!$B$1, G98=Report!$B$1, H98=Report!$B$1), D98, "")</f>
        <v>Reischl Jan</v>
      </c>
      <c r="C98" s="172" t="b">
        <f aca="false">IFERROR(__xludf.dummyfunction("""COMPUTED_VALUE"""),FALSE())</f>
        <v>0</v>
      </c>
      <c r="D98" s="168" t="str">
        <f aca="false">IFERROR(__xludf.dummyfunction("""COMPUTED_VALUE"""),"Reischl Jan")</f>
        <v>Reischl Jan</v>
      </c>
      <c r="E98" s="168" t="str">
        <f aca="false">IFERROR(__xludf.dummyfunction("""COMPUTED_VALUE"""),"Malešice")</f>
        <v>Malešice</v>
      </c>
      <c r="F98" s="168" t="str">
        <f aca="false">IFERROR(__xludf.dummyfunction("""COMPUTED_VALUE"""),"Chodov")</f>
        <v>Chodov</v>
      </c>
      <c r="G98" s="168" t="str">
        <f aca="false">IFERROR(__xludf.dummyfunction("""COMPUTED_VALUE"""),"Libuš")</f>
        <v>Libuš</v>
      </c>
      <c r="H98" s="168" t="str">
        <f aca="false">IFERROR(__xludf.dummyfunction("""COMPUTED_VALUE"""),"Prosek")</f>
        <v>Prosek</v>
      </c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70" t="n">
        <f aca="false">IFERROR(__xludf.dummyfunction("""COMPUTED_VALUE"""),214.08)</f>
        <v>214.08</v>
      </c>
      <c r="W98" s="170" t="n">
        <f aca="false">IFERROR(__xludf.dummyfunction("""COMPUTED_VALUE"""),0)</f>
        <v>0</v>
      </c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customFormat="false" ht="15.75" hidden="false" customHeight="false" outlineLevel="0" collapsed="false">
      <c r="A99" s="168"/>
      <c r="B99" s="171" t="str">
        <f aca="false">IF(OR(E99=Report!$B$1, F99=Report!$B$1, G99=Report!$B$1, H99=Report!$B$1), D99, "")</f>
        <v/>
      </c>
      <c r="C99" s="172" t="b">
        <f aca="false">IFERROR(__xludf.dummyfunction("""COMPUTED_VALUE"""),FALSE())</f>
        <v>0</v>
      </c>
      <c r="D99" s="168" t="str">
        <f aca="false">IFERROR(__xludf.dummyfunction("""COMPUTED_VALUE"""),"Mikešová Adéla")</f>
        <v>Mikešová Adéla</v>
      </c>
      <c r="E99" s="168" t="str">
        <f aca="false">IFERROR(__xludf.dummyfunction("""COMPUTED_VALUE"""),"Bolevec")</f>
        <v>Bolevec</v>
      </c>
      <c r="F99" s="168"/>
      <c r="G99" s="168"/>
      <c r="H99" s="168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70" t="n">
        <f aca="false">IFERROR(__xludf.dummyfunction("""COMPUTED_VALUE"""),214.08)</f>
        <v>214.08</v>
      </c>
      <c r="W99" s="170" t="n">
        <f aca="false">IFERROR(__xludf.dummyfunction("""COMPUTED_VALUE"""),0)</f>
        <v>0</v>
      </c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customFormat="false" ht="15.75" hidden="false" customHeight="false" outlineLevel="0" collapsed="false">
      <c r="A100" s="168"/>
      <c r="B100" s="171" t="str">
        <f aca="false">IF(OR(E100=Report!$B$1, F100=Report!$B$1, G100=Report!$B$1, H100=Report!$B$1), D100, "")</f>
        <v>Pražák Aleš</v>
      </c>
      <c r="C100" s="172" t="b">
        <f aca="false">IFERROR(__xludf.dummyfunction("""COMPUTED_VALUE"""),FALSE())</f>
        <v>0</v>
      </c>
      <c r="D100" s="168" t="str">
        <f aca="false">IFERROR(__xludf.dummyfunction("""COMPUTED_VALUE"""),"Pražák Aleš")</f>
        <v>Pražák Aleš</v>
      </c>
      <c r="E100" s="168" t="str">
        <f aca="false">IFERROR(__xludf.dummyfunction("""COMPUTED_VALUE"""),"Chodov")</f>
        <v>Chodov</v>
      </c>
      <c r="F100" s="168"/>
      <c r="G100" s="168"/>
      <c r="H100" s="168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70" t="n">
        <f aca="false">IFERROR(__xludf.dummyfunction("""COMPUTED_VALUE"""),231.474)</f>
        <v>231.474</v>
      </c>
      <c r="W100" s="170" t="n">
        <f aca="false">IFERROR(__xludf.dummyfunction("""COMPUTED_VALUE"""),0)</f>
        <v>0</v>
      </c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customFormat="false" ht="15.75" hidden="false" customHeight="false" outlineLevel="0" collapsed="false">
      <c r="A101" s="168"/>
      <c r="B101" s="171" t="str">
        <f aca="false">IF(OR(E101=Report!$B$1, F101=Report!$B$1, G101=Report!$B$1, H101=Report!$B$1), D101, "")</f>
        <v>Chyský David</v>
      </c>
      <c r="C101" s="172" t="b">
        <f aca="false">IFERROR(__xludf.dummyfunction("""COMPUTED_VALUE"""),FALSE())</f>
        <v>0</v>
      </c>
      <c r="D101" s="168" t="str">
        <f aca="false">IFERROR(__xludf.dummyfunction("""COMPUTED_VALUE"""),"Chyský David")</f>
        <v>Chyský David</v>
      </c>
      <c r="E101" s="168" t="str">
        <f aca="false">IFERROR(__xludf.dummyfunction("""COMPUTED_VALUE"""),"Chodov")</f>
        <v>Chodov</v>
      </c>
      <c r="F101" s="168"/>
      <c r="G101" s="168"/>
      <c r="H101" s="168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70" t="n">
        <f aca="false">IFERROR(__xludf.dummyfunction("""COMPUTED_VALUE"""),231.474)</f>
        <v>231.474</v>
      </c>
      <c r="W101" s="170" t="n">
        <f aca="false">IFERROR(__xludf.dummyfunction("""COMPUTED_VALUE"""),0)</f>
        <v>0</v>
      </c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customFormat="false" ht="15.75" hidden="false" customHeight="false" outlineLevel="0" collapsed="false">
      <c r="A102" s="168"/>
      <c r="B102" s="171" t="str">
        <f aca="false">IF(OR(E102=Report!$B$1, F102=Report!$B$1, G102=Report!$B$1, H102=Report!$B$1), D102, "")</f>
        <v/>
      </c>
      <c r="C102" s="172" t="b">
        <f aca="false">IFERROR(__xludf.dummyfunction("""COMPUTED_VALUE"""),FALSE())</f>
        <v>0</v>
      </c>
      <c r="D102" s="168"/>
      <c r="E102" s="168"/>
      <c r="F102" s="168"/>
      <c r="G102" s="168"/>
      <c r="H102" s="168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70" t="n">
        <f aca="false">IFERROR(__xludf.dummyfunction("""COMPUTED_VALUE"""),0)</f>
        <v>0</v>
      </c>
      <c r="W102" s="170" t="n">
        <f aca="false">IFERROR(__xludf.dummyfunction("""COMPUTED_VALUE"""),0)</f>
        <v>0</v>
      </c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customFormat="false" ht="15.75" hidden="false" customHeight="false" outlineLevel="0" collapsed="false">
      <c r="A103" s="168"/>
      <c r="B103" s="171" t="str">
        <f aca="false">IF(OR(E103=Report!$B$1, F103=Report!$B$1, G103=Report!$B$1, H103=Report!$B$1), D103, "")</f>
        <v/>
      </c>
      <c r="C103" s="172" t="b">
        <f aca="false">IFERROR(__xludf.dummyfunction("""COMPUTED_VALUE"""),FALSE())</f>
        <v>0</v>
      </c>
      <c r="D103" s="168"/>
      <c r="E103" s="168"/>
      <c r="F103" s="168"/>
      <c r="G103" s="168"/>
      <c r="H103" s="168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70" t="n">
        <f aca="false">IFERROR(__xludf.dummyfunction("""COMPUTED_VALUE"""),0)</f>
        <v>0</v>
      </c>
      <c r="W103" s="170" t="n">
        <f aca="false">IFERROR(__xludf.dummyfunction("""COMPUTED_VALUE"""),0)</f>
        <v>0</v>
      </c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customFormat="false" ht="15.75" hidden="false" customHeight="false" outlineLevel="0" collapsed="false">
      <c r="A104" s="168"/>
      <c r="B104" s="171" t="str">
        <f aca="false">IF(OR(E104=Report!$B$1, F104=Report!$B$1, G104=Report!$B$1, H104=Report!$B$1), D104, "")</f>
        <v/>
      </c>
      <c r="C104" s="172" t="b">
        <f aca="false">IFERROR(__xludf.dummyfunction("""COMPUTED_VALUE"""),FALSE())</f>
        <v>0</v>
      </c>
      <c r="D104" s="168" t="str">
        <f aca="false">IFERROR(__xludf.dummyfunction("""COMPUTED_VALUE"""),"Kulinič Michail")</f>
        <v>Kulinič Michail</v>
      </c>
      <c r="E104" s="168" t="str">
        <f aca="false">IFERROR(__xludf.dummyfunction("""COMPUTED_VALUE"""),"Prosek")</f>
        <v>Prosek</v>
      </c>
      <c r="F104" s="168"/>
      <c r="G104" s="168"/>
      <c r="H104" s="168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70" t="n">
        <f aca="false">IFERROR(__xludf.dummyfunction("""COMPUTED_VALUE"""),231.474)</f>
        <v>231.474</v>
      </c>
      <c r="W104" s="170" t="n">
        <f aca="false">IFERROR(__xludf.dummyfunction("""COMPUTED_VALUE"""),0)</f>
        <v>0</v>
      </c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customFormat="false" ht="15.75" hidden="false" customHeight="false" outlineLevel="0" collapsed="false">
      <c r="A105" s="168"/>
      <c r="B105" s="171" t="str">
        <f aca="false">IF(OR(E105=Report!$B$1, F105=Report!$B$1, G105=Report!$B$1, H105=Report!$B$1), D105, "")</f>
        <v/>
      </c>
      <c r="C105" s="172" t="b">
        <f aca="false">IFERROR(__xludf.dummyfunction("""COMPUTED_VALUE"""),FALSE())</f>
        <v>0</v>
      </c>
      <c r="D105" s="168" t="str">
        <f aca="false">IFERROR(__xludf.dummyfunction("""COMPUTED_VALUE"""),"Kalina Filip")</f>
        <v>Kalina Filip</v>
      </c>
      <c r="E105" s="168" t="str">
        <f aca="false">IFERROR(__xludf.dummyfunction("""COMPUTED_VALUE"""),"Malešice")</f>
        <v>Malešice</v>
      </c>
      <c r="F105" s="168" t="str">
        <f aca="false">IFERROR(__xludf.dummyfunction("""COMPUTED_VALUE"""),"Libuš")</f>
        <v>Libuš</v>
      </c>
      <c r="G105" s="168"/>
      <c r="H105" s="168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70" t="n">
        <f aca="false">IFERROR(__xludf.dummyfunction("""COMPUTED_VALUE"""),231.474)</f>
        <v>231.474</v>
      </c>
      <c r="W105" s="170" t="n">
        <f aca="false">IFERROR(__xludf.dummyfunction("""COMPUTED_VALUE"""),0)</f>
        <v>0</v>
      </c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customFormat="false" ht="15.75" hidden="false" customHeight="false" outlineLevel="0" collapsed="false">
      <c r="A106" s="168"/>
      <c r="B106" s="171" t="str">
        <f aca="false">IF(OR(E106=Report!$B$1, F106=Report!$B$1, G106=Report!$B$1, H106=Report!$B$1), D106, "")</f>
        <v/>
      </c>
      <c r="C106" s="172" t="b">
        <f aca="false">IFERROR(__xludf.dummyfunction("""COMPUTED_VALUE"""),FALSE())</f>
        <v>0</v>
      </c>
      <c r="D106" s="168"/>
      <c r="E106" s="168"/>
      <c r="F106" s="168"/>
      <c r="G106" s="168"/>
      <c r="H106" s="168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70" t="n">
        <f aca="false">IFERROR(__xludf.dummyfunction("""COMPUTED_VALUE"""),0)</f>
        <v>0</v>
      </c>
      <c r="W106" s="170" t="n">
        <f aca="false">IFERROR(__xludf.dummyfunction("""COMPUTED_VALUE"""),0)</f>
        <v>0</v>
      </c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customFormat="false" ht="15.75" hidden="false" customHeight="false" outlineLevel="0" collapsed="false">
      <c r="A107" s="168"/>
      <c r="B107" s="171" t="str">
        <f aca="false">IF(OR(E107=Report!$B$1, F107=Report!$B$1, G107=Report!$B$1, H107=Report!$B$1), D107, "")</f>
        <v/>
      </c>
      <c r="C107" s="172" t="b">
        <f aca="false">IFERROR(__xludf.dummyfunction("""COMPUTED_VALUE"""),FALSE())</f>
        <v>0</v>
      </c>
      <c r="D107" s="168" t="str">
        <f aca="false">IFERROR(__xludf.dummyfunction("""COMPUTED_VALUE"""),"Kaločai Rudolf")</f>
        <v>Kaločai Rudolf</v>
      </c>
      <c r="E107" s="168" t="str">
        <f aca="false">IFERROR(__xludf.dummyfunction("""COMPUTED_VALUE"""),"Bolevec")</f>
        <v>Bolevec</v>
      </c>
      <c r="F107" s="168"/>
      <c r="G107" s="168"/>
      <c r="H107" s="168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70" t="n">
        <f aca="false">IFERROR(__xludf.dummyfunction("""COMPUTED_VALUE"""),140)</f>
        <v>140</v>
      </c>
      <c r="W107" s="170" t="n">
        <f aca="false">IFERROR(__xludf.dummyfunction("""COMPUTED_VALUE"""),0)</f>
        <v>0</v>
      </c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customFormat="false" ht="15.75" hidden="false" customHeight="false" outlineLevel="0" collapsed="false">
      <c r="A108" s="168"/>
      <c r="B108" s="171" t="str">
        <f aca="false">IF(OR(E108=Report!$B$1, F108=Report!$B$1, G108=Report!$B$1, H108=Report!$B$1), D108, "")</f>
        <v/>
      </c>
      <c r="C108" s="172" t="b">
        <f aca="false">IFERROR(__xludf.dummyfunction("""COMPUTED_VALUE"""),FALSE())</f>
        <v>0</v>
      </c>
      <c r="D108" s="168" t="str">
        <f aca="false">IFERROR(__xludf.dummyfunction("""COMPUTED_VALUE"""),"Dušek Sam")</f>
        <v>Dušek Sam</v>
      </c>
      <c r="E108" s="168" t="str">
        <f aca="false">IFERROR(__xludf.dummyfunction("""COMPUTED_VALUE"""),"Libuš")</f>
        <v>Libuš</v>
      </c>
      <c r="F108" s="168" t="str">
        <f aca="false">IFERROR(__xludf.dummyfunction("""COMPUTED_VALUE"""),"Malešice")</f>
        <v>Malešice</v>
      </c>
      <c r="G108" s="168"/>
      <c r="H108" s="168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70" t="n">
        <f aca="false">IFERROR(__xludf.dummyfunction("""COMPUTED_VALUE"""),250.206)</f>
        <v>250.206</v>
      </c>
      <c r="W108" s="170" t="n">
        <f aca="false">IFERROR(__xludf.dummyfunction("""COMPUTED_VALUE"""),0)</f>
        <v>0</v>
      </c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customFormat="false" ht="15.75" hidden="false" customHeight="false" outlineLevel="0" collapsed="false">
      <c r="A109" s="168"/>
      <c r="B109" s="171" t="str">
        <f aca="false">IF(OR(E109=Report!$B$1, F109=Report!$B$1, G109=Report!$B$1, H109=Report!$B$1), D109, "")</f>
        <v/>
      </c>
      <c r="C109" s="172" t="b">
        <f aca="false">IFERROR(__xludf.dummyfunction("""COMPUTED_VALUE"""),FALSE())</f>
        <v>0</v>
      </c>
      <c r="D109" s="168" t="str">
        <f aca="false">IFERROR(__xludf.dummyfunction("""COMPUTED_VALUE"""),"Kačena Stanislav")</f>
        <v>Kačena Stanislav</v>
      </c>
      <c r="E109" s="168" t="str">
        <f aca="false">IFERROR(__xludf.dummyfunction("""COMPUTED_VALUE"""),"Prosek")</f>
        <v>Prosek</v>
      </c>
      <c r="F109" s="168"/>
      <c r="G109" s="168"/>
      <c r="H109" s="168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70" t="n">
        <f aca="false">IFERROR(__xludf.dummyfunction("""COMPUTED_VALUE"""),231.474)</f>
        <v>231.474</v>
      </c>
      <c r="W109" s="170" t="n">
        <f aca="false">IFERROR(__xludf.dummyfunction("""COMPUTED_VALUE"""),0)</f>
        <v>0</v>
      </c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customFormat="false" ht="15.75" hidden="false" customHeight="false" outlineLevel="0" collapsed="false">
      <c r="A110" s="168"/>
      <c r="B110" s="171" t="str">
        <f aca="false">IF(OR(E110=Report!$B$1, F110=Report!$B$1, G110=Report!$B$1, H110=Report!$B$1), D110, "")</f>
        <v/>
      </c>
      <c r="C110" s="172" t="b">
        <f aca="false">IFERROR(__xludf.dummyfunction("""COMPUTED_VALUE"""),FALSE())</f>
        <v>0</v>
      </c>
      <c r="D110" s="168" t="str">
        <f aca="false">IFERROR(__xludf.dummyfunction("""COMPUTED_VALUE"""),"Cieslar Marek")</f>
        <v>Cieslar Marek</v>
      </c>
      <c r="E110" s="168" t="str">
        <f aca="false">IFERROR(__xludf.dummyfunction("""COMPUTED_VALUE"""),"Libuš")</f>
        <v>Libuš</v>
      </c>
      <c r="F110" s="168"/>
      <c r="G110" s="168"/>
      <c r="H110" s="168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70" t="n">
        <f aca="false">IFERROR(__xludf.dummyfunction("""COMPUTED_VALUE"""),214.08)</f>
        <v>214.08</v>
      </c>
      <c r="W110" s="170" t="n">
        <f aca="false">IFERROR(__xludf.dummyfunction("""COMPUTED_VALUE"""),0)</f>
        <v>0</v>
      </c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customFormat="false" ht="15.75" hidden="false" customHeight="false" outlineLevel="0" collapsed="false">
      <c r="A111" s="168"/>
      <c r="B111" s="171" t="str">
        <f aca="false">IF(OR(E111=Report!$B$1, F111=Report!$B$1, G111=Report!$B$1, H111=Report!$B$1), D111, "")</f>
        <v/>
      </c>
      <c r="C111" s="172" t="b">
        <f aca="false">IFERROR(__xludf.dummyfunction("""COMPUTED_VALUE"""),FALSE())</f>
        <v>0</v>
      </c>
      <c r="D111" s="168" t="str">
        <f aca="false">IFERROR(__xludf.dummyfunction("""COMPUTED_VALUE"""),"Banga Adam")</f>
        <v>Banga Adam</v>
      </c>
      <c r="E111" s="168" t="str">
        <f aca="false">IFERROR(__xludf.dummyfunction("""COMPUTED_VALUE"""),"Zličín")</f>
        <v>Zličín</v>
      </c>
      <c r="F111" s="168"/>
      <c r="G111" s="168"/>
      <c r="H111" s="168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70" t="n">
        <f aca="false">IFERROR(__xludf.dummyfunction("""COMPUTED_VALUE"""),231.474)</f>
        <v>231.474</v>
      </c>
      <c r="W111" s="170" t="n">
        <f aca="false">IFERROR(__xludf.dummyfunction("""COMPUTED_VALUE"""),0)</f>
        <v>0</v>
      </c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customFormat="false" ht="15.75" hidden="false" customHeight="false" outlineLevel="0" collapsed="false">
      <c r="A112" s="168"/>
      <c r="B112" s="171" t="str">
        <f aca="false">IF(OR(E112=Report!$B$1, F112=Report!$B$1, G112=Report!$B$1, H112=Report!$B$1), D112, "")</f>
        <v/>
      </c>
      <c r="C112" s="172" t="b">
        <f aca="false">IFERROR(__xludf.dummyfunction("""COMPUTED_VALUE"""),FALSE())</f>
        <v>0</v>
      </c>
      <c r="D112" s="168" t="str">
        <f aca="false">IFERROR(__xludf.dummyfunction("""COMPUTED_VALUE"""),"Vopatová Anna")</f>
        <v>Vopatová Anna</v>
      </c>
      <c r="E112" s="168" t="str">
        <f aca="false">IFERROR(__xludf.dummyfunction("""COMPUTED_VALUE"""),"Bolevec")</f>
        <v>Bolevec</v>
      </c>
      <c r="F112" s="168"/>
      <c r="G112" s="168"/>
      <c r="H112" s="168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70" t="n">
        <f aca="false">IFERROR(__xludf.dummyfunction("""COMPUTED_VALUE"""),214.08)</f>
        <v>214.08</v>
      </c>
      <c r="W112" s="170" t="n">
        <f aca="false">IFERROR(__xludf.dummyfunction("""COMPUTED_VALUE"""),0)</f>
        <v>0</v>
      </c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customFormat="false" ht="15.75" hidden="false" customHeight="false" outlineLevel="0" collapsed="false">
      <c r="A113" s="168"/>
      <c r="B113" s="171" t="str">
        <f aca="false">IF(OR(E113=Report!$B$1, F113=Report!$B$1, G113=Report!$B$1, H113=Report!$B$1), D113, "")</f>
        <v/>
      </c>
      <c r="C113" s="172" t="b">
        <f aca="false">IFERROR(__xludf.dummyfunction("""COMPUTED_VALUE"""),FALSE())</f>
        <v>0</v>
      </c>
      <c r="D113" s="168" t="str">
        <f aca="false">IFERROR(__xludf.dummyfunction("""COMPUTED_VALUE"""),"Vopatová Šárka")</f>
        <v>Vopatová Šárka</v>
      </c>
      <c r="E113" s="168" t="str">
        <f aca="false">IFERROR(__xludf.dummyfunction("""COMPUTED_VALUE"""),"Bolevec")</f>
        <v>Bolevec</v>
      </c>
      <c r="F113" s="168"/>
      <c r="G113" s="168"/>
      <c r="H113" s="168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70" t="n">
        <f aca="false">IFERROR(__xludf.dummyfunction("""COMPUTED_VALUE"""),214.08)</f>
        <v>214.08</v>
      </c>
      <c r="W113" s="170" t="n">
        <f aca="false">IFERROR(__xludf.dummyfunction("""COMPUTED_VALUE"""),0)</f>
        <v>0</v>
      </c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customFormat="false" ht="15.75" hidden="false" customHeight="false" outlineLevel="0" collapsed="false">
      <c r="A114" s="168"/>
      <c r="B114" s="171" t="str">
        <f aca="false">IF(OR(E114=Report!$B$1, F114=Report!$B$1, G114=Report!$B$1, H114=Report!$B$1), D114, "")</f>
        <v/>
      </c>
      <c r="C114" s="172" t="b">
        <f aca="false">IFERROR(__xludf.dummyfunction("""COMPUTED_VALUE"""),FALSE())</f>
        <v>0</v>
      </c>
      <c r="D114" s="168" t="str">
        <f aca="false">IFERROR(__xludf.dummyfunction("""COMPUTED_VALUE"""),"Richterová Monika")</f>
        <v>Richterová Monika</v>
      </c>
      <c r="E114" s="168" t="str">
        <f aca="false">IFERROR(__xludf.dummyfunction("""COMPUTED_VALUE"""),"Malešice")</f>
        <v>Malešice</v>
      </c>
      <c r="F114" s="168"/>
      <c r="G114" s="168"/>
      <c r="H114" s="168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70" t="n">
        <f aca="false">IFERROR(__xludf.dummyfunction("""COMPUTED_VALUE"""),214.08)</f>
        <v>214.08</v>
      </c>
      <c r="W114" s="170" t="n">
        <f aca="false">IFERROR(__xludf.dummyfunction("""COMPUTED_VALUE"""),0)</f>
        <v>0</v>
      </c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customFormat="false" ht="15.75" hidden="false" customHeight="false" outlineLevel="0" collapsed="false">
      <c r="A115" s="168"/>
      <c r="B115" s="171" t="str">
        <f aca="false">IF(OR(E115=Report!$B$1, F115=Report!$B$1, G115=Report!$B$1, H115=Report!$B$1), D115, "")</f>
        <v/>
      </c>
      <c r="C115" s="172" t="b">
        <f aca="false">IFERROR(__xludf.dummyfunction("""COMPUTED_VALUE"""),FALSE())</f>
        <v>0</v>
      </c>
      <c r="D115" s="168" t="str">
        <f aca="false">IFERROR(__xludf.dummyfunction("""COMPUTED_VALUE"""),"Serin David")</f>
        <v>Serin David</v>
      </c>
      <c r="E115" s="168" t="str">
        <f aca="false">IFERROR(__xludf.dummyfunction("""COMPUTED_VALUE"""),"Libuš")</f>
        <v>Libuš</v>
      </c>
      <c r="F115" s="168" t="str">
        <f aca="false">IFERROR(__xludf.dummyfunction("""COMPUTED_VALUE"""),"Malešice")</f>
        <v>Malešice</v>
      </c>
      <c r="G115" s="168"/>
      <c r="H115" s="168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70" t="n">
        <f aca="false">IFERROR(__xludf.dummyfunction("""COMPUTED_VALUE"""),250.206)</f>
        <v>250.206</v>
      </c>
      <c r="W115" s="170" t="n">
        <f aca="false">IFERROR(__xludf.dummyfunction("""COMPUTED_VALUE"""),0)</f>
        <v>0</v>
      </c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customFormat="false" ht="15.75" hidden="false" customHeight="false" outlineLevel="0" collapsed="false">
      <c r="A116" s="168"/>
      <c r="B116" s="171" t="str">
        <f aca="false">IF(OR(E116=Report!$B$1, F116=Report!$B$1, G116=Report!$B$1, H116=Report!$B$1), D116, "")</f>
        <v>Fabera Tomáš</v>
      </c>
      <c r="C116" s="172" t="b">
        <f aca="false">IFERROR(__xludf.dummyfunction("""COMPUTED_VALUE"""),FALSE())</f>
        <v>0</v>
      </c>
      <c r="D116" s="168" t="str">
        <f aca="false">IFERROR(__xludf.dummyfunction("""COMPUTED_VALUE"""),"Fabera Tomáš")</f>
        <v>Fabera Tomáš</v>
      </c>
      <c r="E116" s="168" t="str">
        <f aca="false">IFERROR(__xludf.dummyfunction("""COMPUTED_VALUE"""),"Chodov")</f>
        <v>Chodov</v>
      </c>
      <c r="F116" s="168"/>
      <c r="G116" s="168"/>
      <c r="H116" s="168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70" t="n">
        <f aca="false">IFERROR(__xludf.dummyfunction("""COMPUTED_VALUE"""),231.474)</f>
        <v>231.474</v>
      </c>
      <c r="W116" s="170" t="n">
        <f aca="false">IFERROR(__xludf.dummyfunction("""COMPUTED_VALUE"""),0)</f>
        <v>0</v>
      </c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customFormat="false" ht="15.75" hidden="false" customHeight="false" outlineLevel="0" collapsed="false">
      <c r="A117" s="168"/>
      <c r="B117" s="171" t="str">
        <f aca="false">IF(OR(E117=Report!$B$1, F117=Report!$B$1, G117=Report!$B$1, H117=Report!$B$1), D117, "")</f>
        <v/>
      </c>
      <c r="C117" s="172" t="b">
        <f aca="false">IFERROR(__xludf.dummyfunction("""COMPUTED_VALUE"""),FALSE())</f>
        <v>0</v>
      </c>
      <c r="D117" s="168" t="str">
        <f aca="false">IFERROR(__xludf.dummyfunction("""COMPUTED_VALUE"""),"Hendrych Rostislav")</f>
        <v>Hendrych Rostislav</v>
      </c>
      <c r="E117" s="168" t="str">
        <f aca="false">IFERROR(__xludf.dummyfunction("""COMPUTED_VALUE"""),"Malešice")</f>
        <v>Malešice</v>
      </c>
      <c r="F117" s="168"/>
      <c r="G117" s="168"/>
      <c r="H117" s="168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70" t="n">
        <f aca="false">IFERROR(__xludf.dummyfunction("""COMPUTED_VALUE"""),250.206)</f>
        <v>250.206</v>
      </c>
      <c r="W117" s="170" t="n">
        <f aca="false">IFERROR(__xludf.dummyfunction("""COMPUTED_VALUE"""),0)</f>
        <v>0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customFormat="false" ht="15.75" hidden="false" customHeight="false" outlineLevel="0" collapsed="false">
      <c r="A118" s="168"/>
      <c r="B118" s="171" t="str">
        <f aca="false">IF(OR(E118=Report!$B$1, F118=Report!$B$1, G118=Report!$B$1, H118=Report!$B$1), D118, "")</f>
        <v/>
      </c>
      <c r="C118" s="172" t="b">
        <f aca="false">IFERROR(__xludf.dummyfunction("""COMPUTED_VALUE"""),FALSE())</f>
        <v>0</v>
      </c>
      <c r="D118" s="168"/>
      <c r="E118" s="168"/>
      <c r="F118" s="168"/>
      <c r="G118" s="168"/>
      <c r="H118" s="168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70" t="n">
        <f aca="false">IFERROR(__xludf.dummyfunction("""COMPUTED_VALUE"""),0)</f>
        <v>0</v>
      </c>
      <c r="W118" s="170" t="n">
        <f aca="false">IFERROR(__xludf.dummyfunction("""COMPUTED_VALUE"""),0)</f>
        <v>0</v>
      </c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customFormat="false" ht="15.75" hidden="false" customHeight="false" outlineLevel="0" collapsed="false">
      <c r="A119" s="168"/>
      <c r="B119" s="171" t="str">
        <f aca="false">IF(OR(E119=Report!$B$1, F119=Report!$B$1, G119=Report!$B$1, H119=Report!$B$1), D119, "")</f>
        <v/>
      </c>
      <c r="C119" s="172" t="b">
        <f aca="false">IFERROR(__xludf.dummyfunction("""COMPUTED_VALUE"""),FALSE())</f>
        <v>0</v>
      </c>
      <c r="D119" s="168" t="str">
        <f aca="false">IFERROR(__xludf.dummyfunction("""COMPUTED_VALUE"""),"Světlík František")</f>
        <v>Světlík František</v>
      </c>
      <c r="E119" s="168" t="str">
        <f aca="false">IFERROR(__xludf.dummyfunction("""COMPUTED_VALUE"""),"Bolevec")</f>
        <v>Bolevec</v>
      </c>
      <c r="F119" s="168"/>
      <c r="G119" s="168"/>
      <c r="H119" s="168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70" t="n">
        <f aca="false">IFERROR(__xludf.dummyfunction("""COMPUTED_VALUE"""),214.08)</f>
        <v>214.08</v>
      </c>
      <c r="W119" s="170" t="n">
        <f aca="false">IFERROR(__xludf.dummyfunction("""COMPUTED_VALUE"""),0)</f>
        <v>0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customFormat="false" ht="15.75" hidden="false" customHeight="false" outlineLevel="0" collapsed="false">
      <c r="A120" s="168"/>
      <c r="B120" s="171" t="str">
        <f aca="false">IF(OR(E120=Report!$B$1, F120=Report!$B$1, G120=Report!$B$1, H120=Report!$B$1), D120, "")</f>
        <v/>
      </c>
      <c r="C120" s="172" t="b">
        <f aca="false">IFERROR(__xludf.dummyfunction("""COMPUTED_VALUE"""),FALSE())</f>
        <v>0</v>
      </c>
      <c r="D120" s="168" t="str">
        <f aca="false">IFERROR(__xludf.dummyfunction("""COMPUTED_VALUE"""),"Ženíšek Lukáš")</f>
        <v>Ženíšek Lukáš</v>
      </c>
      <c r="E120" s="168" t="str">
        <f aca="false">IFERROR(__xludf.dummyfunction("""COMPUTED_VALUE"""),"Bolevec")</f>
        <v>Bolevec</v>
      </c>
      <c r="F120" s="168"/>
      <c r="G120" s="168"/>
      <c r="H120" s="168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70" t="n">
        <f aca="false">IFERROR(__xludf.dummyfunction("""COMPUTED_VALUE"""),214.08)</f>
        <v>214.08</v>
      </c>
      <c r="W120" s="170" t="n">
        <f aca="false">IFERROR(__xludf.dummyfunction("""COMPUTED_VALUE"""),0)</f>
        <v>0</v>
      </c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customFormat="false" ht="15.75" hidden="false" customHeight="false" outlineLevel="0" collapsed="false">
      <c r="A121" s="168"/>
      <c r="B121" s="171" t="n">
        <f aca="false">IF(OR(E121=Report!$B$1, F121=Report!$B$1, G121=Report!$B$1, H121=Report!$B$1), D121, "")</f>
        <v>0</v>
      </c>
      <c r="C121" s="172" t="b">
        <f aca="false">IFERROR(__xludf.dummyfunction("""COMPUTED_VALUE"""),FALSE())</f>
        <v>0</v>
      </c>
      <c r="D121" s="168"/>
      <c r="E121" s="168" t="str">
        <f aca="false">IFERROR(__xludf.dummyfunction("""COMPUTED_VALUE"""),"Chodov")</f>
        <v>Chodov</v>
      </c>
      <c r="F121" s="168"/>
      <c r="G121" s="168"/>
      <c r="H121" s="168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70" t="n">
        <f aca="false">IFERROR(__xludf.dummyfunction("""COMPUTED_VALUE"""),231.474)</f>
        <v>231.474</v>
      </c>
      <c r="W121" s="170" t="n">
        <f aca="false">IFERROR(__xludf.dummyfunction("""COMPUTED_VALUE"""),0)</f>
        <v>0</v>
      </c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customFormat="false" ht="15.75" hidden="false" customHeight="false" outlineLevel="0" collapsed="false">
      <c r="A122" s="168"/>
      <c r="B122" s="171" t="str">
        <f aca="false">IF(OR(E122=Report!$B$1, F122=Report!$B$1, G122=Report!$B$1, H122=Report!$B$1), D122, "")</f>
        <v/>
      </c>
      <c r="C122" s="172" t="b">
        <f aca="false">IFERROR(__xludf.dummyfunction("""COMPUTED_VALUE"""),FALSE())</f>
        <v>0</v>
      </c>
      <c r="D122" s="168" t="str">
        <f aca="false">IFERROR(__xludf.dummyfunction("""COMPUTED_VALUE"""),"Roth Stanislav st.")</f>
        <v>Roth Stanislav st.</v>
      </c>
      <c r="E122" s="168" t="str">
        <f aca="false">IFERROR(__xludf.dummyfunction("""COMPUTED_VALUE"""),"Bolevec")</f>
        <v>Bolevec</v>
      </c>
      <c r="F122" s="168"/>
      <c r="G122" s="168"/>
      <c r="H122" s="168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70" t="n">
        <f aca="false">IFERROR(__xludf.dummyfunction("""COMPUTED_VALUE"""),49506)</f>
        <v>49506</v>
      </c>
      <c r="W122" s="170" t="n">
        <f aca="false">IFERROR(__xludf.dummyfunction("""COMPUTED_VALUE"""),1650.2)</f>
        <v>1650.2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customFormat="false" ht="15.75" hidden="false" customHeight="false" outlineLevel="0" collapsed="false">
      <c r="A123" s="168"/>
      <c r="B123" s="171" t="str">
        <f aca="false">IF(OR(E123=Report!$B$1, F123=Report!$B$1, G123=Report!$B$1, H123=Report!$B$1), D123, "")</f>
        <v/>
      </c>
      <c r="C123" s="172" t="b">
        <f aca="false">IFERROR(__xludf.dummyfunction("""COMPUTED_VALUE"""),FALSE())</f>
        <v>0</v>
      </c>
      <c r="D123" s="168"/>
      <c r="E123" s="168"/>
      <c r="F123" s="168"/>
      <c r="G123" s="168"/>
      <c r="H123" s="168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70" t="n">
        <f aca="false">IFERROR(__xludf.dummyfunction("""COMPUTED_VALUE"""),0)</f>
        <v>0</v>
      </c>
      <c r="W123" s="170" t="n">
        <f aca="false">IFERROR(__xludf.dummyfunction("""COMPUTED_VALUE"""),0)</f>
        <v>0</v>
      </c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customFormat="false" ht="15.75" hidden="false" customHeight="false" outlineLevel="0" collapsed="false">
      <c r="A124" s="168"/>
      <c r="B124" s="171" t="str">
        <f aca="false">IF(OR(E124=Report!$B$1, F124=Report!$B$1, G124=Report!$B$1, H124=Report!$B$1), D124, "")</f>
        <v/>
      </c>
      <c r="C124" s="172" t="b">
        <f aca="false">IFERROR(__xludf.dummyfunction("""COMPUTED_VALUE"""),FALSE())</f>
        <v>0</v>
      </c>
      <c r="D124" s="168"/>
      <c r="E124" s="168"/>
      <c r="F124" s="168"/>
      <c r="G124" s="168"/>
      <c r="H124" s="168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70" t="n">
        <f aca="false">IFERROR(__xludf.dummyfunction("""COMPUTED_VALUE"""),0)</f>
        <v>0</v>
      </c>
      <c r="W124" s="170" t="n">
        <f aca="false">IFERROR(__xludf.dummyfunction("""COMPUTED_VALUE"""),0)</f>
        <v>0</v>
      </c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customFormat="false" ht="15.75" hidden="false" customHeight="false" outlineLevel="0" collapsed="false">
      <c r="A125" s="168"/>
      <c r="B125" s="171" t="str">
        <f aca="false">IF(OR(E125=Report!$B$1, F125=Report!$B$1, G125=Report!$B$1, H125=Report!$B$1), D125, "")</f>
        <v/>
      </c>
      <c r="C125" s="172" t="b">
        <f aca="false">IFERROR(__xludf.dummyfunction("""COMPUTED_VALUE"""),FALSE())</f>
        <v>0</v>
      </c>
      <c r="D125" s="168" t="str">
        <f aca="false">IFERROR(__xludf.dummyfunction("""COMPUTED_VALUE"""),"Vaníková Anna")</f>
        <v>Vaníková Anna</v>
      </c>
      <c r="E125" s="168" t="str">
        <f aca="false">IFERROR(__xludf.dummyfunction("""COMPUTED_VALUE"""),"Zličín")</f>
        <v>Zličín</v>
      </c>
      <c r="F125" s="168"/>
      <c r="G125" s="168"/>
      <c r="H125" s="168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70" t="n">
        <f aca="false">IFERROR(__xludf.dummyfunction("""COMPUTED_VALUE"""),250.206)</f>
        <v>250.206</v>
      </c>
      <c r="W125" s="170" t="n">
        <f aca="false">IFERROR(__xludf.dummyfunction("""COMPUTED_VALUE"""),0)</f>
        <v>0</v>
      </c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customFormat="false" ht="15.75" hidden="false" customHeight="false" outlineLevel="0" collapsed="false">
      <c r="A126" s="168"/>
      <c r="B126" s="171" t="str">
        <f aca="false">IF(OR(E126=Report!$B$1, F126=Report!$B$1, G126=Report!$B$1, H126=Report!$B$1), D126, "")</f>
        <v/>
      </c>
      <c r="C126" s="172" t="b">
        <f aca="false">IFERROR(__xludf.dummyfunction("""COMPUTED_VALUE"""),FALSE())</f>
        <v>0</v>
      </c>
      <c r="D126" s="168" t="str">
        <f aca="false">IFERROR(__xludf.dummyfunction("""COMPUTED_VALUE"""),"Břicháč Pavel")</f>
        <v>Břicháč Pavel</v>
      </c>
      <c r="E126" s="168" t="str">
        <f aca="false">IFERROR(__xludf.dummyfunction("""COMPUTED_VALUE"""),"Libuš")</f>
        <v>Libuš</v>
      </c>
      <c r="F126" s="168"/>
      <c r="G126" s="168"/>
      <c r="H126" s="168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70" t="n">
        <f aca="false">IFERROR(__xludf.dummyfunction("""COMPUTED_VALUE"""),231.474)</f>
        <v>231.474</v>
      </c>
      <c r="W126" s="170" t="n">
        <f aca="false">IFERROR(__xludf.dummyfunction("""COMPUTED_VALUE"""),0)</f>
        <v>0</v>
      </c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customFormat="false" ht="15.75" hidden="false" customHeight="false" outlineLevel="0" collapsed="false">
      <c r="A127" s="168"/>
      <c r="B127" s="171" t="str">
        <f aca="false">IF(OR(E127=Report!$B$1, F127=Report!$B$1, G127=Report!$B$1, H127=Report!$B$1), D127, "")</f>
        <v/>
      </c>
      <c r="C127" s="172" t="b">
        <f aca="false">IFERROR(__xludf.dummyfunction("""COMPUTED_VALUE"""),FALSE())</f>
        <v>0</v>
      </c>
      <c r="D127" s="168" t="str">
        <f aca="false">IFERROR(__xludf.dummyfunction("""COMPUTED_VALUE"""),"Čerešňák Michal")</f>
        <v>Čerešňák Michal</v>
      </c>
      <c r="E127" s="168" t="str">
        <f aca="false">IFERROR(__xludf.dummyfunction("""COMPUTED_VALUE"""),"Zličín")</f>
        <v>Zličín</v>
      </c>
      <c r="F127" s="168"/>
      <c r="G127" s="168"/>
      <c r="H127" s="168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70" t="n">
        <f aca="false">IFERROR(__xludf.dummyfunction("""COMPUTED_VALUE"""),170)</f>
        <v>170</v>
      </c>
      <c r="W127" s="170" t="n">
        <f aca="false">IFERROR(__xludf.dummyfunction("""COMPUTED_VALUE"""),0)</f>
        <v>0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customFormat="false" ht="15.75" hidden="false" customHeight="false" outlineLevel="0" collapsed="false">
      <c r="A128" s="168"/>
      <c r="B128" s="171" t="str">
        <f aca="false">IF(OR(E128=Report!$B$1, F128=Report!$B$1, G128=Report!$B$1, H128=Report!$B$1), D128, "")</f>
        <v/>
      </c>
      <c r="C128" s="172" t="b">
        <f aca="false">IFERROR(__xludf.dummyfunction("""COMPUTED_VALUE"""),FALSE())</f>
        <v>0</v>
      </c>
      <c r="D128" s="168" t="str">
        <f aca="false">IFERROR(__xludf.dummyfunction("""COMPUTED_VALUE"""),"Weindling Josef")</f>
        <v>Weindling Josef</v>
      </c>
      <c r="E128" s="168" t="str">
        <f aca="false">IFERROR(__xludf.dummyfunction("""COMPUTED_VALUE"""),"Libuš")</f>
        <v>Libuš</v>
      </c>
      <c r="F128" s="168" t="str">
        <f aca="false">IFERROR(__xludf.dummyfunction("""COMPUTED_VALUE"""),"Malešice")</f>
        <v>Malešice</v>
      </c>
      <c r="G128" s="168"/>
      <c r="H128" s="168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70" t="n">
        <f aca="false">IFERROR(__xludf.dummyfunction("""COMPUTED_VALUE"""),231.474)</f>
        <v>231.474</v>
      </c>
      <c r="W128" s="170" t="n">
        <f aca="false">IFERROR(__xludf.dummyfunction("""COMPUTED_VALUE"""),0)</f>
        <v>0</v>
      </c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customFormat="false" ht="15.75" hidden="false" customHeight="false" outlineLevel="0" collapsed="false">
      <c r="A129" s="168"/>
      <c r="B129" s="171" t="str">
        <f aca="false">IF(OR(E129=Report!$B$1, F129=Report!$B$1, G129=Report!$B$1, H129=Report!$B$1), D129, "")</f>
        <v>Fux Vojtěch</v>
      </c>
      <c r="C129" s="172" t="b">
        <f aca="false">IFERROR(__xludf.dummyfunction("""COMPUTED_VALUE"""),FALSE())</f>
        <v>0</v>
      </c>
      <c r="D129" s="168" t="str">
        <f aca="false">IFERROR(__xludf.dummyfunction("""COMPUTED_VALUE"""),"Fux Vojtěch")</f>
        <v>Fux Vojtěch</v>
      </c>
      <c r="E129" s="168" t="str">
        <f aca="false">IFERROR(__xludf.dummyfunction("""COMPUTED_VALUE"""),"Chodov")</f>
        <v>Chodov</v>
      </c>
      <c r="F129" s="168"/>
      <c r="G129" s="168"/>
      <c r="H129" s="168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70" t="n">
        <f aca="false">IFERROR(__xludf.dummyfunction("""COMPUTED_VALUE"""),200)</f>
        <v>200</v>
      </c>
      <c r="W129" s="170" t="n">
        <f aca="false">IFERROR(__xludf.dummyfunction("""COMPUTED_VALUE"""),0)</f>
        <v>0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customFormat="false" ht="15.75" hidden="false" customHeight="false" outlineLevel="0" collapsed="false">
      <c r="A130" s="168"/>
      <c r="B130" s="171" t="str">
        <f aca="false">IF(OR(E130=Report!$B$1, F130=Report!$B$1, G130=Report!$B$1, H130=Report!$B$1), D130, "")</f>
        <v/>
      </c>
      <c r="C130" s="172" t="b">
        <f aca="false">IFERROR(__xludf.dummyfunction("""COMPUTED_VALUE"""),FALSE())</f>
        <v>0</v>
      </c>
      <c r="D130" s="168" t="str">
        <f aca="false">IFERROR(__xludf.dummyfunction("""COMPUTED_VALUE"""),"Kumar Jatinder")</f>
        <v>Kumar Jatinder</v>
      </c>
      <c r="E130" s="168" t="str">
        <f aca="false">IFERROR(__xludf.dummyfunction("""COMPUTED_VALUE"""),"Libuš")</f>
        <v>Libuš</v>
      </c>
      <c r="F130" s="168"/>
      <c r="G130" s="168"/>
      <c r="H130" s="168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70" t="n">
        <f aca="false">IFERROR(__xludf.dummyfunction("""COMPUTED_VALUE"""),231.474)</f>
        <v>231.474</v>
      </c>
      <c r="W130" s="170" t="n">
        <f aca="false">IFERROR(__xludf.dummyfunction("""COMPUTED_VALUE"""),0)</f>
        <v>0</v>
      </c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customFormat="false" ht="15.75" hidden="false" customHeight="false" outlineLevel="0" collapsed="false">
      <c r="A131" s="168"/>
      <c r="B131" s="171" t="str">
        <f aca="false">IF(OR(E131=Report!$B$1, F131=Report!$B$1, G131=Report!$B$1, H131=Report!$B$1), D131, "")</f>
        <v/>
      </c>
      <c r="C131" s="172" t="b">
        <f aca="false">IFERROR(__xludf.dummyfunction("""COMPUTED_VALUE"""),FALSE())</f>
        <v>0</v>
      </c>
      <c r="D131" s="168" t="str">
        <f aca="false">IFERROR(__xludf.dummyfunction("""COMPUTED_VALUE"""),"Stehlíková Magdaléna")</f>
        <v>Stehlíková Magdaléna</v>
      </c>
      <c r="E131" s="168" t="str">
        <f aca="false">IFERROR(__xludf.dummyfunction("""COMPUTED_VALUE"""),"Bolevec")</f>
        <v>Bolevec</v>
      </c>
      <c r="F131" s="168"/>
      <c r="G131" s="168"/>
      <c r="H131" s="168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70" t="n">
        <f aca="false">IFERROR(__xludf.dummyfunction("""COMPUTED_VALUE"""),214.08)</f>
        <v>214.08</v>
      </c>
      <c r="W131" s="170" t="n">
        <f aca="false">IFERROR(__xludf.dummyfunction("""COMPUTED_VALUE"""),0)</f>
        <v>0</v>
      </c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customFormat="false" ht="15.75" hidden="false" customHeight="false" outlineLevel="0" collapsed="false">
      <c r="A132" s="168"/>
      <c r="B132" s="171" t="str">
        <f aca="false">IF(OR(E132=Report!$B$1, F132=Report!$B$1, G132=Report!$B$1, H132=Report!$B$1), D132, "")</f>
        <v/>
      </c>
      <c r="C132" s="172" t="b">
        <f aca="false">IFERROR(__xludf.dummyfunction("""COMPUTED_VALUE"""),FALSE())</f>
        <v>0</v>
      </c>
      <c r="D132" s="168" t="str">
        <f aca="false">IFERROR(__xludf.dummyfunction("""COMPUTED_VALUE"""),"Dragoun Alfréd")</f>
        <v>Dragoun Alfréd</v>
      </c>
      <c r="E132" s="168" t="str">
        <f aca="false">IFERROR(__xludf.dummyfunction("""COMPUTED_VALUE"""),"Zličín")</f>
        <v>Zličín</v>
      </c>
      <c r="F132" s="168"/>
      <c r="G132" s="168"/>
      <c r="H132" s="168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70" t="n">
        <f aca="false">IFERROR(__xludf.dummyfunction("""COMPUTED_VALUE"""),250.206)</f>
        <v>250.206</v>
      </c>
      <c r="W132" s="170" t="n">
        <f aca="false">IFERROR(__xludf.dummyfunction("""COMPUTED_VALUE"""),0)</f>
        <v>0</v>
      </c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customFormat="false" ht="15.75" hidden="false" customHeight="false" outlineLevel="0" collapsed="false">
      <c r="A133" s="168"/>
      <c r="B133" s="171" t="str">
        <f aca="false">IF(OR(E133=Report!$B$1, F133=Report!$B$1, G133=Report!$B$1, H133=Report!$B$1), D133, "")</f>
        <v/>
      </c>
      <c r="C133" s="172" t="b">
        <f aca="false">IFERROR(__xludf.dummyfunction("""COMPUTED_VALUE"""),FALSE())</f>
        <v>0</v>
      </c>
      <c r="D133" s="168"/>
      <c r="E133" s="168"/>
      <c r="F133" s="168"/>
      <c r="G133" s="168"/>
      <c r="H133" s="168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70" t="n">
        <f aca="false">IFERROR(__xludf.dummyfunction("""COMPUTED_VALUE"""),0)</f>
        <v>0</v>
      </c>
      <c r="W133" s="170" t="n">
        <f aca="false">IFERROR(__xludf.dummyfunction("""COMPUTED_VALUE"""),0)</f>
        <v>0</v>
      </c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customFormat="false" ht="15.75" hidden="false" customHeight="false" outlineLevel="0" collapsed="false">
      <c r="A134" s="168"/>
      <c r="B134" s="171" t="str">
        <f aca="false">IF(OR(E134=Report!$B$1, F134=Report!$B$1, G134=Report!$B$1, H134=Report!$B$1), D134, "")</f>
        <v/>
      </c>
      <c r="C134" s="172" t="b">
        <f aca="false">IFERROR(__xludf.dummyfunction("""COMPUTED_VALUE"""),FALSE())</f>
        <v>0</v>
      </c>
      <c r="D134" s="168"/>
      <c r="E134" s="168"/>
      <c r="F134" s="168"/>
      <c r="G134" s="168"/>
      <c r="H134" s="168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70" t="n">
        <f aca="false">IFERROR(__xludf.dummyfunction("""COMPUTED_VALUE"""),0)</f>
        <v>0</v>
      </c>
      <c r="W134" s="170" t="n">
        <f aca="false">IFERROR(__xludf.dummyfunction("""COMPUTED_VALUE"""),0)</f>
        <v>0</v>
      </c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customFormat="false" ht="15.75" hidden="false" customHeight="false" outlineLevel="0" collapsed="false">
      <c r="A135" s="168"/>
      <c r="B135" s="171" t="str">
        <f aca="false">IF(OR(E135=Report!$B$1, F135=Report!$B$1, G135=Report!$B$1, H135=Report!$B$1), D135, "")</f>
        <v/>
      </c>
      <c r="C135" s="172" t="b">
        <f aca="false">IFERROR(__xludf.dummyfunction("""COMPUTED_VALUE"""),FALSE())</f>
        <v>0</v>
      </c>
      <c r="D135" s="168"/>
      <c r="E135" s="168"/>
      <c r="F135" s="168"/>
      <c r="G135" s="168"/>
      <c r="H135" s="168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70" t="n">
        <f aca="false">IFERROR(__xludf.dummyfunction("""COMPUTED_VALUE"""),0)</f>
        <v>0</v>
      </c>
      <c r="W135" s="170" t="n">
        <f aca="false">IFERROR(__xludf.dummyfunction("""COMPUTED_VALUE"""),0)</f>
        <v>0</v>
      </c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customFormat="false" ht="15.75" hidden="false" customHeight="false" outlineLevel="0" collapsed="false">
      <c r="A136" s="168"/>
      <c r="B136" s="171" t="str">
        <f aca="false">IF(OR(E136=Report!$B$1, F136=Report!$B$1, G136=Report!$B$1, H136=Report!$B$1), D136, "")</f>
        <v/>
      </c>
      <c r="C136" s="172" t="b">
        <f aca="false">IFERROR(__xludf.dummyfunction("""COMPUTED_VALUE"""),FALSE())</f>
        <v>0</v>
      </c>
      <c r="D136" s="168"/>
      <c r="E136" s="168"/>
      <c r="F136" s="168"/>
      <c r="G136" s="168"/>
      <c r="H136" s="168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70" t="n">
        <f aca="false">IFERROR(__xludf.dummyfunction("""COMPUTED_VALUE"""),0)</f>
        <v>0</v>
      </c>
      <c r="W136" s="170" t="n">
        <f aca="false">IFERROR(__xludf.dummyfunction("""COMPUTED_VALUE"""),0)</f>
        <v>0</v>
      </c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customFormat="false" ht="15.75" hidden="false" customHeight="false" outlineLevel="0" collapsed="false">
      <c r="A137" s="168"/>
      <c r="B137" s="171" t="str">
        <f aca="false">IF(OR(E137=Report!$B$1, F137=Report!$B$1, G137=Report!$B$1, H137=Report!$B$1), D137, "")</f>
        <v/>
      </c>
      <c r="C137" s="172" t="b">
        <f aca="false">IFERROR(__xludf.dummyfunction("""COMPUTED_VALUE"""),FALSE())</f>
        <v>0</v>
      </c>
      <c r="D137" s="168"/>
      <c r="E137" s="168"/>
      <c r="F137" s="168"/>
      <c r="G137" s="168"/>
      <c r="H137" s="168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70" t="n">
        <f aca="false">IFERROR(__xludf.dummyfunction("""COMPUTED_VALUE"""),0)</f>
        <v>0</v>
      </c>
      <c r="W137" s="170" t="n">
        <f aca="false">IFERROR(__xludf.dummyfunction("""COMPUTED_VALUE"""),0)</f>
        <v>0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customFormat="false" ht="15.75" hidden="false" customHeight="false" outlineLevel="0" collapsed="false">
      <c r="A138" s="168"/>
      <c r="B138" s="171" t="str">
        <f aca="false">IF(OR(E138=Report!$B$1, F138=Report!$B$1, G138=Report!$B$1, H138=Report!$B$1), D138, "")</f>
        <v/>
      </c>
      <c r="C138" s="172" t="b">
        <f aca="false">IFERROR(__xludf.dummyfunction("""COMPUTED_VALUE"""),FALSE())</f>
        <v>0</v>
      </c>
      <c r="D138" s="168"/>
      <c r="E138" s="168"/>
      <c r="F138" s="168"/>
      <c r="G138" s="168"/>
      <c r="H138" s="168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70" t="n">
        <f aca="false">IFERROR(__xludf.dummyfunction("""COMPUTED_VALUE"""),0)</f>
        <v>0</v>
      </c>
      <c r="W138" s="170" t="n">
        <f aca="false">IFERROR(__xludf.dummyfunction("""COMPUTED_VALUE"""),0)</f>
        <v>0</v>
      </c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customFormat="false" ht="15.75" hidden="false" customHeight="false" outlineLevel="0" collapsed="false">
      <c r="A139" s="168"/>
      <c r="B139" s="171" t="str">
        <f aca="false">IF(OR(E139=Report!$B$1, F139=Report!$B$1, G139=Report!$B$1, H139=Report!$B$1), D139, "")</f>
        <v/>
      </c>
      <c r="C139" s="172" t="b">
        <f aca="false">IFERROR(__xludf.dummyfunction("""COMPUTED_VALUE"""),FALSE())</f>
        <v>0</v>
      </c>
      <c r="D139" s="168"/>
      <c r="E139" s="168"/>
      <c r="F139" s="168"/>
      <c r="G139" s="168"/>
      <c r="H139" s="168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70" t="n">
        <f aca="false">IFERROR(__xludf.dummyfunction("""COMPUTED_VALUE"""),0)</f>
        <v>0</v>
      </c>
      <c r="W139" s="170" t="n">
        <f aca="false">IFERROR(__xludf.dummyfunction("""COMPUTED_VALUE"""),0)</f>
        <v>0</v>
      </c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customFormat="false" ht="15.75" hidden="false" customHeight="false" outlineLevel="0" collapsed="false">
      <c r="A140" s="168"/>
      <c r="B140" s="171" t="str">
        <f aca="false">IF(OR(E140=Report!$B$1, F140=Report!$B$1, G140=Report!$B$1, H140=Report!$B$1), D140, "")</f>
        <v/>
      </c>
      <c r="C140" s="172" t="b">
        <f aca="false">IFERROR(__xludf.dummyfunction("""COMPUTED_VALUE"""),FALSE())</f>
        <v>0</v>
      </c>
      <c r="D140" s="168"/>
      <c r="E140" s="168"/>
      <c r="F140" s="168"/>
      <c r="G140" s="168"/>
      <c r="H140" s="168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70" t="n">
        <f aca="false">IFERROR(__xludf.dummyfunction("""COMPUTED_VALUE"""),0)</f>
        <v>0</v>
      </c>
      <c r="W140" s="170" t="n">
        <f aca="false">IFERROR(__xludf.dummyfunction("""COMPUTED_VALUE"""),0)</f>
        <v>0</v>
      </c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customFormat="false" ht="15.75" hidden="false" customHeight="false" outlineLevel="0" collapsed="false">
      <c r="A141" s="168"/>
      <c r="B141" s="171" t="str">
        <f aca="false">IF(OR(E141=Report!$B$1, F141=Report!$B$1, G141=Report!$B$1, H141=Report!$B$1), D141, "")</f>
        <v/>
      </c>
      <c r="C141" s="172" t="b">
        <f aca="false">IFERROR(__xludf.dummyfunction("""COMPUTED_VALUE"""),FALSE())</f>
        <v>0</v>
      </c>
      <c r="D141" s="168"/>
      <c r="E141" s="168"/>
      <c r="F141" s="168"/>
      <c r="G141" s="168"/>
      <c r="H141" s="168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70" t="n">
        <f aca="false">IFERROR(__xludf.dummyfunction("""COMPUTED_VALUE"""),0)</f>
        <v>0</v>
      </c>
      <c r="W141" s="170" t="n">
        <f aca="false">IFERROR(__xludf.dummyfunction("""COMPUTED_VALUE"""),0)</f>
        <v>0</v>
      </c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customFormat="false" ht="15.75" hidden="false" customHeight="false" outlineLevel="0" collapsed="false">
      <c r="A142" s="168"/>
      <c r="B142" s="171" t="str">
        <f aca="false">IF(OR(E142=Report!$B$1, F142=Report!$B$1, G142=Report!$B$1, H142=Report!$B$1), D142, "")</f>
        <v/>
      </c>
      <c r="C142" s="172" t="b">
        <f aca="false">IFERROR(__xludf.dummyfunction("""COMPUTED_VALUE"""),FALSE())</f>
        <v>0</v>
      </c>
      <c r="D142" s="168"/>
      <c r="E142" s="168"/>
      <c r="F142" s="168"/>
      <c r="G142" s="168"/>
      <c r="H142" s="168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70" t="n">
        <f aca="false">IFERROR(__xludf.dummyfunction("""COMPUTED_VALUE"""),0)</f>
        <v>0</v>
      </c>
      <c r="W142" s="170" t="n">
        <f aca="false">IFERROR(__xludf.dummyfunction("""COMPUTED_VALUE"""),0)</f>
        <v>0</v>
      </c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customFormat="false" ht="15.75" hidden="false" customHeight="false" outlineLevel="0" collapsed="false">
      <c r="A143" s="168"/>
      <c r="B143" s="171" t="str">
        <f aca="false">IF(OR(E143=Report!$B$1, F143=Report!$B$1, G143=Report!$B$1, H143=Report!$B$1), D143, "")</f>
        <v/>
      </c>
      <c r="C143" s="172" t="b">
        <f aca="false">IFERROR(__xludf.dummyfunction("""COMPUTED_VALUE"""),FALSE())</f>
        <v>0</v>
      </c>
      <c r="D143" s="168"/>
      <c r="E143" s="168"/>
      <c r="F143" s="168"/>
      <c r="G143" s="168"/>
      <c r="H143" s="168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70" t="n">
        <f aca="false">IFERROR(__xludf.dummyfunction("""COMPUTED_VALUE"""),0)</f>
        <v>0</v>
      </c>
      <c r="W143" s="170" t="n">
        <f aca="false">IFERROR(__xludf.dummyfunction("""COMPUTED_VALUE"""),0)</f>
        <v>0</v>
      </c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customFormat="false" ht="15.75" hidden="false" customHeight="false" outlineLevel="0" collapsed="false">
      <c r="A144" s="168"/>
      <c r="B144" s="171" t="str">
        <f aca="false">IF(OR(E144=Report!$B$1, F144=Report!$B$1, G144=Report!$B$1, H144=Report!$B$1), D144, "")</f>
        <v/>
      </c>
      <c r="C144" s="172" t="b">
        <f aca="false">IFERROR(__xludf.dummyfunction("""COMPUTED_VALUE"""),FALSE())</f>
        <v>0</v>
      </c>
      <c r="D144" s="168"/>
      <c r="E144" s="168"/>
      <c r="F144" s="168"/>
      <c r="G144" s="168"/>
      <c r="H144" s="168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70" t="n">
        <f aca="false">IFERROR(__xludf.dummyfunction("""COMPUTED_VALUE"""),0)</f>
        <v>0</v>
      </c>
      <c r="W144" s="170" t="n">
        <f aca="false">IFERROR(__xludf.dummyfunction("""COMPUTED_VALUE"""),0)</f>
        <v>0</v>
      </c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customFormat="false" ht="15.75" hidden="false" customHeight="false" outlineLevel="0" collapsed="false">
      <c r="A145" s="168"/>
      <c r="B145" s="171" t="str">
        <f aca="false">IF(OR(E145=Report!$B$1, F145=Report!$B$1, G145=Report!$B$1, H145=Report!$B$1), D145, "")</f>
        <v/>
      </c>
      <c r="C145" s="172" t="b">
        <f aca="false">IFERROR(__xludf.dummyfunction("""COMPUTED_VALUE"""),FALSE())</f>
        <v>0</v>
      </c>
      <c r="D145" s="168"/>
      <c r="E145" s="168"/>
      <c r="F145" s="168"/>
      <c r="G145" s="168"/>
      <c r="H145" s="168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70" t="n">
        <f aca="false">IFERROR(__xludf.dummyfunction("""COMPUTED_VALUE"""),0)</f>
        <v>0</v>
      </c>
      <c r="W145" s="170" t="n">
        <f aca="false">IFERROR(__xludf.dummyfunction("""COMPUTED_VALUE"""),0)</f>
        <v>0</v>
      </c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customFormat="false" ht="15.75" hidden="false" customHeight="false" outlineLevel="0" collapsed="false">
      <c r="A146" s="168"/>
      <c r="B146" s="171" t="str">
        <f aca="false">IF(OR(E146=Report!$B$1, F146=Report!$B$1, G146=Report!$B$1, H146=Report!$B$1), D146, "")</f>
        <v/>
      </c>
      <c r="C146" s="172" t="b">
        <f aca="false">IFERROR(__xludf.dummyfunction("""COMPUTED_VALUE"""),FALSE())</f>
        <v>0</v>
      </c>
      <c r="D146" s="168"/>
      <c r="E146" s="168"/>
      <c r="F146" s="168"/>
      <c r="G146" s="168"/>
      <c r="H146" s="168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70" t="n">
        <f aca="false">IFERROR(__xludf.dummyfunction("""COMPUTED_VALUE"""),0)</f>
        <v>0</v>
      </c>
      <c r="W146" s="170" t="n">
        <f aca="false">IFERROR(__xludf.dummyfunction("""COMPUTED_VALUE"""),0)</f>
        <v>0</v>
      </c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customFormat="false" ht="15.75" hidden="false" customHeight="false" outlineLevel="0" collapsed="false">
      <c r="A147" s="168"/>
      <c r="B147" s="171" t="str">
        <f aca="false">IF(OR(E147=Report!$B$1, F147=Report!$B$1, G147=Report!$B$1, H147=Report!$B$1), D147, "")</f>
        <v/>
      </c>
      <c r="C147" s="172" t="b">
        <f aca="false">IFERROR(__xludf.dummyfunction("""COMPUTED_VALUE"""),FALSE())</f>
        <v>0</v>
      </c>
      <c r="D147" s="168"/>
      <c r="E147" s="168"/>
      <c r="F147" s="168"/>
      <c r="G147" s="168"/>
      <c r="H147" s="168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70" t="n">
        <f aca="false">IFERROR(__xludf.dummyfunction("""COMPUTED_VALUE"""),0)</f>
        <v>0</v>
      </c>
      <c r="W147" s="170" t="n">
        <f aca="false">IFERROR(__xludf.dummyfunction("""COMPUTED_VALUE"""),0)</f>
        <v>0</v>
      </c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customFormat="false" ht="15.75" hidden="false" customHeight="false" outlineLevel="0" collapsed="false">
      <c r="A148" s="168"/>
      <c r="B148" s="171" t="str">
        <f aca="false">IF(OR(E148=Report!$B$1, F148=Report!$B$1, G148=Report!$B$1, H148=Report!$B$1), D148, "")</f>
        <v/>
      </c>
      <c r="C148" s="172" t="b">
        <f aca="false">IFERROR(__xludf.dummyfunction("""COMPUTED_VALUE"""),FALSE())</f>
        <v>0</v>
      </c>
      <c r="D148" s="168"/>
      <c r="E148" s="168"/>
      <c r="F148" s="168"/>
      <c r="G148" s="168"/>
      <c r="H148" s="168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70" t="n">
        <f aca="false">IFERROR(__xludf.dummyfunction("""COMPUTED_VALUE"""),0)</f>
        <v>0</v>
      </c>
      <c r="W148" s="170" t="n">
        <f aca="false">IFERROR(__xludf.dummyfunction("""COMPUTED_VALUE"""),0)</f>
        <v>0</v>
      </c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customFormat="false" ht="15.75" hidden="false" customHeight="false" outlineLevel="0" collapsed="false">
      <c r="A149" s="168"/>
      <c r="B149" s="171" t="str">
        <f aca="false">IF(OR(E149=Report!$B$1, F149=Report!$B$1, G149=Report!$B$1, H149=Report!$B$1), D149, "")</f>
        <v/>
      </c>
      <c r="C149" s="172" t="b">
        <f aca="false">IFERROR(__xludf.dummyfunction("""COMPUTED_VALUE"""),FALSE())</f>
        <v>0</v>
      </c>
      <c r="D149" s="168"/>
      <c r="E149" s="168"/>
      <c r="F149" s="168"/>
      <c r="G149" s="168"/>
      <c r="H149" s="168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70" t="n">
        <f aca="false">IFERROR(__xludf.dummyfunction("""COMPUTED_VALUE"""),0)</f>
        <v>0</v>
      </c>
      <c r="W149" s="170" t="n">
        <f aca="false">IFERROR(__xludf.dummyfunction("""COMPUTED_VALUE"""),0)</f>
        <v>0</v>
      </c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customFormat="false" ht="15.75" hidden="false" customHeight="false" outlineLevel="0" collapsed="false">
      <c r="A150" s="168"/>
      <c r="B150" s="171" t="str">
        <f aca="false">IF(OR(E150=Report!$B$1, F150=Report!$B$1, G150=Report!$B$1, H150=Report!$B$1), D150, "")</f>
        <v/>
      </c>
      <c r="C150" s="172" t="b">
        <f aca="false">IFERROR(__xludf.dummyfunction("""COMPUTED_VALUE"""),FALSE())</f>
        <v>0</v>
      </c>
      <c r="D150" s="168"/>
      <c r="E150" s="168"/>
      <c r="F150" s="168"/>
      <c r="G150" s="168"/>
      <c r="H150" s="168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70" t="n">
        <f aca="false">IFERROR(__xludf.dummyfunction("""COMPUTED_VALUE"""),0)</f>
        <v>0</v>
      </c>
      <c r="W150" s="170" t="n">
        <f aca="false">IFERROR(__xludf.dummyfunction("""COMPUTED_VALUE"""),0)</f>
        <v>0</v>
      </c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customFormat="false" ht="15.75" hidden="false" customHeight="false" outlineLevel="0" collapsed="false">
      <c r="A151" s="168"/>
      <c r="B151" s="171" t="str">
        <f aca="false">IF(OR(E151=Report!$B$1, F151=Report!$B$1, G151=Report!$B$1, H151=Report!$B$1), D151, "")</f>
        <v/>
      </c>
      <c r="C151" s="172" t="b">
        <f aca="false">IFERROR(__xludf.dummyfunction("""COMPUTED_VALUE"""),FALSE())</f>
        <v>0</v>
      </c>
      <c r="D151" s="168"/>
      <c r="E151" s="168"/>
      <c r="F151" s="168"/>
      <c r="G151" s="168"/>
      <c r="H151" s="168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70" t="n">
        <f aca="false">IFERROR(__xludf.dummyfunction("""COMPUTED_VALUE"""),100)</f>
        <v>100</v>
      </c>
      <c r="W151" s="170" t="n">
        <f aca="false">IFERROR(__xludf.dummyfunction("""COMPUTED_VALUE"""),0)</f>
        <v>0</v>
      </c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customFormat="false" ht="15.75" hidden="false" customHeight="false" outlineLevel="0" collapsed="false">
      <c r="A152" s="168"/>
      <c r="B152" s="171" t="str">
        <f aca="false">IF(OR(E152=Report!$B$1, F152=Report!$B$1, G152=Report!$B$1, H152=Report!$B$1), D152, "")</f>
        <v/>
      </c>
      <c r="C152" s="172" t="b">
        <f aca="false">IFERROR(__xludf.dummyfunction("""COMPUTED_VALUE"""),FALSE())</f>
        <v>0</v>
      </c>
      <c r="D152" s="168"/>
      <c r="E152" s="168"/>
      <c r="F152" s="168"/>
      <c r="G152" s="168"/>
      <c r="H152" s="168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70" t="n">
        <f aca="false">IFERROR(__xludf.dummyfunction("""COMPUTED_VALUE"""),100)</f>
        <v>100</v>
      </c>
      <c r="W152" s="170" t="n">
        <f aca="false">IFERROR(__xludf.dummyfunction("""COMPUTED_VALUE"""),0)</f>
        <v>0</v>
      </c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customFormat="false" ht="15.75" hidden="false" customHeight="false" outlineLevel="0" collapsed="false">
      <c r="A153" s="168"/>
      <c r="B153" s="171" t="str">
        <f aca="false">IF(OR(E153=Report!$B$1, F153=Report!$B$1, G153=Report!$B$1, H153=Report!$B$1), D153, "")</f>
        <v/>
      </c>
      <c r="C153" s="172" t="b">
        <f aca="false">IFERROR(__xludf.dummyfunction("""COMPUTED_VALUE"""),FALSE())</f>
        <v>0</v>
      </c>
      <c r="D153" s="168"/>
      <c r="E153" s="168"/>
      <c r="F153" s="168"/>
      <c r="G153" s="168"/>
      <c r="H153" s="168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70" t="n">
        <f aca="false">IFERROR(__xludf.dummyfunction("""COMPUTED_VALUE"""),100)</f>
        <v>100</v>
      </c>
      <c r="W153" s="170" t="n">
        <f aca="false">IFERROR(__xludf.dummyfunction("""COMPUTED_VALUE"""),0)</f>
        <v>0</v>
      </c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customFormat="false" ht="15.75" hidden="false" customHeight="false" outlineLevel="0" collapsed="false">
      <c r="A154" s="168"/>
      <c r="B154" s="171" t="str">
        <f aca="false">IF(OR(E154=Report!$B$1, F154=Report!$B$1, G154=Report!$B$1, H154=Report!$B$1), D154, "")</f>
        <v/>
      </c>
      <c r="C154" s="172" t="b">
        <f aca="false">IFERROR(__xludf.dummyfunction("""COMPUTED_VALUE"""),FALSE())</f>
        <v>0</v>
      </c>
      <c r="D154" s="168"/>
      <c r="E154" s="168"/>
      <c r="F154" s="168"/>
      <c r="G154" s="168"/>
      <c r="H154" s="168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70" t="n">
        <f aca="false">IFERROR(__xludf.dummyfunction("""COMPUTED_VALUE"""),100)</f>
        <v>100</v>
      </c>
      <c r="W154" s="170" t="n">
        <f aca="false">IFERROR(__xludf.dummyfunction("""COMPUTED_VALUE"""),0)</f>
        <v>0</v>
      </c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customFormat="false" ht="15.75" hidden="false" customHeight="false" outlineLevel="0" collapsed="false">
      <c r="A155" s="168"/>
      <c r="B155" s="171" t="str">
        <f aca="false">IF(OR(E155=Report!$B$1, F155=Report!$B$1, G155=Report!$B$1, H155=Report!$B$1), D155, "")</f>
        <v/>
      </c>
      <c r="C155" s="172" t="b">
        <f aca="false">IFERROR(__xludf.dummyfunction("""COMPUTED_VALUE"""),FALSE())</f>
        <v>0</v>
      </c>
      <c r="D155" s="168"/>
      <c r="E155" s="168"/>
      <c r="F155" s="168"/>
      <c r="G155" s="168"/>
      <c r="H155" s="168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70" t="n">
        <f aca="false">IFERROR(__xludf.dummyfunction("""COMPUTED_VALUE"""),100)</f>
        <v>100</v>
      </c>
      <c r="W155" s="170" t="n">
        <f aca="false">IFERROR(__xludf.dummyfunction("""COMPUTED_VALUE"""),0)</f>
        <v>0</v>
      </c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customFormat="false" ht="15.75" hidden="false" customHeight="false" outlineLevel="0" collapsed="false">
      <c r="A156" s="168"/>
      <c r="B156" s="171" t="str">
        <f aca="false">IF(OR(E156=Report!$B$1, F156=Report!$B$1, G156=Report!$B$1, H156=Report!$B$1), D156, "")</f>
        <v/>
      </c>
      <c r="C156" s="172" t="b">
        <f aca="false">IFERROR(__xludf.dummyfunction("""COMPUTED_VALUE"""),FALSE())</f>
        <v>0</v>
      </c>
      <c r="D156" s="168"/>
      <c r="E156" s="168"/>
      <c r="F156" s="168"/>
      <c r="G156" s="168"/>
      <c r="H156" s="168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70" t="n">
        <f aca="false">IFERROR(__xludf.dummyfunction("""COMPUTED_VALUE"""),100)</f>
        <v>100</v>
      </c>
      <c r="W156" s="170" t="n">
        <f aca="false">IFERROR(__xludf.dummyfunction("""COMPUTED_VALUE"""),0)</f>
        <v>0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customFormat="false" ht="15.75" hidden="false" customHeight="false" outlineLevel="0" collapsed="false">
      <c r="A157" s="168"/>
      <c r="B157" s="171" t="str">
        <f aca="false">IF(OR(E157=Report!$B$1, F157=Report!$B$1, G157=Report!$B$1, H157=Report!$B$1), D157, "")</f>
        <v/>
      </c>
      <c r="C157" s="172" t="b">
        <f aca="false">IFERROR(__xludf.dummyfunction("""COMPUTED_VALUE"""),FALSE())</f>
        <v>0</v>
      </c>
      <c r="D157" s="168"/>
      <c r="E157" s="168"/>
      <c r="F157" s="168"/>
      <c r="G157" s="168"/>
      <c r="H157" s="168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70" t="n">
        <f aca="false">IFERROR(__xludf.dummyfunction("""COMPUTED_VALUE"""),100)</f>
        <v>100</v>
      </c>
      <c r="W157" s="170" t="n">
        <f aca="false">IFERROR(__xludf.dummyfunction("""COMPUTED_VALUE"""),0)</f>
        <v>0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customFormat="false" ht="15.75" hidden="false" customHeight="false" outlineLevel="0" collapsed="false">
      <c r="A158" s="168"/>
      <c r="B158" s="171" t="str">
        <f aca="false">IF(OR(E158=Report!$B$1, F158=Report!$B$1, G158=Report!$B$1, H158=Report!$B$1), D158, "")</f>
        <v/>
      </c>
      <c r="C158" s="172" t="b">
        <f aca="false">IFERROR(__xludf.dummyfunction("""COMPUTED_VALUE"""),FALSE())</f>
        <v>0</v>
      </c>
      <c r="D158" s="168"/>
      <c r="E158" s="168"/>
      <c r="F158" s="168"/>
      <c r="G158" s="168"/>
      <c r="H158" s="168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70" t="n">
        <f aca="false">IFERROR(__xludf.dummyfunction("""COMPUTED_VALUE"""),100)</f>
        <v>100</v>
      </c>
      <c r="W158" s="170" t="n">
        <f aca="false">IFERROR(__xludf.dummyfunction("""COMPUTED_VALUE"""),0)</f>
        <v>0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customFormat="false" ht="15.75" hidden="false" customHeight="false" outlineLevel="0" collapsed="false">
      <c r="A159" s="168"/>
      <c r="B159" s="171" t="str">
        <f aca="false">IF(OR(E159=Report!$B$1, F159=Report!$B$1, G159=Report!$B$1, H159=Report!$B$1), D159, "")</f>
        <v/>
      </c>
      <c r="C159" s="172" t="b">
        <f aca="false">IFERROR(__xludf.dummyfunction("""COMPUTED_VALUE"""),FALSE())</f>
        <v>0</v>
      </c>
      <c r="D159" s="168"/>
      <c r="E159" s="168"/>
      <c r="F159" s="168"/>
      <c r="G159" s="168"/>
      <c r="H159" s="168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70" t="n">
        <f aca="false">IFERROR(__xludf.dummyfunction("""COMPUTED_VALUE"""),100)</f>
        <v>100</v>
      </c>
      <c r="W159" s="170" t="n">
        <f aca="false">IFERROR(__xludf.dummyfunction("""COMPUTED_VALUE"""),0)</f>
        <v>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customFormat="false" ht="15.75" hidden="false" customHeight="false" outlineLevel="0" collapsed="false">
      <c r="A160" s="168"/>
      <c r="B160" s="171" t="str">
        <f aca="false">IF(OR(E160=Report!$B$1, F160=Report!$B$1, G160=Report!$B$1, H160=Report!$B$1), D160, "")</f>
        <v/>
      </c>
      <c r="C160" s="172" t="b">
        <f aca="false">IFERROR(__xludf.dummyfunction("""COMPUTED_VALUE"""),FALSE())</f>
        <v>0</v>
      </c>
      <c r="D160" s="168"/>
      <c r="E160" s="168"/>
      <c r="F160" s="168"/>
      <c r="G160" s="168"/>
      <c r="H160" s="168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70" t="n">
        <f aca="false">IFERROR(__xludf.dummyfunction("""COMPUTED_VALUE"""),100)</f>
        <v>100</v>
      </c>
      <c r="W160" s="170" t="n">
        <f aca="false">IFERROR(__xludf.dummyfunction("""COMPUTED_VALUE"""),0)</f>
        <v>0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customFormat="false" ht="15.75" hidden="false" customHeight="false" outlineLevel="0" collapsed="false">
      <c r="A161" s="168"/>
      <c r="B161" s="171" t="str">
        <f aca="false">IF(OR(E161=Report!$B$1, F161=Report!$B$1, G161=Report!$B$1, H161=Report!$B$1), D161, "")</f>
        <v/>
      </c>
      <c r="C161" s="172" t="b">
        <f aca="false">IFERROR(__xludf.dummyfunction("""COMPUTED_VALUE"""),FALSE())</f>
        <v>0</v>
      </c>
      <c r="D161" s="168"/>
      <c r="E161" s="168"/>
      <c r="F161" s="168"/>
      <c r="G161" s="168"/>
      <c r="H161" s="168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70" t="n">
        <f aca="false">IFERROR(__xludf.dummyfunction("""COMPUTED_VALUE"""),100)</f>
        <v>100</v>
      </c>
      <c r="W161" s="170" t="n">
        <f aca="false">IFERROR(__xludf.dummyfunction("""COMPUTED_VALUE"""),0)</f>
        <v>0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customFormat="false" ht="15.75" hidden="false" customHeight="false" outlineLevel="0" collapsed="false">
      <c r="A162" s="168"/>
      <c r="B162" s="171" t="str">
        <f aca="false">IF(OR(E162=Report!$B$1, F162=Report!$B$1, G162=Report!$B$1, H162=Report!$B$1), D162, "")</f>
        <v/>
      </c>
      <c r="C162" s="172" t="b">
        <f aca="false">IFERROR(__xludf.dummyfunction("""COMPUTED_VALUE"""),FALSE())</f>
        <v>0</v>
      </c>
      <c r="D162" s="168"/>
      <c r="E162" s="168"/>
      <c r="F162" s="168"/>
      <c r="G162" s="168"/>
      <c r="H162" s="168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70" t="n">
        <f aca="false">IFERROR(__xludf.dummyfunction("""COMPUTED_VALUE"""),100)</f>
        <v>100</v>
      </c>
      <c r="W162" s="170" t="n">
        <f aca="false">IFERROR(__xludf.dummyfunction("""COMPUTED_VALUE"""),0)</f>
        <v>0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customFormat="false" ht="15.75" hidden="false" customHeight="false" outlineLevel="0" collapsed="false">
      <c r="A163" s="168"/>
      <c r="B163" s="171" t="str">
        <f aca="false">IF(OR(E163=Report!$B$1, F163=Report!$B$1, G163=Report!$B$1, H163=Report!$B$1), D163, "")</f>
        <v/>
      </c>
      <c r="C163" s="172" t="b">
        <f aca="false">IFERROR(__xludf.dummyfunction("""COMPUTED_VALUE"""),FALSE())</f>
        <v>0</v>
      </c>
      <c r="D163" s="168"/>
      <c r="E163" s="168"/>
      <c r="F163" s="168"/>
      <c r="G163" s="168"/>
      <c r="H163" s="168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70" t="n">
        <f aca="false">IFERROR(__xludf.dummyfunction("""COMPUTED_VALUE"""),100)</f>
        <v>100</v>
      </c>
      <c r="W163" s="170" t="n">
        <f aca="false">IFERROR(__xludf.dummyfunction("""COMPUTED_VALUE"""),0)</f>
        <v>0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customFormat="false" ht="15.75" hidden="false" customHeight="false" outlineLevel="0" collapsed="false">
      <c r="A164" s="168"/>
      <c r="B164" s="171" t="str">
        <f aca="false">IF(OR(E164=Report!$B$1, F164=Report!$B$1, G164=Report!$B$1, H164=Report!$B$1), D164, "")</f>
        <v/>
      </c>
      <c r="C164" s="172" t="b">
        <f aca="false">IFERROR(__xludf.dummyfunction("""COMPUTED_VALUE"""),FALSE())</f>
        <v>0</v>
      </c>
      <c r="D164" s="168"/>
      <c r="E164" s="168"/>
      <c r="F164" s="168"/>
      <c r="G164" s="168"/>
      <c r="H164" s="168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70" t="n">
        <f aca="false">IFERROR(__xludf.dummyfunction("""COMPUTED_VALUE"""),100)</f>
        <v>100</v>
      </c>
      <c r="W164" s="170" t="n">
        <f aca="false">IFERROR(__xludf.dummyfunction("""COMPUTED_VALUE"""),0)</f>
        <v>0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customFormat="false" ht="15.75" hidden="false" customHeight="false" outlineLevel="0" collapsed="false">
      <c r="A165" s="168"/>
      <c r="B165" s="171" t="str">
        <f aca="false">IF(OR(E165=Report!$B$1, F165=Report!$B$1, G165=Report!$B$1, H165=Report!$B$1), D165, "")</f>
        <v/>
      </c>
      <c r="C165" s="172" t="b">
        <f aca="false">IFERROR(__xludf.dummyfunction("""COMPUTED_VALUE"""),FALSE())</f>
        <v>0</v>
      </c>
      <c r="D165" s="168"/>
      <c r="E165" s="168"/>
      <c r="F165" s="168"/>
      <c r="G165" s="168"/>
      <c r="H165" s="168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70" t="n">
        <f aca="false">IFERROR(__xludf.dummyfunction("""COMPUTED_VALUE"""),100)</f>
        <v>100</v>
      </c>
      <c r="W165" s="170" t="n">
        <f aca="false">IFERROR(__xludf.dummyfunction("""COMPUTED_VALUE"""),0)</f>
        <v>0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customFormat="false" ht="15.75" hidden="false" customHeight="false" outlineLevel="0" collapsed="false">
      <c r="A166" s="168"/>
      <c r="B166" s="171" t="str">
        <f aca="false">IF(OR(E166=Report!$B$1, F166=Report!$B$1, G166=Report!$B$1, H166=Report!$B$1), D166, "")</f>
        <v/>
      </c>
      <c r="C166" s="172" t="b">
        <f aca="false">IFERROR(__xludf.dummyfunction("""COMPUTED_VALUE"""),FALSE())</f>
        <v>0</v>
      </c>
      <c r="D166" s="168"/>
      <c r="E166" s="168"/>
      <c r="F166" s="168"/>
      <c r="G166" s="168"/>
      <c r="H166" s="168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70" t="n">
        <f aca="false">IFERROR(__xludf.dummyfunction("""COMPUTED_VALUE"""),100)</f>
        <v>100</v>
      </c>
      <c r="W166" s="170" t="n">
        <f aca="false">IFERROR(__xludf.dummyfunction("""COMPUTED_VALUE"""),0)</f>
        <v>0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customFormat="false" ht="15.75" hidden="false" customHeight="false" outlineLevel="0" collapsed="false">
      <c r="A167" s="168"/>
      <c r="B167" s="171" t="str">
        <f aca="false">IF(OR(E167=Report!$B$1, F167=Report!$B$1, G167=Report!$B$1, H167=Report!$B$1), D167, "")</f>
        <v/>
      </c>
      <c r="C167" s="172" t="b">
        <f aca="false">IFERROR(__xludf.dummyfunction("""COMPUTED_VALUE"""),FALSE())</f>
        <v>0</v>
      </c>
      <c r="D167" s="168"/>
      <c r="E167" s="168"/>
      <c r="F167" s="168"/>
      <c r="G167" s="168"/>
      <c r="H167" s="168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70" t="n">
        <f aca="false">IFERROR(__xludf.dummyfunction("""COMPUTED_VALUE"""),100)</f>
        <v>100</v>
      </c>
      <c r="W167" s="170" t="n">
        <f aca="false">IFERROR(__xludf.dummyfunction("""COMPUTED_VALUE"""),0)</f>
        <v>0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customFormat="false" ht="15.75" hidden="false" customHeight="false" outlineLevel="0" collapsed="false">
      <c r="A168" s="168"/>
      <c r="B168" s="171" t="str">
        <f aca="false">IF(OR(E168=Report!$B$1, F168=Report!$B$1, G168=Report!$B$1, H168=Report!$B$1), D168, "")</f>
        <v/>
      </c>
      <c r="C168" s="172" t="b">
        <f aca="false">IFERROR(__xludf.dummyfunction("""COMPUTED_VALUE"""),FALSE())</f>
        <v>0</v>
      </c>
      <c r="D168" s="168"/>
      <c r="E168" s="168"/>
      <c r="F168" s="168"/>
      <c r="G168" s="168"/>
      <c r="H168" s="168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70" t="n">
        <f aca="false">IFERROR(__xludf.dummyfunction("""COMPUTED_VALUE"""),100)</f>
        <v>100</v>
      </c>
      <c r="W168" s="170" t="n">
        <f aca="false">IFERROR(__xludf.dummyfunction("""COMPUTED_VALUE"""),0)</f>
        <v>0</v>
      </c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customFormat="false" ht="15.75" hidden="false" customHeight="false" outlineLevel="0" collapsed="false">
      <c r="A169" s="168"/>
      <c r="B169" s="171" t="str">
        <f aca="false">IF(OR(E169=Report!$B$1, F169=Report!$B$1, G169=Report!$B$1, H169=Report!$B$1), D169, "")</f>
        <v/>
      </c>
      <c r="C169" s="172" t="b">
        <f aca="false">IFERROR(__xludf.dummyfunction("""COMPUTED_VALUE"""),FALSE())</f>
        <v>0</v>
      </c>
      <c r="D169" s="168"/>
      <c r="E169" s="168"/>
      <c r="F169" s="168"/>
      <c r="G169" s="168"/>
      <c r="H169" s="168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70" t="n">
        <f aca="false">IFERROR(__xludf.dummyfunction("""COMPUTED_VALUE"""),100)</f>
        <v>100</v>
      </c>
      <c r="W169" s="170" t="n">
        <f aca="false">IFERROR(__xludf.dummyfunction("""COMPUTED_VALUE"""),0)</f>
        <v>0</v>
      </c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customFormat="false" ht="15.75" hidden="false" customHeight="false" outlineLevel="0" collapsed="false">
      <c r="A170" s="168"/>
      <c r="B170" s="171" t="str">
        <f aca="false">IF(OR(E170=Report!$B$1, F170=Report!$B$1, G170=Report!$B$1, H170=Report!$B$1), D170, "")</f>
        <v/>
      </c>
      <c r="C170" s="172" t="b">
        <f aca="false">IFERROR(__xludf.dummyfunction("""COMPUTED_VALUE"""),FALSE())</f>
        <v>0</v>
      </c>
      <c r="D170" s="168"/>
      <c r="E170" s="168"/>
      <c r="F170" s="168"/>
      <c r="G170" s="168"/>
      <c r="H170" s="168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70" t="n">
        <f aca="false">IFERROR(__xludf.dummyfunction("""COMPUTED_VALUE"""),100)</f>
        <v>100</v>
      </c>
      <c r="W170" s="170" t="n">
        <f aca="false">IFERROR(__xludf.dummyfunction("""COMPUTED_VALUE"""),0)</f>
        <v>0</v>
      </c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customFormat="false" ht="15.75" hidden="false" customHeight="false" outlineLevel="0" collapsed="false">
      <c r="A171" s="168"/>
      <c r="B171" s="171" t="str">
        <f aca="false">IF(OR(E171=Report!$B$1, F171=Report!$B$1, G171=Report!$B$1, H171=Report!$B$1), D171, "")</f>
        <v/>
      </c>
      <c r="C171" s="172" t="b">
        <f aca="false">IFERROR(__xludf.dummyfunction("""COMPUTED_VALUE"""),FALSE())</f>
        <v>0</v>
      </c>
      <c r="D171" s="168"/>
      <c r="E171" s="168"/>
      <c r="F171" s="168"/>
      <c r="G171" s="168"/>
      <c r="H171" s="168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70" t="n">
        <f aca="false">IFERROR(__xludf.dummyfunction("""COMPUTED_VALUE"""),100)</f>
        <v>100</v>
      </c>
      <c r="W171" s="170" t="n">
        <f aca="false">IFERROR(__xludf.dummyfunction("""COMPUTED_VALUE"""),0)</f>
        <v>0</v>
      </c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customFormat="false" ht="15.75" hidden="false" customHeight="false" outlineLevel="0" collapsed="false">
      <c r="A172" s="168"/>
      <c r="B172" s="171" t="str">
        <f aca="false">IF(OR(E172=Report!$B$1, F172=Report!$B$1, G172=Report!$B$1, H172=Report!$B$1), D172, "")</f>
        <v/>
      </c>
      <c r="C172" s="172" t="b">
        <f aca="false">IFERROR(__xludf.dummyfunction("""COMPUTED_VALUE"""),FALSE())</f>
        <v>0</v>
      </c>
      <c r="D172" s="168"/>
      <c r="E172" s="168"/>
      <c r="F172" s="168"/>
      <c r="G172" s="168"/>
      <c r="H172" s="168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70" t="n">
        <f aca="false">IFERROR(__xludf.dummyfunction("""COMPUTED_VALUE"""),100)</f>
        <v>100</v>
      </c>
      <c r="W172" s="170" t="n">
        <f aca="false">IFERROR(__xludf.dummyfunction("""COMPUTED_VALUE"""),0)</f>
        <v>0</v>
      </c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customFormat="false" ht="15.75" hidden="false" customHeight="false" outlineLevel="0" collapsed="false">
      <c r="A173" s="168"/>
      <c r="B173" s="171" t="str">
        <f aca="false">IF(OR(E173=Report!$B$1, F173=Report!$B$1, G173=Report!$B$1, H173=Report!$B$1), D173, "")</f>
        <v/>
      </c>
      <c r="C173" s="172" t="b">
        <f aca="false">IFERROR(__xludf.dummyfunction("""COMPUTED_VALUE"""),FALSE())</f>
        <v>0</v>
      </c>
      <c r="D173" s="168"/>
      <c r="E173" s="168"/>
      <c r="F173" s="168"/>
      <c r="G173" s="168"/>
      <c r="H173" s="168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70" t="n">
        <f aca="false">IFERROR(__xludf.dummyfunction("""COMPUTED_VALUE"""),100)</f>
        <v>100</v>
      </c>
      <c r="W173" s="170" t="n">
        <f aca="false">IFERROR(__xludf.dummyfunction("""COMPUTED_VALUE"""),0)</f>
        <v>0</v>
      </c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customFormat="false" ht="15.75" hidden="false" customHeight="false" outlineLevel="0" collapsed="false">
      <c r="A174" s="168"/>
      <c r="B174" s="171" t="str">
        <f aca="false">IF(OR(E174=Report!$B$1, F174=Report!$B$1, G174=Report!$B$1, H174=Report!$B$1), D174, "")</f>
        <v/>
      </c>
      <c r="C174" s="172" t="b">
        <f aca="false">IFERROR(__xludf.dummyfunction("""COMPUTED_VALUE"""),FALSE())</f>
        <v>0</v>
      </c>
      <c r="D174" s="168"/>
      <c r="E174" s="168"/>
      <c r="F174" s="168"/>
      <c r="G174" s="168"/>
      <c r="H174" s="168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70" t="n">
        <f aca="false">IFERROR(__xludf.dummyfunction("""COMPUTED_VALUE"""),100)</f>
        <v>100</v>
      </c>
      <c r="W174" s="170" t="n">
        <f aca="false">IFERROR(__xludf.dummyfunction("""COMPUTED_VALUE"""),0)</f>
        <v>0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customFormat="false" ht="15.75" hidden="false" customHeight="false" outlineLevel="0" collapsed="false">
      <c r="A175" s="168"/>
      <c r="B175" s="171" t="str">
        <f aca="false">IF(OR(E175=Report!$B$1, F175=Report!$B$1, G175=Report!$B$1, H175=Report!$B$1), D175, "")</f>
        <v/>
      </c>
      <c r="C175" s="172" t="b">
        <f aca="false">IFERROR(__xludf.dummyfunction("""COMPUTED_VALUE"""),FALSE())</f>
        <v>0</v>
      </c>
      <c r="D175" s="168"/>
      <c r="E175" s="168"/>
      <c r="F175" s="168"/>
      <c r="G175" s="168"/>
      <c r="H175" s="168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70" t="n">
        <f aca="false">IFERROR(__xludf.dummyfunction("""COMPUTED_VALUE"""),100)</f>
        <v>100</v>
      </c>
      <c r="W175" s="170" t="n">
        <f aca="false">IFERROR(__xludf.dummyfunction("""COMPUTED_VALUE"""),0)</f>
        <v>0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customFormat="false" ht="15.75" hidden="false" customHeight="false" outlineLevel="0" collapsed="false">
      <c r="A176" s="168"/>
      <c r="B176" s="171" t="str">
        <f aca="false">IF(OR(E176=Report!$B$1, F176=Report!$B$1, G176=Report!$B$1, H176=Report!$B$1), D176, "")</f>
        <v/>
      </c>
      <c r="C176" s="172" t="b">
        <f aca="false">IFERROR(__xludf.dummyfunction("""COMPUTED_VALUE"""),FALSE())</f>
        <v>0</v>
      </c>
      <c r="D176" s="168"/>
      <c r="E176" s="168"/>
      <c r="F176" s="168"/>
      <c r="G176" s="168"/>
      <c r="H176" s="168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70" t="n">
        <f aca="false">IFERROR(__xludf.dummyfunction("""COMPUTED_VALUE"""),100)</f>
        <v>100</v>
      </c>
      <c r="W176" s="170" t="n">
        <f aca="false">IFERROR(__xludf.dummyfunction("""COMPUTED_VALUE"""),0)</f>
        <v>0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customFormat="false" ht="15.75" hidden="false" customHeight="false" outlineLevel="0" collapsed="false">
      <c r="A177" s="168"/>
      <c r="B177" s="171" t="str">
        <f aca="false">IF(OR(E177=Report!$B$1, F177=Report!$B$1, G177=Report!$B$1, H177=Report!$B$1), D177, "")</f>
        <v/>
      </c>
      <c r="C177" s="172" t="b">
        <f aca="false">IFERROR(__xludf.dummyfunction("""COMPUTED_VALUE"""),FALSE())</f>
        <v>0</v>
      </c>
      <c r="D177" s="168"/>
      <c r="E177" s="168"/>
      <c r="F177" s="168"/>
      <c r="G177" s="168"/>
      <c r="H177" s="168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70" t="n">
        <f aca="false">IFERROR(__xludf.dummyfunction("""COMPUTED_VALUE"""),100)</f>
        <v>100</v>
      </c>
      <c r="W177" s="170" t="n">
        <f aca="false">IFERROR(__xludf.dummyfunction("""COMPUTED_VALUE"""),0)</f>
        <v>0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customFormat="false" ht="15.75" hidden="false" customHeight="false" outlineLevel="0" collapsed="false">
      <c r="A178" s="168"/>
      <c r="B178" s="171" t="str">
        <f aca="false">IF(OR(E178=Report!$B$1, F178=Report!$B$1, G178=Report!$B$1, H178=Report!$B$1), D178, "")</f>
        <v/>
      </c>
      <c r="C178" s="172" t="b">
        <f aca="false">IFERROR(__xludf.dummyfunction("""COMPUTED_VALUE"""),FALSE())</f>
        <v>0</v>
      </c>
      <c r="D178" s="168"/>
      <c r="E178" s="168"/>
      <c r="F178" s="168"/>
      <c r="G178" s="168"/>
      <c r="H178" s="168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70" t="n">
        <f aca="false">IFERROR(__xludf.dummyfunction("""COMPUTED_VALUE"""),100)</f>
        <v>100</v>
      </c>
      <c r="W178" s="170" t="n">
        <f aca="false">IFERROR(__xludf.dummyfunction("""COMPUTED_VALUE"""),0)</f>
        <v>0</v>
      </c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customFormat="false" ht="15.75" hidden="false" customHeight="false" outlineLevel="0" collapsed="false">
      <c r="A179" s="168"/>
      <c r="B179" s="171" t="str">
        <f aca="false">IF(OR(E179=Report!$B$1, F179=Report!$B$1, G179=Report!$B$1, H179=Report!$B$1), D179, "")</f>
        <v/>
      </c>
      <c r="C179" s="172" t="b">
        <f aca="false">IFERROR(__xludf.dummyfunction("""COMPUTED_VALUE"""),FALSE())</f>
        <v>0</v>
      </c>
      <c r="D179" s="168"/>
      <c r="E179" s="168"/>
      <c r="F179" s="168"/>
      <c r="G179" s="168"/>
      <c r="H179" s="168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70" t="n">
        <f aca="false">IFERROR(__xludf.dummyfunction("""COMPUTED_VALUE"""),100)</f>
        <v>100</v>
      </c>
      <c r="W179" s="170" t="n">
        <f aca="false">IFERROR(__xludf.dummyfunction("""COMPUTED_VALUE"""),0)</f>
        <v>0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customFormat="false" ht="15.75" hidden="false" customHeight="false" outlineLevel="0" collapsed="false">
      <c r="A180" s="168"/>
      <c r="B180" s="168"/>
      <c r="C180" s="172" t="b">
        <f aca="false">IFERROR(__xludf.dummyfunction("""COMPUTED_VALUE"""),FALSE())</f>
        <v>0</v>
      </c>
      <c r="D180" s="168"/>
      <c r="E180" s="168"/>
      <c r="F180" s="168"/>
      <c r="G180" s="168"/>
      <c r="H180" s="168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70" t="n">
        <f aca="false">IFERROR(__xludf.dummyfunction("""COMPUTED_VALUE"""),100)</f>
        <v>100</v>
      </c>
      <c r="W180" s="170" t="n">
        <f aca="false">IFERROR(__xludf.dummyfunction("""COMPUTED_VALUE"""),0)</f>
        <v>0</v>
      </c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customFormat="false" ht="15.75" hidden="false" customHeight="false" outlineLevel="0" collapsed="false">
      <c r="A181" s="168"/>
      <c r="B181" s="168"/>
      <c r="C181" s="172" t="b">
        <f aca="false">IFERROR(__xludf.dummyfunction("""COMPUTED_VALUE"""),FALSE())</f>
        <v>0</v>
      </c>
      <c r="D181" s="168"/>
      <c r="E181" s="168"/>
      <c r="F181" s="168"/>
      <c r="G181" s="168"/>
      <c r="H181" s="168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70" t="n">
        <f aca="false">IFERROR(__xludf.dummyfunction("""COMPUTED_VALUE"""),100)</f>
        <v>100</v>
      </c>
      <c r="W181" s="170" t="n">
        <f aca="false">IFERROR(__xludf.dummyfunction("""COMPUTED_VALUE"""),0)</f>
        <v>0</v>
      </c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customFormat="false" ht="15.75" hidden="false" customHeight="false" outlineLevel="0" collapsed="false">
      <c r="A182" s="168"/>
      <c r="B182" s="168"/>
      <c r="C182" s="172" t="b">
        <f aca="false">IFERROR(__xludf.dummyfunction("""COMPUTED_VALUE"""),FALSE())</f>
        <v>0</v>
      </c>
      <c r="D182" s="168"/>
      <c r="E182" s="168"/>
      <c r="F182" s="168"/>
      <c r="G182" s="168"/>
      <c r="H182" s="168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67" t="n">
        <f aca="false">IFERROR(__xludf.dummyfunction("""COMPUTED_VALUE"""),100)</f>
        <v>100</v>
      </c>
      <c r="W182" s="167" t="n">
        <f aca="false">IFERROR(__xludf.dummyfunction("""COMPUTED_VALUE"""),0)</f>
        <v>0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customFormat="false" ht="15.75" hidden="false" customHeight="false" outlineLevel="0" collapsed="false">
      <c r="A183" s="1"/>
      <c r="B183" s="1"/>
      <c r="C183" s="2" t="b">
        <f aca="false">IFERROR(__xludf.dummyfunction("""COMPUTED_VALUE"""),FALSE())</f>
        <v>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67" t="n">
        <f aca="false">IFERROR(__xludf.dummyfunction("""COMPUTED_VALUE"""),100)</f>
        <v>100</v>
      </c>
      <c r="W183" s="167" t="n">
        <f aca="false">IFERROR(__xludf.dummyfunction("""COMPUTED_VALUE"""),0)</f>
        <v>0</v>
      </c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customFormat="false" ht="15.75" hidden="false" customHeight="false" outlineLevel="0" collapsed="false">
      <c r="A184" s="1"/>
      <c r="B184" s="1"/>
      <c r="C184" s="2" t="b">
        <f aca="false">IFERROR(__xludf.dummyfunction("""COMPUTED_VALUE"""),FALSE())</f>
        <v>0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67" t="n">
        <f aca="false">IFERROR(__xludf.dummyfunction("""COMPUTED_VALUE"""),100)</f>
        <v>100</v>
      </c>
      <c r="W184" s="167" t="n">
        <f aca="false">IFERROR(__xludf.dummyfunction("""COMPUTED_VALUE"""),0)</f>
        <v>0</v>
      </c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customFormat="false" ht="15.75" hidden="false" customHeight="false" outlineLevel="0" collapsed="false">
      <c r="A185" s="1"/>
      <c r="B185" s="1"/>
      <c r="C185" s="2" t="b">
        <f aca="false">IFERROR(__xludf.dummyfunction("""COMPUTED_VALUE"""),FALSE())</f>
        <v>0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67" t="n">
        <f aca="false">IFERROR(__xludf.dummyfunction("""COMPUTED_VALUE"""),100)</f>
        <v>100</v>
      </c>
      <c r="W185" s="167" t="n">
        <f aca="false">IFERROR(__xludf.dummyfunction("""COMPUTED_VALUE"""),0)</f>
        <v>0</v>
      </c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customFormat="false" ht="15.75" hidden="false" customHeight="false" outlineLevel="0" collapsed="false">
      <c r="A186" s="1"/>
      <c r="B186" s="1"/>
      <c r="C186" s="2" t="b">
        <f aca="false">IFERROR(__xludf.dummyfunction("""COMPUTED_VALUE"""),FALSE())</f>
        <v>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67" t="n">
        <f aca="false">IFERROR(__xludf.dummyfunction("""COMPUTED_VALUE"""),100)</f>
        <v>100</v>
      </c>
      <c r="W186" s="167" t="n">
        <f aca="false">IFERROR(__xludf.dummyfunction("""COMPUTED_VALUE"""),0)</f>
        <v>0</v>
      </c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customFormat="false" ht="15.75" hidden="false" customHeight="false" outlineLevel="0" collapsed="false">
      <c r="A187" s="1"/>
      <c r="B187" s="1"/>
      <c r="C187" s="2" t="b">
        <f aca="false">IFERROR(__xludf.dummyfunction("""COMPUTED_VALUE"""),FALSE())</f>
        <v>0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67" t="n">
        <f aca="false">IFERROR(__xludf.dummyfunction("""COMPUTED_VALUE"""),100)</f>
        <v>100</v>
      </c>
      <c r="W187" s="167" t="n">
        <f aca="false">IFERROR(__xludf.dummyfunction("""COMPUTED_VALUE"""),0)</f>
        <v>0</v>
      </c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customFormat="false" ht="15.75" hidden="false" customHeight="false" outlineLevel="0" collapsed="false">
      <c r="A188" s="1"/>
      <c r="B188" s="1"/>
      <c r="C188" s="2" t="b">
        <f aca="false">IFERROR(__xludf.dummyfunction("""COMPUTED_VALUE"""),FALSE())</f>
        <v>0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67" t="n">
        <f aca="false">IFERROR(__xludf.dummyfunction("""COMPUTED_VALUE"""),100)</f>
        <v>100</v>
      </c>
      <c r="W188" s="167" t="n">
        <f aca="false">IFERROR(__xludf.dummyfunction("""COMPUTED_VALUE"""),0)</f>
        <v>0</v>
      </c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customFormat="false" ht="15.75" hidden="false" customHeight="false" outlineLevel="0" collapsed="false">
      <c r="A189" s="1"/>
      <c r="B189" s="1"/>
      <c r="C189" s="2" t="b">
        <f aca="false">IFERROR(__xludf.dummyfunction("""COMPUTED_VALUE"""),FALSE())</f>
        <v>0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67" t="n">
        <f aca="false">IFERROR(__xludf.dummyfunction("""COMPUTED_VALUE"""),100)</f>
        <v>100</v>
      </c>
      <c r="W189" s="167" t="n">
        <f aca="false">IFERROR(__xludf.dummyfunction("""COMPUTED_VALUE"""),0)</f>
        <v>0</v>
      </c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customFormat="false" ht="15.75" hidden="false" customHeight="false" outlineLevel="0" collapsed="false">
      <c r="A190" s="1"/>
      <c r="B190" s="1"/>
      <c r="C190" s="2" t="b">
        <f aca="false">IFERROR(__xludf.dummyfunction("""COMPUTED_VALUE"""),FALSE())</f>
        <v>0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67" t="n">
        <f aca="false">IFERROR(__xludf.dummyfunction("""COMPUTED_VALUE"""),100)</f>
        <v>100</v>
      </c>
      <c r="W190" s="167" t="n">
        <f aca="false">IFERROR(__xludf.dummyfunction("""COMPUTED_VALUE"""),0)</f>
        <v>0</v>
      </c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customFormat="false" ht="15.75" hidden="false" customHeight="false" outlineLevel="0" collapsed="false">
      <c r="A191" s="1"/>
      <c r="B191" s="1"/>
      <c r="C191" s="2" t="b">
        <f aca="false">IFERROR(__xludf.dummyfunction("""COMPUTED_VALUE"""),FALSE())</f>
        <v>0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67" t="n">
        <f aca="false">IFERROR(__xludf.dummyfunction("""COMPUTED_VALUE"""),100)</f>
        <v>100</v>
      </c>
      <c r="W191" s="167" t="n">
        <f aca="false">IFERROR(__xludf.dummyfunction("""COMPUTED_VALUE"""),0)</f>
        <v>0</v>
      </c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customFormat="false" ht="15.75" hidden="false" customHeight="false" outlineLevel="0" collapsed="false">
      <c r="A192" s="1"/>
      <c r="B192" s="1"/>
      <c r="C192" s="2" t="b">
        <f aca="false">IFERROR(__xludf.dummyfunction("""COMPUTED_VALUE"""),FALSE())</f>
        <v>0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67" t="n">
        <f aca="false">IFERROR(__xludf.dummyfunction("""COMPUTED_VALUE"""),0)</f>
        <v>0</v>
      </c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customFormat="false" ht="15.75" hidden="false" customHeight="false" outlineLevel="0" collapsed="false">
      <c r="A193" s="1"/>
      <c r="B193" s="1"/>
      <c r="C193" s="2" t="b">
        <f aca="false">IFERROR(__xludf.dummyfunction("""COMPUTED_VALUE"""),FALSE())</f>
        <v>0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67" t="n">
        <f aca="false">IFERROR(__xludf.dummyfunction("""COMPUTED_VALUE"""),0)</f>
        <v>0</v>
      </c>
      <c r="W193" s="167" t="n">
        <f aca="false">IFERROR(__xludf.dummyfunction("""COMPUTED_VALUE"""),0)</f>
        <v>0</v>
      </c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customFormat="false" ht="15.75" hidden="false" customHeight="false" outlineLevel="0" collapsed="false">
      <c r="A194" s="1"/>
      <c r="B194" s="1"/>
      <c r="C194" s="1"/>
      <c r="D194" s="1" t="str">
        <f aca="false">IFERROR(__xludf.dummyfunction("""COMPUTED_VALUE"""),"End")</f>
        <v>End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67" t="n">
        <f aca="false">IFERROR(__xludf.dummyfunction("""COMPUTED_VALUE"""),0)</f>
        <v>0</v>
      </c>
      <c r="W194" s="167" t="n">
        <f aca="false">IFERROR(__xludf.dummyfunction("""COMPUTED_VALUE"""),0)</f>
        <v>0</v>
      </c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customFormat="false" ht="15.75" hidden="false" customHeight="false" outlineLevel="0" collapsed="false">
      <c r="A195" s="1"/>
      <c r="B195" s="1"/>
      <c r="C195" s="1"/>
      <c r="D195" s="1" t="str">
        <f aca="false">IFERROR(__xludf.dummyfunction("""COMPUTED_VALUE"""),"Celkem kurýr")</f>
        <v>Celkem kurýr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67" t="n">
        <f aca="false">IFERROR(__xludf.dummyfunction("""COMPUTED_VALUE"""),0)</f>
        <v>0</v>
      </c>
      <c r="W195" s="167" t="n">
        <f aca="false">IFERROR(__xludf.dummyfunction("""COMPUTED_VALUE"""),0)</f>
        <v>0</v>
      </c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customFormat="false" ht="15.75" hidden="false" customHeight="false" outlineLevel="0" collapsed="false">
      <c r="A196" s="1"/>
      <c r="B196" s="1"/>
      <c r="C196" s="1"/>
      <c r="D196" s="1" t="str">
        <f aca="false">IFERROR(__xludf.dummyfunction("""COMPUTED_VALUE"""),"Celkem inst + kurýr")</f>
        <v>Celkem inst + kurýr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67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67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67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67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67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67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67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67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67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67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67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67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67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67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67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67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67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67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67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67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67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67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67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67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67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67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67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67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67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67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67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67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67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67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67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67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67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67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67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67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67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67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67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67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67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67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67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67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67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67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67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67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67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67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67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67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67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67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67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67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67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67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67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67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67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67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67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67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67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67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67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67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67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67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67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67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67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67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67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67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67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67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67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67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67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67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67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67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67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67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67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67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67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67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67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67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67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67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67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67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67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67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67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67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67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67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67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67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67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67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67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67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67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67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67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67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67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67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67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67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67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67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67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67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67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67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67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67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67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67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67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67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67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67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67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67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67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67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67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67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67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67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67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67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67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67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67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67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67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67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67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67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67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67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67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67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67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67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67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67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67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67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67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67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67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67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67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67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67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67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67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67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67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67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67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67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67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67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67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67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67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67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67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67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67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67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67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67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67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67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67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67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67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67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67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67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67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67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67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67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67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67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67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67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67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67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67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67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67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67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67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67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67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67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67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67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67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67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67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67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67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67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67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67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67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67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67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67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67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67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67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67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67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67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67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67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67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67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67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67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67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67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67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67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67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67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67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67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67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67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67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67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67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67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67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67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67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67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67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67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67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67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67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67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67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67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67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67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67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67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67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67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67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67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67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67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67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67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67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67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67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67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67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67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67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67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67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67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67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67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67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67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67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67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67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67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67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67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67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67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67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67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67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67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67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67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67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67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67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67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67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67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67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67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67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67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67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67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67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67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67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67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67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67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67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67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67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67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67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67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67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67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67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67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67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67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67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67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67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67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67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67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67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67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67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67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67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67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67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67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67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67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67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67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67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67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67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67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67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67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67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67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67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67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67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67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67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67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67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67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67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67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67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67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67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67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67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67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67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67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67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67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67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67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67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67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67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67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67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67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67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67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67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67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67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67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67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67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67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67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67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67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67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67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67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67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67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67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67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67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67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67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67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67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67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67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67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67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67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67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67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67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67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67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67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67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67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67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67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67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67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67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67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67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67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67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67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67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67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67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67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67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67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67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67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67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67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67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67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67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67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67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67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67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67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67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67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67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67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67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67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67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67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67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67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67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67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67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67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67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67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67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67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67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67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67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67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67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67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67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67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67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67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67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67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67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67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67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67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67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67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67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67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67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67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67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67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67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67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67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67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67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67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67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67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67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67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67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67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67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67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67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67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67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67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67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67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67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67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67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67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67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67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67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67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67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67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67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67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67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67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67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67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67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67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67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67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67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67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67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67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67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67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67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67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67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67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67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67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67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67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67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67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67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67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67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67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67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67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67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67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67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67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67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67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67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67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67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67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67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67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67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67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67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67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67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67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67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67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67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67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67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67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67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67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67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67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67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67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67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67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67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67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67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67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67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67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67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67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67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67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67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67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67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67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67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67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67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67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67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67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67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67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67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67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67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67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67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67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67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67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67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67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67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67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67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67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67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67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67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67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67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67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67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67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67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67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67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67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67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67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67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67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67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67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67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67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67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67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67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67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67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67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67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67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67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67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67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67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67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67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67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67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67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67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67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67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67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67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67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67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67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67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67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67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67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67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67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67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67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67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67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67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67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67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67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67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67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67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67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67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67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67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67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67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67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67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67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67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67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67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67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67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67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67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67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67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67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67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67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67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67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67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67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67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67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67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67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67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67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67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67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67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67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67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67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67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67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67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67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67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67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67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67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67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67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67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67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67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67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67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67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67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67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67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67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67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67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67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67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67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67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67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67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67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67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67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67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67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67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67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67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67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67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67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67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67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67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67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67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67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67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67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67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67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67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67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67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67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67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67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67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67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67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67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67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67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67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67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67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67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67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67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67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67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67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67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67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67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67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67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67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67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67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67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8" min="1" style="0" width="17.13"/>
  </cols>
  <sheetData>
    <row r="1" customFormat="false" ht="39.55" hidden="false" customHeight="true" outlineLevel="0" collapsed="false">
      <c r="A1" s="173" t="s">
        <v>1600</v>
      </c>
      <c r="B1" s="173"/>
      <c r="C1" s="173"/>
      <c r="D1" s="173"/>
      <c r="E1" s="173"/>
      <c r="F1" s="173"/>
      <c r="G1" s="173"/>
      <c r="H1" s="173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</row>
    <row r="2" customFormat="false" ht="15.75" hidden="false" customHeight="false" outlineLevel="0" collapsed="false">
      <c r="A2" s="1" t="s">
        <v>1601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" t="s">
        <v>84</v>
      </c>
      <c r="AB2" s="1" t="s">
        <v>85</v>
      </c>
    </row>
    <row r="3" customFormat="false" ht="15.75" hidden="false" customHeight="false" outlineLevel="0" collapsed="false">
      <c r="A3" s="1" t="s">
        <v>1602</v>
      </c>
      <c r="B3" s="1" t="s">
        <v>1603</v>
      </c>
      <c r="C3" s="1" t="s">
        <v>1604</v>
      </c>
      <c r="D3" s="1" t="s">
        <v>1605</v>
      </c>
      <c r="E3" s="1" t="s">
        <v>1605</v>
      </c>
      <c r="F3" s="1" t="s">
        <v>1603</v>
      </c>
      <c r="G3" s="162"/>
      <c r="H3" s="162"/>
    </row>
    <row r="4" customFormat="false" ht="15.75" hidden="false" customHeight="false" outlineLevel="0" collapsed="false">
      <c r="A4" s="1" t="s">
        <v>1606</v>
      </c>
      <c r="B4" s="1" t="s">
        <v>1605</v>
      </c>
      <c r="C4" s="162"/>
      <c r="D4" s="1" t="s">
        <v>1604</v>
      </c>
      <c r="E4" s="162"/>
      <c r="F4" s="1" t="s">
        <v>1605</v>
      </c>
      <c r="G4" s="1" t="s">
        <v>1604</v>
      </c>
      <c r="H4" s="1" t="s">
        <v>1607</v>
      </c>
    </row>
    <row r="5" customFormat="false" ht="15.75" hidden="false" customHeight="false" outlineLevel="0" collapsed="false">
      <c r="A5" s="1" t="s">
        <v>1095</v>
      </c>
      <c r="B5" s="1" t="s">
        <v>1608</v>
      </c>
      <c r="D5" s="162"/>
      <c r="E5" s="162"/>
    </row>
    <row r="6" customFormat="false" ht="15.75" hidden="false" customHeight="false" outlineLevel="0" collapsed="false">
      <c r="A6" s="1" t="s">
        <v>1609</v>
      </c>
      <c r="B6" s="1" t="s">
        <v>1610</v>
      </c>
      <c r="C6" s="162"/>
      <c r="D6" s="1" t="s">
        <v>1610</v>
      </c>
      <c r="E6" s="162"/>
      <c r="F6" s="1" t="s">
        <v>1611</v>
      </c>
      <c r="G6" s="1" t="s">
        <v>1611</v>
      </c>
      <c r="H6" s="1" t="s">
        <v>1612</v>
      </c>
    </row>
    <row r="7" customFormat="false" ht="15.75" hidden="false" customHeight="false" outlineLevel="0" collapsed="false">
      <c r="A7" s="1" t="s">
        <v>1503</v>
      </c>
      <c r="B7" s="1" t="s">
        <v>1613</v>
      </c>
      <c r="C7" s="1" t="s">
        <v>1613</v>
      </c>
      <c r="E7" s="162"/>
      <c r="F7" s="1" t="s">
        <v>1613</v>
      </c>
      <c r="G7" s="162"/>
      <c r="H7" s="162"/>
    </row>
    <row r="8" customFormat="false" ht="15.75" hidden="false" customHeight="false" outlineLevel="0" collapsed="false">
      <c r="A8" s="1" t="s">
        <v>1614</v>
      </c>
      <c r="B8" s="1" t="s">
        <v>1615</v>
      </c>
      <c r="C8" s="162"/>
      <c r="D8" s="162"/>
      <c r="E8" s="1" t="s">
        <v>1616</v>
      </c>
      <c r="F8" s="162"/>
      <c r="G8" s="1" t="s">
        <v>1617</v>
      </c>
      <c r="H8" s="162"/>
    </row>
    <row r="9" customFormat="false" ht="15.75" hidden="false" customHeight="false" outlineLevel="0" collapsed="false">
      <c r="A9" s="1" t="s">
        <v>438</v>
      </c>
      <c r="C9" s="1" t="s">
        <v>1605</v>
      </c>
      <c r="D9" s="162"/>
      <c r="E9" s="1" t="s">
        <v>1604</v>
      </c>
      <c r="F9" s="1" t="s">
        <v>1618</v>
      </c>
      <c r="G9" s="1" t="s">
        <v>1618</v>
      </c>
      <c r="H9" s="1" t="s">
        <v>1619</v>
      </c>
    </row>
    <row r="10" customFormat="false" ht="15.75" hidden="false" customHeight="false" outlineLevel="0" collapsed="false">
      <c r="A10" s="1" t="s">
        <v>1620</v>
      </c>
      <c r="C10" s="1" t="s">
        <v>1610</v>
      </c>
      <c r="D10" s="162"/>
      <c r="E10" s="162"/>
      <c r="F10" s="162"/>
      <c r="H10" s="162"/>
    </row>
    <row r="11" customFormat="false" ht="15.75" hidden="false" customHeight="false" outlineLevel="0" collapsed="false">
      <c r="A11" s="1" t="s">
        <v>1621</v>
      </c>
      <c r="C11" s="1" t="s">
        <v>1622</v>
      </c>
      <c r="D11" s="162"/>
      <c r="E11" s="162"/>
      <c r="F11" s="162"/>
    </row>
    <row r="12" customFormat="false" ht="15.75" hidden="false" customHeight="false" outlineLevel="0" collapsed="false">
      <c r="A12" s="1" t="s">
        <v>1495</v>
      </c>
      <c r="D12" s="1" t="s">
        <v>1623</v>
      </c>
      <c r="E12" s="162"/>
      <c r="F12" s="162"/>
      <c r="G12" s="162"/>
      <c r="H12" s="162"/>
    </row>
    <row r="13" customFormat="false" ht="15.75" hidden="false" customHeight="false" outlineLevel="0" collapsed="false">
      <c r="A13" s="1" t="s">
        <v>466</v>
      </c>
      <c r="D13" s="1" t="s">
        <v>1613</v>
      </c>
      <c r="E13" s="162"/>
      <c r="F13" s="1" t="s">
        <v>1613</v>
      </c>
      <c r="G13" s="162"/>
    </row>
    <row r="14" customFormat="false" ht="15.75" hidden="false" customHeight="false" outlineLevel="0" collapsed="false">
      <c r="A14" s="1" t="s">
        <v>298</v>
      </c>
      <c r="E14" s="1" t="s">
        <v>1617</v>
      </c>
      <c r="F14" s="1" t="s">
        <v>1610</v>
      </c>
      <c r="G14" s="1" t="s">
        <v>1610</v>
      </c>
      <c r="H14" s="1" t="s">
        <v>1610</v>
      </c>
    </row>
    <row r="15" customFormat="false" ht="15.75" hidden="false" customHeight="false" outlineLevel="0" collapsed="false">
      <c r="A15" s="1" t="s">
        <v>1493</v>
      </c>
      <c r="E15" s="1" t="s">
        <v>1622</v>
      </c>
      <c r="G15" s="1" t="s">
        <v>1622</v>
      </c>
      <c r="H15" s="162"/>
    </row>
    <row r="16" customFormat="false" ht="15.75" hidden="false" customHeight="false" outlineLevel="0" collapsed="false">
      <c r="A16" s="1" t="s">
        <v>1624</v>
      </c>
      <c r="F16" s="1" t="s">
        <v>1610</v>
      </c>
      <c r="G16" s="162"/>
      <c r="H16" s="1" t="s">
        <v>1625</v>
      </c>
    </row>
    <row r="17" customFormat="false" ht="15.75" hidden="false" customHeight="false" outlineLevel="0" collapsed="false">
      <c r="A17" s="1" t="s">
        <v>1626</v>
      </c>
      <c r="G17" s="1" t="s">
        <v>1603</v>
      </c>
      <c r="H17" s="1" t="s">
        <v>1603</v>
      </c>
    </row>
    <row r="18" customFormat="false" ht="15.75" hidden="false" customHeight="false" outlineLevel="0" collapsed="false">
      <c r="A18" s="1" t="s">
        <v>1627</v>
      </c>
      <c r="G18" s="1" t="s">
        <v>1628</v>
      </c>
      <c r="H18" s="1" t="s">
        <v>1619</v>
      </c>
    </row>
    <row r="22" customFormat="false" ht="15.75" hidden="false" customHeight="false" outlineLevel="0" collapsed="false">
      <c r="K22" s="162"/>
      <c r="L22" s="162"/>
      <c r="M22" s="162"/>
      <c r="N22" s="162"/>
      <c r="O22" s="162"/>
      <c r="P22" s="162"/>
      <c r="Q22" s="162"/>
      <c r="T22" s="162"/>
      <c r="U22" s="162"/>
      <c r="V22" s="162"/>
      <c r="W22" s="162"/>
      <c r="X22" s="162"/>
      <c r="Y22" s="162"/>
      <c r="Z22" s="162"/>
      <c r="AB22" s="1"/>
    </row>
    <row r="23" customFormat="false" ht="15.75" hidden="false" customHeight="false" outlineLevel="0" collapsed="false">
      <c r="K23" s="162"/>
      <c r="L23" s="162"/>
      <c r="M23" s="162"/>
      <c r="O23" s="162"/>
      <c r="P23" s="162"/>
      <c r="Q23" s="162"/>
      <c r="S23" s="162"/>
      <c r="T23" s="162"/>
      <c r="U23" s="162"/>
      <c r="V23" s="162"/>
      <c r="W23" s="162"/>
      <c r="X23" s="162"/>
      <c r="Y23" s="162"/>
      <c r="Z23" s="162"/>
      <c r="AB23" s="1"/>
    </row>
    <row r="24" customFormat="false" ht="15.75" hidden="false" customHeight="false" outlineLevel="0" collapsed="false">
      <c r="K24" s="162"/>
      <c r="L24" s="162"/>
      <c r="M24" s="162"/>
      <c r="O24" s="162"/>
      <c r="P24" s="162"/>
      <c r="Q24" s="162"/>
      <c r="S24" s="162"/>
      <c r="T24" s="162"/>
      <c r="U24" s="162"/>
      <c r="V24" s="162"/>
      <c r="W24" s="162"/>
      <c r="X24" s="162"/>
      <c r="Y24" s="162"/>
      <c r="Z24" s="162"/>
      <c r="AB24" s="1"/>
    </row>
    <row r="25" customFormat="false" ht="15.75" hidden="false" customHeight="false" outlineLevel="0" collapsed="false">
      <c r="A25" s="162"/>
      <c r="B25" s="162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O25" s="162"/>
      <c r="P25" s="162"/>
      <c r="Q25" s="162"/>
      <c r="S25" s="162"/>
      <c r="T25" s="162"/>
      <c r="U25" s="162"/>
      <c r="V25" s="162"/>
      <c r="W25" s="162"/>
      <c r="X25" s="162"/>
      <c r="Y25" s="162"/>
      <c r="Z25" s="162"/>
      <c r="AB25" s="1"/>
    </row>
    <row r="26" customFormat="false" ht="15.75" hidden="false" customHeight="false" outlineLevel="0" collapsed="false">
      <c r="A26" s="162"/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O26" s="162"/>
      <c r="P26" s="162"/>
      <c r="Q26" s="162"/>
      <c r="S26" s="162"/>
      <c r="T26" s="162"/>
      <c r="U26" s="162"/>
      <c r="V26" s="162"/>
      <c r="W26" s="162"/>
      <c r="X26" s="162"/>
      <c r="Y26" s="162"/>
      <c r="Z26" s="162"/>
      <c r="AB26" s="1" t="n">
        <v>0</v>
      </c>
    </row>
    <row r="27" customFormat="false" ht="15.75" hidden="false" customHeight="false" outlineLevel="0" collapsed="false">
      <c r="A27" s="162"/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S27" s="162"/>
      <c r="T27" s="162"/>
      <c r="U27" s="162"/>
      <c r="V27" s="162"/>
      <c r="W27" s="162"/>
      <c r="X27" s="162"/>
      <c r="Y27" s="162"/>
      <c r="Z27" s="162"/>
      <c r="AB27" s="1"/>
    </row>
    <row r="28" customFormat="false" ht="15.75" hidden="false" customHeight="false" outlineLevel="0" collapsed="false">
      <c r="A28" s="162"/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O28" s="162"/>
      <c r="P28" s="162"/>
      <c r="Q28" s="162"/>
      <c r="S28" s="162"/>
      <c r="T28" s="162"/>
      <c r="U28" s="162"/>
      <c r="V28" s="162"/>
      <c r="W28" s="162"/>
      <c r="X28" s="162"/>
      <c r="Y28" s="162"/>
      <c r="Z28" s="162"/>
      <c r="AB28" s="1"/>
    </row>
    <row r="29" customFormat="false" ht="15.75" hidden="false" customHeight="false" outlineLevel="0" collapsed="false">
      <c r="A29" s="162"/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O29" s="162"/>
      <c r="P29" s="162"/>
      <c r="Q29" s="162"/>
      <c r="S29" s="162"/>
      <c r="T29" s="162"/>
      <c r="U29" s="162"/>
      <c r="V29" s="162"/>
      <c r="W29" s="162"/>
      <c r="X29" s="162"/>
      <c r="Y29" s="162"/>
      <c r="Z29" s="162"/>
      <c r="AB29" s="1" t="n">
        <v>0</v>
      </c>
    </row>
    <row r="30" customFormat="false" ht="15.75" hidden="false" customHeight="false" outlineLevel="0" collapsed="false">
      <c r="A30" s="162"/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  <c r="W30" s="162"/>
      <c r="X30" s="162"/>
      <c r="Y30" s="162"/>
      <c r="Z30" s="162"/>
      <c r="AA30" s="1"/>
      <c r="AB30" s="1"/>
    </row>
    <row r="31" customFormat="false" ht="15.75" hidden="false" customHeight="false" outlineLevel="0" collapsed="false">
      <c r="A31" s="162"/>
      <c r="B31" s="16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T31" s="162"/>
      <c r="U31" s="162"/>
      <c r="V31" s="162"/>
      <c r="W31" s="162"/>
      <c r="X31" s="162"/>
      <c r="Y31" s="162"/>
      <c r="Z31" s="162"/>
      <c r="AB31" s="1"/>
    </row>
    <row r="32" customFormat="false" ht="15.75" hidden="false" customHeight="false" outlineLevel="0" collapsed="false">
      <c r="A32" s="162"/>
      <c r="B32" s="16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O32" s="162"/>
      <c r="P32" s="162"/>
      <c r="Q32" s="162"/>
      <c r="S32" s="162"/>
      <c r="T32" s="162"/>
      <c r="U32" s="162"/>
      <c r="V32" s="162"/>
      <c r="W32" s="162"/>
      <c r="X32" s="162"/>
      <c r="Y32" s="162"/>
      <c r="Z32" s="162"/>
      <c r="AB32" s="1"/>
    </row>
    <row r="33" customFormat="false" ht="15.75" hidden="false" customHeight="false" outlineLevel="0" collapsed="false">
      <c r="A33" s="162"/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T33" s="162"/>
      <c r="U33" s="162"/>
      <c r="V33" s="162"/>
      <c r="W33" s="162"/>
      <c r="X33" s="162"/>
      <c r="Y33" s="162"/>
      <c r="Z33" s="162"/>
      <c r="AB33" s="1"/>
    </row>
    <row r="34" customFormat="false" ht="15.75" hidden="false" customHeight="false" outlineLevel="0" collapsed="false">
      <c r="A34" s="162"/>
      <c r="B34" s="162"/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  <c r="R34" s="162"/>
      <c r="S34" s="162"/>
      <c r="T34" s="162"/>
      <c r="U34" s="162"/>
      <c r="V34" s="162"/>
      <c r="W34" s="162"/>
      <c r="X34" s="162"/>
      <c r="Y34" s="162"/>
      <c r="Z34" s="162"/>
      <c r="AA34" s="1"/>
      <c r="AB34" s="1"/>
    </row>
    <row r="35" customFormat="false" ht="15.75" hidden="false" customHeight="false" outlineLevel="0" collapsed="false">
      <c r="A35" s="162"/>
      <c r="B35" s="16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O35" s="162"/>
      <c r="P35" s="162"/>
      <c r="Q35" s="162"/>
      <c r="S35" s="162"/>
      <c r="T35" s="162"/>
      <c r="U35" s="162"/>
      <c r="V35" s="162"/>
      <c r="W35" s="162"/>
      <c r="X35" s="162"/>
      <c r="Y35" s="162"/>
      <c r="Z35" s="162"/>
      <c r="AB35" s="1"/>
    </row>
    <row r="36" customFormat="false" ht="15.75" hidden="false" customHeight="false" outlineLevel="0" collapsed="false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O36" s="162"/>
      <c r="P36" s="162"/>
      <c r="Q36" s="162"/>
      <c r="S36" s="162"/>
      <c r="T36" s="162"/>
      <c r="U36" s="162"/>
      <c r="V36" s="162"/>
      <c r="Y36" s="162"/>
      <c r="Z36" s="162"/>
      <c r="AB36" s="1" t="n">
        <v>0</v>
      </c>
    </row>
    <row r="37" customFormat="false" ht="15.75" hidden="false" customHeight="false" outlineLevel="0" collapsed="false">
      <c r="A37" s="162"/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O37" s="162"/>
      <c r="P37" s="162"/>
      <c r="Q37" s="162"/>
      <c r="S37" s="162"/>
      <c r="T37" s="162"/>
      <c r="U37" s="162"/>
      <c r="V37" s="162"/>
      <c r="W37" s="162"/>
      <c r="X37" s="162"/>
      <c r="Y37" s="162"/>
      <c r="Z37" s="162"/>
      <c r="AB37" s="1"/>
    </row>
    <row r="38" customFormat="false" ht="15.75" hidden="false" customHeight="false" outlineLevel="0" collapsed="false">
      <c r="A38" s="162"/>
      <c r="B38" s="162"/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62"/>
      <c r="T38" s="162"/>
      <c r="U38" s="162"/>
      <c r="V38" s="162"/>
      <c r="W38" s="162"/>
      <c r="X38" s="162"/>
      <c r="Y38" s="162"/>
      <c r="Z38" s="162"/>
      <c r="AA38" s="1"/>
      <c r="AB38" s="1"/>
    </row>
    <row r="39" customFormat="false" ht="15.75" hidden="false" customHeight="false" outlineLevel="0" collapsed="false">
      <c r="A39" s="162"/>
      <c r="B39" s="16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"/>
      <c r="AB39" s="1"/>
    </row>
    <row r="40" customFormat="false" ht="15.75" hidden="false" customHeight="false" outlineLevel="0" collapsed="false">
      <c r="A40" s="162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O40" s="162"/>
      <c r="P40" s="162"/>
      <c r="Q40" s="162"/>
      <c r="S40" s="162"/>
      <c r="T40" s="162"/>
      <c r="U40" s="162"/>
      <c r="V40" s="162"/>
      <c r="W40" s="162"/>
      <c r="X40" s="162"/>
      <c r="Y40" s="162"/>
      <c r="Z40" s="162"/>
      <c r="AB40" s="1"/>
    </row>
    <row r="41" customFormat="false" ht="15.75" hidden="false" customHeight="false" outlineLevel="0" collapsed="false">
      <c r="A41" s="162"/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O41" s="162"/>
      <c r="P41" s="162"/>
      <c r="Q41" s="162"/>
      <c r="S41" s="162"/>
      <c r="T41" s="162"/>
      <c r="U41" s="162"/>
      <c r="V41" s="162"/>
      <c r="W41" s="162"/>
      <c r="X41" s="162"/>
      <c r="Y41" s="162"/>
      <c r="Z41" s="162"/>
      <c r="AB41" s="1"/>
    </row>
    <row r="42" customFormat="false" ht="15.75" hidden="false" customHeight="false" outlineLevel="0" collapsed="false">
      <c r="A42" s="162"/>
      <c r="B42" s="162"/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  <c r="R42" s="162"/>
      <c r="S42" s="162"/>
      <c r="T42" s="162"/>
      <c r="U42" s="162"/>
      <c r="V42" s="162"/>
      <c r="W42" s="162"/>
      <c r="X42" s="162"/>
      <c r="Y42" s="162"/>
      <c r="Z42" s="162"/>
      <c r="AA42" s="1"/>
      <c r="AB42" s="1"/>
    </row>
    <row r="43" customFormat="false" ht="15.75" hidden="false" customHeight="false" outlineLevel="0" collapsed="false">
      <c r="A43" s="162"/>
      <c r="B43" s="162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T43" s="162"/>
      <c r="U43" s="162"/>
      <c r="V43" s="162"/>
      <c r="W43" s="162"/>
      <c r="X43" s="162"/>
      <c r="Y43" s="162"/>
      <c r="Z43" s="162"/>
      <c r="AB43" s="1"/>
    </row>
    <row r="44" customFormat="false" ht="15.75" hidden="false" customHeight="false" outlineLevel="0" collapsed="false">
      <c r="A44" s="162"/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O44" s="162"/>
      <c r="P44" s="162"/>
      <c r="Q44" s="162"/>
      <c r="S44" s="162"/>
      <c r="T44" s="162"/>
      <c r="U44" s="162"/>
      <c r="V44" s="162"/>
      <c r="W44" s="162"/>
      <c r="X44" s="162"/>
      <c r="Y44" s="162"/>
      <c r="Z44" s="162"/>
      <c r="AB44" s="1"/>
    </row>
    <row r="45" customFormat="false" ht="15.75" hidden="false" customHeight="false" outlineLevel="0" collapsed="false">
      <c r="A45" s="162"/>
      <c r="B45" s="162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O45" s="162"/>
      <c r="P45" s="162"/>
      <c r="Q45" s="162"/>
      <c r="S45" s="162"/>
      <c r="T45" s="162"/>
      <c r="U45" s="162"/>
      <c r="V45" s="162"/>
      <c r="W45" s="162"/>
      <c r="X45" s="162"/>
      <c r="Y45" s="162"/>
      <c r="Z45" s="162"/>
      <c r="AB45" s="1" t="n">
        <v>0</v>
      </c>
    </row>
    <row r="46" customFormat="false" ht="15.75" hidden="false" customHeight="false" outlineLevel="0" collapsed="false">
      <c r="A46" s="162"/>
      <c r="B46" s="162"/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T46" s="162"/>
      <c r="U46" s="162"/>
      <c r="V46" s="162"/>
      <c r="W46" s="162"/>
      <c r="X46" s="162"/>
      <c r="Y46" s="162"/>
      <c r="Z46" s="162"/>
      <c r="AB46" s="1"/>
    </row>
    <row r="47" customFormat="false" ht="15.75" hidden="false" customHeight="false" outlineLevel="0" collapsed="false">
      <c r="A47" s="162"/>
      <c r="B47" s="162"/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O47" s="162"/>
      <c r="P47" s="162"/>
      <c r="Q47" s="162"/>
      <c r="S47" s="162"/>
      <c r="T47" s="162"/>
      <c r="U47" s="162"/>
      <c r="V47" s="162"/>
      <c r="W47" s="162"/>
      <c r="X47" s="162"/>
      <c r="Y47" s="162"/>
      <c r="Z47" s="162"/>
      <c r="AB47" s="1" t="n">
        <v>0</v>
      </c>
    </row>
    <row r="48" customFormat="false" ht="15.75" hidden="false" customHeight="false" outlineLevel="0" collapsed="false">
      <c r="A48" s="162"/>
      <c r="B48" s="162"/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"/>
      <c r="AB48" s="1"/>
    </row>
    <row r="49" customFormat="false" ht="15.75" hidden="false" customHeight="false" outlineLevel="0" collapsed="false">
      <c r="A49" s="162"/>
      <c r="B49" s="162"/>
      <c r="C49" s="162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T49" s="162"/>
      <c r="U49" s="162"/>
      <c r="V49" s="162"/>
      <c r="W49" s="162"/>
      <c r="X49" s="162"/>
      <c r="Y49" s="162"/>
      <c r="Z49" s="162"/>
      <c r="AB49" s="1"/>
    </row>
    <row r="50" customFormat="false" ht="15.75" hidden="false" customHeight="false" outlineLevel="0" collapsed="false">
      <c r="A50" s="162"/>
      <c r="B50" s="162"/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O50" s="162"/>
      <c r="P50" s="162"/>
      <c r="Q50" s="162"/>
      <c r="S50" s="162"/>
      <c r="T50" s="162"/>
      <c r="U50" s="162"/>
      <c r="V50" s="162"/>
      <c r="W50" s="162"/>
      <c r="X50" s="162"/>
      <c r="Y50" s="162"/>
      <c r="Z50" s="162"/>
      <c r="AB50" s="1" t="n">
        <v>0</v>
      </c>
    </row>
    <row r="51" customFormat="false" ht="15.75" hidden="false" customHeight="false" outlineLevel="0" collapsed="false">
      <c r="A51" s="162"/>
      <c r="B51" s="162"/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O51" s="162"/>
      <c r="P51" s="162"/>
      <c r="Q51" s="162"/>
      <c r="S51" s="162"/>
      <c r="T51" s="162"/>
      <c r="U51" s="162"/>
      <c r="V51" s="162"/>
      <c r="W51" s="162"/>
      <c r="X51" s="162"/>
      <c r="Y51" s="162"/>
      <c r="Z51" s="162"/>
      <c r="AB51" s="1"/>
    </row>
    <row r="52" customFormat="false" ht="15.75" hidden="false" customHeight="false" outlineLevel="0" collapsed="false">
      <c r="A52" s="162"/>
      <c r="B52" s="162"/>
      <c r="C52" s="162"/>
      <c r="D52" s="162"/>
      <c r="E52" s="162"/>
      <c r="F52" s="162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/>
      <c r="Y52" s="162"/>
      <c r="Z52" s="162"/>
      <c r="AA52" s="1"/>
      <c r="AB52" s="1"/>
    </row>
    <row r="53" customFormat="false" ht="15.75" hidden="false" customHeight="false" outlineLevel="0" collapsed="false">
      <c r="A53" s="162"/>
      <c r="B53" s="162"/>
      <c r="C53" s="162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O53" s="162"/>
      <c r="P53" s="162"/>
      <c r="Q53" s="162"/>
      <c r="S53" s="162"/>
      <c r="T53" s="162"/>
      <c r="U53" s="162"/>
      <c r="V53" s="162"/>
      <c r="W53" s="162"/>
      <c r="X53" s="162"/>
      <c r="Y53" s="162"/>
      <c r="Z53" s="162"/>
      <c r="AB53" s="1" t="n">
        <v>0</v>
      </c>
    </row>
    <row r="54" customFormat="false" ht="15.75" hidden="false" customHeight="false" outlineLevel="0" collapsed="false">
      <c r="A54" s="162"/>
      <c r="B54" s="162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O54" s="162"/>
      <c r="P54" s="162"/>
      <c r="Q54" s="162"/>
      <c r="S54" s="162"/>
      <c r="T54" s="162"/>
      <c r="U54" s="162"/>
      <c r="V54" s="162"/>
      <c r="W54" s="162"/>
      <c r="X54" s="162"/>
      <c r="Y54" s="162"/>
      <c r="Z54" s="162"/>
      <c r="AB54" s="1" t="n">
        <v>0</v>
      </c>
    </row>
    <row r="55" customFormat="false" ht="15.75" hidden="false" customHeight="false" outlineLevel="0" collapsed="false">
      <c r="A55" s="162"/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T55" s="162"/>
      <c r="U55" s="162"/>
      <c r="V55" s="162"/>
      <c r="W55" s="162"/>
      <c r="X55" s="162"/>
      <c r="Y55" s="162"/>
      <c r="Z55" s="162"/>
      <c r="AB55" s="1"/>
    </row>
    <row r="56" customFormat="false" ht="15.75" hidden="false" customHeight="false" outlineLevel="0" collapsed="false">
      <c r="A56" s="162"/>
      <c r="B56" s="162"/>
      <c r="C56" s="162"/>
      <c r="D56" s="162"/>
      <c r="E56" s="162"/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T56" s="162"/>
      <c r="U56" s="162"/>
      <c r="V56" s="162"/>
      <c r="W56" s="162"/>
      <c r="X56" s="162"/>
      <c r="Y56" s="162"/>
      <c r="Z56" s="162"/>
      <c r="AB56" s="1"/>
    </row>
    <row r="57" customFormat="false" ht="15.75" hidden="false" customHeight="false" outlineLevel="0" collapsed="false">
      <c r="A57" s="162"/>
      <c r="B57" s="162"/>
      <c r="C57" s="162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T57" s="162"/>
      <c r="U57" s="162"/>
      <c r="V57" s="162"/>
      <c r="W57" s="162"/>
      <c r="X57" s="162"/>
      <c r="Y57" s="162"/>
      <c r="Z57" s="162"/>
      <c r="AB57" s="1"/>
    </row>
    <row r="58" customFormat="false" ht="15.75" hidden="false" customHeight="false" outlineLevel="0" collapsed="false">
      <c r="A58" s="162"/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O58" s="162"/>
      <c r="P58" s="162"/>
      <c r="Q58" s="162"/>
      <c r="S58" s="162"/>
      <c r="T58" s="162"/>
      <c r="U58" s="162"/>
      <c r="V58" s="162"/>
      <c r="W58" s="162"/>
      <c r="X58" s="162"/>
      <c r="Y58" s="162"/>
      <c r="Z58" s="162"/>
      <c r="AB58" s="1"/>
    </row>
    <row r="59" customFormat="false" ht="15.75" hidden="false" customHeight="false" outlineLevel="0" collapsed="false">
      <c r="A59" s="162"/>
      <c r="B59" s="162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"/>
      <c r="AB59" s="1"/>
    </row>
    <row r="60" customFormat="false" ht="15.75" hidden="false" customHeight="false" outlineLevel="0" collapsed="false">
      <c r="A60" s="162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T60" s="162"/>
      <c r="U60" s="162"/>
      <c r="V60" s="162"/>
      <c r="W60" s="162"/>
      <c r="X60" s="162"/>
      <c r="Y60" s="162"/>
      <c r="Z60" s="162"/>
      <c r="AB60" s="1"/>
    </row>
    <row r="61" customFormat="false" ht="15.75" hidden="false" customHeight="false" outlineLevel="0" collapsed="false">
      <c r="A61" s="162"/>
      <c r="B61" s="162"/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O61" s="162"/>
      <c r="P61" s="162"/>
      <c r="Q61" s="162"/>
      <c r="S61" s="162"/>
      <c r="T61" s="162"/>
      <c r="U61" s="162"/>
      <c r="V61" s="162"/>
      <c r="W61" s="162"/>
      <c r="X61" s="162"/>
      <c r="Y61" s="162"/>
      <c r="Z61" s="162"/>
      <c r="AB61" s="1"/>
    </row>
    <row r="62" customFormat="false" ht="15.75" hidden="false" customHeight="false" outlineLevel="0" collapsed="false">
      <c r="A62" s="162"/>
      <c r="B62" s="162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T62" s="162"/>
      <c r="U62" s="162"/>
      <c r="V62" s="162"/>
      <c r="W62" s="162"/>
      <c r="X62" s="162"/>
      <c r="Y62" s="162"/>
      <c r="Z62" s="162"/>
      <c r="AB62" s="1"/>
    </row>
    <row r="63" customFormat="false" ht="15.75" hidden="false" customHeight="false" outlineLevel="0" collapsed="false">
      <c r="A63" s="162"/>
      <c r="B63" s="162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"/>
      <c r="AB63" s="1"/>
    </row>
    <row r="64" customFormat="false" ht="15.75" hidden="false" customHeight="false" outlineLevel="0" collapsed="false">
      <c r="A64" s="162"/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O64" s="162"/>
      <c r="P64" s="162"/>
      <c r="Q64" s="162"/>
      <c r="S64" s="162"/>
      <c r="T64" s="162"/>
      <c r="U64" s="162"/>
      <c r="V64" s="162"/>
      <c r="W64" s="162"/>
      <c r="X64" s="162"/>
      <c r="Y64" s="162"/>
      <c r="Z64" s="162"/>
      <c r="AB64" s="1"/>
    </row>
    <row r="65" customFormat="false" ht="15.75" hidden="false" customHeight="false" outlineLevel="0" collapsed="false">
      <c r="A65" s="162"/>
      <c r="B65" s="162"/>
      <c r="C65" s="162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/>
      <c r="P65" s="162"/>
      <c r="Q65" s="162"/>
      <c r="T65" s="162"/>
      <c r="U65" s="162"/>
      <c r="V65" s="162"/>
      <c r="W65" s="162"/>
      <c r="X65" s="162"/>
      <c r="Y65" s="162"/>
      <c r="Z65" s="162"/>
      <c r="AB65" s="1"/>
    </row>
    <row r="66" customFormat="false" ht="15.75" hidden="false" customHeight="false" outlineLevel="0" collapsed="false">
      <c r="A66" s="162"/>
      <c r="B66" s="162"/>
      <c r="C66" s="162"/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/>
      <c r="P66" s="162"/>
      <c r="Q66" s="162"/>
      <c r="T66" s="162"/>
      <c r="U66" s="162"/>
      <c r="V66" s="162"/>
      <c r="W66" s="162"/>
      <c r="X66" s="162"/>
      <c r="Y66" s="162"/>
      <c r="Z66" s="162"/>
      <c r="AB66" s="1"/>
    </row>
    <row r="67" customFormat="false" ht="15.75" hidden="false" customHeight="false" outlineLevel="0" collapsed="false">
      <c r="A67" s="162"/>
      <c r="B67" s="162"/>
      <c r="C67" s="162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O67" s="162"/>
      <c r="P67" s="162"/>
      <c r="Q67" s="162"/>
      <c r="S67" s="162"/>
      <c r="T67" s="162"/>
      <c r="U67" s="162"/>
      <c r="V67" s="162"/>
      <c r="W67" s="162"/>
      <c r="X67" s="162"/>
      <c r="Y67" s="162"/>
      <c r="Z67" s="162"/>
      <c r="AB67" s="1"/>
    </row>
    <row r="68" customFormat="false" ht="15.75" hidden="false" customHeight="false" outlineLevel="0" collapsed="false">
      <c r="A68" s="162"/>
      <c r="B68" s="162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O68" s="162"/>
      <c r="P68" s="162"/>
      <c r="Q68" s="162"/>
      <c r="S68" s="162"/>
      <c r="T68" s="162"/>
      <c r="U68" s="162"/>
      <c r="V68" s="162"/>
      <c r="W68" s="162"/>
      <c r="X68" s="162"/>
      <c r="Y68" s="162"/>
      <c r="Z68" s="162"/>
      <c r="AB68" s="1"/>
    </row>
    <row r="69" customFormat="false" ht="15.75" hidden="false" customHeight="false" outlineLevel="0" collapsed="false">
      <c r="A69" s="162"/>
      <c r="B69" s="162"/>
      <c r="C69" s="162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O69" s="162"/>
      <c r="P69" s="162"/>
      <c r="Q69" s="162"/>
      <c r="S69" s="162"/>
      <c r="T69" s="162"/>
      <c r="U69" s="162"/>
      <c r="V69" s="162"/>
      <c r="W69" s="162"/>
      <c r="X69" s="162"/>
      <c r="Y69" s="162"/>
      <c r="Z69" s="162"/>
      <c r="AB69" s="1"/>
    </row>
    <row r="70" customFormat="false" ht="15.75" hidden="false" customHeight="false" outlineLevel="0" collapsed="false">
      <c r="A70" s="162"/>
      <c r="B70" s="162"/>
      <c r="C70" s="162"/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/>
      <c r="Y70" s="162"/>
      <c r="Z70" s="162"/>
      <c r="AA70" s="1"/>
      <c r="AB70" s="1"/>
    </row>
    <row r="71" customFormat="false" ht="15.75" hidden="false" customHeight="false" outlineLevel="0" collapsed="false">
      <c r="A71" s="162"/>
      <c r="B71" s="162"/>
      <c r="C71" s="162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O71" s="162"/>
      <c r="P71" s="162"/>
      <c r="Q71" s="162"/>
      <c r="S71" s="162"/>
      <c r="T71" s="162"/>
      <c r="U71" s="162"/>
      <c r="V71" s="162"/>
      <c r="W71" s="162"/>
      <c r="X71" s="162"/>
      <c r="Y71" s="162"/>
      <c r="Z71" s="162"/>
      <c r="AB71" s="1"/>
    </row>
    <row r="72" customFormat="false" ht="15.75" hidden="false" customHeight="false" outlineLevel="0" collapsed="false">
      <c r="A72" s="162"/>
      <c r="B72" s="162"/>
      <c r="C72" s="162"/>
      <c r="D72" s="162"/>
      <c r="E72" s="162"/>
      <c r="F72" s="162"/>
      <c r="G72" s="162"/>
      <c r="H72" s="162"/>
      <c r="I72" s="162"/>
      <c r="J72" s="162"/>
      <c r="K72" s="162"/>
      <c r="L72" s="162"/>
      <c r="M72" s="162"/>
      <c r="O72" s="162"/>
      <c r="P72" s="162"/>
      <c r="Q72" s="162"/>
      <c r="S72" s="162"/>
      <c r="T72" s="162"/>
      <c r="U72" s="162"/>
      <c r="V72" s="162"/>
      <c r="W72" s="162"/>
      <c r="X72" s="162"/>
      <c r="Y72" s="162"/>
      <c r="Z72" s="162"/>
      <c r="AB72" s="1"/>
    </row>
    <row r="73" customFormat="false" ht="15.75" hidden="false" customHeight="false" outlineLevel="0" collapsed="false">
      <c r="A73" s="162"/>
      <c r="B73" s="162"/>
      <c r="C73" s="162"/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O73" s="162"/>
      <c r="P73" s="162"/>
      <c r="Q73" s="162"/>
      <c r="S73" s="162"/>
      <c r="T73" s="162"/>
      <c r="U73" s="162"/>
      <c r="V73" s="162"/>
      <c r="W73" s="162"/>
      <c r="X73" s="162"/>
      <c r="Y73" s="162"/>
      <c r="Z73" s="162"/>
      <c r="AB73" s="1"/>
    </row>
    <row r="74" customFormat="false" ht="15.75" hidden="false" customHeight="false" outlineLevel="0" collapsed="false">
      <c r="A74" s="162"/>
      <c r="B74" s="162"/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O74" s="162"/>
      <c r="P74" s="162"/>
      <c r="Q74" s="162"/>
      <c r="S74" s="162"/>
      <c r="T74" s="162"/>
      <c r="U74" s="162"/>
      <c r="V74" s="162"/>
      <c r="W74" s="162"/>
      <c r="X74" s="162"/>
      <c r="Y74" s="162"/>
      <c r="Z74" s="162"/>
      <c r="AB74" s="1"/>
    </row>
    <row r="75" customFormat="false" ht="15.75" hidden="false" customHeight="false" outlineLevel="0" collapsed="false">
      <c r="A75" s="162"/>
      <c r="B75" s="162"/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T75" s="162"/>
      <c r="U75" s="162"/>
      <c r="V75" s="162"/>
      <c r="W75" s="162"/>
      <c r="X75" s="162"/>
      <c r="Y75" s="162"/>
      <c r="Z75" s="162"/>
      <c r="AB75" s="1"/>
    </row>
    <row r="76" customFormat="false" ht="15.75" hidden="false" customHeight="false" outlineLevel="0" collapsed="false">
      <c r="A76" s="162"/>
      <c r="B76" s="162"/>
      <c r="C76" s="162"/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O76" s="162"/>
      <c r="P76" s="162"/>
      <c r="Q76" s="162"/>
      <c r="S76" s="162"/>
      <c r="T76" s="162"/>
      <c r="U76" s="162"/>
      <c r="V76" s="162"/>
      <c r="W76" s="162"/>
      <c r="X76" s="162"/>
      <c r="Y76" s="162"/>
      <c r="Z76" s="162"/>
      <c r="AB76" s="1" t="n">
        <v>0</v>
      </c>
    </row>
    <row r="77" customFormat="false" ht="15.75" hidden="false" customHeight="false" outlineLevel="0" collapsed="false">
      <c r="A77" s="162"/>
      <c r="B77" s="162"/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T77" s="162"/>
      <c r="U77" s="162"/>
      <c r="V77" s="162"/>
      <c r="W77" s="162"/>
      <c r="X77" s="162"/>
      <c r="Y77" s="162"/>
      <c r="Z77" s="162"/>
      <c r="AB77" s="1"/>
    </row>
    <row r="78" customFormat="false" ht="15.75" hidden="false" customHeight="false" outlineLevel="0" collapsed="false">
      <c r="A78" s="162"/>
      <c r="B78" s="162"/>
      <c r="C78" s="162"/>
      <c r="D78" s="162"/>
      <c r="E78" s="162"/>
      <c r="F78" s="162"/>
      <c r="G78" s="162"/>
      <c r="H78" s="162"/>
      <c r="I78" s="162"/>
      <c r="J78" s="162"/>
      <c r="K78" s="162"/>
      <c r="L78" s="162"/>
      <c r="M78" s="162"/>
      <c r="O78" s="162"/>
      <c r="P78" s="162"/>
      <c r="Q78" s="162"/>
      <c r="S78" s="162"/>
      <c r="T78" s="162"/>
      <c r="U78" s="162"/>
      <c r="V78" s="162"/>
      <c r="W78" s="162"/>
      <c r="X78" s="162"/>
      <c r="Y78" s="162"/>
      <c r="Z78" s="162"/>
      <c r="AB78" s="1" t="n">
        <v>0</v>
      </c>
    </row>
    <row r="79" customFormat="false" ht="15.75" hidden="false" customHeight="false" outlineLevel="0" collapsed="false">
      <c r="A79" s="162"/>
      <c r="B79" s="162"/>
      <c r="C79" s="162"/>
      <c r="D79" s="162"/>
      <c r="E79" s="162"/>
      <c r="F79" s="162"/>
      <c r="G79" s="162"/>
      <c r="H79" s="162"/>
      <c r="I79" s="162"/>
      <c r="J79" s="162"/>
      <c r="K79" s="162"/>
      <c r="L79" s="162"/>
      <c r="M79" s="162"/>
      <c r="N79" s="162"/>
      <c r="O79" s="162"/>
      <c r="P79" s="162"/>
      <c r="Q79" s="162"/>
      <c r="T79" s="162"/>
      <c r="U79" s="162"/>
      <c r="V79" s="162"/>
      <c r="W79" s="162"/>
      <c r="X79" s="162"/>
      <c r="Y79" s="162"/>
      <c r="Z79" s="162"/>
      <c r="AB79" s="1"/>
    </row>
    <row r="80" customFormat="false" ht="15.75" hidden="false" customHeight="false" outlineLevel="0" collapsed="false">
      <c r="A80" s="162"/>
      <c r="B80" s="162"/>
      <c r="C80" s="162"/>
      <c r="D80" s="162"/>
      <c r="E80" s="162"/>
      <c r="F80" s="162"/>
      <c r="G80" s="162"/>
      <c r="H80" s="162"/>
      <c r="I80" s="162"/>
      <c r="J80" s="162"/>
      <c r="K80" s="162"/>
      <c r="L80" s="162"/>
      <c r="M80" s="162"/>
      <c r="O80" s="162"/>
      <c r="P80" s="162"/>
      <c r="Q80" s="162"/>
      <c r="S80" s="162"/>
      <c r="T80" s="162"/>
      <c r="U80" s="162"/>
      <c r="V80" s="162"/>
      <c r="W80" s="162"/>
      <c r="X80" s="162"/>
      <c r="Y80" s="162"/>
      <c r="Z80" s="162"/>
      <c r="AB80" s="1" t="n">
        <v>0</v>
      </c>
    </row>
    <row r="81" customFormat="false" ht="15.75" hidden="false" customHeight="false" outlineLevel="0" collapsed="false">
      <c r="A81" s="162"/>
      <c r="B81" s="162"/>
      <c r="C81" s="162"/>
      <c r="D81" s="162"/>
      <c r="E81" s="162"/>
      <c r="F81" s="162"/>
      <c r="G81" s="162"/>
      <c r="H81" s="162"/>
      <c r="I81" s="162"/>
      <c r="J81" s="162"/>
      <c r="K81" s="162"/>
      <c r="L81" s="162"/>
      <c r="M81" s="162"/>
      <c r="O81" s="162"/>
      <c r="P81" s="162"/>
      <c r="Q81" s="162"/>
      <c r="S81" s="162"/>
      <c r="T81" s="162"/>
      <c r="U81" s="162"/>
      <c r="V81" s="162"/>
      <c r="W81" s="162"/>
      <c r="X81" s="162"/>
      <c r="Y81" s="162"/>
      <c r="Z81" s="162"/>
      <c r="AB81" s="1"/>
    </row>
    <row r="82" customFormat="false" ht="15.75" hidden="false" customHeight="false" outlineLevel="0" collapsed="false">
      <c r="A82" s="162"/>
      <c r="B82" s="162"/>
      <c r="C82" s="162"/>
      <c r="D82" s="162"/>
      <c r="E82" s="162"/>
      <c r="F82" s="162"/>
      <c r="G82" s="162"/>
      <c r="H82" s="162"/>
      <c r="I82" s="162"/>
      <c r="J82" s="162"/>
      <c r="K82" s="162"/>
      <c r="L82" s="162"/>
      <c r="M82" s="162"/>
      <c r="N82" s="162"/>
      <c r="O82" s="162"/>
      <c r="P82" s="162"/>
      <c r="Q82" s="162"/>
      <c r="T82" s="162"/>
      <c r="U82" s="162"/>
      <c r="V82" s="162"/>
      <c r="W82" s="162"/>
      <c r="X82" s="162"/>
      <c r="Y82" s="162"/>
      <c r="Z82" s="162"/>
      <c r="AB82" s="1"/>
    </row>
    <row r="83" customFormat="false" ht="15.75" hidden="false" customHeight="false" outlineLevel="0" collapsed="false">
      <c r="A83" s="162"/>
      <c r="B83" s="162"/>
      <c r="C83" s="162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O83" s="162"/>
      <c r="P83" s="162"/>
      <c r="Q83" s="162"/>
      <c r="S83" s="162"/>
      <c r="T83" s="162"/>
      <c r="U83" s="162"/>
      <c r="V83" s="162"/>
      <c r="W83" s="162"/>
      <c r="X83" s="162"/>
      <c r="Y83" s="162"/>
      <c r="Z83" s="162"/>
      <c r="AB83" s="1" t="n">
        <v>0</v>
      </c>
    </row>
    <row r="84" customFormat="false" ht="15.75" hidden="false" customHeight="false" outlineLevel="0" collapsed="false">
      <c r="A84" s="162"/>
      <c r="B84" s="162"/>
      <c r="C84" s="162"/>
      <c r="D84" s="162"/>
      <c r="E84" s="162"/>
      <c r="F84" s="162"/>
      <c r="G84" s="162"/>
      <c r="H84" s="162"/>
      <c r="I84" s="162"/>
      <c r="J84" s="162"/>
      <c r="K84" s="162"/>
      <c r="L84" s="162"/>
      <c r="M84" s="162"/>
      <c r="O84" s="162"/>
      <c r="P84" s="162"/>
      <c r="Q84" s="162"/>
      <c r="S84" s="162"/>
      <c r="T84" s="162"/>
      <c r="U84" s="162"/>
      <c r="V84" s="162"/>
      <c r="W84" s="162"/>
      <c r="X84" s="162"/>
      <c r="Y84" s="162"/>
      <c r="Z84" s="162"/>
      <c r="AB84" s="1"/>
    </row>
    <row r="85" customFormat="false" ht="15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  <c r="J85" s="162"/>
      <c r="K85" s="162"/>
      <c r="L85" s="162"/>
      <c r="M85" s="162"/>
      <c r="O85" s="162"/>
      <c r="P85" s="162"/>
      <c r="Q85" s="162"/>
      <c r="S85" s="162"/>
      <c r="T85" s="162"/>
      <c r="U85" s="162"/>
      <c r="V85" s="162"/>
      <c r="W85" s="162"/>
      <c r="X85" s="162"/>
      <c r="Y85" s="162"/>
      <c r="Z85" s="162"/>
      <c r="AB85" s="1"/>
    </row>
    <row r="86" customFormat="false" ht="15.75" hidden="false" customHeight="false" outlineLevel="0" collapsed="false">
      <c r="A86" s="162"/>
      <c r="B86" s="162"/>
      <c r="C86" s="162"/>
      <c r="D86" s="162"/>
      <c r="E86" s="162"/>
      <c r="F86" s="162"/>
      <c r="G86" s="162"/>
      <c r="H86" s="162"/>
      <c r="I86" s="162"/>
      <c r="J86" s="162"/>
      <c r="K86" s="162"/>
      <c r="L86" s="162"/>
      <c r="M86" s="162"/>
      <c r="N86" s="162"/>
      <c r="O86" s="162"/>
      <c r="P86" s="162"/>
      <c r="Q86" s="162"/>
      <c r="R86" s="162"/>
      <c r="S86" s="162"/>
      <c r="T86" s="162"/>
      <c r="U86" s="162"/>
      <c r="V86" s="162"/>
      <c r="W86" s="162"/>
      <c r="X86" s="162"/>
      <c r="Y86" s="162"/>
      <c r="Z86" s="162"/>
      <c r="AA86" s="1"/>
      <c r="AB86" s="1"/>
    </row>
    <row r="87" customFormat="false" ht="15.75" hidden="false" customHeight="false" outlineLevel="0" collapsed="false">
      <c r="A87" s="162"/>
      <c r="B87" s="162"/>
      <c r="C87" s="162"/>
      <c r="D87" s="162"/>
      <c r="E87" s="162"/>
      <c r="F87" s="162"/>
      <c r="G87" s="162"/>
      <c r="H87" s="162"/>
      <c r="I87" s="162"/>
      <c r="J87" s="162"/>
      <c r="K87" s="162"/>
      <c r="L87" s="162"/>
      <c r="M87" s="162"/>
      <c r="N87" s="162"/>
      <c r="O87" s="162"/>
      <c r="P87" s="162"/>
      <c r="Q87" s="162"/>
      <c r="R87" s="162"/>
      <c r="S87" s="162"/>
      <c r="T87" s="162"/>
      <c r="U87" s="162"/>
      <c r="V87" s="162"/>
      <c r="W87" s="162"/>
      <c r="X87" s="162"/>
      <c r="Y87" s="162"/>
      <c r="Z87" s="162"/>
      <c r="AA87" s="1"/>
      <c r="AB87" s="1"/>
    </row>
    <row r="88" customFormat="false" ht="15.75" hidden="false" customHeight="false" outlineLevel="0" collapsed="false">
      <c r="A88" s="162"/>
      <c r="B88" s="162"/>
      <c r="C88" s="162"/>
      <c r="D88" s="162"/>
      <c r="E88" s="162"/>
      <c r="F88" s="162"/>
      <c r="G88" s="162"/>
      <c r="H88" s="162"/>
      <c r="I88" s="162"/>
      <c r="J88" s="162"/>
      <c r="K88" s="162"/>
      <c r="L88" s="162"/>
      <c r="M88" s="162"/>
      <c r="N88" s="162"/>
      <c r="O88" s="162"/>
      <c r="P88" s="162"/>
      <c r="Q88" s="162"/>
      <c r="R88" s="162"/>
      <c r="S88" s="162"/>
      <c r="T88" s="162"/>
      <c r="U88" s="162"/>
      <c r="V88" s="162"/>
      <c r="W88" s="162"/>
      <c r="X88" s="162"/>
      <c r="Y88" s="162"/>
      <c r="Z88" s="162"/>
      <c r="AA88" s="1"/>
      <c r="AB88" s="1"/>
    </row>
    <row r="89" customFormat="false" ht="15.75" hidden="false" customHeight="false" outlineLevel="0" collapsed="false">
      <c r="A89" s="162"/>
      <c r="B89" s="162"/>
      <c r="C89" s="162"/>
      <c r="D89" s="162"/>
      <c r="E89" s="162"/>
      <c r="F89" s="162"/>
      <c r="G89" s="162"/>
      <c r="H89" s="162"/>
      <c r="I89" s="162"/>
      <c r="J89" s="162"/>
      <c r="K89" s="162"/>
      <c r="L89" s="162"/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2"/>
      <c r="X89" s="162"/>
      <c r="Y89" s="162"/>
      <c r="Z89" s="162"/>
      <c r="AA89" s="1"/>
      <c r="AB89" s="1"/>
    </row>
    <row r="90" customFormat="false" ht="15.75" hidden="false" customHeight="false" outlineLevel="0" collapsed="false">
      <c r="A90" s="162"/>
      <c r="B90" s="162"/>
      <c r="C90" s="162"/>
      <c r="D90" s="162"/>
      <c r="E90" s="162"/>
      <c r="F90" s="162"/>
      <c r="G90" s="162"/>
      <c r="H90" s="162"/>
      <c r="I90" s="162"/>
      <c r="J90" s="162"/>
      <c r="K90" s="162"/>
      <c r="L90" s="162"/>
      <c r="M90" s="162"/>
      <c r="N90" s="162"/>
      <c r="O90" s="162"/>
      <c r="P90" s="162"/>
      <c r="Q90" s="162"/>
      <c r="S90" s="162"/>
      <c r="T90" s="162"/>
      <c r="U90" s="162"/>
      <c r="V90" s="162"/>
      <c r="W90" s="162"/>
      <c r="X90" s="162"/>
      <c r="Y90" s="162"/>
      <c r="Z90" s="162"/>
      <c r="AB90" s="1"/>
    </row>
    <row r="91" customFormat="false" ht="15.75" hidden="false" customHeight="false" outlineLevel="0" collapsed="false">
      <c r="A91" s="162"/>
      <c r="B91" s="162"/>
      <c r="C91" s="162"/>
      <c r="D91" s="162"/>
      <c r="E91" s="162"/>
      <c r="F91" s="162"/>
      <c r="G91" s="162"/>
      <c r="H91" s="162"/>
      <c r="I91" s="162"/>
      <c r="J91" s="162"/>
      <c r="K91" s="162"/>
      <c r="L91" s="162"/>
      <c r="M91" s="162"/>
      <c r="O91" s="162"/>
      <c r="P91" s="162"/>
      <c r="Q91" s="162"/>
      <c r="S91" s="162"/>
      <c r="T91" s="162"/>
      <c r="U91" s="162"/>
      <c r="V91" s="162"/>
      <c r="W91" s="162"/>
      <c r="X91" s="162"/>
      <c r="Y91" s="162"/>
      <c r="Z91" s="162"/>
      <c r="AB91" s="1"/>
    </row>
    <row r="92" customFormat="false" ht="15.75" hidden="false" customHeight="false" outlineLevel="0" collapsed="false">
      <c r="A92" s="162"/>
      <c r="B92" s="162"/>
      <c r="C92" s="162"/>
      <c r="D92" s="162"/>
      <c r="E92" s="162"/>
      <c r="F92" s="162"/>
      <c r="G92" s="162"/>
      <c r="H92" s="162"/>
      <c r="I92" s="162"/>
      <c r="J92" s="162"/>
      <c r="K92" s="162"/>
      <c r="L92" s="162"/>
      <c r="M92" s="162"/>
      <c r="N92" s="162"/>
      <c r="O92" s="162"/>
      <c r="P92" s="162"/>
      <c r="Q92" s="162"/>
      <c r="R92" s="162"/>
      <c r="S92" s="162"/>
      <c r="T92" s="162"/>
      <c r="U92" s="162"/>
      <c r="V92" s="162"/>
      <c r="W92" s="162"/>
      <c r="X92" s="162"/>
      <c r="Y92" s="162"/>
      <c r="Z92" s="162"/>
      <c r="AA92" s="1"/>
      <c r="AB92" s="1"/>
    </row>
    <row r="93" customFormat="false" ht="15.75" hidden="false" customHeight="false" outlineLevel="0" collapsed="false">
      <c r="A93" s="162"/>
      <c r="B93" s="162"/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O93" s="162"/>
      <c r="P93" s="162"/>
      <c r="Q93" s="162"/>
      <c r="S93" s="162"/>
      <c r="T93" s="162"/>
      <c r="U93" s="162"/>
      <c r="V93" s="162"/>
      <c r="W93" s="162"/>
      <c r="X93" s="162"/>
      <c r="Y93" s="162"/>
      <c r="Z93" s="162"/>
      <c r="AB93" s="1"/>
    </row>
    <row r="94" customFormat="false" ht="15.75" hidden="false" customHeight="false" outlineLevel="0" collapsed="false">
      <c r="A94" s="162"/>
      <c r="B94" s="162"/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162"/>
      <c r="T94" s="162"/>
      <c r="U94" s="162"/>
      <c r="V94" s="162"/>
      <c r="W94" s="162"/>
      <c r="X94" s="162"/>
      <c r="Y94" s="162"/>
      <c r="Z94" s="162"/>
      <c r="AB94" s="1"/>
    </row>
    <row r="95" customFormat="false" ht="15.75" hidden="false" customHeight="false" outlineLevel="0" collapsed="false">
      <c r="A95" s="162"/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  <c r="T95" s="162"/>
      <c r="U95" s="162"/>
      <c r="V95" s="162"/>
      <c r="W95" s="162"/>
      <c r="X95" s="162"/>
      <c r="Y95" s="162"/>
      <c r="Z95" s="162"/>
      <c r="AB95" s="1"/>
    </row>
    <row r="96" customFormat="false" ht="15.75" hidden="false" customHeight="false" outlineLevel="0" collapsed="false">
      <c r="A96" s="162"/>
      <c r="B96" s="162"/>
      <c r="C96" s="162"/>
      <c r="D96" s="162"/>
      <c r="E96" s="162"/>
      <c r="F96" s="162"/>
      <c r="G96" s="162"/>
      <c r="H96" s="162"/>
      <c r="I96" s="162"/>
      <c r="J96" s="162"/>
      <c r="K96" s="162"/>
      <c r="L96" s="162"/>
      <c r="M96" s="162"/>
      <c r="O96" s="162"/>
      <c r="P96" s="162"/>
      <c r="Q96" s="162"/>
      <c r="S96" s="162"/>
      <c r="T96" s="162"/>
      <c r="U96" s="162"/>
      <c r="V96" s="162"/>
      <c r="W96" s="162"/>
      <c r="X96" s="162"/>
      <c r="Y96" s="162"/>
      <c r="Z96" s="162"/>
      <c r="AB96" s="1"/>
    </row>
    <row r="97" customFormat="false" ht="15.75" hidden="false" customHeight="false" outlineLevel="0" collapsed="false">
      <c r="A97" s="162"/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O97" s="162"/>
      <c r="P97" s="162"/>
      <c r="Q97" s="162"/>
      <c r="S97" s="162"/>
      <c r="T97" s="162"/>
      <c r="U97" s="162"/>
      <c r="V97" s="162"/>
      <c r="W97" s="162"/>
      <c r="X97" s="162"/>
      <c r="Y97" s="162"/>
      <c r="Z97" s="162"/>
      <c r="AB97" s="1" t="n">
        <v>0</v>
      </c>
    </row>
    <row r="98" customFormat="false" ht="15.75" hidden="false" customHeight="false" outlineLevel="0" collapsed="false">
      <c r="A98" s="162"/>
      <c r="B98" s="162"/>
      <c r="C98" s="162"/>
      <c r="D98" s="162"/>
      <c r="E98" s="162"/>
      <c r="F98" s="162"/>
      <c r="G98" s="162"/>
      <c r="H98" s="162"/>
      <c r="I98" s="162"/>
      <c r="J98" s="162"/>
      <c r="K98" s="162"/>
      <c r="L98" s="162"/>
      <c r="M98" s="162"/>
      <c r="N98" s="162"/>
      <c r="O98" s="162"/>
      <c r="P98" s="162"/>
      <c r="Q98" s="162"/>
      <c r="T98" s="162"/>
      <c r="U98" s="162"/>
      <c r="V98" s="162"/>
      <c r="W98" s="162"/>
      <c r="X98" s="162"/>
      <c r="Y98" s="162"/>
      <c r="Z98" s="162"/>
      <c r="AB98" s="1"/>
    </row>
    <row r="99" customFormat="false" ht="15.75" hidden="false" customHeight="false" outlineLevel="0" collapsed="false">
      <c r="A99" s="162"/>
      <c r="B99" s="162"/>
      <c r="C99" s="162"/>
      <c r="D99" s="162"/>
      <c r="E99" s="162"/>
      <c r="F99" s="162"/>
      <c r="G99" s="162"/>
      <c r="H99" s="162"/>
      <c r="I99" s="162"/>
      <c r="J99" s="162"/>
      <c r="K99" s="162"/>
      <c r="L99" s="162"/>
      <c r="M99" s="162"/>
      <c r="O99" s="162"/>
      <c r="P99" s="162"/>
      <c r="Q99" s="162"/>
      <c r="S99" s="162"/>
      <c r="T99" s="162"/>
      <c r="U99" s="162"/>
      <c r="V99" s="162"/>
      <c r="W99" s="162"/>
      <c r="X99" s="162"/>
      <c r="Y99" s="162"/>
      <c r="Z99" s="162"/>
      <c r="AB99" s="1"/>
    </row>
    <row r="100" customFormat="false" ht="15.75" hidden="false" customHeight="false" outlineLevel="0" collapsed="false">
      <c r="A100" s="162"/>
      <c r="B100" s="162"/>
      <c r="C100" s="162"/>
      <c r="D100" s="162"/>
      <c r="E100" s="162"/>
      <c r="F100" s="162"/>
      <c r="G100" s="162"/>
      <c r="H100" s="162"/>
      <c r="I100" s="162"/>
      <c r="J100" s="162"/>
      <c r="K100" s="162"/>
      <c r="L100" s="162"/>
      <c r="M100" s="162"/>
      <c r="N100" s="162"/>
      <c r="O100" s="162"/>
      <c r="P100" s="162"/>
      <c r="Q100" s="162"/>
      <c r="T100" s="162"/>
      <c r="U100" s="162"/>
      <c r="V100" s="162"/>
      <c r="W100" s="162"/>
      <c r="X100" s="162"/>
      <c r="Y100" s="162"/>
      <c r="Z100" s="162"/>
      <c r="AB100" s="1"/>
    </row>
    <row r="101" customFormat="false" ht="15.75" hidden="false" customHeight="false" outlineLevel="0" collapsed="false">
      <c r="A101" s="162"/>
      <c r="B101" s="162"/>
      <c r="C101" s="162"/>
      <c r="D101" s="162"/>
      <c r="E101" s="162"/>
      <c r="F101" s="162"/>
      <c r="G101" s="162"/>
      <c r="H101" s="162"/>
      <c r="I101" s="162"/>
      <c r="J101" s="162"/>
      <c r="K101" s="162"/>
      <c r="L101" s="162"/>
      <c r="M101" s="162"/>
      <c r="N101" s="162"/>
      <c r="O101" s="162"/>
      <c r="P101" s="162"/>
      <c r="Q101" s="162"/>
      <c r="R101" s="162"/>
      <c r="S101" s="162"/>
      <c r="T101" s="162"/>
      <c r="U101" s="162"/>
      <c r="V101" s="162"/>
      <c r="W101" s="162"/>
      <c r="X101" s="162"/>
      <c r="Y101" s="162"/>
      <c r="Z101" s="162"/>
      <c r="AA101" s="1"/>
      <c r="AB101" s="1"/>
    </row>
    <row r="102" customFormat="false" ht="15.75" hidden="false" customHeight="false" outlineLevel="0" collapsed="false">
      <c r="A102" s="162"/>
      <c r="B102" s="162"/>
      <c r="C102" s="162"/>
      <c r="D102" s="162"/>
      <c r="E102" s="162"/>
      <c r="F102" s="162"/>
      <c r="G102" s="162"/>
      <c r="H102" s="162"/>
      <c r="I102" s="162"/>
      <c r="J102" s="162"/>
      <c r="K102" s="162"/>
      <c r="L102" s="162"/>
      <c r="M102" s="162"/>
      <c r="N102" s="162"/>
      <c r="O102" s="162"/>
      <c r="P102" s="162"/>
      <c r="Q102" s="162"/>
      <c r="R102" s="162"/>
      <c r="S102" s="162"/>
      <c r="T102" s="162"/>
      <c r="U102" s="162"/>
      <c r="V102" s="162"/>
      <c r="W102" s="162"/>
      <c r="X102" s="162"/>
      <c r="Y102" s="162"/>
      <c r="Z102" s="162"/>
      <c r="AA102" s="1"/>
      <c r="AB102" s="1"/>
    </row>
    <row r="103" customFormat="false" ht="15.75" hidden="false" customHeight="false" outlineLevel="0" collapsed="false">
      <c r="A103" s="162"/>
      <c r="B103" s="162"/>
      <c r="C103" s="162"/>
      <c r="D103" s="162"/>
      <c r="E103" s="162"/>
      <c r="F103" s="162"/>
      <c r="G103" s="162"/>
      <c r="H103" s="162"/>
      <c r="I103" s="162"/>
      <c r="J103" s="162"/>
      <c r="K103" s="162"/>
      <c r="L103" s="162"/>
      <c r="M103" s="162"/>
      <c r="O103" s="162"/>
      <c r="P103" s="162"/>
      <c r="Q103" s="162"/>
      <c r="S103" s="162"/>
      <c r="T103" s="162"/>
      <c r="U103" s="162"/>
      <c r="V103" s="162"/>
      <c r="W103" s="162"/>
      <c r="X103" s="162"/>
      <c r="Y103" s="162"/>
      <c r="Z103" s="162"/>
      <c r="AB103" s="1"/>
    </row>
    <row r="104" customFormat="false" ht="15.75" hidden="false" customHeight="false" outlineLevel="0" collapsed="false">
      <c r="A104" s="162"/>
      <c r="B104" s="162"/>
      <c r="C104" s="162"/>
      <c r="D104" s="162"/>
      <c r="E104" s="162"/>
      <c r="F104" s="162"/>
      <c r="G104" s="162"/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T104" s="162"/>
      <c r="U104" s="162"/>
      <c r="V104" s="162"/>
      <c r="W104" s="162"/>
      <c r="X104" s="162"/>
      <c r="Y104" s="162"/>
      <c r="Z104" s="162"/>
      <c r="AB104" s="1"/>
    </row>
    <row r="105" customFormat="false" ht="15.75" hidden="false" customHeight="false" outlineLevel="0" collapsed="false">
      <c r="A105" s="162"/>
      <c r="B105" s="162"/>
      <c r="C105" s="162"/>
      <c r="D105" s="162"/>
      <c r="E105" s="162"/>
      <c r="F105" s="162"/>
      <c r="G105" s="162"/>
      <c r="H105" s="162"/>
      <c r="I105" s="162"/>
      <c r="J105" s="162"/>
      <c r="K105" s="162"/>
      <c r="L105" s="162"/>
      <c r="M105" s="162"/>
      <c r="N105" s="162"/>
      <c r="O105" s="162"/>
      <c r="P105" s="162"/>
      <c r="Q105" s="162"/>
      <c r="R105" s="162"/>
      <c r="S105" s="162"/>
      <c r="T105" s="162"/>
      <c r="U105" s="162"/>
      <c r="V105" s="162"/>
      <c r="W105" s="162"/>
      <c r="X105" s="162"/>
      <c r="Y105" s="162"/>
      <c r="Z105" s="162"/>
      <c r="AA105" s="1"/>
      <c r="AB105" s="1"/>
    </row>
    <row r="106" customFormat="false" ht="15.75" hidden="false" customHeight="false" outlineLevel="0" collapsed="false">
      <c r="A106" s="162"/>
      <c r="B106" s="162"/>
      <c r="C106" s="162"/>
      <c r="D106" s="162"/>
      <c r="E106" s="162"/>
      <c r="F106" s="162"/>
      <c r="G106" s="162"/>
      <c r="H106" s="162"/>
      <c r="I106" s="162"/>
      <c r="J106" s="162"/>
      <c r="K106" s="162"/>
      <c r="L106" s="162"/>
      <c r="M106" s="162"/>
      <c r="O106" s="162"/>
      <c r="P106" s="162"/>
      <c r="Q106" s="162"/>
      <c r="S106" s="162"/>
      <c r="T106" s="162"/>
      <c r="U106" s="162"/>
      <c r="V106" s="162"/>
      <c r="W106" s="162"/>
      <c r="X106" s="162"/>
      <c r="Y106" s="162"/>
      <c r="Z106" s="162"/>
      <c r="AB106" s="1"/>
    </row>
    <row r="107" customFormat="false" ht="15.75" hidden="false" customHeight="false" outlineLevel="0" collapsed="false">
      <c r="A107" s="162"/>
      <c r="B107" s="162"/>
      <c r="C107" s="162"/>
      <c r="D107" s="162"/>
      <c r="E107" s="162"/>
      <c r="F107" s="162"/>
      <c r="G107" s="162"/>
      <c r="H107" s="162"/>
      <c r="I107" s="162"/>
      <c r="J107" s="162"/>
      <c r="K107" s="162"/>
      <c r="L107" s="162"/>
      <c r="M107" s="162"/>
      <c r="N107" s="162"/>
      <c r="O107" s="162"/>
      <c r="P107" s="162"/>
      <c r="Q107" s="162"/>
      <c r="R107" s="162"/>
      <c r="S107" s="162"/>
      <c r="T107" s="162"/>
      <c r="U107" s="162"/>
      <c r="V107" s="162"/>
      <c r="W107" s="162"/>
      <c r="X107" s="162"/>
      <c r="Y107" s="162"/>
      <c r="Z107" s="162"/>
      <c r="AA107" s="1"/>
      <c r="AB107" s="1"/>
    </row>
    <row r="108" customFormat="false" ht="15.75" hidden="false" customHeight="false" outlineLevel="0" collapsed="false">
      <c r="A108" s="162"/>
      <c r="B108" s="162"/>
      <c r="C108" s="162"/>
      <c r="D108" s="162"/>
      <c r="E108" s="162"/>
      <c r="F108" s="162"/>
      <c r="G108" s="162"/>
      <c r="H108" s="162"/>
      <c r="I108" s="162"/>
      <c r="J108" s="162"/>
      <c r="K108" s="162"/>
      <c r="L108" s="162"/>
      <c r="M108" s="162"/>
      <c r="O108" s="162"/>
      <c r="P108" s="162"/>
      <c r="Q108" s="162"/>
      <c r="S108" s="162"/>
      <c r="T108" s="162"/>
      <c r="U108" s="162"/>
      <c r="V108" s="162"/>
      <c r="W108" s="162"/>
      <c r="X108" s="162"/>
      <c r="Y108" s="162"/>
      <c r="Z108" s="162"/>
      <c r="AB108" s="1" t="n">
        <v>0</v>
      </c>
    </row>
    <row r="109" customFormat="false" ht="15.75" hidden="false" customHeight="false" outlineLevel="0" collapsed="false">
      <c r="A109" s="162"/>
      <c r="B109" s="162"/>
      <c r="C109" s="162"/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O109" s="162"/>
      <c r="P109" s="162"/>
      <c r="Q109" s="162"/>
      <c r="S109" s="162"/>
      <c r="T109" s="162"/>
      <c r="U109" s="162"/>
      <c r="V109" s="162"/>
      <c r="W109" s="162"/>
      <c r="X109" s="162"/>
      <c r="Y109" s="162"/>
      <c r="Z109" s="162"/>
      <c r="AB109" s="1"/>
    </row>
    <row r="110" customFormat="false" ht="15.75" hidden="false" customHeight="false" outlineLevel="0" collapsed="false">
      <c r="A110" s="162"/>
      <c r="B110" s="162"/>
      <c r="C110" s="162"/>
      <c r="D110" s="162"/>
      <c r="E110" s="162"/>
      <c r="F110" s="162"/>
      <c r="G110" s="162"/>
      <c r="H110" s="162"/>
      <c r="I110" s="162"/>
      <c r="J110" s="162"/>
      <c r="K110" s="162"/>
      <c r="L110" s="162"/>
      <c r="M110" s="162"/>
      <c r="N110" s="162"/>
      <c r="O110" s="162"/>
      <c r="P110" s="162"/>
      <c r="Q110" s="162"/>
      <c r="R110" s="162"/>
      <c r="S110" s="162"/>
      <c r="T110" s="162"/>
      <c r="U110" s="162"/>
      <c r="V110" s="162"/>
      <c r="W110" s="162"/>
      <c r="X110" s="162"/>
      <c r="Y110" s="162"/>
      <c r="Z110" s="162"/>
      <c r="AA110" s="1"/>
      <c r="AB110" s="1"/>
    </row>
    <row r="111" customFormat="false" ht="15.75" hidden="false" customHeight="false" outlineLevel="0" collapsed="false">
      <c r="A111" s="162"/>
      <c r="B111" s="162"/>
      <c r="C111" s="162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2"/>
      <c r="P111" s="162"/>
      <c r="Q111" s="162"/>
      <c r="R111" s="162"/>
      <c r="S111" s="162"/>
      <c r="T111" s="162"/>
      <c r="U111" s="162"/>
      <c r="V111" s="162"/>
      <c r="W111" s="162"/>
      <c r="X111" s="162"/>
      <c r="Y111" s="162"/>
      <c r="Z111" s="162"/>
      <c r="AA111" s="1"/>
      <c r="AB111" s="1"/>
    </row>
    <row r="112" customFormat="false" ht="15.75" hidden="false" customHeight="false" outlineLevel="0" collapsed="false">
      <c r="A112" s="162"/>
      <c r="B112" s="162"/>
      <c r="C112" s="162"/>
      <c r="D112" s="162"/>
      <c r="E112" s="162"/>
      <c r="F112" s="162"/>
      <c r="G112" s="162"/>
      <c r="H112" s="162"/>
      <c r="I112" s="162"/>
      <c r="J112" s="162"/>
      <c r="K112" s="162"/>
      <c r="L112" s="162"/>
      <c r="M112" s="162"/>
      <c r="N112" s="162"/>
      <c r="O112" s="162"/>
      <c r="P112" s="162"/>
      <c r="Q112" s="162"/>
      <c r="R112" s="162"/>
      <c r="S112" s="162"/>
      <c r="T112" s="162"/>
      <c r="U112" s="162"/>
      <c r="V112" s="162"/>
      <c r="W112" s="162"/>
      <c r="X112" s="162"/>
      <c r="Y112" s="162"/>
      <c r="Z112" s="162"/>
      <c r="AA112" s="1"/>
      <c r="AB112" s="1"/>
    </row>
    <row r="113" customFormat="false" ht="15.75" hidden="false" customHeight="false" outlineLevel="0" collapsed="false">
      <c r="A113" s="162"/>
      <c r="B113" s="162"/>
      <c r="C113" s="162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2"/>
      <c r="P113" s="162"/>
      <c r="Q113" s="162"/>
      <c r="T113" s="162"/>
      <c r="U113" s="162"/>
      <c r="V113" s="162"/>
      <c r="W113" s="162"/>
      <c r="X113" s="162"/>
      <c r="Y113" s="162"/>
      <c r="Z113" s="162"/>
      <c r="AB113" s="1"/>
    </row>
    <row r="114" customFormat="false" ht="15.75" hidden="false" customHeight="false" outlineLevel="0" collapsed="false">
      <c r="A114" s="162"/>
      <c r="B114" s="162"/>
      <c r="C114" s="162"/>
      <c r="D114" s="162"/>
      <c r="E114" s="162"/>
      <c r="F114" s="162"/>
      <c r="G114" s="162"/>
      <c r="H114" s="162"/>
      <c r="I114" s="162"/>
      <c r="J114" s="162"/>
      <c r="K114" s="162"/>
      <c r="L114" s="162"/>
      <c r="M114" s="162"/>
      <c r="N114" s="162"/>
      <c r="O114" s="162"/>
      <c r="P114" s="162"/>
      <c r="Q114" s="162"/>
      <c r="R114" s="162"/>
      <c r="S114" s="162"/>
      <c r="T114" s="162"/>
      <c r="U114" s="162"/>
      <c r="V114" s="162"/>
      <c r="W114" s="162"/>
      <c r="X114" s="162"/>
      <c r="Y114" s="162"/>
      <c r="Z114" s="162"/>
      <c r="AA114" s="1"/>
      <c r="AB114" s="1"/>
    </row>
    <row r="115" customFormat="false" ht="15.75" hidden="false" customHeight="false" outlineLevel="0" collapsed="false">
      <c r="A115" s="162"/>
      <c r="B115" s="16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O115" s="162"/>
      <c r="P115" s="162"/>
      <c r="Q115" s="162"/>
      <c r="S115" s="162"/>
      <c r="T115" s="162"/>
      <c r="U115" s="162"/>
      <c r="V115" s="162"/>
      <c r="W115" s="162"/>
      <c r="X115" s="162"/>
      <c r="Y115" s="162"/>
      <c r="Z115" s="162"/>
      <c r="AB115" s="1"/>
    </row>
    <row r="116" customFormat="false" ht="15.75" hidden="false" customHeight="false" outlineLevel="0" collapsed="false">
      <c r="A116" s="162"/>
      <c r="B116" s="162"/>
      <c r="C116" s="162"/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O116" s="162"/>
      <c r="P116" s="162"/>
      <c r="Q116" s="162"/>
      <c r="S116" s="162"/>
      <c r="T116" s="162"/>
      <c r="U116" s="162"/>
      <c r="V116" s="162"/>
      <c r="W116" s="162"/>
      <c r="X116" s="162"/>
      <c r="Y116" s="162"/>
      <c r="Z116" s="162"/>
      <c r="AB116" s="1"/>
    </row>
    <row r="117" customFormat="false" ht="15.75" hidden="false" customHeight="false" outlineLevel="0" collapsed="false">
      <c r="A117" s="162"/>
      <c r="B117" s="162"/>
      <c r="C117" s="162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/>
      <c r="Y117" s="162"/>
      <c r="Z117" s="162"/>
      <c r="AA117" s="1"/>
      <c r="AB117" s="1"/>
    </row>
    <row r="118" customFormat="false" ht="15.75" hidden="false" customHeight="false" outlineLevel="0" collapsed="false">
      <c r="A118" s="162"/>
      <c r="B118" s="162"/>
      <c r="C118" s="162"/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O118" s="162"/>
      <c r="P118" s="162"/>
      <c r="Q118" s="162"/>
      <c r="S118" s="162"/>
      <c r="T118" s="162"/>
      <c r="U118" s="162"/>
      <c r="V118" s="162"/>
      <c r="W118" s="162"/>
      <c r="X118" s="162"/>
      <c r="Y118" s="162"/>
      <c r="Z118" s="162"/>
      <c r="AB118" s="1"/>
    </row>
    <row r="119" customFormat="false" ht="15.75" hidden="false" customHeight="false" outlineLevel="0" collapsed="false">
      <c r="A119" s="162"/>
      <c r="B119" s="162"/>
      <c r="C119" s="162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/>
      <c r="Y119" s="162"/>
      <c r="Z119" s="162"/>
      <c r="AA119" s="1"/>
      <c r="AB119" s="1"/>
    </row>
    <row r="120" customFormat="false" ht="15.75" hidden="false" customHeight="false" outlineLevel="0" collapsed="false">
      <c r="A120" s="162"/>
      <c r="B120" s="162"/>
      <c r="C120" s="162"/>
      <c r="D120" s="162"/>
      <c r="E120" s="162"/>
      <c r="F120" s="162"/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T120" s="162"/>
      <c r="U120" s="162"/>
      <c r="V120" s="162"/>
      <c r="W120" s="162"/>
      <c r="X120" s="162"/>
      <c r="Y120" s="162"/>
      <c r="Z120" s="162"/>
      <c r="AB120" s="1"/>
    </row>
    <row r="121" customFormat="false" ht="15.75" hidden="false" customHeight="false" outlineLevel="0" collapsed="false">
      <c r="A121" s="162"/>
      <c r="B121" s="162"/>
      <c r="C121" s="162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T121" s="162"/>
      <c r="U121" s="162"/>
      <c r="V121" s="162"/>
      <c r="W121" s="162"/>
      <c r="X121" s="162"/>
      <c r="Y121" s="162"/>
      <c r="Z121" s="162"/>
      <c r="AB121" s="1"/>
    </row>
    <row r="122" customFormat="false" ht="15.75" hidden="false" customHeight="false" outlineLevel="0" collapsed="false">
      <c r="A122" s="162"/>
      <c r="B122" s="162"/>
      <c r="C122" s="162"/>
      <c r="D122" s="162"/>
      <c r="E122" s="162"/>
      <c r="F122" s="162"/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T122" s="162"/>
      <c r="U122" s="162"/>
      <c r="V122" s="162"/>
      <c r="W122" s="162"/>
      <c r="X122" s="162"/>
      <c r="Y122" s="162"/>
      <c r="Z122" s="162"/>
      <c r="AB122" s="1"/>
    </row>
    <row r="123" customFormat="false" ht="15.75" hidden="false" customHeight="false" outlineLevel="0" collapsed="false">
      <c r="A123" s="162"/>
      <c r="B123" s="162"/>
      <c r="C123" s="162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/>
      <c r="Y123" s="162"/>
      <c r="Z123" s="162"/>
      <c r="AA123" s="1"/>
      <c r="AB123" s="1"/>
    </row>
    <row r="124" customFormat="false" ht="15.75" hidden="false" customHeight="false" outlineLevel="0" collapsed="false">
      <c r="A124" s="162"/>
      <c r="B124" s="162"/>
      <c r="C124" s="162"/>
      <c r="D124" s="162"/>
      <c r="E124" s="162"/>
      <c r="F124" s="162"/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S124" s="162"/>
      <c r="T124" s="162"/>
      <c r="U124" s="162"/>
      <c r="V124" s="162"/>
      <c r="W124" s="162"/>
      <c r="X124" s="162"/>
      <c r="Y124" s="162"/>
      <c r="Z124" s="162"/>
      <c r="AB124" s="1"/>
    </row>
    <row r="125" customFormat="false" ht="15.75" hidden="false" customHeight="false" outlineLevel="0" collapsed="false">
      <c r="A125" s="162"/>
      <c r="B125" s="162"/>
      <c r="C125" s="162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O125" s="162"/>
      <c r="P125" s="162"/>
      <c r="Q125" s="162"/>
      <c r="S125" s="162"/>
      <c r="T125" s="162"/>
      <c r="U125" s="162"/>
      <c r="V125" s="162"/>
      <c r="W125" s="162"/>
      <c r="X125" s="162"/>
      <c r="Y125" s="162"/>
      <c r="Z125" s="162"/>
      <c r="AB125" s="1" t="n">
        <v>0</v>
      </c>
    </row>
    <row r="126" customFormat="false" ht="15.75" hidden="false" customHeight="false" outlineLevel="0" collapsed="false">
      <c r="A126" s="162"/>
      <c r="B126" s="162"/>
      <c r="C126" s="162"/>
      <c r="D126" s="162"/>
      <c r="E126" s="162"/>
      <c r="F126" s="162"/>
      <c r="G126" s="162"/>
      <c r="H126" s="162"/>
      <c r="I126" s="162"/>
      <c r="J126" s="162"/>
      <c r="K126" s="162"/>
      <c r="L126" s="162"/>
      <c r="M126" s="162"/>
      <c r="O126" s="162"/>
      <c r="P126" s="162"/>
      <c r="Q126" s="162"/>
      <c r="S126" s="162"/>
      <c r="T126" s="162"/>
      <c r="U126" s="162"/>
      <c r="V126" s="162"/>
      <c r="W126" s="162"/>
      <c r="X126" s="162"/>
      <c r="Y126" s="162"/>
      <c r="Z126" s="162"/>
      <c r="AB126" s="1"/>
    </row>
    <row r="127" customFormat="false" ht="15.75" hidden="false" customHeight="false" outlineLevel="0" collapsed="false">
      <c r="A127" s="162"/>
      <c r="B127" s="162"/>
      <c r="C127" s="162"/>
      <c r="D127" s="162"/>
      <c r="E127" s="162"/>
      <c r="F127" s="162"/>
      <c r="G127" s="162"/>
      <c r="H127" s="162"/>
      <c r="I127" s="162"/>
      <c r="J127" s="162"/>
      <c r="K127" s="162"/>
      <c r="L127" s="162"/>
      <c r="M127" s="162"/>
      <c r="O127" s="162"/>
      <c r="P127" s="162"/>
      <c r="Q127" s="162"/>
      <c r="S127" s="162"/>
      <c r="T127" s="162"/>
      <c r="U127" s="162"/>
      <c r="V127" s="162"/>
      <c r="W127" s="162"/>
      <c r="X127" s="162"/>
      <c r="Y127" s="162"/>
      <c r="Z127" s="162"/>
      <c r="AB127" s="1"/>
    </row>
    <row r="128" customFormat="false" ht="15.75" hidden="false" customHeight="false" outlineLevel="0" collapsed="false">
      <c r="A128" s="162"/>
      <c r="B128" s="162"/>
      <c r="C128" s="162"/>
      <c r="D128" s="162"/>
      <c r="E128" s="162"/>
      <c r="F128" s="162"/>
      <c r="G128" s="162"/>
      <c r="H128" s="162"/>
      <c r="I128" s="162"/>
      <c r="J128" s="162"/>
      <c r="K128" s="162"/>
      <c r="L128" s="162"/>
      <c r="M128" s="162"/>
      <c r="N128" s="162"/>
      <c r="O128" s="162"/>
      <c r="P128" s="162"/>
      <c r="Q128" s="162"/>
      <c r="R128" s="162"/>
      <c r="S128" s="162"/>
      <c r="T128" s="162"/>
      <c r="U128" s="162"/>
      <c r="V128" s="162"/>
      <c r="W128" s="162"/>
      <c r="X128" s="162"/>
      <c r="Y128" s="162"/>
      <c r="Z128" s="162"/>
      <c r="AA128" s="1"/>
      <c r="AB128" s="1"/>
    </row>
    <row r="129" customFormat="false" ht="15.75" hidden="false" customHeight="false" outlineLevel="0" collapsed="false">
      <c r="A129" s="162"/>
      <c r="B129" s="162"/>
      <c r="C129" s="162"/>
      <c r="D129" s="162"/>
      <c r="E129" s="162"/>
      <c r="F129" s="162"/>
      <c r="G129" s="162"/>
      <c r="H129" s="162"/>
      <c r="I129" s="162"/>
      <c r="J129" s="162"/>
      <c r="K129" s="162"/>
      <c r="L129" s="162"/>
      <c r="M129" s="162"/>
      <c r="N129" s="162"/>
      <c r="O129" s="162"/>
      <c r="P129" s="162"/>
      <c r="Q129" s="162"/>
      <c r="T129" s="162"/>
      <c r="U129" s="162"/>
      <c r="V129" s="162"/>
      <c r="W129" s="162"/>
      <c r="X129" s="162"/>
      <c r="Y129" s="162"/>
      <c r="Z129" s="162"/>
      <c r="AB129" s="1"/>
    </row>
    <row r="130" customFormat="false" ht="15.75" hidden="false" customHeight="false" outlineLevel="0" collapsed="false">
      <c r="A130" s="162"/>
      <c r="B130" s="162"/>
      <c r="C130" s="162"/>
      <c r="D130" s="162"/>
      <c r="E130" s="162"/>
      <c r="F130" s="162"/>
      <c r="G130" s="162"/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T130" s="162"/>
      <c r="U130" s="162"/>
      <c r="V130" s="162"/>
      <c r="W130" s="162"/>
      <c r="X130" s="162"/>
      <c r="Y130" s="162"/>
      <c r="Z130" s="162"/>
      <c r="AB130" s="1"/>
    </row>
    <row r="131" customFormat="false" ht="15.75" hidden="false" customHeight="false" outlineLevel="0" collapsed="false">
      <c r="A131" s="162"/>
      <c r="B131" s="162"/>
      <c r="C131" s="162"/>
      <c r="D131" s="162"/>
      <c r="E131" s="162"/>
      <c r="F131" s="162"/>
      <c r="G131" s="162"/>
      <c r="H131" s="162"/>
      <c r="I131" s="162"/>
      <c r="J131" s="162"/>
      <c r="K131" s="162"/>
      <c r="L131" s="162"/>
      <c r="M131" s="162"/>
      <c r="O131" s="162"/>
      <c r="P131" s="162"/>
      <c r="Q131" s="162"/>
      <c r="S131" s="162"/>
      <c r="T131" s="162"/>
      <c r="U131" s="162"/>
      <c r="V131" s="162"/>
      <c r="W131" s="162"/>
      <c r="X131" s="162"/>
      <c r="Y131" s="162"/>
      <c r="Z131" s="162"/>
      <c r="AB131" s="1" t="n">
        <v>0</v>
      </c>
    </row>
    <row r="132" customFormat="false" ht="15.75" hidden="false" customHeight="false" outlineLevel="0" collapsed="false">
      <c r="A132" s="162"/>
      <c r="B132" s="162"/>
      <c r="C132" s="162"/>
      <c r="D132" s="162"/>
      <c r="E132" s="162"/>
      <c r="F132" s="162"/>
      <c r="G132" s="162"/>
      <c r="H132" s="162"/>
      <c r="I132" s="162"/>
      <c r="J132" s="162"/>
      <c r="K132" s="162"/>
      <c r="L132" s="162"/>
      <c r="M132" s="162"/>
      <c r="O132" s="162"/>
      <c r="P132" s="162"/>
      <c r="Q132" s="162"/>
      <c r="S132" s="162"/>
      <c r="T132" s="162"/>
      <c r="U132" s="162"/>
      <c r="V132" s="162"/>
      <c r="W132" s="162"/>
      <c r="X132" s="162"/>
      <c r="Y132" s="162"/>
      <c r="Z132" s="162"/>
      <c r="AB132" s="1" t="n">
        <v>0</v>
      </c>
    </row>
    <row r="133" customFormat="false" ht="15.75" hidden="false" customHeight="false" outlineLevel="0" collapsed="false">
      <c r="A133" s="162"/>
      <c r="B133" s="162"/>
      <c r="C133" s="162"/>
      <c r="D133" s="162"/>
      <c r="E133" s="162"/>
      <c r="F133" s="162"/>
      <c r="G133" s="162"/>
      <c r="H133" s="162"/>
      <c r="I133" s="162"/>
      <c r="J133" s="162"/>
      <c r="K133" s="162"/>
      <c r="L133" s="162"/>
      <c r="M133" s="162"/>
      <c r="O133" s="162"/>
      <c r="P133" s="162"/>
      <c r="Q133" s="162"/>
      <c r="S133" s="162"/>
      <c r="T133" s="162"/>
      <c r="U133" s="162"/>
      <c r="V133" s="162"/>
      <c r="W133" s="162"/>
      <c r="X133" s="162"/>
      <c r="Y133" s="162"/>
      <c r="Z133" s="162"/>
      <c r="AB133" s="1"/>
    </row>
    <row r="134" customFormat="false" ht="15.75" hidden="false" customHeight="false" outlineLevel="0" collapsed="false">
      <c r="A134" s="162"/>
      <c r="B134" s="162"/>
      <c r="C134" s="162"/>
      <c r="D134" s="162"/>
      <c r="E134" s="162"/>
      <c r="F134" s="162"/>
      <c r="G134" s="162"/>
      <c r="H134" s="162"/>
      <c r="I134" s="162"/>
      <c r="J134" s="162"/>
      <c r="K134" s="162"/>
      <c r="L134" s="162"/>
      <c r="M134" s="162"/>
      <c r="N134" s="162"/>
      <c r="O134" s="162"/>
      <c r="P134" s="162"/>
      <c r="Q134" s="162"/>
      <c r="S134" s="162"/>
      <c r="T134" s="162"/>
      <c r="U134" s="162"/>
      <c r="V134" s="162"/>
      <c r="W134" s="162"/>
      <c r="X134" s="162"/>
      <c r="Y134" s="162"/>
      <c r="Z134" s="162"/>
      <c r="AB134" s="1"/>
    </row>
    <row r="135" customFormat="false" ht="15.75" hidden="false" customHeight="false" outlineLevel="0" collapsed="false">
      <c r="A135" s="162"/>
      <c r="B135" s="162"/>
      <c r="C135" s="162"/>
      <c r="D135" s="162"/>
      <c r="E135" s="162"/>
      <c r="F135" s="162"/>
      <c r="G135" s="162"/>
      <c r="H135" s="162"/>
      <c r="I135" s="162"/>
      <c r="J135" s="162"/>
      <c r="K135" s="162"/>
      <c r="L135" s="162"/>
      <c r="M135" s="162"/>
      <c r="N135" s="162"/>
      <c r="O135" s="162"/>
      <c r="P135" s="162"/>
      <c r="Q135" s="162"/>
      <c r="S135" s="162"/>
      <c r="T135" s="162"/>
      <c r="U135" s="162"/>
      <c r="V135" s="162"/>
      <c r="W135" s="162"/>
      <c r="X135" s="162"/>
      <c r="Y135" s="162"/>
      <c r="Z135" s="162"/>
      <c r="AB135" s="1"/>
    </row>
    <row r="136" customFormat="false" ht="15.75" hidden="false" customHeight="false" outlineLevel="0" collapsed="false">
      <c r="A136" s="162"/>
      <c r="B136" s="162"/>
      <c r="C136" s="162"/>
      <c r="D136" s="162"/>
      <c r="E136" s="162"/>
      <c r="F136" s="162"/>
      <c r="G136" s="162"/>
      <c r="H136" s="162"/>
      <c r="I136" s="162"/>
      <c r="J136" s="162"/>
      <c r="K136" s="162"/>
      <c r="L136" s="162"/>
      <c r="M136" s="162"/>
      <c r="O136" s="162"/>
      <c r="P136" s="162"/>
      <c r="Q136" s="162"/>
      <c r="S136" s="162"/>
      <c r="T136" s="162"/>
      <c r="U136" s="162"/>
      <c r="V136" s="162"/>
      <c r="W136" s="162"/>
      <c r="X136" s="162"/>
      <c r="Y136" s="162"/>
      <c r="Z136" s="162"/>
      <c r="AB136" s="1" t="n">
        <v>0</v>
      </c>
    </row>
    <row r="137" customFormat="false" ht="15.75" hidden="false" customHeight="false" outlineLevel="0" collapsed="false">
      <c r="A137" s="162"/>
      <c r="B137" s="162"/>
      <c r="C137" s="162"/>
      <c r="D137" s="162"/>
      <c r="E137" s="162"/>
      <c r="F137" s="162"/>
      <c r="G137" s="162"/>
      <c r="H137" s="162"/>
      <c r="I137" s="162"/>
      <c r="J137" s="162"/>
      <c r="K137" s="162"/>
      <c r="L137" s="162"/>
      <c r="M137" s="162"/>
      <c r="N137" s="162"/>
      <c r="O137" s="162"/>
      <c r="P137" s="162"/>
      <c r="Q137" s="162"/>
      <c r="T137" s="162"/>
      <c r="U137" s="162"/>
      <c r="V137" s="162"/>
      <c r="W137" s="162"/>
      <c r="X137" s="162"/>
      <c r="Y137" s="162"/>
      <c r="Z137" s="162"/>
      <c r="AB137" s="1"/>
    </row>
    <row r="138" customFormat="false" ht="15.75" hidden="false" customHeight="false" outlineLevel="0" collapsed="false">
      <c r="A138" s="162"/>
      <c r="B138" s="162"/>
      <c r="C138" s="162"/>
      <c r="D138" s="162"/>
      <c r="E138" s="162"/>
      <c r="F138" s="162"/>
      <c r="G138" s="162"/>
      <c r="H138" s="162"/>
      <c r="I138" s="162"/>
      <c r="J138" s="162"/>
      <c r="K138" s="162"/>
      <c r="L138" s="162"/>
      <c r="M138" s="162"/>
      <c r="O138" s="162"/>
      <c r="P138" s="162"/>
      <c r="Q138" s="162"/>
      <c r="S138" s="162"/>
      <c r="T138" s="162"/>
      <c r="U138" s="162"/>
      <c r="V138" s="162"/>
      <c r="W138" s="162"/>
      <c r="X138" s="162"/>
      <c r="Y138" s="162"/>
      <c r="Z138" s="162"/>
      <c r="AB138" s="1" t="n">
        <v>0</v>
      </c>
    </row>
    <row r="139" customFormat="false" ht="15.75" hidden="false" customHeight="false" outlineLevel="0" collapsed="false">
      <c r="A139" s="162"/>
      <c r="B139" s="162"/>
      <c r="C139" s="162"/>
      <c r="D139" s="162"/>
      <c r="E139" s="162"/>
      <c r="F139" s="162"/>
      <c r="G139" s="162"/>
      <c r="H139" s="162"/>
      <c r="I139" s="162"/>
      <c r="J139" s="162"/>
      <c r="K139" s="162"/>
      <c r="L139" s="162"/>
      <c r="M139" s="162"/>
      <c r="N139" s="162"/>
      <c r="O139" s="162"/>
      <c r="P139" s="162"/>
      <c r="Q139" s="162"/>
      <c r="S139" s="162"/>
      <c r="T139" s="162"/>
      <c r="U139" s="162"/>
      <c r="V139" s="162"/>
      <c r="W139" s="162"/>
      <c r="X139" s="162"/>
      <c r="Y139" s="162"/>
      <c r="Z139" s="162"/>
      <c r="AB139" s="1"/>
    </row>
    <row r="140" customFormat="false" ht="15.75" hidden="false" customHeight="false" outlineLevel="0" collapsed="false">
      <c r="A140" s="162"/>
      <c r="B140" s="162"/>
      <c r="C140" s="162"/>
      <c r="D140" s="162"/>
      <c r="E140" s="162"/>
      <c r="F140" s="162"/>
      <c r="G140" s="162"/>
      <c r="H140" s="162"/>
      <c r="I140" s="162"/>
      <c r="J140" s="162"/>
      <c r="K140" s="162"/>
      <c r="L140" s="162"/>
      <c r="M140" s="162"/>
      <c r="O140" s="162"/>
      <c r="P140" s="162"/>
      <c r="Q140" s="162"/>
      <c r="S140" s="162"/>
      <c r="T140" s="162"/>
      <c r="U140" s="162"/>
      <c r="V140" s="162"/>
      <c r="W140" s="162"/>
      <c r="X140" s="162"/>
      <c r="Y140" s="162"/>
      <c r="Z140" s="162"/>
      <c r="AB140" s="1"/>
    </row>
    <row r="141" customFormat="false" ht="15.75" hidden="false" customHeight="false" outlineLevel="0" collapsed="false">
      <c r="A141" s="162"/>
      <c r="B141" s="162"/>
      <c r="C141" s="162"/>
      <c r="D141" s="162"/>
      <c r="E141" s="162"/>
      <c r="F141" s="162"/>
      <c r="G141" s="162"/>
      <c r="H141" s="162"/>
      <c r="I141" s="162"/>
      <c r="J141" s="162"/>
      <c r="K141" s="162"/>
      <c r="L141" s="162"/>
      <c r="M141" s="162"/>
      <c r="N141" s="162"/>
      <c r="O141" s="162"/>
      <c r="P141" s="162"/>
      <c r="Q141" s="162"/>
      <c r="R141" s="162"/>
      <c r="S141" s="162"/>
      <c r="T141" s="162"/>
      <c r="U141" s="162"/>
      <c r="V141" s="162"/>
      <c r="W141" s="162"/>
      <c r="X141" s="162"/>
      <c r="Y141" s="162"/>
      <c r="Z141" s="162"/>
      <c r="AA141" s="1"/>
      <c r="AB141" s="1"/>
    </row>
  </sheetData>
  <mergeCells count="1">
    <mergeCell ref="A1:H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2026-06-18T16:06:11Z</dcterms:modified>
  <cp:revision>1</cp:revision>
  <dc:subject/>
  <dc:title/>
</cp:coreProperties>
</file>