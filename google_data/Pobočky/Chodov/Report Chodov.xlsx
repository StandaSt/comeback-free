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RestiaCSV!$A$1:$M$482</definedName>
  </definedNames>
  <calcPr/>
</workbook>
</file>

<file path=xl/sharedStrings.xml><?xml version="1.0" encoding="utf-8"?>
<sst xmlns="http://schemas.openxmlformats.org/spreadsheetml/2006/main" count="5529" uniqueCount="1625">
  <si>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</si>
  <si>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</si>
  <si>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</si>
  <si>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</si>
  <si>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</si>
  <si>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</si>
  <si>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</si>
  <si>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</si>
  <si>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</si>
  <si>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</si>
  <si>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</si>
  <si>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</si>
  <si>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</si>
  <si>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</si>
  <si>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</si>
  <si>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</si>
  <si>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</si>
  <si>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</si>
  <si>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</si>
  <si>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</si>
  <si>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</si>
  <si>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</si>
  <si>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</si>
  <si>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</si>
  <si>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</si>
  <si>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</si>
  <si>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</si>
  <si>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</si>
  <si>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</si>
  <si>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</si>
  <si>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</si>
  <si>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</si>
  <si>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</si>
  <si>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</si>
  <si>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</si>
  <si>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</si>
  <si>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</si>
  <si>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</si>
  <si>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</si>
  <si>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</si>
  <si>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</si>
  <si>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</si>
  <si>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</si>
  <si>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</si>
  <si>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</si>
  <si>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</si>
  <si>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</si>
  <si>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</si>
  <si>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</si>
  <si>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</si>
  <si>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</si>
  <si>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</si>
  <si>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</si>
  <si>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</si>
  <si>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</si>
  <si>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</si>
  <si>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</si>
  <si>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</si>
  <si>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</si>
  <si>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</si>
  <si>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</si>
  <si>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</si>
  <si>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</si>
  <si>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</si>
  <si>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</si>
  <si>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</si>
  <si>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</si>
  <si>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</si>
  <si>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</si>
  <si>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</si>
  <si>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</si>
  <si>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</si>
  <si>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</si>
  <si>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</si>
  <si>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</si>
  <si>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</si>
  <si>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</si>
  <si>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</si>
  <si>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</si>
  <si>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</si>
  <si>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</si>
  <si>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</si>
  <si>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</si>
  <si>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</si>
  <si>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</si>
  <si>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</si>
  <si>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</si>
  <si>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</si>
  <si>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</si>
  <si>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</si>
  <si>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</si>
  <si>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</si>
  <si>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</si>
  <si>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</si>
  <si>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</si>
  <si>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</si>
  <si>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</si>
  <si>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</si>
  <si>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</si>
  <si>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</si>
  <si>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</si>
  <si>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</si>
  <si>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</si>
  <si>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</si>
  <si>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</si>
  <si>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</si>
  <si>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</si>
  <si>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</si>
  <si>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</si>
  <si>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</si>
  <si>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</si>
  <si>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</si>
  <si>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</si>
  <si>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</si>
  <si>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</si>
  <si>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</si>
  <si>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</si>
  <si>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</si>
  <si>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</si>
  <si>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</si>
  <si>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</si>
  <si>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</si>
  <si>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</si>
  <si>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</si>
  <si>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</si>
  <si>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</si>
  <si>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</si>
  <si>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</si>
  <si>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</si>
  <si>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</si>
  <si>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</si>
  <si>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</si>
  <si>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</si>
  <si>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</si>
  <si>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</si>
  <si>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</si>
  <si>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</si>
  <si>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</si>
  <si>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</si>
  <si>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</si>
  <si>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</si>
  <si>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</si>
  <si>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</si>
  <si>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</si>
  <si>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</si>
  <si>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</si>
  <si>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</si>
  <si>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</si>
  <si>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</si>
  <si>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</si>
  <si>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</si>
  <si>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</si>
  <si>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</si>
  <si>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</si>
  <si>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</si>
  <si>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</si>
  <si>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</si>
  <si>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</si>
  <si>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</si>
  <si>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</si>
  <si>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</si>
  <si>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</si>
  <si>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</si>
  <si>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</si>
  <si>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</si>
  <si>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</si>
  <si>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</si>
  <si>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</si>
  <si>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</si>
  <si>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</si>
  <si>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</si>
  <si>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</si>
  <si>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</si>
  <si>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</si>
  <si>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</si>
  <si>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</si>
  <si>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</si>
  <si>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</si>
  <si>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</si>
  <si>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</si>
  <si>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</si>
  <si>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</si>
  <si>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</si>
  <si>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</si>
  <si>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</si>
  <si>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</si>
  <si>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</si>
  <si>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</si>
  <si>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</si>
  <si>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</si>
  <si>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</si>
  <si>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</si>
  <si>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</si>
  <si>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</si>
  <si>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</si>
  <si>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</si>
  <si>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</si>
  <si>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</si>
  <si>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</si>
  <si>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</si>
  <si>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</si>
  <si>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</si>
  <si>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</si>
  <si>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</si>
  <si>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</si>
  <si>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</si>
  <si>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</si>
  <si>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</si>
  <si>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</si>
  <si>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</si>
  <si>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</si>
  <si>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</si>
  <si>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</si>
  <si>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</si>
  <si>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</si>
  <si>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</si>
  <si>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</si>
  <si>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</si>
  <si>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</si>
  <si>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</si>
  <si>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</si>
  <si>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</si>
  <si>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</si>
  <si>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</si>
  <si>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</si>
  <si>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</si>
  <si>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</si>
  <si>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</si>
  <si>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</si>
  <si>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</si>
  <si>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</si>
  <si>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</si>
  <si>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</si>
  <si>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</si>
  <si>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</si>
  <si>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</si>
  <si>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</si>
  <si>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</si>
  <si>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</si>
  <si>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</si>
  <si>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</si>
  <si>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</si>
  <si>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</si>
  <si>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</si>
  <si>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</si>
  <si>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</si>
  <si>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</si>
  <si>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</si>
  <si>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</si>
  <si>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</si>
  <si>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</si>
  <si>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</si>
  <si>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</si>
  <si>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</si>
  <si>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</si>
  <si>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</si>
  <si>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</si>
  <si>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</si>
  <si>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</si>
  <si>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</si>
  <si>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</si>
  <si>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</si>
  <si>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</si>
  <si>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</si>
  <si>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</si>
  <si>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</si>
  <si>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</si>
  <si>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</si>
  <si>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</si>
  <si>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</si>
  <si>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</si>
  <si>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</si>
  <si>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</si>
  <si>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</si>
  <si>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</si>
  <si>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</si>
  <si>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</si>
  <si>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</si>
  <si>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</si>
  <si>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</si>
  <si>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</si>
  <si>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</si>
  <si>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</si>
  <si>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</si>
  <si>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</si>
  <si>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</si>
  <si>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</si>
  <si>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</si>
  <si>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</si>
  <si>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</si>
  <si>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</si>
  <si>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</si>
  <si>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</si>
  <si>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</si>
  <si>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</si>
  <si>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</si>
  <si>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</si>
  <si>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</si>
  <si>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</si>
  <si>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</si>
  <si>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</si>
  <si>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</si>
  <si>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</si>
  <si>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</si>
  <si>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</si>
  <si>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</si>
  <si>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</si>
  <si>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</si>
  <si>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</si>
  <si>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</si>
  <si>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</si>
  <si>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</si>
  <si>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</si>
  <si>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</si>
  <si>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</si>
  <si>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</si>
  <si>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</si>
  <si>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</si>
  <si>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</si>
  <si>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</si>
  <si>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</si>
  <si>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</si>
  <si>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</si>
  <si>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</si>
  <si>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</si>
  <si>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</si>
  <si>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</si>
  <si>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</si>
  <si>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</si>
  <si>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</si>
  <si>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</si>
  <si>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</si>
  <si>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</si>
  <si>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</si>
  <si>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</si>
  <si>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</si>
  <si>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</si>
  <si>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</si>
  <si>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</si>
  <si>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</si>
  <si>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</si>
  <si>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</si>
  <si>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</si>
  <si>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</si>
  <si>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</si>
  <si>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</si>
  <si>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</si>
  <si>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</si>
  <si>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</si>
  <si>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</si>
  <si>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</si>
  <si>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</si>
  <si>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</si>
  <si>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</si>
  <si>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</si>
  <si>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</si>
  <si>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</si>
  <si>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</si>
  <si>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</si>
  <si>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</si>
  <si>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</si>
  <si>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</si>
  <si>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</si>
  <si>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</si>
  <si>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</si>
  <si>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</si>
  <si>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</si>
  <si>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</si>
  <si>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</si>
  <si>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</si>
  <si>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</si>
  <si>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</si>
  <si>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</si>
  <si>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</si>
  <si>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</si>
  <si>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</si>
  <si>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</si>
  <si>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</si>
  <si>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</si>
  <si>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</si>
  <si>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</si>
  <si>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</si>
  <si>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</si>
  <si>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</si>
  <si>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</si>
  <si>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</si>
  <si>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</si>
  <si>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</si>
  <si>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</si>
  <si>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</si>
  <si>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</si>
  <si>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</si>
  <si>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</si>
  <si>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</si>
  <si>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</si>
  <si>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</si>
  <si>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</si>
  <si>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</si>
  <si>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</si>
  <si>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</si>
  <si>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</si>
  <si>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</si>
  <si>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</si>
  <si>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</si>
  <si>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</si>
  <si>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</si>
  <si>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</si>
  <si>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</si>
  <si>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</si>
  <si>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</si>
  <si>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</si>
  <si>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</si>
  <si>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</si>
  <si>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</si>
  <si>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</si>
  <si>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</si>
  <si>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</si>
  <si>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</si>
  <si>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</si>
  <si>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</si>
  <si>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</si>
  <si>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</si>
  <si>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</si>
  <si>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</si>
  <si>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</si>
  <si>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</si>
  <si>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</si>
  <si>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</si>
  <si>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</si>
  <si>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</si>
  <si>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</si>
  <si>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</si>
  <si>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</si>
  <si>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</si>
  <si>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</si>
  <si>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</si>
  <si>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</si>
  <si>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</si>
  <si>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</si>
  <si>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</si>
  <si>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</si>
  <si>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</si>
  <si>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</si>
  <si>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</si>
  <si>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</si>
  <si>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</si>
  <si>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</si>
  <si>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</si>
  <si>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</si>
  <si>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</si>
  <si>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</si>
  <si>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</si>
  <si>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</si>
  <si>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</si>
  <si>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</si>
  <si>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</si>
  <si>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</si>
  <si>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</si>
  <si>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</si>
  <si>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</si>
  <si>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</si>
  <si>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</si>
  <si>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</si>
  <si>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</si>
  <si>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</si>
  <si>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</si>
  <si>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</si>
  <si>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</si>
  <si>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</si>
  <si>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</si>
  <si>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</si>
  <si>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</si>
  <si>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</si>
  <si>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</si>
  <si>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</si>
  <si>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</si>
  <si>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</si>
  <si>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</si>
  <si>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</si>
  <si>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</si>
  <si>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</si>
  <si>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</si>
  <si>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</si>
  <si>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</si>
  <si>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</si>
  <si>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</si>
  <si>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</si>
  <si>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</si>
  <si>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</si>
  <si>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</si>
  <si>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</si>
  <si>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</si>
  <si>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</si>
  <si>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</si>
  <si>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</si>
  <si>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</si>
  <si>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</si>
  <si>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</si>
  <si>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</si>
  <si>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</si>
  <si>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</si>
  <si>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</si>
  <si>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</si>
  <si>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</si>
  <si>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</si>
  <si>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</si>
  <si>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</si>
  <si>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</si>
  <si>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</si>
  <si>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</si>
  <si>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</si>
  <si>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</si>
  <si>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</si>
  <si>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</si>
  <si>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</si>
  <si>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</si>
  <si>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</si>
  <si>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</si>
  <si>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</si>
  <si>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</si>
  <si>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</si>
  <si>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</si>
  <si>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</si>
  <si>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</si>
  <si>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</si>
  <si>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</si>
  <si>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</si>
  <si>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</si>
  <si>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</si>
  <si>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</si>
  <si>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</si>
  <si>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</si>
  <si>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</si>
  <si>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</si>
  <si>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</si>
  <si>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</si>
  <si>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</si>
  <si>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</si>
  <si>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</si>
  <si>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</si>
  <si>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</si>
  <si>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</si>
  <si>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</si>
  <si>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</si>
  <si>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</si>
  <si>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</si>
  <si>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</si>
  <si>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</si>
  <si>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</si>
  <si>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</si>
  <si>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</si>
  <si>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</si>
  <si>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</si>
  <si>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</si>
  <si>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</si>
  <si>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</si>
  <si>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</si>
  <si>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</si>
  <si>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</si>
  <si>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</si>
  <si>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</si>
  <si>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</si>
  <si>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</si>
  <si>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</si>
  <si>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</si>
  <si>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</si>
  <si>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</si>
  <si>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</si>
  <si>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</si>
  <si>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</si>
  <si>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</si>
  <si>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</si>
  <si>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</si>
  <si>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</si>
  <si>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</si>
  <si>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</si>
  <si>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</si>
  <si>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</si>
  <si>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</si>
  <si>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</si>
  <si>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</si>
  <si>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</si>
  <si>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</si>
  <si>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</si>
  <si>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</si>
  <si>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</si>
  <si>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</si>
  <si>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</si>
  <si>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</si>
  <si>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</si>
  <si>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</si>
  <si>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</si>
  <si>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</si>
  <si>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</si>
  <si>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</si>
  <si>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</si>
  <si>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</si>
  <si>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</si>
  <si>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</si>
  <si>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</si>
  <si>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</si>
  <si>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</si>
  <si>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</si>
  <si>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</si>
  <si>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</si>
  <si>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</si>
  <si>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</si>
  <si>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</si>
  <si>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</si>
  <si>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</si>
  <si>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</si>
  <si>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</si>
  <si>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</si>
  <si>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</si>
  <si>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</si>
  <si>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</si>
  <si>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</si>
  <si>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</si>
  <si>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</si>
  <si>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</si>
  <si>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</si>
  <si>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</si>
  <si>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</si>
  <si>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</si>
  <si>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</si>
  <si>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</si>
  <si>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</si>
  <si>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</si>
  <si>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</si>
  <si>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</si>
  <si>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</si>
  <si>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</si>
  <si>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</si>
  <si>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</si>
  <si>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</si>
  <si>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</si>
  <si>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</si>
  <si>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</si>
  <si>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</si>
  <si>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</si>
  <si>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</si>
  <si>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</si>
  <si>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</si>
  <si>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</si>
  <si>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</si>
  <si>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</si>
  <si>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</si>
  <si>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</si>
  <si>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</si>
  <si>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</si>
  <si>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</si>
  <si>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</si>
  <si>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</si>
  <si>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</si>
  <si>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</si>
  <si>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</si>
  <si>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</si>
  <si>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</si>
  <si>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</si>
  <si>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</si>
  <si>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</si>
  <si>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</si>
  <si>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</si>
  <si>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</si>
  <si>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</si>
  <si>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</si>
  <si>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</si>
  <si>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</si>
  <si>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</si>
  <si>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</si>
  <si>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</si>
  <si>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</si>
  <si>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</si>
  <si>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</si>
  <si>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</si>
  <si>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</si>
  <si>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</si>
  <si>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</si>
  <si>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</si>
  <si>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</si>
  <si>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</si>
  <si>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</si>
  <si>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</si>
  <si>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</si>
  <si>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</si>
  <si>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</si>
  <si>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</si>
  <si>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</si>
  <si>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</si>
  <si>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</si>
  <si>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</si>
  <si>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</si>
  <si>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</si>
  <si>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</si>
  <si>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</si>
  <si>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</si>
  <si>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</si>
  <si>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</si>
  <si>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</si>
  <si>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</si>
  <si>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</si>
  <si>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</si>
  <si>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</si>
  <si>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</si>
  <si>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</si>
  <si>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</si>
  <si>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</si>
  <si>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</si>
  <si>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</si>
  <si>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</si>
  <si>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</si>
  <si>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</si>
  <si>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</si>
  <si>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</si>
  <si>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</si>
  <si>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</si>
  <si>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</si>
  <si>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</si>
  <si>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</si>
  <si>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</si>
  <si>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</si>
  <si>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</si>
  <si>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</si>
  <si>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</si>
  <si>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</si>
  <si>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</si>
  <si>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</si>
  <si>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</si>
  <si>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</si>
  <si>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</si>
  <si>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</si>
  <si>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</si>
  <si>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</si>
  <si>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</si>
  <si>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</si>
  <si>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</si>
  <si>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</si>
  <si>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</si>
  <si>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</si>
  <si>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</si>
  <si>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</si>
  <si>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</si>
  <si>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</si>
  <si>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</si>
  <si>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</si>
  <si>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</si>
  <si>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</si>
  <si>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</si>
  <si>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</si>
  <si>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</si>
  <si>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</si>
  <si>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</si>
  <si>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</si>
  <si>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</si>
  <si>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</si>
  <si>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</si>
  <si>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</si>
  <si>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</si>
  <si>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</si>
  <si>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</si>
  <si>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</si>
  <si>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</si>
  <si>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</si>
  <si>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</si>
  <si>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</si>
  <si>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</si>
  <si>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</si>
  <si>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</si>
  <si>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</si>
  <si>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</si>
  <si>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</si>
  <si>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</si>
  <si>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</si>
  <si>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</si>
  <si>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</si>
  <si>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</si>
  <si>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</si>
  <si>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</si>
  <si>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</si>
  <si>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</si>
  <si>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</si>
  <si>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</si>
  <si>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</si>
  <si>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</si>
  <si>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</si>
  <si>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</si>
  <si>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</si>
  <si>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</si>
  <si>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</si>
  <si>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</si>
  <si>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</si>
  <si>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</si>
  <si>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</si>
  <si>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</si>
  <si>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</si>
  <si>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</si>
  <si>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</si>
  <si>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</si>
  <si>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</si>
  <si>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</si>
  <si>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</si>
  <si>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</si>
  <si>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</si>
  <si>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</si>
  <si>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</si>
  <si>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</si>
  <si>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</si>
  <si>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</si>
  <si>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</si>
  <si>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</si>
  <si>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</si>
  <si>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</si>
  <si>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</si>
  <si>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</si>
  <si>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</si>
  <si>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</si>
  <si>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</si>
  <si>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</si>
  <si>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</si>
  <si>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</si>
  <si>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</si>
  <si>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</si>
  <si>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</si>
  <si>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</si>
  <si>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</si>
  <si>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</si>
  <si>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</si>
  <si>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</si>
  <si>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</si>
  <si>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</si>
  <si>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</si>
  <si>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</si>
  <si>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</si>
  <si>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</si>
  <si>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</si>
  <si>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</si>
  <si>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</si>
  <si>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</si>
  <si>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</si>
  <si>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</si>
  <si>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</si>
  <si>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</si>
  <si>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</si>
  <si>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</si>
  <si>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</si>
  <si>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</si>
  <si>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</si>
  <si>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</si>
  <si>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</si>
  <si>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</si>
  <si>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</si>
  <si>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</si>
  <si>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</si>
  <si>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</si>
  <si>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</si>
  <si>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</si>
  <si>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</si>
  <si>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</si>
  <si>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</si>
  <si>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</si>
  <si>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</si>
  <si>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</si>
  <si>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</si>
  <si>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</si>
  <si>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</si>
  <si>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</si>
  <si>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</si>
  <si>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</si>
  <si>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</si>
  <si>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</si>
  <si>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</si>
  <si>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</si>
  <si>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</si>
  <si>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</si>
  <si>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</si>
  <si>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</si>
  <si>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</si>
  <si>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</si>
  <si>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</si>
  <si>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</si>
  <si>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</si>
  <si>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</si>
  <si>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</si>
  <si>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</si>
  <si>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</si>
  <si>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</si>
  <si>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</si>
  <si>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</si>
  <si>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</si>
  <si>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</si>
  <si>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</si>
  <si>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</si>
  <si>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</si>
  <si>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</si>
  <si>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</si>
  <si>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</si>
  <si>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</si>
  <si>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</si>
  <si>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</si>
  <si>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</si>
  <si>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</si>
  <si>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</si>
  <si>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</si>
  <si>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</si>
  <si>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</si>
  <si>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</si>
  <si>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</si>
  <si>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</si>
  <si>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</si>
  <si>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</si>
  <si>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</si>
  <si>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</si>
  <si>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</si>
  <si>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</si>
  <si>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</si>
  <si>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</si>
  <si>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</si>
  <si>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</si>
  <si>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</si>
  <si>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</si>
  <si>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</si>
  <si>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</si>
  <si>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</si>
  <si>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</si>
  <si>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</si>
  <si>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</si>
  <si>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</si>
  <si>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</si>
  <si>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</si>
  <si>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</si>
  <si>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</si>
  <si>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</si>
  <si>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</si>
  <si>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</si>
  <si>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</si>
  <si>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</si>
  <si>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</si>
  <si>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</si>
  <si>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</si>
  <si>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</si>
  <si>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</si>
  <si>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</si>
  <si>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</si>
  <si>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</si>
  <si>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</si>
  <si>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</si>
  <si>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</si>
  <si>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</si>
  <si>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</si>
  <si>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</si>
  <si>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</si>
  <si>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</si>
  <si>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</si>
  <si>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</si>
  <si>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</si>
  <si>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</si>
  <si>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</si>
  <si>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</si>
  <si>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</si>
  <si>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</si>
  <si>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</si>
  <si>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</si>
  <si>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</si>
  <si>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</si>
  <si>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</si>
  <si>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</si>
  <si>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</si>
  <si>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</si>
  <si>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</si>
  <si>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</si>
  <si>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</si>
  <si>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</si>
  <si>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</si>
  <si>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</si>
  <si>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</si>
  <si>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</si>
  <si>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</si>
  <si>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</si>
  <si>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</si>
  <si>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</si>
  <si>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</si>
  <si>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</si>
  <si>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</si>
  <si>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</si>
  <si>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</si>
  <si>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</si>
  <si>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</si>
  <si>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</si>
  <si>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</si>
  <si>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</si>
  <si>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</si>
  <si>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</si>
  <si>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</si>
  <si>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</si>
  <si>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</si>
  <si>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</si>
  <si>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</si>
  <si>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</si>
  <si>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</si>
  <si>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</si>
  <si>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</si>
  <si>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</si>
  <si>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</si>
  <si>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</si>
  <si>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</si>
  <si>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</si>
  <si>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</si>
  <si>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</si>
  <si>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</si>
  <si>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</si>
  <si>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</si>
  <si>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</si>
  <si>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</si>
  <si>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</si>
  <si>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</si>
  <si>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</si>
  <si>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</si>
  <si>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</si>
  <si>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</si>
  <si>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</si>
  <si>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</si>
  <si>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</si>
  <si>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</si>
  <si>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</si>
  <si>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</si>
  <si>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</si>
  <si>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</si>
  <si>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</si>
  <si>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</si>
  <si>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</si>
  <si>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</si>
  <si>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</si>
  <si>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</si>
  <si>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</si>
  <si>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</si>
  <si>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</si>
  <si>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</si>
  <si>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</si>
  <si>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</si>
  <si>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</si>
  <si>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</si>
  <si>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</si>
  <si>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</si>
  <si>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</si>
  <si>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</si>
  <si>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</si>
  <si>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</si>
  <si>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</si>
  <si>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</si>
  <si>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</si>
  <si>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</si>
  <si>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</si>
  <si>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</si>
  <si>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</si>
  <si>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</si>
  <si>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</si>
  <si>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</si>
  <si>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</si>
  <si>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</si>
  <si>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</si>
  <si>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</si>
  <si>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</si>
  <si>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</si>
  <si>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</si>
  <si>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</si>
  <si>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</si>
  <si>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</si>
  <si>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</si>
  <si>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</si>
  <si>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</si>
  <si>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</si>
  <si>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</si>
  <si>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</si>
  <si>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</si>
  <si>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</si>
  <si>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</si>
  <si>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</si>
  <si>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</si>
  <si>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</si>
  <si>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</si>
  <si>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</si>
  <si>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</si>
  <si>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</si>
  <si>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</si>
  <si>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</si>
  <si>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</si>
  <si>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</si>
  <si>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</si>
  <si>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</si>
  <si>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</si>
  <si>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</si>
  <si>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</si>
  <si>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</si>
  <si>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</si>
  <si>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</si>
  <si>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</si>
  <si>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</si>
  <si>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</si>
  <si>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</si>
  <si>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</si>
  <si>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</si>
  <si>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</si>
  <si>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</si>
  <si>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</si>
  <si>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</si>
  <si>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</si>
  <si>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</si>
  <si>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</si>
  <si>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</si>
  <si>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</si>
  <si>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</si>
  <si>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</si>
  <si>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</si>
  <si>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</si>
  <si>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</si>
  <si>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</si>
  <si>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</si>
  <si>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</si>
  <si>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</si>
  <si>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</si>
  <si>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</si>
  <si>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</si>
  <si>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</si>
  <si>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</si>
  <si>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</si>
  <si>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</si>
  <si>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</si>
  <si>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</si>
  <si>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</si>
  <si>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</si>
  <si>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</si>
  <si>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</si>
  <si>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</si>
  <si>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</si>
  <si>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</si>
  <si>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</si>
  <si>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</si>
  <si>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</si>
  <si>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</si>
  <si>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</si>
  <si>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</si>
  <si>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</si>
  <si>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</si>
  <si>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</si>
  <si>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</si>
  <si>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</si>
  <si>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</si>
  <si>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</si>
  <si>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</si>
  <si>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</si>
  <si>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</si>
  <si>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</si>
  <si>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</si>
  <si>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</si>
  <si>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</si>
  <si>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</si>
  <si>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</si>
  <si>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</si>
  <si>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</si>
  <si>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</si>
  <si>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</si>
  <si>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</si>
  <si>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</si>
  <si>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</si>
  <si>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</si>
  <si>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</si>
  <si>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</si>
  <si>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</si>
  <si>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</si>
  <si>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</si>
  <si>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</si>
  <si>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</si>
  <si>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</si>
  <si>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</si>
  <si>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</si>
  <si>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</si>
  <si>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</si>
  <si>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</si>
  <si>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</si>
  <si>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</si>
  <si>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</si>
  <si>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</si>
  <si>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</si>
  <si>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</si>
  <si>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</si>
  <si>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</si>
  <si>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</si>
  <si>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</si>
  <si>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</si>
  <si>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</si>
  <si>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</si>
  <si>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</si>
  <si>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</si>
  <si>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</si>
  <si>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</si>
  <si>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</si>
  <si>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</si>
  <si>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</si>
  <si>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</si>
  <si>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</si>
  <si>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</si>
  <si>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</si>
  <si>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</si>
  <si>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</si>
  <si>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</si>
  <si>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</si>
  <si>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</si>
  <si>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</si>
  <si>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</si>
  <si>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</si>
  <si>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</si>
  <si>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</si>
  <si>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</si>
  <si>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</si>
  <si>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</si>
  <si>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</si>
  <si>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</si>
  <si>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</si>
  <si>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</si>
  <si>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</si>
  <si>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</si>
  <si>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</si>
  <si>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</si>
  <si>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</si>
  <si>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</si>
  <si>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</si>
  <si>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</si>
  <si>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</si>
  <si>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</si>
  <si>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</si>
  <si>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</si>
  <si>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</si>
  <si>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</si>
  <si>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</si>
  <si>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</si>
  <si>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</si>
  <si>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</si>
  <si>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</si>
  <si>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</si>
  <si>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</si>
  <si>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</si>
  <si>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</si>
  <si>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</si>
  <si>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</si>
  <si>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</si>
  <si>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</si>
  <si>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</si>
  <si>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</si>
  <si>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</si>
  <si>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</si>
  <si>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</si>
  <si>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</si>
  <si>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</si>
  <si>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</si>
  <si>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</si>
  <si>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</si>
  <si>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</si>
  <si>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</si>
  <si>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</si>
  <si>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</si>
  <si>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</si>
  <si>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</si>
  <si>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</si>
  <si>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</si>
  <si>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</si>
  <si>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</si>
  <si>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</si>
  <si>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</si>
  <si>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</si>
  <si>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</si>
  <si>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</si>
  <si>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</si>
  <si>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</si>
  <si>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</si>
  <si>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</si>
  <si>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</si>
  <si>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</si>
  <si>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</si>
  <si>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</si>
  <si>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</si>
  <si>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</si>
  <si>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</si>
  <si>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</si>
  <si>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</si>
  <si>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</si>
  <si>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</si>
  <si>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</si>
  <si>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</si>
  <si>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</si>
  <si>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</si>
  <si>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</si>
  <si>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</si>
  <si>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</si>
  <si>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</si>
  <si>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</si>
  <si>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</si>
  <si>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</si>
  <si>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</si>
  <si>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</si>
  <si>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</si>
  <si>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</si>
  <si>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</si>
  <si>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</si>
  <si>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</si>
  <si>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</si>
  <si>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</si>
  <si>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</si>
  <si>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</si>
  <si>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</si>
  <si>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</si>
  <si>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</si>
  <si>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</si>
  <si>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</si>
  <si>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</si>
  <si>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</si>
  <si>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</si>
  <si>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</si>
  <si>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</si>
  <si>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</si>
  <si>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</si>
  <si>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</si>
  <si>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</si>
  <si>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</si>
  <si>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</si>
  <si>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</si>
  <si>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</si>
  <si>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</si>
  <si>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</si>
  <si>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</si>
  <si>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</si>
  <si>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</si>
  <si>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</si>
  <si>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</si>
  <si>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</si>
  <si>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</si>
  <si>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</si>
  <si>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</si>
  <si>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</si>
  <si>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</si>
  <si>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</si>
  <si>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</si>
  <si>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</si>
  <si>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</si>
  <si>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</si>
  <si>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</si>
  <si>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</si>
  <si>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</si>
  <si>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</si>
  <si>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</si>
  <si>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</si>
  <si>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</si>
  <si>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</si>
  <si>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</si>
  <si>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</si>
  <si>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</si>
  <si>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</si>
  <si>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</si>
  <si>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</si>
  <si>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</si>
  <si>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</si>
  <si>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</si>
  <si>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</si>
  <si>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</si>
  <si>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</si>
  <si>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</si>
  <si>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</si>
  <si>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</si>
  <si>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</si>
  <si>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</si>
  <si>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</si>
  <si>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</si>
  <si>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</si>
  <si>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</si>
  <si>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</si>
  <si>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</si>
  <si>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</si>
  <si>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</si>
  <si>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</si>
  <si>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</si>
  <si>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</si>
  <si>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</si>
  <si>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</si>
  <si>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</si>
  <si>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</si>
  <si>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</si>
  <si>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</si>
  <si>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</si>
  <si>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</si>
  <si>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</si>
  <si>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</si>
  <si>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</si>
  <si>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</si>
  <si>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</si>
  <si>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</si>
  <si>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</si>
  <si>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</si>
  <si>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</si>
  <si>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</si>
  <si>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</si>
  <si>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</si>
  <si>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</si>
  <si>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</si>
  <si>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</si>
  <si>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</si>
  <si>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</si>
  <si>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</si>
  <si>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</si>
  <si>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</si>
  <si>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</si>
  <si>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</si>
  <si>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</si>
  <si>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</si>
  <si>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</si>
  <si>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</si>
  <si>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</si>
  <si>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</si>
  <si>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</si>
  <si>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</si>
  <si>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</si>
  <si>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</si>
  <si>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</si>
  <si>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</si>
  <si>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</si>
  <si>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</si>
  <si>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</si>
  <si>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</si>
  <si>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</si>
  <si>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</si>
  <si>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</si>
  <si>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</si>
  <si>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</si>
  <si>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</si>
  <si>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</si>
  <si>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</si>
  <si>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</si>
  <si>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</si>
  <si>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</si>
  <si>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</si>
  <si>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</si>
  <si>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</si>
  <si>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</si>
  <si>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</si>
  <si>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</si>
  <si>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</si>
  <si>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</si>
  <si>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</si>
  <si>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</si>
  <si>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</si>
  <si>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</si>
  <si>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</si>
  <si>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</si>
  <si>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</si>
  <si>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</si>
  <si>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</si>
  <si>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</si>
  <si>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</si>
  <si>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</si>
  <si>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</si>
  <si>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</si>
  <si>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</si>
  <si>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</si>
  <si>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</si>
  <si>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</si>
  <si>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</si>
  <si>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</si>
  <si>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</si>
  <si>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</si>
  <si>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</si>
  <si>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</si>
  <si>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</si>
  <si>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</si>
  <si>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</si>
  <si>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</si>
  <si>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</si>
  <si>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</si>
  <si>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</si>
  <si>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</si>
  <si>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</si>
  <si>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</si>
  <si>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</si>
  <si>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</si>
  <si>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</si>
  <si>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</si>
  <si>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</si>
  <si>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</si>
  <si>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</si>
  <si>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</si>
  <si>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</si>
  <si>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</si>
  <si>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</si>
  <si>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</si>
  <si>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</si>
  <si>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</si>
  <si>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</si>
  <si>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</si>
  <si>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</si>
  <si>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</si>
  <si>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</si>
  <si>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</si>
  <si>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</si>
  <si>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</si>
  <si>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</si>
  <si>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</si>
  <si>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</si>
  <si>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</si>
  <si>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</si>
  <si>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</si>
  <si>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</si>
  <si>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</si>
  <si>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</si>
  <si>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</si>
  <si>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</si>
  <si>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</si>
  <si>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</si>
  <si>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</si>
  <si>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</si>
  <si>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</si>
  <si>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</si>
  <si>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</si>
  <si>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</si>
  <si>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</si>
  <si>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</si>
  <si>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</si>
  <si>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</si>
  <si>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</si>
  <si>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</si>
  <si>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</si>
  <si>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</si>
  <si>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</si>
  <si>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</si>
  <si>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</si>
  <si>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</si>
  <si>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</si>
  <si>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</si>
  <si>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</si>
  <si>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</si>
  <si>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</si>
  <si>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</si>
  <si>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</si>
  <si>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</si>
  <si>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</si>
  <si>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</si>
  <si>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</si>
  <si>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</si>
  <si>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</si>
  <si>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</si>
  <si>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</si>
  <si>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</si>
  <si>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Chodov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</si>
  <si>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</si>
  <si>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</si>
  <si>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</si>
  <si>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</si>
  <si>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</si>
  <si>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</si>
  <si>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</si>
  <si>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</si>
  <si>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</si>
  <si>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</si>
  <si>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</si>
  <si>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</si>
  <si>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</si>
  <si>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</si>
  <si>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</si>
  <si>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Židek Petr</t>
  </si>
  <si>
    <t>Výdaje</t>
  </si>
  <si>
    <t>Sova Martin</t>
  </si>
  <si>
    <t>Počet zpožděných našich rozvozů +5 min</t>
  </si>
  <si>
    <t>Počet rozvozů</t>
  </si>
  <si>
    <t xml:space="preserve">Vlastní vůz </t>
  </si>
  <si>
    <t>počet výdajových dokadů</t>
  </si>
  <si>
    <t>Navrátil Ondřej</t>
  </si>
  <si>
    <t>Fux Vojtěch</t>
  </si>
  <si>
    <t>Chlubna Tomáš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</si>
  <si>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</si>
  <si>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</si>
  <si>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</si>
  <si>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</si>
  <si>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</si>
  <si>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31:00</t>
  </si>
  <si>
    <t>29:00</t>
  </si>
  <si>
    <t>24:00</t>
  </si>
  <si>
    <t>14:30</t>
  </si>
  <si>
    <t>Fabera Tomáš</t>
  </si>
  <si>
    <t>4:00</t>
  </si>
  <si>
    <t>7:00</t>
  </si>
  <si>
    <t>3:30</t>
  </si>
  <si>
    <t>Chlubnová Adéla</t>
  </si>
  <si>
    <t>6:30</t>
  </si>
  <si>
    <t>Nekolný Vladimír</t>
  </si>
  <si>
    <t>5:30</t>
  </si>
  <si>
    <t>6:00</t>
  </si>
  <si>
    <t>11 min 16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</si>
  <si>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</si>
  <si>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</si>
  <si>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</si>
  <si>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</si>
  <si>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</si>
  <si>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Hana Pešová</t>
  </si>
  <si>
    <t>10:00 - 17:00 (Instor)</t>
  </si>
  <si>
    <t>10:00 - 22:00 (Instor)</t>
  </si>
  <si>
    <t>17:00 - 1:00 (Instor)</t>
  </si>
  <si>
    <t>Tomáš Šebesta</t>
  </si>
  <si>
    <t>10:00 - 0:00 (Instor)</t>
  </si>
  <si>
    <t>18:00 - 23:00 (zdobič)</t>
  </si>
  <si>
    <t>Tomáš Chlubna</t>
  </si>
  <si>
    <t>11:00 - 17:00 (Kurýr)</t>
  </si>
  <si>
    <t>17:00 - 3:00 (Kurýr)</t>
  </si>
  <si>
    <t>17:00 - 0:00 (Kurýr)</t>
  </si>
  <si>
    <t>17:00 - 22:00 (Kurýr)</t>
  </si>
  <si>
    <t>Zoltan Lánský</t>
  </si>
  <si>
    <t>18:00 - 0:00 (Kurýr)</t>
  </si>
  <si>
    <t>17:00 - 23:00 (Kurýr)</t>
  </si>
  <si>
    <t>11:00 - 18:00 (Kurýr)</t>
  </si>
  <si>
    <t>17:00 - 3:00 (Instor)</t>
  </si>
  <si>
    <t>17:00 - 0:00 (Instor)</t>
  </si>
  <si>
    <t>Benjamín Szabó</t>
  </si>
  <si>
    <t>Jan Hammer</t>
  </si>
  <si>
    <t>18:00 - 1:00 (Kurýr)</t>
  </si>
  <si>
    <t>17:00 - 1:00 (Kurýr)</t>
  </si>
  <si>
    <t>Martin Hřebík</t>
  </si>
  <si>
    <t>11:00 - 0:00 (Kurýr)</t>
  </si>
  <si>
    <t>Petr Mesl</t>
  </si>
  <si>
    <t>Karolína Tomečková</t>
  </si>
  <si>
    <t>18:00 - 1:00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</si>
</sst>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sz val="9.0"/>
      <color theme="1"/>
      <name val="Google Sans Mono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7" numFmtId="2" xfId="0" applyAlignment="1" applyFont="1" applyNumberFormat="1">
      <alignment horizontal="center" vertical="center"/>
    </xf>
    <xf borderId="16" fillId="9" fontId="2" numFmtId="49" xfId="0" applyAlignment="1" applyBorder="1" applyFont="1" applyNumberFormat="1">
      <alignment horizontal="center" readingOrder="0" shrinkToFit="0" wrapText="0"/>
    </xf>
    <xf borderId="12" fillId="9" fontId="2" numFmtId="49" xfId="0" applyAlignment="1" applyBorder="1" applyFont="1" applyNumberFormat="1">
      <alignment horizontal="center" readingOrder="0" shrinkToFit="0" wrapText="0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2" numFmtId="20" xfId="0" applyAlignment="1" applyBorder="1" applyFont="1" applyNumberFormat="1">
      <alignment horizontal="center" vertic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6" fillId="9" fontId="2" numFmtId="0" xfId="0" applyAlignment="1" applyBorder="1" applyFont="1">
      <alignment horizontal="center" readingOrder="0" vertical="center"/>
    </xf>
    <xf borderId="23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2" fontId="20" numFmtId="2" xfId="0" applyAlignment="1" applyBorder="1" applyFont="1" applyNumberFormat="1">
      <alignment horizontal="center" vertical="center"/>
    </xf>
    <xf borderId="10" fillId="10" fontId="2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1" fillId="2" fontId="20" numFmtId="2" xfId="0" applyAlignment="1" applyBorder="1" applyFont="1" applyNumberFormat="1">
      <alignment horizontal="center" readingOrder="0" vertical="center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2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31" fillId="9" fontId="2" numFmtId="49" xfId="0" applyAlignment="1" applyBorder="1" applyFont="1" applyNumberFormat="1">
      <alignment horizontal="center" readingOrder="0" shrinkToFit="0" wrapText="0"/>
    </xf>
    <xf borderId="28" fillId="9" fontId="2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2" fillId="0" fontId="6" numFmtId="0" xfId="0" applyBorder="1" applyFont="1"/>
    <xf borderId="33" fillId="9" fontId="2" numFmtId="0" xfId="0" applyAlignment="1" applyBorder="1" applyFont="1">
      <alignment readingOrder="0" vertical="bottom"/>
    </xf>
    <xf borderId="28" fillId="15" fontId="19" numFmtId="0" xfId="0" applyAlignment="1" applyBorder="1" applyFill="1" applyFont="1">
      <alignment horizontal="center" shrinkToFit="0" wrapText="1"/>
    </xf>
    <xf borderId="28" fillId="16" fontId="2" numFmtId="0" xfId="0" applyAlignment="1" applyBorder="1" applyFill="1" applyFont="1">
      <alignment horizontal="center"/>
    </xf>
    <xf borderId="34" fillId="10" fontId="14" numFmtId="0" xfId="0" applyAlignment="1" applyBorder="1" applyFont="1">
      <alignment horizontal="center" shrinkToFit="0" wrapText="1"/>
    </xf>
    <xf borderId="35" fillId="0" fontId="6" numFmtId="0" xfId="0" applyBorder="1" applyFont="1"/>
    <xf borderId="28" fillId="9" fontId="2" numFmtId="20" xfId="0" applyAlignment="1" applyBorder="1" applyFont="1" applyNumberFormat="1">
      <alignment horizontal="center" vertical="center"/>
    </xf>
    <xf borderId="36" fillId="0" fontId="6" numFmtId="0" xfId="0" applyBorder="1" applyFont="1"/>
    <xf borderId="12" fillId="0" fontId="6" numFmtId="0" xfId="0" applyBorder="1" applyFont="1"/>
    <xf borderId="37" fillId="16" fontId="2" numFmtId="0" xfId="0" applyAlignment="1" applyBorder="1" applyFont="1">
      <alignment horizontal="center"/>
    </xf>
    <xf borderId="38" fillId="0" fontId="6" numFmtId="0" xfId="0" applyBorder="1" applyFont="1"/>
    <xf borderId="28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39" fillId="9" fontId="2" numFmtId="0" xfId="0" applyAlignment="1" applyBorder="1" applyFont="1">
      <alignment horizontal="center" readingOrder="0" vertical="center"/>
    </xf>
    <xf borderId="30" fillId="9" fontId="2" numFmtId="20" xfId="0" applyAlignment="1" applyBorder="1" applyFont="1" applyNumberFormat="1">
      <alignment horizontal="center" vertical="center"/>
    </xf>
    <xf borderId="30" fillId="12" fontId="18" numFmtId="0" xfId="0" applyAlignment="1" applyBorder="1" applyFont="1">
      <alignment horizontal="center" readingOrder="0" vertical="center"/>
    </xf>
    <xf borderId="0" fillId="2" fontId="20" numFmtId="2" xfId="0" applyAlignment="1" applyFont="1" applyNumberFormat="1">
      <alignment horizontal="center" vertical="center"/>
    </xf>
    <xf borderId="40" fillId="18" fontId="14" numFmtId="0" xfId="0" applyAlignment="1" applyBorder="1" applyFill="1" applyFont="1">
      <alignment horizontal="center" readingOrder="0" vertical="center"/>
    </xf>
    <xf borderId="19" fillId="18" fontId="14" numFmtId="0" xfId="0" applyAlignment="1" applyBorder="1" applyFont="1">
      <alignment horizontal="center" vertical="center"/>
    </xf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5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41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2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2" fillId="5" fontId="14" numFmtId="49" xfId="0" applyAlignment="1" applyBorder="1" applyFont="1" applyNumberFormat="1">
      <alignment horizontal="center" readingOrder="0" vertical="center"/>
    </xf>
    <xf borderId="28" fillId="0" fontId="1" numFmtId="49" xfId="0" applyAlignment="1" applyBorder="1" applyFont="1" applyNumberFormat="1">
      <alignment horizontal="center" readingOrder="0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28" fillId="5" fontId="2" numFmtId="49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43" fillId="10" fontId="19" numFmtId="0" xfId="0" applyAlignment="1" applyBorder="1" applyFont="1">
      <alignment horizontal="center" shrinkToFit="0" vertical="center" wrapText="1"/>
    </xf>
    <xf borderId="44" fillId="10" fontId="19" numFmtId="0" xfId="0" applyAlignment="1" applyBorder="1" applyFont="1">
      <alignment horizontal="center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6" fillId="0" fontId="6" numFmtId="0" xfId="0" applyBorder="1" applyFont="1"/>
    <xf borderId="3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2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31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7" fillId="10" fontId="19" numFmtId="0" xfId="0" applyAlignment="1" applyBorder="1" applyFont="1">
      <alignment horizontal="center" shrinkToFit="0" vertical="center" wrapText="1"/>
    </xf>
    <xf borderId="33" fillId="15" fontId="19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8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7" fillId="10" fontId="19" numFmtId="169" xfId="0" applyAlignment="1" applyBorder="1" applyFont="1" applyNumberFormat="1">
      <alignment horizontal="center" shrinkToFit="0" vertical="center" wrapText="1"/>
    </xf>
    <xf borderId="49" fillId="0" fontId="6" numFmtId="0" xfId="0" applyBorder="1" applyFont="1"/>
    <xf borderId="50" fillId="20" fontId="2" numFmtId="0" xfId="0" applyAlignment="1" applyBorder="1" applyFont="1">
      <alignment horizontal="center" readingOrder="0" vertical="center"/>
    </xf>
    <xf borderId="28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Border="1" applyFont="1" applyNumberFormat="1"/>
    <xf borderId="30" fillId="10" fontId="19" numFmtId="169" xfId="0" applyAlignment="1" applyBorder="1" applyFont="1" applyNumberFormat="1">
      <alignment horizontal="center" shrinkToFit="0" wrapText="1"/>
    </xf>
    <xf borderId="30" fillId="10" fontId="19" numFmtId="169" xfId="0" applyAlignment="1" applyBorder="1" applyFont="1" applyNumberFormat="1">
      <alignment horizontal="center" shrinkToFit="0" vertical="center" wrapText="1"/>
    </xf>
    <xf borderId="51" fillId="13" fontId="2" numFmtId="3" xfId="0" applyAlignment="1" applyBorder="1" applyFont="1" applyNumberFormat="1">
      <alignment horizontal="center"/>
    </xf>
    <xf borderId="51" fillId="13" fontId="2" numFmtId="10" xfId="0" applyAlignment="1" applyBorder="1" applyFont="1" applyNumberForma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22" fontId="2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23" fontId="2" numFmtId="166" xfId="0" applyAlignment="1" applyFont="1" applyNumberFormat="1">
      <alignment vertical="bottom"/>
    </xf>
    <xf borderId="0" fillId="22" fontId="25" numFmtId="0" xfId="0" applyAlignment="1" applyFont="1">
      <alignment vertical="bottom"/>
    </xf>
    <xf borderId="19" fillId="24" fontId="26" numFmtId="0" xfId="0" applyAlignment="1" applyBorder="1" applyFill="1" applyFont="1">
      <alignment readingOrder="0" shrinkToFit="0" vertical="bottom" wrapText="1"/>
    </xf>
    <xf borderId="0" fillId="24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46177.0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Čtvrtek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 t="s">
        <v>1564</v>
      </c>
      <c r="I11" s="22"/>
      <c r="J11" s="48">
        <f>M2+M3+M4+M5+M6+M13+M14+M15+M16+M17+M9+M10+M11-I2</f>
        <v>0</v>
      </c>
      <c r="K11" s="12"/>
      <c r="L11" s="49" t="s">
        <v>25</v>
      </c>
      <c r="M11" s="39"/>
    </row>
    <row r="12">
      <c r="A12" s="50">
        <f t="array" ref="A12">IF(ISBLANK(B12), 0, IF(ISNUMBER(MATCH(B12, HR!A:A, 0)), 0, IF(ISNUMBER(MATCH(B12, HR!B:B, 0)), INDEX(HR!V:V, MATCH(B12, HR!B:B, 0)) * (F12 * 24), 0)))</f>
        <v>3252.678</v>
      </c>
      <c r="B12" s="51" t="s">
        <v>1564</v>
      </c>
      <c r="C12" s="52" t="s">
        <v>41</v>
      </c>
      <c r="D12" s="52" t="s">
        <v>49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13:00</v>
      </c>
      <c r="I12" s="22"/>
      <c r="J12" s="37"/>
      <c r="K12" s="22"/>
      <c r="L12" s="55" t="s">
        <v>1565</v>
      </c>
      <c r="M12" s="20"/>
    </row>
    <row r="13">
      <c r="A13" s="50">
        <f t="array" ref="A13">IF(ISBLANK(B13), 0, IF(ISNUMBER(MATCH(B13, HR!A:A, 0)), 0, IF(ISNUMBER(MATCH(B13, HR!B:B, 0)), INDEX(HR!V:V, MATCH(B13, HR!B:B, 0)) * (F13 * 24), 0)))</f>
        <v>0</v>
      </c>
      <c r="B13" s="51" t="s">
        <v>1566</v>
      </c>
      <c r="C13" s="52" t="s">
        <v>45</v>
      </c>
      <c r="D13" s="52" t="s">
        <v>57</v>
      </c>
      <c r="E13" s="53"/>
      <c r="F13" s="54" t="str">
        <f t="shared" si="1"/>
        <v>07:00</v>
      </c>
      <c r="G13" s="29"/>
      <c r="H13" s="29"/>
      <c r="I13" s="20"/>
      <c r="J13" s="37"/>
      <c r="K13" s="22"/>
      <c r="L13" s="24" t="s">
        <v>29</v>
      </c>
      <c r="M13" s="39"/>
    </row>
    <row r="14">
      <c r="A14" s="50">
        <f t="array" ref="A14">IF(ISBLANK(B14), 0, IF(ISNUMBER(MATCH(B14, HR!A:A, 0)), 0, IF(ISNUMBER(MATCH(B14, HR!B:B, 0)), INDEX(HR!V:V, MATCH(B14, HR!B:B, 0)) * (F14 * 24), 0)))</f>
        <v>0</v>
      </c>
      <c r="B14" s="51"/>
      <c r="C14" s="52"/>
      <c r="D14" s="52"/>
      <c r="E14" s="53"/>
      <c r="F14" s="54" t="str">
        <f t="shared" si="1"/>
        <v>0:00</v>
      </c>
      <c r="G14" s="56"/>
      <c r="I14" s="22"/>
      <c r="J14" s="37"/>
      <c r="K14" s="22"/>
      <c r="L14" s="57" t="s">
        <v>30</v>
      </c>
      <c r="M14" s="39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8"/>
      <c r="F15" s="54" t="str">
        <f t="shared" si="1"/>
        <v>0:00</v>
      </c>
      <c r="I15" s="22"/>
      <c r="J15" s="37"/>
      <c r="K15" s="22"/>
      <c r="L15" s="57" t="s">
        <v>31</v>
      </c>
      <c r="M15" s="39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9"/>
      <c r="C16" s="60"/>
      <c r="D16" s="60"/>
      <c r="E16" s="58"/>
      <c r="F16" s="54" t="str">
        <f t="shared" si="1"/>
        <v>0:00</v>
      </c>
      <c r="I16" s="22"/>
      <c r="J16" s="37"/>
      <c r="K16" s="22"/>
      <c r="L16" s="57" t="s">
        <v>32</v>
      </c>
      <c r="M16" s="39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9"/>
      <c r="C17" s="60"/>
      <c r="D17" s="60"/>
      <c r="E17" s="53"/>
      <c r="F17" s="54" t="str">
        <f t="shared" si="1"/>
        <v>0:00</v>
      </c>
      <c r="G17" s="29"/>
      <c r="H17" s="29"/>
      <c r="I17" s="20"/>
      <c r="J17" s="19"/>
      <c r="K17" s="20"/>
      <c r="L17" s="61" t="s">
        <v>33</v>
      </c>
      <c r="M17" s="62">
        <f>sum(I25:I31)</f>
        <v>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9"/>
      <c r="C18" s="60"/>
      <c r="D18" s="60"/>
      <c r="E18" s="58"/>
      <c r="F18" s="54" t="str">
        <f t="shared" si="1"/>
        <v>0:00</v>
      </c>
      <c r="G18" s="55" t="s">
        <v>16</v>
      </c>
      <c r="H18" s="29"/>
      <c r="I18" s="20"/>
      <c r="J18" s="63"/>
      <c r="M18" s="64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9"/>
      <c r="C19" s="60"/>
      <c r="D19" s="60"/>
      <c r="E19" s="58"/>
      <c r="F19" s="54" t="str">
        <f t="shared" si="1"/>
        <v>0:00</v>
      </c>
      <c r="G19" s="47" t="s">
        <v>1566</v>
      </c>
      <c r="I19" s="22"/>
      <c r="M19" s="64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9"/>
      <c r="C20" s="65"/>
      <c r="D20" s="65"/>
      <c r="E20" s="58"/>
      <c r="F20" s="54" t="str">
        <f t="shared" si="1"/>
        <v>0:00</v>
      </c>
      <c r="I20" s="22"/>
      <c r="M20" s="64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6"/>
      <c r="C21" s="67"/>
      <c r="D21" s="67"/>
      <c r="E21" s="68"/>
      <c r="F21" s="69" t="str">
        <f t="shared" si="1"/>
        <v>0:00</v>
      </c>
      <c r="G21" s="29"/>
      <c r="H21" s="29"/>
      <c r="I21" s="20"/>
      <c r="M21" s="64"/>
    </row>
    <row r="22">
      <c r="A22" s="70"/>
      <c r="B22" s="71"/>
      <c r="C22" s="29"/>
      <c r="D22" s="29"/>
      <c r="E22" s="29"/>
      <c r="F22" s="29"/>
      <c r="G22" s="29"/>
      <c r="H22" s="29"/>
      <c r="I22" s="20"/>
      <c r="J22" s="72" t="s">
        <v>34</v>
      </c>
      <c r="K22" s="72" t="s">
        <v>35</v>
      </c>
      <c r="L22" s="73" t="s">
        <v>1567</v>
      </c>
      <c r="M22" s="73" t="s">
        <v>37</v>
      </c>
    </row>
    <row r="23">
      <c r="A23" s="74"/>
      <c r="B23" s="40" t="s">
        <v>78</v>
      </c>
      <c r="I23" s="22"/>
      <c r="J23" s="75">
        <f>COUNTIF(RestiaCSV!B:B, "canceled")</f>
        <v>0</v>
      </c>
      <c r="K23" s="76">
        <f>SUMIF(RestiaCSV!B:B, "canceled", RestiaCSV!C:C)</f>
        <v>0</v>
      </c>
      <c r="L23" s="77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0"/>
      <c r="B24" s="44" t="s">
        <v>1559</v>
      </c>
      <c r="C24" s="45" t="s">
        <v>1560</v>
      </c>
      <c r="D24" s="45" t="s">
        <v>1561</v>
      </c>
      <c r="E24" s="45" t="s">
        <v>1562</v>
      </c>
      <c r="F24" s="78" t="s">
        <v>1563</v>
      </c>
      <c r="G24" s="78" t="s">
        <v>1568</v>
      </c>
      <c r="H24" s="78" t="s">
        <v>1569</v>
      </c>
      <c r="I24" s="79" t="s">
        <v>13</v>
      </c>
      <c r="J24" s="80" t="s">
        <v>1570</v>
      </c>
      <c r="K24" s="81" t="s">
        <v>1470</v>
      </c>
      <c r="L24" s="80" t="s">
        <v>1471</v>
      </c>
      <c r="M24" s="81" t="s">
        <v>1472</v>
      </c>
    </row>
    <row r="25">
      <c r="A25" s="50">
        <f t="array" ref="A25">IF(ISBLANK(B25), 0, IF(ISNUMBER(MATCH(B25, HR!A:A, 0)), 0, IF(ISNUMBER(MATCH(B25, HR!B:B, 0)), INDEX(HR!V:V, MATCH(B25, HR!B:B, 0)) * (F25 * 24), 0)))</f>
        <v>1873.2</v>
      </c>
      <c r="B25" s="82" t="s">
        <v>1571</v>
      </c>
      <c r="C25" s="83" t="s">
        <v>41</v>
      </c>
      <c r="D25" s="52" t="s">
        <v>45</v>
      </c>
      <c r="E25" s="83"/>
      <c r="F25" s="8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07:00</v>
      </c>
      <c r="G25" s="85">
        <f>COUNTIF(RestiaCSV!E:E, B25)</f>
        <v>0</v>
      </c>
      <c r="H25" s="86" t="b">
        <v>0</v>
      </c>
      <c r="I25" s="87">
        <f t="shared" ref="I25:I31" si="3">IF(H25,G25*45, 0)</f>
        <v>0</v>
      </c>
      <c r="J25" s="88"/>
      <c r="K25" s="88"/>
      <c r="L25" s="88"/>
      <c r="M25" s="88"/>
    </row>
    <row r="26">
      <c r="A26" s="50">
        <f t="array" ref="A26">IF(ISBLANK(B26), 0, IF(ISNUMBER(MATCH(B26, HR!A:A, 0)), 0, IF(ISNUMBER(MATCH(B26, HR!B:B, 0)), INDEX(HR!V:V, MATCH(B26, HR!B:B, 0)) * (F26 * 24), 0)))</f>
        <v>850</v>
      </c>
      <c r="B26" s="89" t="s">
        <v>1572</v>
      </c>
      <c r="C26" s="52" t="s">
        <v>45</v>
      </c>
      <c r="D26" s="52" t="s">
        <v>42</v>
      </c>
      <c r="E26" s="83"/>
      <c r="F26" s="84" t="str">
        <f t="shared" si="2"/>
        <v>05:00</v>
      </c>
      <c r="G26" s="85">
        <f>COUNTIF(RestiaCSV!E:E, B26)</f>
        <v>0</v>
      </c>
      <c r="H26" s="86" t="b">
        <v>1</v>
      </c>
      <c r="I26" s="87">
        <f t="shared" si="3"/>
        <v>0</v>
      </c>
      <c r="J26" s="90">
        <f>COUNTIF(I25:I31, "&gt;0")</f>
        <v>0</v>
      </c>
      <c r="K26" s="77">
        <f>IFERROR(__xludf.DUMMYFUNCTION("COUNTA(FILTER(RestiaCSV!B2:B32, RestiaCSV!B2:B32 &lt;&gt; ""canceled""))"),0.0)</f>
        <v>0</v>
      </c>
      <c r="L26" s="77">
        <f>COUNTIF(RestiaCSV!F1:F32, "delivery")</f>
        <v>0</v>
      </c>
      <c r="M26" s="91">
        <f>COUNTIFS(RestiaCSV!M:M, "&gt;5",RestiaCSV!A:A, "&lt;&gt;wolt")</f>
        <v>0</v>
      </c>
    </row>
    <row r="27">
      <c r="A27" s="50">
        <f t="array" ref="A27">IF(ISBLANK(B27), 0, IF(ISNUMBER(MATCH(B27, HR!A:A, 0)), 0, IF(ISNUMBER(MATCH(B27, HR!B:B, 0)), INDEX(HR!V:V, MATCH(B27, HR!B:B, 0)) * (F27 * 24), 0)))</f>
        <v>1751.442</v>
      </c>
      <c r="B27" s="51" t="s">
        <v>1573</v>
      </c>
      <c r="C27" s="52" t="s">
        <v>45</v>
      </c>
      <c r="D27" s="52" t="s">
        <v>57</v>
      </c>
      <c r="E27" s="83"/>
      <c r="F27" s="84" t="str">
        <f t="shared" si="2"/>
        <v>07:00</v>
      </c>
      <c r="G27" s="85">
        <f>COUNTIF(RestiaCSV!E:E, B27)</f>
        <v>0</v>
      </c>
      <c r="H27" s="86" t="b">
        <v>1</v>
      </c>
      <c r="I27" s="87">
        <f t="shared" si="3"/>
        <v>0</v>
      </c>
      <c r="J27" s="92" t="s">
        <v>1574</v>
      </c>
      <c r="K27" s="93"/>
      <c r="L27" s="80" t="s">
        <v>1474</v>
      </c>
      <c r="M27" s="81" t="s">
        <v>1475</v>
      </c>
    </row>
    <row r="28">
      <c r="A28" s="50">
        <f t="array" ref="A28">IF(ISBLANK(B28), 0, IF(ISNUMBER(MATCH(B28, HR!A:A, 0)), 0, IF(ISNUMBER(MATCH(B28, HR!B:B, 0)), INDEX(HR!V:V, MATCH(B28, HR!B:B, 0)) * (F28 * 24), 0)))</f>
        <v>0</v>
      </c>
      <c r="B28" s="59"/>
      <c r="C28" s="52"/>
      <c r="D28" s="52"/>
      <c r="E28" s="94"/>
      <c r="F28" s="84" t="str">
        <f t="shared" si="2"/>
        <v>0:00</v>
      </c>
      <c r="G28" s="85">
        <f>COUNTIF(RestiaCSV!E:E, B28)</f>
        <v>0</v>
      </c>
      <c r="H28" s="86" t="b">
        <v>1</v>
      </c>
      <c r="I28" s="87">
        <f t="shared" si="3"/>
        <v>0</v>
      </c>
      <c r="J28" s="95"/>
      <c r="K28" s="96"/>
      <c r="L28" s="88"/>
      <c r="M28" s="88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9"/>
      <c r="C29" s="52"/>
      <c r="D29" s="52"/>
      <c r="E29" s="94"/>
      <c r="F29" s="84" t="str">
        <f t="shared" si="2"/>
        <v>0:00</v>
      </c>
      <c r="G29" s="85">
        <f>COUNTIF(RestiaCSV!E:E, B29)</f>
        <v>0</v>
      </c>
      <c r="H29" s="86" t="b">
        <v>0</v>
      </c>
      <c r="I29" s="87">
        <f t="shared" si="3"/>
        <v>0</v>
      </c>
      <c r="J29" s="97">
        <f>COUNTIFS(RestiaCSV!M:M, "&gt;5", RestiaCSV!L:L, "&gt;5")</f>
        <v>0</v>
      </c>
      <c r="K29" s="98"/>
      <c r="L29" s="99" t="str">
        <f>L23/L26</f>
        <v>#DIV/0!</v>
      </c>
      <c r="M29" s="77">
        <f>COUNTIFS(RestiaCSV!L:L, "&gt;5", RestiaCSV!F:F, "delivery", RestiaCSV!E:E, "Wolt Kurýr")</f>
        <v>0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9"/>
      <c r="C30" s="52"/>
      <c r="D30" s="52"/>
      <c r="E30" s="94"/>
      <c r="F30" s="84" t="str">
        <f t="shared" si="2"/>
        <v>0:00</v>
      </c>
      <c r="G30" s="85">
        <f>COUNTIF(RestiaCSV!E:E, B30)</f>
        <v>0</v>
      </c>
      <c r="H30" s="86" t="b">
        <v>0</v>
      </c>
      <c r="I30" s="87">
        <f t="shared" si="3"/>
        <v>0</v>
      </c>
      <c r="J30" s="100"/>
      <c r="K30" s="100"/>
      <c r="L30" s="81" t="s">
        <v>1476</v>
      </c>
      <c r="M30" s="81" t="s">
        <v>1477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1"/>
      <c r="C31" s="52"/>
      <c r="D31" s="52"/>
      <c r="E31" s="102"/>
      <c r="F31" s="103" t="str">
        <f t="shared" si="2"/>
        <v>0:00</v>
      </c>
      <c r="G31" s="85">
        <f>COUNTIF(RestiaCSV!E:E, B31)</f>
        <v>0</v>
      </c>
      <c r="H31" s="86" t="b">
        <v>1</v>
      </c>
      <c r="I31" s="87">
        <f t="shared" si="3"/>
        <v>0</v>
      </c>
      <c r="J31" s="100"/>
      <c r="K31" s="100"/>
      <c r="L31" s="88"/>
      <c r="M31" s="88"/>
    </row>
    <row r="32">
      <c r="A32" s="104"/>
      <c r="B32" s="105" t="s">
        <v>90</v>
      </c>
      <c r="C32" s="106" t="s">
        <v>14</v>
      </c>
      <c r="D32" s="14"/>
      <c r="E32" s="14"/>
      <c r="F32" s="15"/>
      <c r="G32" s="107">
        <f>COUNTIFS(RestiaCSV!E:E, "wolt kurýr", RestiaCSV!A:A, "&lt;&gt;wolt")</f>
        <v>0</v>
      </c>
      <c r="H32" s="108" t="b">
        <v>1</v>
      </c>
      <c r="I32" s="109">
        <f>G32*127</f>
        <v>0</v>
      </c>
      <c r="J32" s="110"/>
      <c r="K32" s="110"/>
      <c r="L32" s="99" t="str">
        <f>100%-L29</f>
        <v>#DIV/0!</v>
      </c>
      <c r="M32" s="9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"Židek Petr,Sova Martin"</formula1>
    </dataValidation>
    <dataValidation type="list" allowBlank="1" sqref="B12:B21">
      <formula1>"Sova Martin,Pešová Hana,Šebesta Tomáš,Hegedüs Erik,Yarushynskyi Vladyslav,Židek Petr,Kursheva Diana,Chlubnová Adéla"</formula1>
    </dataValidation>
    <dataValidation type="list" allowBlank="1" sqref="B25:B31">
      <formula1>"Jurkovič Martin,Navrátil Ondřej,Nekolný Vladimír,Lanský Zoltan,Hyský Aleš,Šmídová Sabina,Lažek Jaroslav,Chlubna Tomáš,Hřebík Martin,Reischl Jan,Pražák Aleš,Chyský David,Fabera Tomáš,Fux Vojtěch"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  <col hidden="1" min="14" max="14" width="12.63"/>
  </cols>
  <sheetData>
    <row r="1">
      <c r="A1" s="111"/>
      <c r="B1" s="112" t="str">
        <f>Report!B1</f>
        <v>Chodov</v>
      </c>
      <c r="C1" s="113">
        <v>46174.0</v>
      </c>
      <c r="D1" s="114" t="s">
        <v>1575</v>
      </c>
      <c r="E1" s="115">
        <v>46203.0</v>
      </c>
      <c r="F1" s="116" t="s">
        <v>28</v>
      </c>
      <c r="G1" s="14"/>
      <c r="H1" s="15"/>
      <c r="I1" s="116" t="s">
        <v>26</v>
      </c>
      <c r="J1" s="14"/>
      <c r="K1" s="15"/>
      <c r="L1" s="117" t="s">
        <v>1549</v>
      </c>
      <c r="M1" s="22"/>
      <c r="N1" s="117"/>
    </row>
    <row r="2" ht="19.5" customHeight="1">
      <c r="A2" s="111"/>
      <c r="B2" s="18"/>
      <c r="C2" s="19"/>
      <c r="D2" s="18"/>
      <c r="E2" s="20"/>
      <c r="F2" s="118">
        <v>0.298439624712645</v>
      </c>
      <c r="H2" s="22"/>
      <c r="I2" s="119">
        <v>133639.20999999996</v>
      </c>
      <c r="K2" s="22"/>
      <c r="L2" s="120" t="s">
        <v>1550</v>
      </c>
      <c r="M2" s="121">
        <v>27526.1</v>
      </c>
      <c r="N2" s="122"/>
    </row>
    <row r="3">
      <c r="A3" s="123"/>
      <c r="B3" s="124" t="str">
        <f>CHOOSE(WEEKDAY(C1), "Neděle", "Pondělí", "Úterý", "Středa", "Čtvrtek", "Pátek", "Sobota")</f>
        <v>Pondělí</v>
      </c>
      <c r="C3" s="28"/>
      <c r="D3" s="124" t="str">
        <f>CHOOSE(WEEKDAY(E1), "Neděle", "Pondělí", "Úterý", "Středa", "Čtvrtek", "Pátek", "Sobota")</f>
        <v>Úterý</v>
      </c>
      <c r="E3" s="12"/>
      <c r="H3" s="22"/>
      <c r="K3" s="22"/>
      <c r="L3" s="125" t="s">
        <v>1551</v>
      </c>
      <c r="M3" s="126">
        <v>12967.0</v>
      </c>
      <c r="N3" s="122"/>
    </row>
    <row r="4">
      <c r="A4" s="123"/>
      <c r="B4" s="19"/>
      <c r="C4" s="29"/>
      <c r="D4" s="19"/>
      <c r="E4" s="20"/>
      <c r="F4" s="29"/>
      <c r="G4" s="29"/>
      <c r="H4" s="20"/>
      <c r="I4" s="29"/>
      <c r="J4" s="29"/>
      <c r="K4" s="20"/>
      <c r="L4" s="125" t="s">
        <v>1552</v>
      </c>
      <c r="M4" s="126">
        <v>33687.08</v>
      </c>
      <c r="N4" s="122"/>
    </row>
    <row r="5">
      <c r="A5" s="127"/>
      <c r="B5" s="128" t="s">
        <v>1576</v>
      </c>
      <c r="C5" s="28"/>
      <c r="D5" s="28"/>
      <c r="E5" s="12"/>
      <c r="F5" s="129" t="s">
        <v>1577</v>
      </c>
      <c r="G5" s="28"/>
      <c r="H5" s="28"/>
      <c r="I5" s="28"/>
      <c r="J5" s="28"/>
      <c r="K5" s="12"/>
      <c r="L5" s="130" t="s">
        <v>1554</v>
      </c>
      <c r="M5" s="126">
        <v>25756.0</v>
      </c>
      <c r="N5" s="122"/>
    </row>
    <row r="6">
      <c r="A6" s="127"/>
      <c r="B6" s="19"/>
      <c r="C6" s="29"/>
      <c r="D6" s="29"/>
      <c r="E6" s="20"/>
      <c r="F6" s="29"/>
      <c r="G6" s="29"/>
      <c r="H6" s="29"/>
      <c r="I6" s="29"/>
      <c r="J6" s="29"/>
      <c r="K6" s="20"/>
      <c r="L6" s="130" t="s">
        <v>1555</v>
      </c>
      <c r="M6" s="126">
        <v>2266.0</v>
      </c>
      <c r="N6" s="122"/>
    </row>
    <row r="7">
      <c r="A7" s="131"/>
      <c r="B7" s="132">
        <f>TEXT(SUMPRODUCT((IFERROR(LEFT(D10:D30, FIND(":", D10:D30) - 1) * 60, 0) + IFERROR(MID(D10:D30, FIND(":", D10:D30) + 1, LEN(D10:D30) - FIND(":", D10:D30)), 0))), "[h]:mm")/60</f>
        <v>65.5</v>
      </c>
      <c r="C7" s="29"/>
      <c r="D7" s="29"/>
      <c r="E7" s="20"/>
      <c r="F7" s="133">
        <f>TEXT(SUMPRODUCT((IFERROR(LEFT(H10:H30, FIND(":", H10:H30) - 1) * 60, 0) + IFERROR(MID(H10:H30, FIND(":", H10:H30) + 1, LEN(H10:H30) - FIND(":", H10:H30)), 0))), "[h]:mm")/60</f>
        <v>49.5</v>
      </c>
      <c r="G7" s="14"/>
      <c r="H7" s="14"/>
      <c r="I7" s="14"/>
      <c r="J7" s="134"/>
      <c r="K7" s="134"/>
      <c r="L7" s="135" t="s">
        <v>1556</v>
      </c>
      <c r="M7" s="136">
        <v>5992.629999999999</v>
      </c>
      <c r="N7" s="122"/>
    </row>
    <row r="8">
      <c r="A8" s="137"/>
      <c r="B8" s="138" t="s">
        <v>1557</v>
      </c>
      <c r="C8" s="14"/>
      <c r="D8" s="14"/>
      <c r="E8" s="15"/>
      <c r="F8" s="139" t="s">
        <v>78</v>
      </c>
      <c r="G8" s="14"/>
      <c r="H8" s="14"/>
      <c r="I8" s="15"/>
      <c r="J8" s="140" t="s">
        <v>1558</v>
      </c>
      <c r="K8" s="12"/>
      <c r="L8" s="141" t="s">
        <v>25</v>
      </c>
      <c r="M8" s="15"/>
      <c r="N8" s="117"/>
    </row>
    <row r="9">
      <c r="A9" s="142"/>
      <c r="B9" s="143" t="s">
        <v>1559</v>
      </c>
      <c r="C9" s="144" t="s">
        <v>1578</v>
      </c>
      <c r="D9" s="144" t="s">
        <v>1563</v>
      </c>
      <c r="E9" s="145"/>
      <c r="F9" s="143" t="s">
        <v>1559</v>
      </c>
      <c r="G9" s="144" t="s">
        <v>1578</v>
      </c>
      <c r="H9" s="144" t="s">
        <v>1563</v>
      </c>
      <c r="I9" s="146" t="s">
        <v>1568</v>
      </c>
      <c r="J9" s="147">
        <v>-1.029999999977008</v>
      </c>
      <c r="K9" s="12"/>
      <c r="L9" s="148" t="s">
        <v>23</v>
      </c>
      <c r="M9" s="126">
        <v>12310.0</v>
      </c>
      <c r="N9" s="122"/>
    </row>
    <row r="10" ht="18.75" customHeight="1">
      <c r="A10" s="149"/>
      <c r="B10" s="150" t="s">
        <v>1566</v>
      </c>
      <c r="C10" s="151">
        <v>3.0</v>
      </c>
      <c r="D10" s="151" t="s">
        <v>1579</v>
      </c>
      <c r="E10" s="152" t="s">
        <v>1580</v>
      </c>
      <c r="F10" s="150" t="s">
        <v>1571</v>
      </c>
      <c r="G10" s="151">
        <v>3.0</v>
      </c>
      <c r="H10" s="151" t="s">
        <v>1581</v>
      </c>
      <c r="I10" s="153">
        <v>26.0</v>
      </c>
      <c r="J10" s="37"/>
      <c r="K10" s="22"/>
      <c r="L10" s="148" t="s">
        <v>24</v>
      </c>
      <c r="M10" s="126">
        <v>0.0</v>
      </c>
      <c r="N10" s="122"/>
    </row>
    <row r="11" ht="18.75" customHeight="1">
      <c r="A11" s="149"/>
      <c r="B11" s="150" t="s">
        <v>1486</v>
      </c>
      <c r="C11" s="151">
        <v>2.0</v>
      </c>
      <c r="D11" s="151" t="s">
        <v>1582</v>
      </c>
      <c r="E11" s="152" t="s">
        <v>49</v>
      </c>
      <c r="F11" s="154" t="s">
        <v>1583</v>
      </c>
      <c r="G11" s="154">
        <v>1.0</v>
      </c>
      <c r="H11" s="154" t="s">
        <v>1584</v>
      </c>
      <c r="I11" s="153">
        <v>4.0</v>
      </c>
      <c r="J11" s="37"/>
      <c r="K11" s="22"/>
      <c r="L11" s="155" t="s">
        <v>25</v>
      </c>
      <c r="M11" s="156">
        <v>15731.0</v>
      </c>
      <c r="N11" s="122"/>
    </row>
    <row r="12" ht="18.75" customHeight="1">
      <c r="A12" s="149"/>
      <c r="B12" s="150" t="s">
        <v>1564</v>
      </c>
      <c r="C12" s="151">
        <v>1.0</v>
      </c>
      <c r="D12" s="151" t="s">
        <v>1585</v>
      </c>
      <c r="E12" s="152" t="s">
        <v>50</v>
      </c>
      <c r="F12" s="157" t="s">
        <v>1494</v>
      </c>
      <c r="G12" s="157">
        <v>1.0</v>
      </c>
      <c r="H12" s="154" t="s">
        <v>1586</v>
      </c>
      <c r="I12" s="153">
        <v>4.0</v>
      </c>
      <c r="J12" s="37"/>
      <c r="K12" s="22"/>
      <c r="L12" s="158" t="s">
        <v>1565</v>
      </c>
      <c r="M12" s="20"/>
      <c r="N12" s="117"/>
    </row>
    <row r="13" ht="18.75" customHeight="1">
      <c r="A13" s="149"/>
      <c r="B13" s="150" t="s">
        <v>1587</v>
      </c>
      <c r="C13" s="151">
        <v>1.0</v>
      </c>
      <c r="D13" s="151" t="s">
        <v>50</v>
      </c>
      <c r="E13" s="152" t="s">
        <v>50</v>
      </c>
      <c r="F13" s="157" t="s">
        <v>1573</v>
      </c>
      <c r="G13" s="157">
        <v>1.0</v>
      </c>
      <c r="H13" s="157" t="s">
        <v>1588</v>
      </c>
      <c r="I13" s="153">
        <v>8.0</v>
      </c>
      <c r="J13" s="37"/>
      <c r="K13" s="22"/>
      <c r="L13" s="148" t="s">
        <v>29</v>
      </c>
      <c r="M13" s="126">
        <v>2000.0</v>
      </c>
      <c r="N13" s="122"/>
    </row>
    <row r="14" ht="18.75" customHeight="1">
      <c r="A14" s="149"/>
      <c r="B14" s="150"/>
      <c r="C14" s="151"/>
      <c r="D14" s="151"/>
      <c r="E14" s="152" t="s">
        <v>1585</v>
      </c>
      <c r="F14" s="150" t="s">
        <v>1589</v>
      </c>
      <c r="G14" s="151">
        <v>1.0</v>
      </c>
      <c r="H14" s="151" t="s">
        <v>1590</v>
      </c>
      <c r="I14" s="153">
        <v>7.0</v>
      </c>
      <c r="J14" s="37"/>
      <c r="K14" s="22"/>
      <c r="L14" s="159" t="s">
        <v>30</v>
      </c>
      <c r="M14" s="126">
        <v>0.0</v>
      </c>
      <c r="N14" s="122"/>
    </row>
    <row r="15" ht="18.75" customHeight="1">
      <c r="A15" s="149"/>
      <c r="B15" s="150"/>
      <c r="C15" s="151"/>
      <c r="D15" s="151"/>
      <c r="E15" s="152" t="s">
        <v>1585</v>
      </c>
      <c r="F15" s="150" t="s">
        <v>1182</v>
      </c>
      <c r="G15" s="151">
        <v>1.0</v>
      </c>
      <c r="H15" s="151" t="s">
        <v>1591</v>
      </c>
      <c r="I15" s="153">
        <v>8.0</v>
      </c>
      <c r="J15" s="37"/>
      <c r="K15" s="22"/>
      <c r="L15" s="159" t="s">
        <v>31</v>
      </c>
      <c r="M15" s="126">
        <v>0.0</v>
      </c>
      <c r="N15" s="122"/>
    </row>
    <row r="16" ht="18.75" customHeight="1">
      <c r="A16" s="149"/>
      <c r="B16" s="150"/>
      <c r="C16" s="151"/>
      <c r="D16" s="151"/>
      <c r="E16" s="160"/>
      <c r="F16" s="150"/>
      <c r="G16" s="151"/>
      <c r="H16" s="151"/>
      <c r="I16" s="153"/>
      <c r="J16" s="37"/>
      <c r="K16" s="22"/>
      <c r="L16" s="159" t="s">
        <v>32</v>
      </c>
      <c r="M16" s="126">
        <v>0.0</v>
      </c>
      <c r="N16" s="122"/>
    </row>
    <row r="17" ht="18.75" customHeight="1">
      <c r="A17" s="149"/>
      <c r="B17" s="150"/>
      <c r="C17" s="151"/>
      <c r="D17" s="151"/>
      <c r="E17" s="160"/>
      <c r="F17" s="150"/>
      <c r="G17" s="151"/>
      <c r="H17" s="151"/>
      <c r="I17" s="153"/>
      <c r="J17" s="19"/>
      <c r="K17" s="20"/>
      <c r="L17" s="161" t="s">
        <v>33</v>
      </c>
      <c r="M17" s="162">
        <v>1395.0</v>
      </c>
      <c r="N17" s="122"/>
    </row>
    <row r="18" ht="18.75" customHeight="1">
      <c r="A18" s="149"/>
      <c r="B18" s="150"/>
      <c r="C18" s="151"/>
      <c r="D18" s="151"/>
      <c r="E18" s="160"/>
      <c r="F18" s="150"/>
      <c r="G18" s="151"/>
      <c r="H18" s="151"/>
      <c r="I18" s="153"/>
      <c r="J18" s="163"/>
      <c r="K18" s="14"/>
      <c r="L18" s="14"/>
      <c r="M18" s="15"/>
      <c r="N18" s="164"/>
    </row>
    <row r="19" ht="18.75" customHeight="1">
      <c r="A19" s="149"/>
      <c r="B19" s="150"/>
      <c r="C19" s="151"/>
      <c r="D19" s="151"/>
      <c r="E19" s="160"/>
      <c r="F19" s="150"/>
      <c r="G19" s="151"/>
      <c r="H19" s="151"/>
      <c r="I19" s="153"/>
      <c r="J19" s="165" t="s">
        <v>34</v>
      </c>
      <c r="K19" s="166" t="s">
        <v>35</v>
      </c>
      <c r="L19" s="167" t="s">
        <v>1567</v>
      </c>
      <c r="M19" s="168" t="s">
        <v>37</v>
      </c>
      <c r="N19" s="169"/>
    </row>
    <row r="20" ht="18.75" customHeight="1">
      <c r="A20" s="149"/>
      <c r="B20" s="150"/>
      <c r="C20" s="151"/>
      <c r="D20" s="151"/>
      <c r="E20" s="160"/>
      <c r="F20" s="150"/>
      <c r="G20" s="151"/>
      <c r="H20" s="151"/>
      <c r="I20" s="153"/>
      <c r="J20" s="170"/>
      <c r="K20" s="88"/>
      <c r="L20" s="88"/>
      <c r="M20" s="171"/>
      <c r="N20" s="169"/>
    </row>
    <row r="21" ht="18.75" customHeight="1">
      <c r="A21" s="149"/>
      <c r="B21" s="150"/>
      <c r="C21" s="151"/>
      <c r="D21" s="151"/>
      <c r="E21" s="160"/>
      <c r="F21" s="150"/>
      <c r="G21" s="151"/>
      <c r="H21" s="151"/>
      <c r="I21" s="153"/>
      <c r="J21" s="172">
        <v>0.0</v>
      </c>
      <c r="K21" s="173">
        <v>0.0</v>
      </c>
      <c r="L21" s="174">
        <v>3.0</v>
      </c>
      <c r="M21" s="175" t="s">
        <v>1592</v>
      </c>
      <c r="N21" s="164"/>
    </row>
    <row r="22" ht="18.75" customHeight="1">
      <c r="A22" s="149"/>
      <c r="B22" s="150"/>
      <c r="C22" s="151"/>
      <c r="D22" s="151"/>
      <c r="E22" s="160"/>
      <c r="F22" s="150"/>
      <c r="G22" s="151"/>
      <c r="H22" s="151"/>
      <c r="I22" s="153"/>
      <c r="J22" s="176" t="s">
        <v>1570</v>
      </c>
      <c r="K22" s="177" t="s">
        <v>1470</v>
      </c>
      <c r="L22" s="178" t="s">
        <v>1471</v>
      </c>
      <c r="M22" s="179" t="s">
        <v>1472</v>
      </c>
      <c r="N22" s="164"/>
    </row>
    <row r="23" ht="18.75" customHeight="1">
      <c r="A23" s="149"/>
      <c r="B23" s="150"/>
      <c r="C23" s="151"/>
      <c r="D23" s="151"/>
      <c r="E23" s="160"/>
      <c r="F23" s="150"/>
      <c r="G23" s="151"/>
      <c r="H23" s="151"/>
      <c r="I23" s="153"/>
      <c r="J23" s="170"/>
      <c r="K23" s="88"/>
      <c r="L23" s="88"/>
      <c r="M23" s="171"/>
      <c r="N23" s="164"/>
    </row>
    <row r="24" ht="18.75" customHeight="1">
      <c r="A24" s="149"/>
      <c r="B24" s="150"/>
      <c r="C24" s="151"/>
      <c r="D24" s="151"/>
      <c r="E24" s="160"/>
      <c r="F24" s="150"/>
      <c r="G24" s="151"/>
      <c r="H24" s="151"/>
      <c r="I24" s="153"/>
      <c r="J24" s="180">
        <v>5.0</v>
      </c>
      <c r="K24" s="174">
        <v>346.0</v>
      </c>
      <c r="L24" s="174">
        <v>70.0</v>
      </c>
      <c r="M24" s="181">
        <v>3.0</v>
      </c>
      <c r="N24" s="164"/>
    </row>
    <row r="25" ht="18.75" customHeight="1">
      <c r="A25" s="149"/>
      <c r="B25" s="150"/>
      <c r="C25" s="151"/>
      <c r="D25" s="151"/>
      <c r="E25" s="160"/>
      <c r="F25" s="150"/>
      <c r="G25" s="151"/>
      <c r="H25" s="151"/>
      <c r="I25" s="153"/>
      <c r="J25" s="182" t="s">
        <v>1574</v>
      </c>
      <c r="K25" s="93"/>
      <c r="L25" s="183" t="s">
        <v>1474</v>
      </c>
      <c r="M25" s="184" t="s">
        <v>1475</v>
      </c>
      <c r="N25" s="164"/>
    </row>
    <row r="26" ht="21.75" customHeight="1">
      <c r="A26" s="149"/>
      <c r="B26" s="150"/>
      <c r="C26" s="151"/>
      <c r="D26" s="151"/>
      <c r="E26" s="160"/>
      <c r="F26" s="150"/>
      <c r="G26" s="151"/>
      <c r="H26" s="151"/>
      <c r="I26" s="153"/>
      <c r="J26" s="185"/>
      <c r="K26" s="96"/>
      <c r="L26" s="88"/>
      <c r="M26" s="171"/>
      <c r="N26" s="164"/>
    </row>
    <row r="27" ht="18.75" customHeight="1">
      <c r="A27" s="149"/>
      <c r="B27" s="150"/>
      <c r="C27" s="151"/>
      <c r="D27" s="151"/>
      <c r="E27" s="160"/>
      <c r="F27" s="150"/>
      <c r="G27" s="151"/>
      <c r="H27" s="151"/>
      <c r="I27" s="153"/>
      <c r="J27" s="186">
        <v>1.0</v>
      </c>
      <c r="K27" s="98"/>
      <c r="L27" s="187">
        <v>0.03901234567901234</v>
      </c>
      <c r="M27" s="188">
        <v>2.0</v>
      </c>
      <c r="N27" s="164"/>
    </row>
    <row r="28" ht="18.75" customHeight="1">
      <c r="A28" s="149"/>
      <c r="B28" s="150"/>
      <c r="C28" s="151"/>
      <c r="D28" s="151"/>
      <c r="E28" s="160"/>
      <c r="F28" s="150"/>
      <c r="G28" s="151"/>
      <c r="H28" s="151"/>
      <c r="I28" s="153"/>
      <c r="J28" s="189"/>
      <c r="K28" s="190" t="s">
        <v>1593</v>
      </c>
      <c r="L28" s="191" t="s">
        <v>1476</v>
      </c>
      <c r="M28" s="184" t="s">
        <v>1477</v>
      </c>
      <c r="N28" s="164"/>
    </row>
    <row r="29" ht="18.75" customHeight="1">
      <c r="A29" s="149"/>
      <c r="B29" s="150"/>
      <c r="C29" s="151"/>
      <c r="D29" s="151"/>
      <c r="E29" s="160"/>
      <c r="F29" s="150"/>
      <c r="G29" s="151"/>
      <c r="H29" s="151"/>
      <c r="I29" s="153"/>
      <c r="J29" s="37"/>
      <c r="K29" s="88"/>
      <c r="L29" s="88"/>
      <c r="M29" s="171"/>
      <c r="N29" s="164"/>
    </row>
    <row r="30" ht="18.75" customHeight="1">
      <c r="A30" s="149"/>
      <c r="B30" s="150"/>
      <c r="C30" s="151"/>
      <c r="D30" s="151"/>
      <c r="E30" s="160"/>
      <c r="F30" s="150"/>
      <c r="G30" s="151"/>
      <c r="H30" s="151"/>
      <c r="I30" s="153"/>
      <c r="J30" s="19"/>
      <c r="K30" s="192"/>
      <c r="L30" s="193">
        <v>0.9609876543209875</v>
      </c>
      <c r="M30" s="194">
        <v>0.02666666666666667</v>
      </c>
      <c r="N30" s="164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>
      <c r="A2" s="1"/>
      <c r="B2" s="1"/>
      <c r="C2" s="196"/>
      <c r="D2" s="1"/>
      <c r="E2" s="1"/>
      <c r="F2" s="1"/>
      <c r="G2" s="1"/>
      <c r="H2" s="1"/>
      <c r="I2" s="1"/>
      <c r="J2" s="1"/>
      <c r="K2" s="195"/>
      <c r="L2" s="1"/>
      <c r="M2" s="1"/>
      <c r="N2" s="1"/>
      <c r="O2" s="1"/>
      <c r="P2" s="1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</row>
    <row r="3">
      <c r="A3" s="1"/>
      <c r="B3" s="1"/>
      <c r="C3" s="196"/>
      <c r="D3" s="1"/>
      <c r="E3" s="195"/>
      <c r="F3" s="1"/>
      <c r="G3" s="1"/>
      <c r="H3" s="1"/>
      <c r="I3" s="1"/>
      <c r="J3" s="1"/>
      <c r="K3" s="195"/>
      <c r="L3" s="1"/>
      <c r="M3" s="1"/>
      <c r="N3" s="1"/>
      <c r="O3" s="1"/>
      <c r="P3" s="1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</row>
    <row r="4">
      <c r="A4" s="1"/>
      <c r="B4" s="1"/>
      <c r="C4" s="196"/>
      <c r="D4" s="1"/>
      <c r="E4" s="1"/>
      <c r="F4" s="1"/>
      <c r="G4" s="1"/>
      <c r="H4" s="1"/>
      <c r="I4" s="1"/>
      <c r="J4" s="1"/>
      <c r="K4" s="195"/>
      <c r="L4" s="1"/>
      <c r="M4" s="1"/>
      <c r="N4" s="1"/>
      <c r="O4" s="1"/>
      <c r="P4" s="1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</row>
    <row r="5">
      <c r="A5" s="1"/>
      <c r="B5" s="196"/>
      <c r="C5" s="196"/>
      <c r="D5" s="1"/>
      <c r="E5" s="195"/>
      <c r="F5" s="1"/>
      <c r="G5" s="1"/>
      <c r="H5" s="1"/>
      <c r="I5" s="1"/>
      <c r="J5" s="1"/>
      <c r="K5" s="195"/>
      <c r="L5" s="1"/>
      <c r="M5" s="1"/>
      <c r="N5" s="1"/>
      <c r="O5" s="1"/>
      <c r="P5" s="1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</row>
    <row r="6">
      <c r="A6" s="1"/>
      <c r="B6" s="1"/>
      <c r="C6" s="19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</row>
    <row r="7">
      <c r="A7" s="1"/>
      <c r="B7" s="1"/>
      <c r="C7" s="196"/>
      <c r="D7" s="1"/>
      <c r="E7" s="1"/>
      <c r="F7" s="1"/>
      <c r="G7" s="1"/>
      <c r="H7" s="1"/>
      <c r="I7" s="1"/>
      <c r="J7" s="1"/>
      <c r="K7" s="195"/>
      <c r="L7" s="1"/>
      <c r="M7" s="1"/>
      <c r="N7" s="1"/>
      <c r="O7" s="1"/>
      <c r="P7" s="1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</row>
    <row r="8">
      <c r="A8" s="1"/>
      <c r="B8" s="1"/>
      <c r="C8" s="196"/>
      <c r="D8" s="1"/>
      <c r="E8" s="195"/>
      <c r="F8" s="1"/>
      <c r="G8" s="1"/>
      <c r="H8" s="1"/>
      <c r="I8" s="1"/>
      <c r="J8" s="1"/>
      <c r="K8" s="195"/>
      <c r="L8" s="1"/>
      <c r="M8" s="1"/>
      <c r="N8" s="1"/>
      <c r="O8" s="1"/>
      <c r="P8" s="1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</row>
    <row r="9">
      <c r="A9" s="1"/>
      <c r="B9" s="1"/>
      <c r="C9" s="196"/>
      <c r="D9" s="1"/>
      <c r="E9" s="1"/>
      <c r="F9" s="1"/>
      <c r="G9" s="1"/>
      <c r="H9" s="1"/>
      <c r="I9" s="1"/>
      <c r="J9" s="1"/>
      <c r="K9" s="195"/>
      <c r="L9" s="1"/>
      <c r="M9" s="1"/>
      <c r="N9" s="1"/>
      <c r="O9" s="1"/>
      <c r="P9" s="1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</row>
    <row r="10">
      <c r="A10" s="1"/>
      <c r="B10" s="1"/>
      <c r="C10" s="196"/>
      <c r="D10" s="1"/>
      <c r="E10" s="195"/>
      <c r="F10" s="1"/>
      <c r="G10" s="1"/>
      <c r="H10" s="1"/>
      <c r="I10" s="1"/>
      <c r="J10" s="1"/>
      <c r="K10" s="195"/>
      <c r="L10" s="1"/>
      <c r="M10" s="1"/>
      <c r="N10" s="1"/>
      <c r="O10" s="1"/>
      <c r="P10" s="1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</row>
    <row r="11">
      <c r="A11" s="1"/>
      <c r="B11" s="1"/>
      <c r="C11" s="19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</row>
    <row r="12">
      <c r="A12" s="1"/>
      <c r="B12" s="196"/>
      <c r="C12" s="196"/>
      <c r="D12" s="1"/>
      <c r="E12" s="195"/>
      <c r="F12" s="1"/>
      <c r="G12" s="1"/>
      <c r="H12" s="1"/>
      <c r="I12" s="1"/>
      <c r="J12" s="1"/>
      <c r="K12" s="195"/>
      <c r="L12" s="1"/>
      <c r="M12" s="1"/>
      <c r="N12" s="1"/>
      <c r="O12" s="1"/>
      <c r="P12" s="1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</row>
    <row r="13">
      <c r="A13" s="1"/>
      <c r="B13" s="1"/>
      <c r="C13" s="196"/>
      <c r="D13" s="1"/>
      <c r="E13" s="1"/>
      <c r="F13" s="1"/>
      <c r="G13" s="1"/>
      <c r="H13" s="1"/>
      <c r="I13" s="1"/>
      <c r="J13" s="1"/>
      <c r="K13" s="195"/>
      <c r="L13" s="1"/>
      <c r="M13" s="1"/>
      <c r="N13" s="1"/>
      <c r="O13" s="1"/>
      <c r="P13" s="1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</row>
    <row r="14">
      <c r="A14" s="1"/>
      <c r="B14" s="1"/>
      <c r="C14" s="196"/>
      <c r="D14" s="1"/>
      <c r="E14" s="1"/>
      <c r="F14" s="1"/>
      <c r="G14" s="1"/>
      <c r="H14" s="1"/>
      <c r="I14" s="1"/>
      <c r="J14" s="1"/>
      <c r="K14" s="195"/>
      <c r="L14" s="1"/>
      <c r="M14" s="1"/>
      <c r="N14" s="1"/>
      <c r="O14" s="1"/>
      <c r="P14" s="1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</row>
    <row r="15">
      <c r="A15" s="1"/>
      <c r="B15" s="1"/>
      <c r="C15" s="196"/>
      <c r="D15" s="1"/>
      <c r="E15" s="1"/>
      <c r="F15" s="1"/>
      <c r="G15" s="1"/>
      <c r="H15" s="1"/>
      <c r="I15" s="1"/>
      <c r="J15" s="1"/>
      <c r="K15" s="195"/>
      <c r="L15" s="1"/>
      <c r="M15" s="1"/>
      <c r="N15" s="1"/>
      <c r="O15" s="1"/>
      <c r="P15" s="1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</row>
    <row r="16">
      <c r="A16" s="1"/>
      <c r="B16" s="1"/>
      <c r="C16" s="196"/>
      <c r="D16" s="1"/>
      <c r="E16" s="195"/>
      <c r="F16" s="1"/>
      <c r="G16" s="1"/>
      <c r="H16" s="1"/>
      <c r="I16" s="1"/>
      <c r="J16" s="1"/>
      <c r="K16" s="195"/>
      <c r="L16" s="1"/>
      <c r="M16" s="1"/>
      <c r="N16" s="1"/>
      <c r="O16" s="1"/>
      <c r="P16" s="1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</row>
    <row r="17">
      <c r="A17" s="1"/>
      <c r="B17" s="1"/>
      <c r="C17" s="196"/>
      <c r="D17" s="1"/>
      <c r="E17" s="1"/>
      <c r="F17" s="1"/>
      <c r="G17" s="1"/>
      <c r="H17" s="1"/>
      <c r="I17" s="1"/>
      <c r="J17" s="1"/>
      <c r="K17" s="195"/>
      <c r="L17" s="1"/>
      <c r="M17" s="1"/>
      <c r="N17" s="1"/>
      <c r="O17" s="1"/>
      <c r="P17" s="1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</row>
    <row r="18">
      <c r="A18" s="1"/>
      <c r="B18" s="1"/>
      <c r="C18" s="196"/>
      <c r="D18" s="1"/>
      <c r="E18" s="1"/>
      <c r="F18" s="1"/>
      <c r="G18" s="1"/>
      <c r="H18" s="1"/>
      <c r="I18" s="1"/>
      <c r="J18" s="1"/>
      <c r="K18" s="195"/>
      <c r="L18" s="1"/>
      <c r="M18" s="1"/>
      <c r="N18" s="1"/>
      <c r="O18" s="1"/>
      <c r="P18" s="1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</row>
    <row r="19">
      <c r="A19" s="1"/>
      <c r="B19" s="1"/>
      <c r="C19" s="196"/>
      <c r="D19" s="1"/>
      <c r="E19" s="195"/>
      <c r="F19" s="1"/>
      <c r="G19" s="1"/>
      <c r="H19" s="1"/>
      <c r="I19" s="1"/>
      <c r="J19" s="1"/>
      <c r="K19" s="195"/>
      <c r="L19" s="1"/>
      <c r="M19" s="1"/>
      <c r="N19" s="1"/>
      <c r="O19" s="1"/>
      <c r="P19" s="1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</row>
    <row r="20">
      <c r="A20" s="1"/>
      <c r="B20" s="1"/>
      <c r="C20" s="196"/>
      <c r="D20" s="1"/>
      <c r="E20" s="195"/>
      <c r="F20" s="1"/>
      <c r="G20" s="1"/>
      <c r="H20" s="1"/>
      <c r="I20" s="1"/>
      <c r="J20" s="1"/>
      <c r="K20" s="195"/>
      <c r="L20" s="1"/>
      <c r="M20" s="1"/>
      <c r="N20" s="1"/>
      <c r="O20" s="1"/>
      <c r="P20" s="1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</row>
    <row r="21">
      <c r="A21" s="1"/>
      <c r="B21" s="1"/>
      <c r="C21" s="196"/>
      <c r="D21" s="1"/>
      <c r="E21" s="1"/>
      <c r="F21" s="1"/>
      <c r="G21" s="1"/>
      <c r="H21" s="1"/>
      <c r="I21" s="1"/>
      <c r="J21" s="1"/>
      <c r="K21" s="195"/>
      <c r="L21" s="1"/>
      <c r="M21" s="1"/>
      <c r="N21" s="1"/>
      <c r="O21" s="1"/>
      <c r="P21" s="1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</row>
    <row r="22">
      <c r="A22" s="1"/>
      <c r="B22" s="1"/>
      <c r="C22" s="196"/>
      <c r="D22" s="1"/>
      <c r="E22" s="195"/>
      <c r="F22" s="1"/>
      <c r="G22" s="1"/>
      <c r="H22" s="1"/>
      <c r="I22" s="1"/>
      <c r="J22" s="1"/>
      <c r="K22" s="195"/>
      <c r="L22" s="1"/>
      <c r="M22" s="1"/>
      <c r="N22" s="1"/>
      <c r="O22" s="1"/>
      <c r="P22" s="1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</row>
    <row r="23">
      <c r="A23" s="1"/>
      <c r="B23" s="196"/>
      <c r="C23" s="1"/>
      <c r="D23" s="1"/>
      <c r="E23" s="1"/>
      <c r="F23" s="1"/>
      <c r="G23" s="1"/>
      <c r="H23" s="1"/>
      <c r="I23" s="1"/>
      <c r="J23" s="1"/>
      <c r="K23" s="195"/>
      <c r="L23" s="1"/>
      <c r="M23" s="1"/>
      <c r="N23" s="1"/>
      <c r="O23" s="1"/>
      <c r="P23" s="1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</row>
    <row r="24">
      <c r="A24" s="1"/>
      <c r="B24" s="196"/>
      <c r="C24" s="196"/>
      <c r="D24" s="1"/>
      <c r="E24" s="195"/>
      <c r="F24" s="1"/>
      <c r="G24" s="1"/>
      <c r="H24" s="1"/>
      <c r="I24" s="1"/>
      <c r="J24" s="1"/>
      <c r="K24" s="195"/>
      <c r="L24" s="1"/>
      <c r="M24" s="1"/>
      <c r="N24" s="1"/>
      <c r="O24" s="1"/>
      <c r="P24" s="1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</row>
    <row r="25">
      <c r="A25" s="1"/>
      <c r="B25" s="1"/>
      <c r="C25" s="196"/>
      <c r="D25" s="1"/>
      <c r="E25" s="1"/>
      <c r="F25" s="1"/>
      <c r="G25" s="1"/>
      <c r="H25" s="1"/>
      <c r="I25" s="1"/>
      <c r="J25" s="1"/>
      <c r="K25" s="195"/>
      <c r="L25" s="1"/>
      <c r="M25" s="1"/>
      <c r="N25" s="1"/>
      <c r="O25" s="1"/>
      <c r="P25" s="1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</row>
    <row r="26">
      <c r="A26" s="1"/>
      <c r="B26" s="1"/>
      <c r="C26" s="196"/>
      <c r="D26" s="1"/>
      <c r="E26" s="195"/>
      <c r="F26" s="1"/>
      <c r="G26" s="1"/>
      <c r="H26" s="1"/>
      <c r="I26" s="1"/>
      <c r="J26" s="1"/>
      <c r="K26" s="195"/>
      <c r="L26" s="1"/>
      <c r="M26" s="1"/>
      <c r="N26" s="1"/>
      <c r="O26" s="1"/>
      <c r="P26" s="1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</row>
    <row r="27">
      <c r="A27" s="1"/>
      <c r="B27" s="1"/>
      <c r="C27" s="1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</row>
    <row r="28">
      <c r="A28" s="1"/>
      <c r="B28" s="1"/>
      <c r="C28" s="196"/>
      <c r="D28" s="1"/>
      <c r="E28" s="1"/>
      <c r="F28" s="1"/>
      <c r="G28" s="1"/>
      <c r="H28" s="1"/>
      <c r="I28" s="1"/>
      <c r="J28" s="1"/>
      <c r="K28" s="195"/>
      <c r="L28" s="1"/>
      <c r="M28" s="1"/>
      <c r="N28" s="1"/>
      <c r="O28" s="1"/>
      <c r="P28" s="1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</row>
    <row r="29">
      <c r="A29" s="1"/>
      <c r="B29" s="1"/>
      <c r="C29" s="196"/>
      <c r="D29" s="1"/>
      <c r="E29" s="195"/>
      <c r="F29" s="1"/>
      <c r="G29" s="1"/>
      <c r="H29" s="1"/>
      <c r="I29" s="1"/>
      <c r="J29" s="1"/>
      <c r="K29" s="195"/>
      <c r="L29" s="1"/>
      <c r="M29" s="1"/>
      <c r="N29" s="1"/>
      <c r="O29" s="1"/>
      <c r="P29" s="1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</row>
    <row r="30">
      <c r="A30" s="1"/>
      <c r="B30" s="196"/>
      <c r="C30" s="1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</row>
    <row r="32">
      <c r="A32" s="1"/>
      <c r="B32" s="1"/>
      <c r="C32" s="196"/>
      <c r="D32" s="1"/>
      <c r="E32" s="1"/>
      <c r="F32" s="1"/>
      <c r="G32" s="1"/>
      <c r="H32" s="1"/>
      <c r="I32" s="1"/>
      <c r="J32" s="1"/>
      <c r="K32" s="195"/>
      <c r="L32" s="1"/>
      <c r="M32" s="1"/>
      <c r="N32" s="1"/>
      <c r="O32" s="1"/>
      <c r="P32" s="1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</row>
    <row r="33">
      <c r="A33" s="1"/>
      <c r="B33" s="1"/>
      <c r="C33" s="196"/>
      <c r="D33" s="1"/>
      <c r="E33" s="195"/>
      <c r="F33" s="1"/>
      <c r="G33" s="1"/>
      <c r="H33" s="1"/>
      <c r="I33" s="1"/>
      <c r="J33" s="1"/>
      <c r="K33" s="195"/>
      <c r="L33" s="1"/>
      <c r="M33" s="1"/>
      <c r="N33" s="1"/>
      <c r="O33" s="1"/>
      <c r="P33" s="1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</row>
    <row r="34">
      <c r="A34" s="1"/>
      <c r="B34" s="196"/>
      <c r="C34" s="196"/>
      <c r="D34" s="1"/>
      <c r="E34" s="1"/>
      <c r="F34" s="1"/>
      <c r="G34" s="1"/>
      <c r="H34" s="1"/>
      <c r="I34" s="1"/>
      <c r="J34" s="1"/>
      <c r="K34" s="195"/>
      <c r="L34" s="1"/>
      <c r="M34" s="1"/>
      <c r="N34" s="1"/>
      <c r="O34" s="1"/>
      <c r="P34" s="1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</row>
    <row r="35">
      <c r="A35" s="1"/>
      <c r="B35" s="1"/>
      <c r="C35" s="196"/>
      <c r="D35" s="1"/>
      <c r="E35" s="1"/>
      <c r="F35" s="1"/>
      <c r="G35" s="1"/>
      <c r="H35" s="1"/>
      <c r="I35" s="1"/>
      <c r="J35" s="1"/>
      <c r="K35" s="195"/>
      <c r="L35" s="1"/>
      <c r="M35" s="1"/>
      <c r="N35" s="1"/>
      <c r="O35" s="1"/>
      <c r="P35" s="1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</row>
    <row r="36">
      <c r="A36" s="1"/>
      <c r="B36" s="1"/>
      <c r="C36" s="196"/>
      <c r="D36" s="1"/>
      <c r="E36" s="195"/>
      <c r="F36" s="1"/>
      <c r="G36" s="1"/>
      <c r="H36" s="1"/>
      <c r="I36" s="1"/>
      <c r="J36" s="1"/>
      <c r="K36" s="195"/>
      <c r="L36" s="1"/>
      <c r="M36" s="1"/>
      <c r="N36" s="1"/>
      <c r="O36" s="1"/>
      <c r="P36" s="1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95"/>
      <c r="L37" s="1"/>
      <c r="M37" s="1"/>
      <c r="N37" s="1"/>
      <c r="O37" s="1"/>
      <c r="P37" s="1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</row>
    <row r="38">
      <c r="A38" s="1"/>
      <c r="B38" s="1"/>
      <c r="C38" s="1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</row>
    <row r="39">
      <c r="A39" s="1"/>
      <c r="B39" s="1"/>
      <c r="C39" s="196"/>
      <c r="D39" s="1"/>
      <c r="E39" s="195"/>
      <c r="F39" s="1"/>
      <c r="G39" s="1"/>
      <c r="H39" s="1"/>
      <c r="I39" s="1"/>
      <c r="J39" s="1"/>
      <c r="K39" s="195"/>
      <c r="L39" s="1"/>
      <c r="M39" s="1"/>
      <c r="N39" s="1"/>
      <c r="O39" s="1"/>
      <c r="P39" s="1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</row>
    <row r="40">
      <c r="A40" s="1"/>
      <c r="B40" s="196"/>
      <c r="C40" s="196"/>
      <c r="D40" s="1"/>
      <c r="E40" s="1"/>
      <c r="F40" s="1"/>
      <c r="G40" s="1"/>
      <c r="H40" s="1"/>
      <c r="I40" s="1"/>
      <c r="J40" s="1"/>
      <c r="K40" s="195"/>
      <c r="L40" s="1"/>
      <c r="M40" s="1"/>
      <c r="N40" s="1"/>
      <c r="O40" s="1"/>
      <c r="P40" s="1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</row>
    <row r="41">
      <c r="A41" s="1"/>
      <c r="B41" s="1"/>
      <c r="C41" s="1"/>
      <c r="D41" s="1"/>
      <c r="E41" s="195"/>
      <c r="F41" s="1"/>
      <c r="G41" s="1"/>
      <c r="H41" s="1"/>
      <c r="I41" s="1"/>
      <c r="J41" s="1"/>
      <c r="K41" s="195"/>
      <c r="L41" s="1"/>
      <c r="M41" s="1"/>
      <c r="N41" s="1"/>
      <c r="O41" s="1"/>
      <c r="P41" s="1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</row>
    <row r="42">
      <c r="A42" s="1"/>
      <c r="B42" s="1"/>
      <c r="C42" s="196"/>
      <c r="D42" s="1"/>
      <c r="E42" s="195"/>
      <c r="F42" s="1"/>
      <c r="G42" s="1"/>
      <c r="H42" s="1"/>
      <c r="I42" s="1"/>
      <c r="J42" s="1"/>
      <c r="K42" s="195"/>
      <c r="L42" s="1"/>
      <c r="M42" s="1"/>
      <c r="N42" s="1"/>
      <c r="O42" s="1"/>
      <c r="P42" s="1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</row>
    <row r="43">
      <c r="A43" s="1"/>
      <c r="B43" s="1"/>
      <c r="C43" s="1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</row>
    <row r="44">
      <c r="A44" s="1"/>
      <c r="B44" s="1"/>
      <c r="C44" s="196"/>
      <c r="D44" s="1"/>
      <c r="E44" s="195"/>
      <c r="F44" s="1"/>
      <c r="G44" s="1"/>
      <c r="H44" s="1"/>
      <c r="I44" s="1"/>
      <c r="J44" s="1"/>
      <c r="K44" s="195"/>
      <c r="L44" s="1"/>
      <c r="M44" s="1"/>
      <c r="N44" s="1"/>
      <c r="O44" s="1"/>
      <c r="P44" s="1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</row>
    <row r="45">
      <c r="A45" s="1"/>
      <c r="B45" s="1"/>
      <c r="C45" s="196"/>
      <c r="D45" s="1"/>
      <c r="E45" s="1"/>
      <c r="F45" s="1"/>
      <c r="G45" s="1"/>
      <c r="H45" s="1"/>
      <c r="I45" s="1"/>
      <c r="J45" s="1"/>
      <c r="K45" s="195"/>
      <c r="L45" s="1"/>
      <c r="M45" s="1"/>
      <c r="N45" s="1"/>
      <c r="O45" s="1"/>
      <c r="P45" s="1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</row>
    <row r="46">
      <c r="A46" s="1"/>
      <c r="B46" s="1"/>
      <c r="C46" s="196"/>
      <c r="D46" s="1"/>
      <c r="E46" s="1"/>
      <c r="F46" s="1"/>
      <c r="G46" s="1"/>
      <c r="H46" s="1"/>
      <c r="I46" s="1"/>
      <c r="J46" s="1"/>
      <c r="K46" s="195"/>
      <c r="L46" s="1"/>
      <c r="M46" s="1"/>
      <c r="N46" s="1"/>
      <c r="O46" s="1"/>
      <c r="P46" s="1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</row>
    <row r="47">
      <c r="A47" s="1"/>
      <c r="B47" s="196"/>
      <c r="C47" s="196"/>
      <c r="D47" s="1"/>
      <c r="E47" s="1"/>
      <c r="F47" s="1"/>
      <c r="G47" s="1"/>
      <c r="H47" s="1"/>
      <c r="I47" s="1"/>
      <c r="J47" s="1"/>
      <c r="K47" s="195"/>
      <c r="L47" s="1"/>
      <c r="M47" s="1"/>
      <c r="N47" s="1"/>
      <c r="O47" s="1"/>
      <c r="P47" s="1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</row>
    <row r="48">
      <c r="A48" s="1"/>
      <c r="B48" s="1"/>
      <c r="C48" s="1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</row>
    <row r="49">
      <c r="A49" s="1"/>
      <c r="B49" s="1"/>
      <c r="C49" s="1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</row>
    <row r="50">
      <c r="A50" s="1"/>
      <c r="B50" s="1"/>
      <c r="C50" s="196"/>
      <c r="D50" s="1"/>
      <c r="E50" s="1"/>
      <c r="F50" s="1"/>
      <c r="G50" s="1"/>
      <c r="H50" s="1"/>
      <c r="I50" s="1"/>
      <c r="J50" s="1"/>
      <c r="K50" s="195"/>
      <c r="L50" s="1"/>
      <c r="M50" s="1"/>
      <c r="N50" s="1"/>
      <c r="O50" s="1"/>
      <c r="P50" s="1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</row>
    <row r="51">
      <c r="A51" s="1"/>
      <c r="B51" s="1"/>
      <c r="C51" s="196"/>
      <c r="D51" s="1"/>
      <c r="E51" s="1"/>
      <c r="F51" s="1"/>
      <c r="G51" s="1"/>
      <c r="H51" s="1"/>
      <c r="I51" s="1"/>
      <c r="J51" s="1"/>
      <c r="K51" s="195"/>
      <c r="L51" s="1"/>
      <c r="M51" s="1"/>
      <c r="N51" s="1"/>
      <c r="O51" s="1"/>
      <c r="P51" s="1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</row>
    <row r="52">
      <c r="A52" s="1"/>
      <c r="B52" s="1"/>
      <c r="C52" s="196"/>
      <c r="D52" s="1"/>
      <c r="E52" s="195"/>
      <c r="F52" s="1"/>
      <c r="G52" s="1"/>
      <c r="H52" s="1"/>
      <c r="I52" s="1"/>
      <c r="J52" s="1"/>
      <c r="K52" s="195"/>
      <c r="L52" s="1"/>
      <c r="M52" s="1"/>
      <c r="N52" s="1"/>
      <c r="O52" s="1"/>
      <c r="P52" s="1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</row>
    <row r="53">
      <c r="A53" s="1"/>
      <c r="B53" s="196"/>
      <c r="C53" s="1"/>
      <c r="D53" s="1"/>
      <c r="E53" s="1"/>
      <c r="F53" s="1"/>
      <c r="G53" s="1"/>
      <c r="H53" s="1"/>
      <c r="I53" s="1"/>
      <c r="J53" s="1"/>
      <c r="K53" s="195"/>
      <c r="L53" s="1"/>
      <c r="M53" s="1"/>
      <c r="N53" s="1"/>
      <c r="O53" s="1"/>
      <c r="P53" s="1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</row>
    <row r="54">
      <c r="A54" s="1"/>
      <c r="B54" s="1"/>
      <c r="C54" s="196"/>
      <c r="D54" s="1"/>
      <c r="E54" s="1"/>
      <c r="F54" s="1"/>
      <c r="G54" s="1"/>
      <c r="H54" s="1"/>
      <c r="I54" s="1"/>
      <c r="J54" s="1"/>
      <c r="K54" s="195"/>
      <c r="L54" s="1"/>
      <c r="M54" s="1"/>
      <c r="N54" s="1"/>
      <c r="O54" s="1"/>
      <c r="P54" s="1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</row>
    <row r="55">
      <c r="A55" s="1"/>
      <c r="B55" s="1"/>
      <c r="C55" s="196"/>
      <c r="D55" s="1"/>
      <c r="E55" s="195"/>
      <c r="F55" s="1"/>
      <c r="G55" s="1"/>
      <c r="H55" s="1"/>
      <c r="I55" s="1"/>
      <c r="J55" s="1"/>
      <c r="K55" s="195"/>
      <c r="L55" s="1"/>
      <c r="M55" s="1"/>
      <c r="N55" s="1"/>
      <c r="O55" s="1"/>
      <c r="P55" s="1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</row>
    <row r="56">
      <c r="A56" s="1"/>
      <c r="B56" s="1"/>
      <c r="C56" s="196"/>
      <c r="D56" s="1"/>
      <c r="E56" s="1"/>
      <c r="F56" s="1"/>
      <c r="G56" s="1"/>
      <c r="H56" s="1"/>
      <c r="I56" s="1"/>
      <c r="J56" s="1"/>
      <c r="K56" s="195"/>
      <c r="L56" s="1"/>
      <c r="M56" s="1"/>
      <c r="N56" s="1"/>
      <c r="O56" s="1"/>
      <c r="P56" s="1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</row>
    <row r="57">
      <c r="A57" s="1"/>
      <c r="B57" s="1"/>
      <c r="C57" s="196"/>
      <c r="D57" s="1"/>
      <c r="E57" s="195"/>
      <c r="F57" s="1"/>
      <c r="G57" s="1"/>
      <c r="H57" s="1"/>
      <c r="I57" s="1"/>
      <c r="J57" s="1"/>
      <c r="K57" s="195"/>
      <c r="L57" s="1"/>
      <c r="M57" s="1"/>
      <c r="N57" s="1"/>
      <c r="O57" s="1"/>
      <c r="P57" s="1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</row>
    <row r="58">
      <c r="A58" s="1"/>
      <c r="B58" s="1"/>
      <c r="C58" s="1"/>
      <c r="D58" s="1"/>
      <c r="E58" s="195"/>
      <c r="F58" s="1"/>
      <c r="G58" s="1"/>
      <c r="H58" s="1"/>
      <c r="I58" s="1"/>
      <c r="J58" s="1"/>
      <c r="K58" s="195"/>
      <c r="L58" s="1"/>
      <c r="M58" s="1"/>
      <c r="N58" s="1"/>
      <c r="O58" s="1"/>
      <c r="P58" s="1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</row>
    <row r="59">
      <c r="A59" s="1"/>
      <c r="B59" s="1"/>
      <c r="C59" s="196"/>
      <c r="D59" s="1"/>
      <c r="E59" s="1"/>
      <c r="F59" s="1"/>
      <c r="G59" s="1"/>
      <c r="H59" s="1"/>
      <c r="I59" s="1"/>
      <c r="J59" s="1"/>
      <c r="K59" s="195"/>
      <c r="L59" s="1"/>
      <c r="M59" s="1"/>
      <c r="N59" s="1"/>
      <c r="O59" s="1"/>
      <c r="P59" s="1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</row>
    <row r="60">
      <c r="A60" s="1"/>
      <c r="B60" s="1"/>
      <c r="C60" s="196"/>
      <c r="D60" s="1"/>
      <c r="E60" s="1"/>
      <c r="F60" s="1"/>
      <c r="G60" s="1"/>
      <c r="H60" s="1"/>
      <c r="I60" s="1"/>
      <c r="J60" s="1"/>
      <c r="K60" s="195"/>
      <c r="L60" s="1"/>
      <c r="M60" s="1"/>
      <c r="N60" s="1"/>
      <c r="O60" s="1"/>
      <c r="P60" s="1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</row>
    <row r="61">
      <c r="A61" s="1"/>
      <c r="B61" s="1"/>
      <c r="C61" s="196"/>
      <c r="D61" s="1"/>
      <c r="E61" s="1"/>
      <c r="F61" s="1"/>
      <c r="G61" s="1"/>
      <c r="H61" s="1"/>
      <c r="I61" s="1"/>
      <c r="J61" s="1"/>
      <c r="K61" s="195"/>
      <c r="L61" s="1"/>
      <c r="M61" s="1"/>
      <c r="N61" s="1"/>
      <c r="O61" s="1"/>
      <c r="P61" s="1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</row>
    <row r="62">
      <c r="A62" s="1"/>
      <c r="B62" s="1"/>
      <c r="C62" s="196"/>
      <c r="D62" s="1"/>
      <c r="E62" s="1"/>
      <c r="F62" s="1"/>
      <c r="G62" s="1"/>
      <c r="H62" s="1"/>
      <c r="I62" s="1"/>
      <c r="J62" s="1"/>
      <c r="K62" s="195"/>
      <c r="L62" s="1"/>
      <c r="M62" s="1"/>
      <c r="N62" s="1"/>
      <c r="O62" s="1"/>
      <c r="P62" s="1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</row>
    <row r="63">
      <c r="A63" s="1"/>
      <c r="B63" s="1"/>
      <c r="C63" s="196"/>
      <c r="D63" s="1"/>
      <c r="E63" s="195"/>
      <c r="F63" s="1"/>
      <c r="G63" s="1"/>
      <c r="H63" s="1"/>
      <c r="I63" s="1"/>
      <c r="J63" s="1"/>
      <c r="K63" s="195"/>
      <c r="L63" s="1"/>
      <c r="M63" s="1"/>
      <c r="N63" s="1"/>
      <c r="O63" s="1"/>
      <c r="P63" s="1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</row>
    <row r="64">
      <c r="A64" s="1"/>
      <c r="B64" s="1"/>
      <c r="C64" s="1"/>
      <c r="D64" s="1"/>
      <c r="E64" s="195"/>
      <c r="F64" s="1"/>
      <c r="G64" s="1"/>
      <c r="H64" s="1"/>
      <c r="I64" s="1"/>
      <c r="J64" s="1"/>
      <c r="K64" s="195"/>
      <c r="L64" s="1"/>
      <c r="M64" s="1"/>
      <c r="N64" s="1"/>
      <c r="O64" s="1"/>
      <c r="P64" s="1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</row>
    <row r="65">
      <c r="A65" s="1"/>
      <c r="B65" s="1"/>
      <c r="C65" s="196"/>
      <c r="D65" s="1"/>
      <c r="E65" s="1"/>
      <c r="F65" s="1"/>
      <c r="G65" s="1"/>
      <c r="H65" s="1"/>
      <c r="I65" s="1"/>
      <c r="J65" s="1"/>
      <c r="K65" s="195"/>
      <c r="L65" s="1"/>
      <c r="M65" s="1"/>
      <c r="N65" s="1"/>
      <c r="O65" s="1"/>
      <c r="P65" s="1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</row>
    <row r="66">
      <c r="A66" s="1"/>
      <c r="B66" s="1"/>
      <c r="C66" s="196"/>
      <c r="D66" s="1"/>
      <c r="E66" s="195"/>
      <c r="F66" s="1"/>
      <c r="G66" s="1"/>
      <c r="H66" s="1"/>
      <c r="I66" s="1"/>
      <c r="J66" s="1"/>
      <c r="K66" s="195"/>
      <c r="L66" s="1"/>
      <c r="M66" s="1"/>
      <c r="N66" s="1"/>
      <c r="O66" s="1"/>
      <c r="P66" s="1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</row>
    <row r="67">
      <c r="A67" s="1"/>
      <c r="B67" s="1"/>
      <c r="C67" s="196"/>
      <c r="D67" s="1"/>
      <c r="E67" s="195"/>
      <c r="F67" s="1"/>
      <c r="G67" s="1"/>
      <c r="H67" s="1"/>
      <c r="I67" s="1"/>
      <c r="J67" s="1"/>
      <c r="K67" s="195"/>
      <c r="L67" s="1"/>
      <c r="M67" s="1"/>
      <c r="N67" s="1"/>
      <c r="O67" s="1"/>
      <c r="P67" s="1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</row>
    <row r="68">
      <c r="A68" s="1"/>
      <c r="B68" s="1"/>
      <c r="C68" s="196"/>
      <c r="D68" s="1"/>
      <c r="E68" s="195"/>
      <c r="F68" s="1"/>
      <c r="G68" s="1"/>
      <c r="H68" s="1"/>
      <c r="I68" s="1"/>
      <c r="J68" s="1"/>
      <c r="K68" s="195"/>
      <c r="L68" s="1"/>
      <c r="M68" s="1"/>
      <c r="N68" s="1"/>
      <c r="O68" s="1"/>
      <c r="P68" s="1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</row>
    <row r="69">
      <c r="A69" s="1"/>
      <c r="B69" s="1"/>
      <c r="C69" s="196"/>
      <c r="D69" s="1"/>
      <c r="E69" s="195"/>
      <c r="F69" s="1"/>
      <c r="G69" s="1"/>
      <c r="H69" s="1"/>
      <c r="I69" s="1"/>
      <c r="J69" s="1"/>
      <c r="K69" s="195"/>
      <c r="L69" s="1"/>
      <c r="M69" s="1"/>
      <c r="N69" s="1"/>
      <c r="O69" s="1"/>
      <c r="P69" s="1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</row>
    <row r="70">
      <c r="A70" s="1"/>
      <c r="B70" s="1"/>
      <c r="C70" s="19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</row>
    <row r="71">
      <c r="A71" s="1"/>
      <c r="B71" s="1"/>
      <c r="C71" s="196"/>
      <c r="D71" s="1"/>
      <c r="E71" s="1"/>
      <c r="F71" s="1"/>
      <c r="G71" s="1"/>
      <c r="H71" s="1"/>
      <c r="I71" s="1"/>
      <c r="J71" s="1"/>
      <c r="K71" s="195"/>
      <c r="L71" s="1"/>
      <c r="M71" s="1"/>
      <c r="N71" s="1"/>
      <c r="O71" s="1"/>
      <c r="P71" s="1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</row>
    <row r="72">
      <c r="A72" s="1"/>
      <c r="B72" s="1"/>
      <c r="C72" s="1"/>
      <c r="D72" s="1"/>
      <c r="E72" s="195"/>
      <c r="F72" s="1"/>
      <c r="G72" s="1"/>
      <c r="H72" s="1"/>
      <c r="I72" s="1"/>
      <c r="J72" s="1"/>
      <c r="K72" s="195"/>
      <c r="L72" s="1"/>
      <c r="M72" s="1"/>
      <c r="N72" s="1"/>
      <c r="O72" s="1"/>
      <c r="P72" s="1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</row>
    <row r="73">
      <c r="A73" s="1"/>
      <c r="B73" s="1"/>
      <c r="C73" s="196"/>
      <c r="D73" s="1"/>
      <c r="E73" s="1"/>
      <c r="F73" s="1"/>
      <c r="G73" s="1"/>
      <c r="H73" s="1"/>
      <c r="I73" s="1"/>
      <c r="J73" s="1"/>
      <c r="K73" s="195"/>
      <c r="L73" s="1"/>
      <c r="M73" s="1"/>
      <c r="N73" s="1"/>
      <c r="O73" s="1"/>
      <c r="P73" s="1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</row>
    <row r="74">
      <c r="A74" s="1"/>
      <c r="B74" s="1"/>
      <c r="C74" s="196"/>
      <c r="D74" s="1"/>
      <c r="E74" s="195"/>
      <c r="F74" s="1"/>
      <c r="G74" s="1"/>
      <c r="H74" s="1"/>
      <c r="I74" s="1"/>
      <c r="J74" s="1"/>
      <c r="K74" s="195"/>
      <c r="L74" s="1"/>
      <c r="M74" s="1"/>
      <c r="N74" s="1"/>
      <c r="O74" s="1"/>
      <c r="P74" s="1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</row>
    <row r="75">
      <c r="A75" s="1"/>
      <c r="B75" s="1"/>
      <c r="C75" s="1"/>
      <c r="D75" s="1"/>
      <c r="E75" s="195"/>
      <c r="F75" s="1"/>
      <c r="G75" s="1"/>
      <c r="H75" s="1"/>
      <c r="I75" s="1"/>
      <c r="J75" s="1"/>
      <c r="K75" s="195"/>
      <c r="L75" s="1"/>
      <c r="M75" s="1"/>
      <c r="N75" s="1"/>
      <c r="O75" s="1"/>
      <c r="P75" s="1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95"/>
      <c r="L76" s="1"/>
      <c r="M76" s="1"/>
      <c r="N76" s="1"/>
      <c r="O76" s="1"/>
      <c r="P76" s="1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</row>
    <row r="77">
      <c r="A77" s="1"/>
      <c r="B77" s="1"/>
      <c r="C77" s="1"/>
      <c r="D77" s="1"/>
      <c r="E77" s="195"/>
      <c r="F77" s="1"/>
      <c r="G77" s="1"/>
      <c r="H77" s="1"/>
      <c r="I77" s="1"/>
      <c r="J77" s="1"/>
      <c r="K77" s="195"/>
      <c r="L77" s="1"/>
      <c r="M77" s="1"/>
      <c r="N77" s="1"/>
      <c r="O77" s="1"/>
      <c r="P77" s="1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</row>
    <row r="78">
      <c r="A78" s="1"/>
      <c r="B78" s="1"/>
      <c r="C78" s="196"/>
      <c r="D78" s="1"/>
      <c r="E78" s="1"/>
      <c r="F78" s="1"/>
      <c r="G78" s="1"/>
      <c r="H78" s="1"/>
      <c r="I78" s="1"/>
      <c r="J78" s="1"/>
      <c r="K78" s="195"/>
      <c r="L78" s="1"/>
      <c r="M78" s="1"/>
      <c r="N78" s="1"/>
      <c r="O78" s="1"/>
      <c r="P78" s="1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</row>
    <row r="79">
      <c r="A79" s="1"/>
      <c r="B79" s="1"/>
      <c r="C79" s="196"/>
      <c r="D79" s="1"/>
      <c r="E79" s="195"/>
      <c r="F79" s="1"/>
      <c r="G79" s="1"/>
      <c r="H79" s="1"/>
      <c r="I79" s="1"/>
      <c r="J79" s="1"/>
      <c r="K79" s="195"/>
      <c r="L79" s="1"/>
      <c r="M79" s="1"/>
      <c r="N79" s="1"/>
      <c r="O79" s="1"/>
      <c r="P79" s="1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</row>
    <row r="80">
      <c r="A80" s="1"/>
      <c r="B80" s="1"/>
      <c r="C80" s="196"/>
      <c r="D80" s="1"/>
      <c r="E80" s="195"/>
      <c r="F80" s="1"/>
      <c r="G80" s="1"/>
      <c r="H80" s="1"/>
      <c r="I80" s="1"/>
      <c r="J80" s="1"/>
      <c r="K80" s="195"/>
      <c r="L80" s="1"/>
      <c r="M80" s="1"/>
      <c r="N80" s="1"/>
      <c r="O80" s="1"/>
      <c r="P80" s="1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</row>
    <row r="82">
      <c r="A82" s="1"/>
      <c r="B82" s="1"/>
      <c r="C82" s="1"/>
      <c r="D82" s="1"/>
      <c r="E82" s="195"/>
      <c r="F82" s="1"/>
      <c r="G82" s="1"/>
      <c r="H82" s="1"/>
      <c r="I82" s="1"/>
      <c r="J82" s="1"/>
      <c r="K82" s="195"/>
      <c r="L82" s="1"/>
      <c r="M82" s="1"/>
      <c r="N82" s="1"/>
      <c r="O82" s="1"/>
      <c r="P82" s="1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</row>
    <row r="83">
      <c r="A83" s="1"/>
      <c r="B83" s="1"/>
      <c r="C83" s="196"/>
      <c r="D83" s="1"/>
      <c r="E83" s="195"/>
      <c r="F83" s="1"/>
      <c r="G83" s="1"/>
      <c r="H83" s="1"/>
      <c r="I83" s="1"/>
      <c r="J83" s="1"/>
      <c r="K83" s="195"/>
      <c r="L83" s="1"/>
      <c r="M83" s="1"/>
      <c r="N83" s="1"/>
      <c r="O83" s="1"/>
      <c r="P83" s="1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</row>
    <row r="84">
      <c r="A84" s="1"/>
      <c r="B84" s="1"/>
      <c r="C84" s="1"/>
      <c r="D84" s="1"/>
      <c r="E84" s="195"/>
      <c r="F84" s="1"/>
      <c r="G84" s="1"/>
      <c r="H84" s="1"/>
      <c r="I84" s="1"/>
      <c r="J84" s="1"/>
      <c r="K84" s="195"/>
      <c r="L84" s="1"/>
      <c r="M84" s="1"/>
      <c r="N84" s="1"/>
      <c r="O84" s="1"/>
      <c r="P84" s="1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</row>
    <row r="85">
      <c r="A85" s="1"/>
      <c r="B85" s="196"/>
      <c r="C85" s="196"/>
      <c r="D85" s="1"/>
      <c r="E85" s="195"/>
      <c r="F85" s="1"/>
      <c r="G85" s="1"/>
      <c r="H85" s="1"/>
      <c r="I85" s="1"/>
      <c r="J85" s="1"/>
      <c r="K85" s="195"/>
      <c r="L85" s="1"/>
      <c r="M85" s="1"/>
      <c r="N85" s="1"/>
      <c r="O85" s="1"/>
      <c r="P85" s="1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</row>
    <row r="86">
      <c r="A86" s="1"/>
      <c r="B86" s="1"/>
      <c r="C86" s="196"/>
      <c r="D86" s="1"/>
      <c r="E86" s="195"/>
      <c r="F86" s="1"/>
      <c r="G86" s="1"/>
      <c r="H86" s="1"/>
      <c r="I86" s="1"/>
      <c r="J86" s="1"/>
      <c r="K86" s="195"/>
      <c r="L86" s="1"/>
      <c r="M86" s="1"/>
      <c r="N86" s="1"/>
      <c r="O86" s="1"/>
      <c r="P86" s="1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</row>
    <row r="87">
      <c r="A87" s="1"/>
      <c r="B87" s="1"/>
      <c r="C87" s="196"/>
      <c r="D87" s="1"/>
      <c r="E87" s="1"/>
      <c r="F87" s="1"/>
      <c r="G87" s="1"/>
      <c r="H87" s="1"/>
      <c r="I87" s="1"/>
      <c r="J87" s="1"/>
      <c r="K87" s="195"/>
      <c r="L87" s="1"/>
      <c r="M87" s="1"/>
      <c r="N87" s="1"/>
      <c r="O87" s="1"/>
      <c r="P87" s="1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</row>
    <row r="88">
      <c r="A88" s="1"/>
      <c r="B88" s="1"/>
      <c r="C88" s="19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</row>
    <row r="89">
      <c r="A89" s="1"/>
      <c r="B89" s="1"/>
      <c r="C89" s="19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</row>
    <row r="90">
      <c r="A90" s="1"/>
      <c r="B90" s="1"/>
      <c r="C90" s="19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</row>
    <row r="91">
      <c r="A91" s="1"/>
      <c r="B91" s="1"/>
      <c r="C91" s="19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</row>
    <row r="92">
      <c r="A92" s="1"/>
      <c r="B92" s="1"/>
      <c r="C92" s="19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</row>
    <row r="93">
      <c r="A93" s="1"/>
      <c r="B93" s="1"/>
      <c r="C93" s="196"/>
      <c r="D93" s="1"/>
      <c r="E93" s="195"/>
      <c r="F93" s="1"/>
      <c r="G93" s="1"/>
      <c r="H93" s="1"/>
      <c r="I93" s="1"/>
      <c r="J93" s="1"/>
      <c r="K93" s="195"/>
      <c r="L93" s="1"/>
      <c r="M93" s="1"/>
      <c r="N93" s="1"/>
      <c r="O93" s="1"/>
      <c r="P93" s="1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</row>
    <row r="94">
      <c r="A94" s="1"/>
      <c r="B94" s="1"/>
      <c r="C94" s="19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</row>
    <row r="95">
      <c r="A95" s="1"/>
      <c r="B95" s="196"/>
      <c r="C95" s="196"/>
      <c r="D95" s="1"/>
      <c r="E95" s="195"/>
      <c r="F95" s="1"/>
      <c r="G95" s="1"/>
      <c r="H95" s="1"/>
      <c r="I95" s="1"/>
      <c r="J95" s="1"/>
      <c r="K95" s="195"/>
      <c r="L95" s="1"/>
      <c r="M95" s="1"/>
      <c r="N95" s="1"/>
      <c r="O95" s="1"/>
      <c r="P95" s="1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</row>
    <row r="96">
      <c r="A96" s="1"/>
      <c r="B96" s="1"/>
      <c r="C96" s="196"/>
      <c r="D96" s="1"/>
      <c r="E96" s="195"/>
      <c r="F96" s="1"/>
      <c r="G96" s="1"/>
      <c r="H96" s="1"/>
      <c r="I96" s="1"/>
      <c r="J96" s="1"/>
      <c r="K96" s="195"/>
      <c r="L96" s="1"/>
      <c r="M96" s="1"/>
      <c r="N96" s="1"/>
      <c r="O96" s="1"/>
      <c r="P96" s="1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</row>
    <row r="97">
      <c r="A97" s="1"/>
      <c r="B97" s="1"/>
      <c r="C97" s="1"/>
      <c r="D97" s="1"/>
      <c r="E97" s="195"/>
      <c r="F97" s="1"/>
      <c r="G97" s="1"/>
      <c r="H97" s="1"/>
      <c r="I97" s="1"/>
      <c r="J97" s="1"/>
      <c r="K97" s="195"/>
      <c r="L97" s="1"/>
      <c r="M97" s="1"/>
      <c r="N97" s="1"/>
      <c r="O97" s="1"/>
      <c r="P97" s="1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</row>
    <row r="98">
      <c r="A98" s="1"/>
      <c r="B98" s="1"/>
      <c r="C98" s="196"/>
      <c r="D98" s="1"/>
      <c r="E98" s="1"/>
      <c r="F98" s="1"/>
      <c r="G98" s="1"/>
      <c r="H98" s="1"/>
      <c r="I98" s="1"/>
      <c r="J98" s="1"/>
      <c r="K98" s="195"/>
      <c r="L98" s="1"/>
      <c r="M98" s="1"/>
      <c r="N98" s="1"/>
      <c r="O98" s="1"/>
      <c r="P98" s="1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</row>
    <row r="99">
      <c r="A99" s="1"/>
      <c r="B99" s="1"/>
      <c r="C99" s="196"/>
      <c r="D99" s="1"/>
      <c r="E99" s="195"/>
      <c r="F99" s="1"/>
      <c r="G99" s="1"/>
      <c r="H99" s="1"/>
      <c r="I99" s="1"/>
      <c r="J99" s="1"/>
      <c r="K99" s="195"/>
      <c r="L99" s="1"/>
      <c r="M99" s="1"/>
      <c r="N99" s="1"/>
      <c r="O99" s="1"/>
      <c r="P99" s="1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</row>
    <row r="100">
      <c r="A100" s="1"/>
      <c r="B100" s="1"/>
      <c r="C100" s="196"/>
      <c r="D100" s="1"/>
      <c r="E100" s="195"/>
      <c r="F100" s="1"/>
      <c r="G100" s="1"/>
      <c r="H100" s="1"/>
      <c r="I100" s="1"/>
      <c r="J100" s="1"/>
      <c r="K100" s="195"/>
      <c r="L100" s="1"/>
      <c r="M100" s="1"/>
      <c r="N100" s="1"/>
      <c r="O100" s="1"/>
      <c r="P100" s="1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</row>
    <row r="101">
      <c r="A101" s="1"/>
      <c r="B101" s="1"/>
      <c r="C101" s="196"/>
      <c r="D101" s="1"/>
      <c r="E101" s="1"/>
      <c r="F101" s="1"/>
      <c r="G101" s="1"/>
      <c r="H101" s="1"/>
      <c r="I101" s="1"/>
      <c r="J101" s="1"/>
      <c r="K101" s="195"/>
      <c r="L101" s="1"/>
      <c r="M101" s="1"/>
      <c r="N101" s="1"/>
      <c r="O101" s="1"/>
      <c r="P101" s="1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</row>
    <row r="102">
      <c r="A102" s="1"/>
      <c r="B102" s="1"/>
      <c r="C102" s="19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</row>
    <row r="103">
      <c r="A103" s="1"/>
      <c r="B103" s="1"/>
      <c r="C103" s="196"/>
      <c r="D103" s="1"/>
      <c r="E103" s="195"/>
      <c r="F103" s="1"/>
      <c r="G103" s="1"/>
      <c r="H103" s="1"/>
      <c r="I103" s="1"/>
      <c r="J103" s="1"/>
      <c r="K103" s="195"/>
      <c r="L103" s="1"/>
      <c r="M103" s="1"/>
      <c r="N103" s="1"/>
      <c r="O103" s="1"/>
      <c r="P103" s="1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</row>
    <row r="104">
      <c r="A104" s="1"/>
      <c r="B104" s="1"/>
      <c r="C104" s="196"/>
      <c r="D104" s="1"/>
      <c r="E104" s="195"/>
      <c r="F104" s="1"/>
      <c r="G104" s="1"/>
      <c r="H104" s="1"/>
      <c r="I104" s="1"/>
      <c r="J104" s="1"/>
      <c r="K104" s="195"/>
      <c r="L104" s="1"/>
      <c r="M104" s="1"/>
      <c r="N104" s="1"/>
      <c r="O104" s="1"/>
      <c r="P104" s="1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</row>
    <row r="105">
      <c r="A105" s="1"/>
      <c r="B105" s="1"/>
      <c r="C105" s="1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</row>
    <row r="107">
      <c r="A107" s="1"/>
      <c r="B107" s="1"/>
      <c r="C107" s="196"/>
      <c r="D107" s="1"/>
      <c r="E107" s="195"/>
      <c r="F107" s="1"/>
      <c r="G107" s="1"/>
      <c r="H107" s="1"/>
      <c r="I107" s="1"/>
      <c r="J107" s="1"/>
      <c r="K107" s="195"/>
      <c r="L107" s="1"/>
      <c r="M107" s="1"/>
      <c r="N107" s="1"/>
      <c r="O107" s="1"/>
      <c r="P107" s="1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</row>
    <row r="108">
      <c r="A108" s="1"/>
      <c r="B108" s="1"/>
      <c r="C108" s="196"/>
      <c r="D108" s="1"/>
      <c r="E108" s="195"/>
      <c r="F108" s="1"/>
      <c r="G108" s="1"/>
      <c r="H108" s="1"/>
      <c r="I108" s="1"/>
      <c r="J108" s="1"/>
      <c r="K108" s="195"/>
      <c r="L108" s="1"/>
      <c r="M108" s="1"/>
      <c r="N108" s="1"/>
      <c r="O108" s="1"/>
      <c r="P108" s="1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</row>
    <row r="109">
      <c r="A109" s="1"/>
      <c r="B109" s="1"/>
      <c r="C109" s="196"/>
      <c r="D109" s="1"/>
      <c r="E109" s="195"/>
      <c r="F109" s="1"/>
      <c r="G109" s="1"/>
      <c r="H109" s="1"/>
      <c r="I109" s="1"/>
      <c r="J109" s="1"/>
      <c r="K109" s="195"/>
      <c r="L109" s="1"/>
      <c r="M109" s="1"/>
      <c r="N109" s="1"/>
      <c r="O109" s="1"/>
      <c r="P109" s="1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</row>
    <row r="111">
      <c r="A111" s="1"/>
      <c r="B111" s="1"/>
      <c r="C111" s="196"/>
      <c r="D111" s="1"/>
      <c r="E111" s="1"/>
      <c r="F111" s="1"/>
      <c r="G111" s="1"/>
      <c r="H111" s="1"/>
      <c r="I111" s="1"/>
      <c r="J111" s="1"/>
      <c r="K111" s="195"/>
      <c r="L111" s="1"/>
      <c r="M111" s="1"/>
      <c r="N111" s="1"/>
      <c r="O111" s="1"/>
      <c r="P111" s="1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</row>
    <row r="112">
      <c r="A112" s="1"/>
      <c r="B112" s="1"/>
      <c r="C112" s="1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</row>
    <row r="113">
      <c r="A113" s="1"/>
      <c r="B113" s="1"/>
      <c r="C113" s="196"/>
      <c r="D113" s="1"/>
      <c r="E113" s="195"/>
      <c r="F113" s="1"/>
      <c r="G113" s="1"/>
      <c r="H113" s="1"/>
      <c r="I113" s="1"/>
      <c r="J113" s="1"/>
      <c r="K113" s="195"/>
      <c r="L113" s="1"/>
      <c r="M113" s="1"/>
      <c r="N113" s="1"/>
      <c r="O113" s="1"/>
      <c r="P113" s="1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</row>
    <row r="114">
      <c r="A114" s="1"/>
      <c r="B114" s="1"/>
      <c r="C114" s="196"/>
      <c r="D114" s="1"/>
      <c r="E114" s="195"/>
      <c r="F114" s="1"/>
      <c r="G114" s="1"/>
      <c r="H114" s="1"/>
      <c r="I114" s="1"/>
      <c r="J114" s="1"/>
      <c r="K114" s="195"/>
      <c r="L114" s="1"/>
      <c r="M114" s="1"/>
      <c r="N114" s="1"/>
      <c r="O114" s="1"/>
      <c r="P114" s="1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</row>
    <row r="115">
      <c r="A115" s="1"/>
      <c r="B115" s="1"/>
      <c r="C115" s="196"/>
      <c r="D115" s="1"/>
      <c r="E115" s="1"/>
      <c r="F115" s="1"/>
      <c r="G115" s="1"/>
      <c r="H115" s="1"/>
      <c r="I115" s="1"/>
      <c r="J115" s="1"/>
      <c r="K115" s="195"/>
      <c r="L115" s="1"/>
      <c r="M115" s="1"/>
      <c r="N115" s="1"/>
      <c r="O115" s="1"/>
      <c r="P115" s="1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</row>
    <row r="116">
      <c r="A116" s="1"/>
      <c r="B116" s="196"/>
      <c r="C116" s="196"/>
      <c r="D116" s="1"/>
      <c r="E116" s="195"/>
      <c r="F116" s="1"/>
      <c r="G116" s="1"/>
      <c r="H116" s="1"/>
      <c r="I116" s="1"/>
      <c r="J116" s="1"/>
      <c r="K116" s="195"/>
      <c r="L116" s="1"/>
      <c r="M116" s="1"/>
      <c r="N116" s="1"/>
      <c r="O116" s="1"/>
      <c r="P116" s="1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95"/>
      <c r="L117" s="1"/>
      <c r="M117" s="1"/>
      <c r="N117" s="1"/>
      <c r="O117" s="1"/>
      <c r="P117" s="1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</row>
    <row r="118">
      <c r="A118" s="1"/>
      <c r="B118" s="1"/>
      <c r="C118" s="1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95"/>
      <c r="L119" s="1"/>
      <c r="M119" s="1"/>
      <c r="N119" s="1"/>
      <c r="O119" s="1"/>
      <c r="P119" s="1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</row>
    <row r="120">
      <c r="A120" s="1"/>
      <c r="B120" s="1"/>
      <c r="C120" s="196"/>
      <c r="D120" s="1"/>
      <c r="E120" s="1"/>
      <c r="F120" s="1"/>
      <c r="G120" s="1"/>
      <c r="H120" s="1"/>
      <c r="I120" s="1"/>
      <c r="J120" s="1"/>
      <c r="K120" s="195"/>
      <c r="L120" s="1"/>
      <c r="M120" s="1"/>
      <c r="N120" s="1"/>
      <c r="O120" s="1"/>
      <c r="P120" s="1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</row>
    <row r="121">
      <c r="A121" s="1"/>
      <c r="B121" s="1"/>
      <c r="C121" s="196"/>
      <c r="D121" s="1"/>
      <c r="E121" s="195"/>
      <c r="F121" s="1"/>
      <c r="G121" s="1"/>
      <c r="H121" s="1"/>
      <c r="I121" s="1"/>
      <c r="J121" s="1"/>
      <c r="K121" s="195"/>
      <c r="L121" s="1"/>
      <c r="M121" s="1"/>
      <c r="N121" s="1"/>
      <c r="O121" s="1"/>
      <c r="P121" s="1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95"/>
      <c r="L122" s="1"/>
      <c r="M122" s="1"/>
      <c r="N122" s="1"/>
      <c r="O122" s="1"/>
      <c r="P122" s="1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</row>
    <row r="123">
      <c r="A123" s="1"/>
      <c r="B123" s="1"/>
      <c r="C123" s="1"/>
      <c r="D123" s="1"/>
      <c r="E123" s="195"/>
      <c r="F123" s="1"/>
      <c r="G123" s="1"/>
      <c r="H123" s="1"/>
      <c r="I123" s="1"/>
      <c r="J123" s="1"/>
      <c r="K123" s="195"/>
      <c r="L123" s="1"/>
      <c r="M123" s="1"/>
      <c r="N123" s="1"/>
      <c r="O123" s="1"/>
      <c r="P123" s="1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</row>
    <row r="124">
      <c r="A124" s="1"/>
      <c r="B124" s="1"/>
      <c r="C124" s="196"/>
      <c r="D124" s="1"/>
      <c r="E124" s="195"/>
      <c r="F124" s="1"/>
      <c r="G124" s="1"/>
      <c r="H124" s="1"/>
      <c r="I124" s="1"/>
      <c r="J124" s="1"/>
      <c r="K124" s="195"/>
      <c r="L124" s="1"/>
      <c r="M124" s="1"/>
      <c r="N124" s="1"/>
      <c r="O124" s="1"/>
      <c r="P124" s="1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</row>
    <row r="125">
      <c r="A125" s="1"/>
      <c r="B125" s="1"/>
      <c r="C125" s="1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</row>
    <row r="126">
      <c r="A126" s="1"/>
      <c r="B126" s="1"/>
      <c r="C126" s="196"/>
      <c r="D126" s="1"/>
      <c r="E126" s="195"/>
      <c r="F126" s="1"/>
      <c r="G126" s="1"/>
      <c r="H126" s="1"/>
      <c r="I126" s="1"/>
      <c r="J126" s="1"/>
      <c r="K126" s="195"/>
      <c r="L126" s="1"/>
      <c r="M126" s="1"/>
      <c r="N126" s="1"/>
      <c r="O126" s="1"/>
      <c r="P126" s="1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</row>
    <row r="127">
      <c r="A127" s="1"/>
      <c r="B127" s="1"/>
      <c r="C127" s="1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</row>
    <row r="128">
      <c r="A128" s="1"/>
      <c r="B128" s="1"/>
      <c r="C128" s="1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</row>
    <row r="129">
      <c r="A129" s="1"/>
      <c r="B129" s="1"/>
      <c r="C129" s="1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</row>
    <row r="130">
      <c r="A130" s="1"/>
      <c r="B130" s="1"/>
      <c r="C130" s="196"/>
      <c r="D130" s="1"/>
      <c r="E130" s="195"/>
      <c r="F130" s="1"/>
      <c r="G130" s="1"/>
      <c r="H130" s="1"/>
      <c r="I130" s="1"/>
      <c r="J130" s="1"/>
      <c r="K130" s="195"/>
      <c r="L130" s="1"/>
      <c r="M130" s="1"/>
      <c r="N130" s="1"/>
      <c r="O130" s="1"/>
      <c r="P130" s="1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</row>
    <row r="131">
      <c r="A131" s="1"/>
      <c r="B131" s="196"/>
      <c r="C131" s="196"/>
      <c r="D131" s="1"/>
      <c r="E131" s="195"/>
      <c r="F131" s="1"/>
      <c r="G131" s="1"/>
      <c r="H131" s="1"/>
      <c r="I131" s="1"/>
      <c r="J131" s="1"/>
      <c r="K131" s="195"/>
      <c r="L131" s="1"/>
      <c r="M131" s="1"/>
      <c r="N131" s="1"/>
      <c r="O131" s="1"/>
      <c r="P131" s="1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</row>
    <row r="132">
      <c r="A132" s="1"/>
      <c r="B132" s="1"/>
      <c r="C132" s="196"/>
      <c r="D132" s="1"/>
      <c r="E132" s="195"/>
      <c r="F132" s="1"/>
      <c r="G132" s="1"/>
      <c r="H132" s="1"/>
      <c r="I132" s="1"/>
      <c r="J132" s="1"/>
      <c r="K132" s="195"/>
      <c r="L132" s="1"/>
      <c r="M132" s="1"/>
      <c r="N132" s="1"/>
      <c r="O132" s="1"/>
      <c r="P132" s="1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</row>
    <row r="133">
      <c r="A133" s="1"/>
      <c r="B133" s="1"/>
      <c r="C133" s="196"/>
      <c r="D133" s="1"/>
      <c r="E133" s="195"/>
      <c r="F133" s="1"/>
      <c r="G133" s="1"/>
      <c r="H133" s="1"/>
      <c r="I133" s="1"/>
      <c r="J133" s="1"/>
      <c r="K133" s="195"/>
      <c r="L133" s="1"/>
      <c r="M133" s="1"/>
      <c r="N133" s="1"/>
      <c r="O133" s="1"/>
      <c r="P133" s="1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</row>
    <row r="134">
      <c r="A134" s="1"/>
      <c r="B134" s="1"/>
      <c r="C134" s="196"/>
      <c r="D134" s="1"/>
      <c r="E134" s="195"/>
      <c r="F134" s="1"/>
      <c r="G134" s="1"/>
      <c r="H134" s="1"/>
      <c r="I134" s="1"/>
      <c r="J134" s="1"/>
      <c r="K134" s="195"/>
      <c r="L134" s="1"/>
      <c r="M134" s="1"/>
      <c r="N134" s="1"/>
      <c r="O134" s="1"/>
      <c r="P134" s="1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</row>
    <row r="135">
      <c r="A135" s="1"/>
      <c r="B135" s="1"/>
      <c r="C135" s="196"/>
      <c r="D135" s="1"/>
      <c r="E135" s="195"/>
      <c r="F135" s="1"/>
      <c r="G135" s="1"/>
      <c r="H135" s="1"/>
      <c r="I135" s="1"/>
      <c r="J135" s="1"/>
      <c r="K135" s="195"/>
      <c r="L135" s="1"/>
      <c r="M135" s="1"/>
      <c r="N135" s="1"/>
      <c r="O135" s="1"/>
      <c r="P135" s="1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</row>
    <row r="136">
      <c r="A136" s="195"/>
      <c r="B136" s="195"/>
      <c r="C136" s="197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</row>
    <row r="138">
      <c r="A138" s="195"/>
      <c r="B138" s="195"/>
      <c r="C138" s="197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</row>
    <row r="140">
      <c r="A140" s="195"/>
      <c r="B140" s="195"/>
      <c r="C140" s="197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</row>
    <row r="148">
      <c r="A148" s="195"/>
      <c r="B148" s="197"/>
      <c r="C148" s="197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</row>
    <row r="149">
      <c r="A149" s="195"/>
      <c r="B149" s="195"/>
      <c r="C149" s="197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</row>
    <row r="150">
      <c r="A150" s="195"/>
      <c r="B150" s="195"/>
      <c r="C150" s="197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</row>
    <row r="152">
      <c r="A152" s="195"/>
      <c r="B152" s="195"/>
      <c r="C152" s="197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</row>
    <row r="153">
      <c r="A153" s="195"/>
      <c r="B153" s="195"/>
      <c r="C153" s="197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</row>
    <row r="157">
      <c r="A157" s="195"/>
      <c r="B157" s="195"/>
      <c r="C157" s="197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</row>
    <row r="158">
      <c r="A158" s="195"/>
      <c r="B158" s="195"/>
      <c r="C158" s="197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</row>
    <row r="161">
      <c r="A161" s="195"/>
      <c r="B161" s="195"/>
      <c r="C161" s="197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</row>
    <row r="164">
      <c r="A164" s="195"/>
      <c r="B164" s="195"/>
      <c r="C164" s="197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</row>
    <row r="165">
      <c r="A165" s="195"/>
      <c r="B165" s="195"/>
      <c r="C165" s="197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</row>
    <row r="170">
      <c r="A170" s="195"/>
      <c r="B170" s="195"/>
      <c r="C170" s="197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</row>
    <row r="174">
      <c r="A174" s="195"/>
      <c r="B174" s="197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</row>
    <row r="176">
      <c r="A176" s="195"/>
      <c r="B176" s="195"/>
      <c r="C176" s="197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</row>
    <row r="179">
      <c r="A179" s="195"/>
      <c r="B179" s="195"/>
      <c r="C179" s="197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</row>
    <row r="181">
      <c r="A181" s="195"/>
      <c r="B181" s="197"/>
      <c r="C181" s="197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E182" s="195"/>
      <c r="AF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</row>
    <row r="187">
      <c r="A187" s="195"/>
      <c r="B187" s="195"/>
      <c r="C187" s="197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</row>
    <row r="188">
      <c r="A188" s="195"/>
      <c r="B188" s="195"/>
      <c r="C188" s="197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</row>
    <row r="189">
      <c r="A189" s="195"/>
      <c r="B189" s="195"/>
      <c r="C189" s="197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</row>
    <row r="190">
      <c r="A190" s="195"/>
      <c r="B190" s="195"/>
      <c r="C190" s="197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</row>
    <row r="191">
      <c r="A191" s="195"/>
      <c r="B191" s="195"/>
      <c r="C191" s="197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E194" s="195"/>
      <c r="AF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E195" s="195"/>
      <c r="AF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</row>
    <row r="197">
      <c r="A197" s="195"/>
      <c r="B197" s="195"/>
      <c r="C197" s="197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E197" s="195"/>
      <c r="AF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E201" s="195"/>
      <c r="AF201" s="195"/>
    </row>
    <row r="202">
      <c r="A202" s="195"/>
      <c r="B202" s="195"/>
      <c r="C202" s="197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E203" s="195"/>
      <c r="AF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E204" s="195"/>
      <c r="AF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E205" s="195"/>
      <c r="AF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E208" s="195"/>
      <c r="AF208" s="195"/>
    </row>
    <row r="209">
      <c r="A209" s="195"/>
      <c r="B209" s="195"/>
      <c r="C209" s="197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S209" s="195"/>
      <c r="T209" s="195"/>
      <c r="U209" s="195"/>
      <c r="V209" s="195"/>
      <c r="W209" s="195"/>
      <c r="X209" s="195"/>
      <c r="Y209" s="195"/>
      <c r="Z209" s="195"/>
      <c r="AB209" s="195"/>
      <c r="AC209" s="195"/>
      <c r="AE209" s="195"/>
      <c r="AF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S210" s="195"/>
      <c r="T210" s="195"/>
      <c r="U210" s="195"/>
      <c r="V210" s="195"/>
      <c r="W210" s="195"/>
      <c r="X210" s="195"/>
      <c r="Y210" s="195"/>
      <c r="Z210" s="195"/>
      <c r="AB210" s="195"/>
      <c r="AC210" s="195"/>
      <c r="AE210" s="195"/>
      <c r="AF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E211" s="195"/>
      <c r="AF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S212" s="195"/>
      <c r="T212" s="195"/>
      <c r="U212" s="195"/>
      <c r="V212" s="195"/>
      <c r="W212" s="195"/>
      <c r="X212" s="195"/>
      <c r="Y212" s="195"/>
      <c r="Z212" s="195"/>
      <c r="AB212" s="195"/>
      <c r="AC212" s="195"/>
      <c r="AE212" s="195"/>
      <c r="AF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S213" s="195"/>
      <c r="T213" s="195"/>
      <c r="U213" s="195"/>
      <c r="V213" s="195"/>
      <c r="W213" s="195"/>
      <c r="X213" s="195"/>
      <c r="Y213" s="195"/>
      <c r="Z213" s="195"/>
      <c r="AB213" s="195"/>
      <c r="AC213" s="195"/>
      <c r="AE213" s="195"/>
      <c r="AF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S215" s="195"/>
      <c r="T215" s="195"/>
      <c r="U215" s="195"/>
      <c r="V215" s="195"/>
      <c r="W215" s="195"/>
      <c r="X215" s="195"/>
      <c r="Y215" s="195"/>
      <c r="Z215" s="195"/>
      <c r="AB215" s="195"/>
      <c r="AC215" s="195"/>
      <c r="AE215" s="195"/>
      <c r="AF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E216" s="195"/>
      <c r="AF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S217" s="195"/>
      <c r="T217" s="195"/>
      <c r="U217" s="195"/>
      <c r="V217" s="195"/>
      <c r="W217" s="195"/>
      <c r="X217" s="195"/>
      <c r="Y217" s="195"/>
      <c r="Z217" s="195"/>
      <c r="AB217" s="195"/>
      <c r="AC217" s="195"/>
      <c r="AE217" s="195"/>
      <c r="AF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O218" s="195"/>
      <c r="P218" s="195"/>
      <c r="Q218" s="195"/>
      <c r="S218" s="195"/>
      <c r="T218" s="195"/>
      <c r="U218" s="195"/>
      <c r="V218" s="195"/>
      <c r="W218" s="195"/>
      <c r="X218" s="195"/>
      <c r="Y218" s="195"/>
      <c r="Z218" s="195"/>
      <c r="AB218" s="195"/>
      <c r="AC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O220" s="195"/>
      <c r="P220" s="195"/>
      <c r="Q220" s="195"/>
      <c r="S220" s="195"/>
      <c r="T220" s="195"/>
      <c r="U220" s="195"/>
      <c r="V220" s="195"/>
      <c r="W220" s="195"/>
      <c r="X220" s="195"/>
      <c r="Y220" s="195"/>
      <c r="Z220" s="195"/>
      <c r="AB220" s="195"/>
      <c r="AC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O221" s="195"/>
      <c r="P221" s="195"/>
      <c r="Q221" s="195"/>
      <c r="S221" s="195"/>
      <c r="T221" s="195"/>
      <c r="U221" s="195"/>
      <c r="V221" s="195"/>
      <c r="W221" s="195"/>
      <c r="X221" s="195"/>
      <c r="Y221" s="195"/>
      <c r="Z221" s="195"/>
      <c r="AB221" s="195"/>
      <c r="AC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O222" s="195"/>
      <c r="P222" s="195"/>
      <c r="Q222" s="195"/>
      <c r="S222" s="195"/>
      <c r="T222" s="195"/>
      <c r="U222" s="195"/>
      <c r="V222" s="195"/>
      <c r="W222" s="195"/>
      <c r="X222" s="195"/>
      <c r="Y222" s="195"/>
      <c r="Z222" s="195"/>
      <c r="AB222" s="195"/>
      <c r="AC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</row>
    <row r="224">
      <c r="A224" s="195"/>
      <c r="B224" s="195"/>
      <c r="C224" s="197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O225" s="195"/>
      <c r="P225" s="195"/>
      <c r="Q225" s="195"/>
      <c r="S225" s="195"/>
      <c r="T225" s="195"/>
      <c r="U225" s="195"/>
      <c r="V225" s="195"/>
      <c r="W225" s="195"/>
      <c r="X225" s="195"/>
      <c r="Y225" s="195"/>
      <c r="Z225" s="195"/>
      <c r="AB225" s="195"/>
      <c r="AC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S226" s="195"/>
      <c r="T226" s="195"/>
      <c r="U226" s="195"/>
      <c r="V226" s="195"/>
      <c r="W226" s="195"/>
      <c r="X226" s="195"/>
      <c r="Y226" s="195"/>
      <c r="Z226" s="195"/>
      <c r="AB226" s="195"/>
      <c r="AC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S227" s="195"/>
      <c r="T227" s="195"/>
      <c r="U227" s="195"/>
      <c r="V227" s="195"/>
      <c r="W227" s="195"/>
      <c r="X227" s="195"/>
      <c r="Y227" s="195"/>
      <c r="Z227" s="195"/>
      <c r="AB227" s="195"/>
      <c r="AC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S228" s="195"/>
      <c r="T228" s="195"/>
      <c r="U228" s="195"/>
      <c r="V228" s="195"/>
      <c r="W228" s="195"/>
      <c r="X228" s="195"/>
      <c r="Y228" s="195"/>
      <c r="Z228" s="195"/>
      <c r="AB228" s="195"/>
      <c r="AC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O229" s="195"/>
      <c r="P229" s="195"/>
      <c r="Q229" s="195"/>
      <c r="S229" s="195"/>
      <c r="T229" s="195"/>
      <c r="U229" s="195"/>
      <c r="V229" s="195"/>
      <c r="W229" s="195"/>
      <c r="X229" s="195"/>
      <c r="Y229" s="195"/>
      <c r="Z229" s="195"/>
      <c r="AB229" s="195"/>
      <c r="AC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S230" s="195"/>
      <c r="T230" s="195"/>
      <c r="U230" s="195"/>
      <c r="V230" s="195"/>
      <c r="W230" s="195"/>
      <c r="X230" s="195"/>
      <c r="Y230" s="195"/>
      <c r="Z230" s="195"/>
      <c r="AB230" s="195"/>
      <c r="AC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O231" s="195"/>
      <c r="P231" s="195"/>
      <c r="Q231" s="195"/>
      <c r="S231" s="195"/>
      <c r="T231" s="195"/>
      <c r="U231" s="195"/>
      <c r="V231" s="195"/>
      <c r="W231" s="195"/>
      <c r="X231" s="195"/>
      <c r="Y231" s="195"/>
      <c r="Z231" s="195"/>
      <c r="AB231" s="195"/>
      <c r="AC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O232" s="195"/>
      <c r="P232" s="195"/>
      <c r="Q232" s="195"/>
      <c r="S232" s="195"/>
      <c r="T232" s="195"/>
      <c r="U232" s="195"/>
      <c r="V232" s="195"/>
      <c r="W232" s="195"/>
      <c r="X232" s="195"/>
      <c r="Y232" s="195"/>
      <c r="Z232" s="195"/>
      <c r="AB232" s="195"/>
      <c r="AC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O233" s="195"/>
      <c r="P233" s="195"/>
      <c r="Q233" s="195"/>
      <c r="S233" s="195"/>
      <c r="T233" s="195"/>
      <c r="U233" s="195"/>
      <c r="V233" s="195"/>
      <c r="W233" s="195"/>
      <c r="X233" s="195"/>
      <c r="Y233" s="195"/>
      <c r="Z233" s="195"/>
      <c r="AB233" s="195"/>
      <c r="AC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S235" s="195"/>
      <c r="T235" s="195"/>
      <c r="U235" s="195"/>
      <c r="V235" s="195"/>
      <c r="W235" s="195"/>
      <c r="X235" s="195"/>
      <c r="Y235" s="195"/>
      <c r="Z235" s="195"/>
      <c r="AB235" s="195"/>
      <c r="AC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S238" s="195"/>
      <c r="T238" s="195"/>
      <c r="U238" s="195"/>
      <c r="V238" s="195"/>
      <c r="W238" s="195"/>
      <c r="X238" s="195"/>
      <c r="Y238" s="195"/>
      <c r="Z238" s="195"/>
      <c r="AB238" s="195"/>
      <c r="AC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S239" s="195"/>
      <c r="T239" s="195"/>
      <c r="U239" s="195"/>
      <c r="V239" s="195"/>
      <c r="W239" s="195"/>
      <c r="X239" s="195"/>
      <c r="Y239" s="195"/>
      <c r="Z239" s="195"/>
      <c r="AB239" s="195"/>
      <c r="AC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O240" s="195"/>
      <c r="P240" s="195"/>
      <c r="Q240" s="195"/>
      <c r="S240" s="195"/>
      <c r="T240" s="195"/>
      <c r="U240" s="195"/>
      <c r="V240" s="195"/>
      <c r="W240" s="195"/>
      <c r="X240" s="195"/>
      <c r="Y240" s="195"/>
      <c r="Z240" s="195"/>
      <c r="AB240" s="195"/>
      <c r="AC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S243" s="195"/>
      <c r="T243" s="195"/>
      <c r="U243" s="195"/>
      <c r="V243" s="195"/>
      <c r="W243" s="195"/>
      <c r="X243" s="195"/>
      <c r="Y243" s="195"/>
      <c r="Z243" s="195"/>
      <c r="AB243" s="195"/>
      <c r="AC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O244" s="195"/>
      <c r="P244" s="195"/>
      <c r="Q244" s="195"/>
      <c r="S244" s="195"/>
      <c r="T244" s="195"/>
      <c r="U244" s="195"/>
      <c r="V244" s="195"/>
      <c r="W244" s="195"/>
      <c r="X244" s="195"/>
      <c r="Y244" s="195"/>
      <c r="Z244" s="195"/>
      <c r="AB244" s="195"/>
      <c r="AC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S245" s="195"/>
      <c r="T245" s="195"/>
      <c r="U245" s="195"/>
      <c r="V245" s="195"/>
      <c r="W245" s="195"/>
      <c r="X245" s="195"/>
      <c r="Y245" s="195"/>
      <c r="Z245" s="195"/>
      <c r="AB245" s="195"/>
      <c r="AC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O247" s="195"/>
      <c r="P247" s="195"/>
      <c r="Q247" s="195"/>
      <c r="S247" s="195"/>
      <c r="T247" s="195"/>
      <c r="U247" s="195"/>
      <c r="V247" s="195"/>
      <c r="W247" s="195"/>
      <c r="X247" s="195"/>
      <c r="Y247" s="195"/>
      <c r="Z247" s="195"/>
      <c r="AB247" s="195"/>
      <c r="AC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O248" s="195"/>
      <c r="P248" s="195"/>
      <c r="Q248" s="195"/>
      <c r="S248" s="195"/>
      <c r="T248" s="195"/>
      <c r="U248" s="195"/>
      <c r="V248" s="195"/>
      <c r="W248" s="195"/>
      <c r="X248" s="195"/>
      <c r="Y248" s="195"/>
      <c r="Z248" s="195"/>
      <c r="AB248" s="195"/>
      <c r="AC248" s="195"/>
      <c r="AD248" s="195"/>
      <c r="AE248" s="195"/>
      <c r="AF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O249" s="195"/>
      <c r="P249" s="195"/>
      <c r="Q249" s="195"/>
      <c r="S249" s="195"/>
      <c r="T249" s="195"/>
      <c r="U249" s="195"/>
      <c r="V249" s="195"/>
      <c r="W249" s="195"/>
      <c r="X249" s="195"/>
      <c r="Y249" s="195"/>
      <c r="Z249" s="195"/>
      <c r="AB249" s="195"/>
      <c r="AC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O250" s="195"/>
      <c r="P250" s="195"/>
      <c r="Q250" s="195"/>
      <c r="S250" s="195"/>
      <c r="T250" s="195"/>
      <c r="U250" s="195"/>
      <c r="V250" s="195"/>
      <c r="W250" s="195"/>
      <c r="X250" s="195"/>
      <c r="Y250" s="195"/>
      <c r="Z250" s="195"/>
      <c r="AB250" s="195"/>
      <c r="AC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O251" s="195"/>
      <c r="P251" s="195"/>
      <c r="Q251" s="195"/>
      <c r="S251" s="195"/>
      <c r="T251" s="195"/>
      <c r="U251" s="195"/>
      <c r="V251" s="195"/>
      <c r="W251" s="195"/>
      <c r="X251" s="195"/>
      <c r="Y251" s="195"/>
      <c r="Z251" s="195"/>
      <c r="AB251" s="195"/>
      <c r="AC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S252" s="195"/>
      <c r="T252" s="195"/>
      <c r="U252" s="195"/>
      <c r="V252" s="195"/>
      <c r="W252" s="195"/>
      <c r="X252" s="195"/>
      <c r="Y252" s="195"/>
      <c r="Z252" s="195"/>
      <c r="AB252" s="195"/>
      <c r="AC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O253" s="195"/>
      <c r="P253" s="195"/>
      <c r="Q253" s="195"/>
      <c r="S253" s="195"/>
      <c r="T253" s="195"/>
      <c r="U253" s="195"/>
      <c r="V253" s="195"/>
      <c r="W253" s="195"/>
      <c r="X253" s="195"/>
      <c r="Y253" s="195"/>
      <c r="Z253" s="195"/>
      <c r="AB253" s="195"/>
      <c r="AC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S255" s="195"/>
      <c r="T255" s="195"/>
      <c r="U255" s="195"/>
      <c r="V255" s="195"/>
      <c r="W255" s="195"/>
      <c r="X255" s="195"/>
      <c r="Y255" s="195"/>
      <c r="Z255" s="195"/>
      <c r="AB255" s="195"/>
      <c r="AC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O256" s="195"/>
      <c r="P256" s="195"/>
      <c r="Q256" s="195"/>
      <c r="S256" s="195"/>
      <c r="T256" s="195"/>
      <c r="U256" s="195"/>
      <c r="V256" s="195"/>
      <c r="W256" s="195"/>
      <c r="X256" s="195"/>
      <c r="Y256" s="195"/>
      <c r="Z256" s="195"/>
      <c r="AB256" s="195"/>
      <c r="AC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O258" s="195"/>
      <c r="P258" s="195"/>
      <c r="Q258" s="195"/>
      <c r="S258" s="195"/>
      <c r="T258" s="195"/>
      <c r="U258" s="195"/>
      <c r="V258" s="195"/>
      <c r="W258" s="195"/>
      <c r="X258" s="195"/>
      <c r="Y258" s="195"/>
      <c r="Z258" s="195"/>
      <c r="AB258" s="195"/>
      <c r="AC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S259" s="195"/>
      <c r="T259" s="195"/>
      <c r="U259" s="195"/>
      <c r="V259" s="195"/>
      <c r="W259" s="195"/>
      <c r="X259" s="195"/>
      <c r="Y259" s="195"/>
      <c r="Z259" s="195"/>
      <c r="AB259" s="195"/>
      <c r="AC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O260" s="195"/>
      <c r="P260" s="195"/>
      <c r="Q260" s="195"/>
      <c r="S260" s="195"/>
      <c r="T260" s="195"/>
      <c r="U260" s="195"/>
      <c r="V260" s="195"/>
      <c r="W260" s="195"/>
      <c r="X260" s="195"/>
      <c r="Y260" s="195"/>
      <c r="Z260" s="195"/>
      <c r="AB260" s="195"/>
      <c r="AC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O261" s="195"/>
      <c r="P261" s="195"/>
      <c r="Q261" s="195"/>
      <c r="S261" s="195"/>
      <c r="T261" s="195"/>
      <c r="U261" s="195"/>
      <c r="V261" s="195"/>
      <c r="W261" s="195"/>
      <c r="X261" s="195"/>
      <c r="Y261" s="195"/>
      <c r="Z261" s="195"/>
      <c r="AB261" s="195"/>
      <c r="AC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O262" s="195"/>
      <c r="P262" s="195"/>
      <c r="Q262" s="195"/>
      <c r="S262" s="195"/>
      <c r="T262" s="195"/>
      <c r="U262" s="195"/>
      <c r="V262" s="195"/>
      <c r="W262" s="195"/>
      <c r="X262" s="195"/>
      <c r="Y262" s="195"/>
      <c r="Z262" s="195"/>
      <c r="AB262" s="195"/>
      <c r="AC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O264" s="195"/>
      <c r="P264" s="195"/>
      <c r="Q264" s="195"/>
      <c r="S264" s="195"/>
      <c r="T264" s="195"/>
      <c r="U264" s="195"/>
      <c r="V264" s="195"/>
      <c r="W264" s="195"/>
      <c r="X264" s="195"/>
      <c r="Y264" s="195"/>
      <c r="Z264" s="195"/>
      <c r="AB264" s="195"/>
      <c r="AC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O265" s="195"/>
      <c r="P265" s="195"/>
      <c r="Q265" s="195"/>
      <c r="S265" s="195"/>
      <c r="T265" s="195"/>
      <c r="U265" s="195"/>
      <c r="V265" s="195"/>
      <c r="W265" s="195"/>
      <c r="X265" s="195"/>
      <c r="Y265" s="195"/>
      <c r="Z265" s="195"/>
      <c r="AB265" s="195"/>
      <c r="AC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O267" s="195"/>
      <c r="P267" s="195"/>
      <c r="Q267" s="195"/>
      <c r="S267" s="195"/>
      <c r="T267" s="195"/>
      <c r="U267" s="195"/>
      <c r="V267" s="195"/>
      <c r="W267" s="195"/>
      <c r="X267" s="195"/>
      <c r="Y267" s="195"/>
      <c r="Z267" s="195"/>
      <c r="AB267" s="195"/>
      <c r="AC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S269" s="195"/>
      <c r="T269" s="195"/>
      <c r="U269" s="195"/>
      <c r="V269" s="195"/>
      <c r="W269" s="195"/>
      <c r="X269" s="195"/>
      <c r="Y269" s="195"/>
      <c r="Z269" s="195"/>
      <c r="AB269" s="195"/>
      <c r="AC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O270" s="195"/>
      <c r="P270" s="195"/>
      <c r="Q270" s="195"/>
      <c r="S270" s="195"/>
      <c r="T270" s="195"/>
      <c r="U270" s="195"/>
      <c r="V270" s="195"/>
      <c r="W270" s="195"/>
      <c r="X270" s="195"/>
      <c r="Y270" s="195"/>
      <c r="Z270" s="195"/>
      <c r="AB270" s="195"/>
      <c r="AC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S271" s="195"/>
      <c r="T271" s="195"/>
      <c r="U271" s="195"/>
      <c r="V271" s="195"/>
      <c r="W271" s="195"/>
      <c r="X271" s="195"/>
      <c r="Y271" s="195"/>
      <c r="Z271" s="195"/>
      <c r="AB271" s="195"/>
      <c r="AC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O272" s="195"/>
      <c r="P272" s="195"/>
      <c r="Q272" s="195"/>
      <c r="S272" s="195"/>
      <c r="T272" s="195"/>
      <c r="U272" s="195"/>
      <c r="V272" s="195"/>
      <c r="W272" s="195"/>
      <c r="X272" s="195"/>
      <c r="Y272" s="195"/>
      <c r="Z272" s="195"/>
      <c r="AB272" s="195"/>
      <c r="AC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O275" s="195"/>
      <c r="P275" s="195"/>
      <c r="Q275" s="195"/>
      <c r="S275" s="195"/>
      <c r="T275" s="195"/>
      <c r="U275" s="195"/>
      <c r="V275" s="195"/>
      <c r="W275" s="195"/>
      <c r="X275" s="195"/>
      <c r="Y275" s="195"/>
      <c r="Z275" s="195"/>
      <c r="AB275" s="195"/>
      <c r="AC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O276" s="195"/>
      <c r="P276" s="195"/>
      <c r="Q276" s="195"/>
      <c r="S276" s="195"/>
      <c r="T276" s="195"/>
      <c r="U276" s="195"/>
      <c r="V276" s="195"/>
      <c r="W276" s="195"/>
      <c r="X276" s="195"/>
      <c r="Y276" s="195"/>
      <c r="Z276" s="195"/>
      <c r="AB276" s="195"/>
      <c r="AC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O277" s="195"/>
      <c r="P277" s="195"/>
      <c r="Q277" s="195"/>
      <c r="S277" s="195"/>
      <c r="T277" s="195"/>
      <c r="U277" s="195"/>
      <c r="V277" s="195"/>
      <c r="W277" s="195"/>
      <c r="X277" s="195"/>
      <c r="Y277" s="195"/>
      <c r="Z277" s="195"/>
      <c r="AB277" s="195"/>
      <c r="AC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O279" s="195"/>
      <c r="P279" s="195"/>
      <c r="Q279" s="195"/>
      <c r="S279" s="195"/>
      <c r="T279" s="195"/>
      <c r="U279" s="195"/>
      <c r="V279" s="195"/>
      <c r="W279" s="195"/>
      <c r="X279" s="195"/>
      <c r="Y279" s="195"/>
      <c r="Z279" s="195"/>
      <c r="AB279" s="195"/>
      <c r="AC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O280" s="195"/>
      <c r="P280" s="195"/>
      <c r="Q280" s="195"/>
      <c r="S280" s="195"/>
      <c r="T280" s="195"/>
      <c r="U280" s="195"/>
      <c r="V280" s="195"/>
      <c r="W280" s="195"/>
      <c r="X280" s="195"/>
      <c r="Y280" s="195"/>
      <c r="Z280" s="195"/>
      <c r="AB280" s="195"/>
      <c r="AC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S281" s="195"/>
      <c r="T281" s="195"/>
      <c r="U281" s="195"/>
      <c r="V281" s="195"/>
      <c r="W281" s="195"/>
      <c r="X281" s="195"/>
      <c r="Y281" s="195"/>
      <c r="Z281" s="195"/>
      <c r="AB281" s="195"/>
      <c r="AC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S282" s="195"/>
      <c r="T282" s="195"/>
      <c r="U282" s="195"/>
      <c r="V282" s="195"/>
      <c r="W282" s="195"/>
      <c r="X282" s="195"/>
      <c r="Y282" s="195"/>
      <c r="Z282" s="195"/>
      <c r="AB282" s="195"/>
      <c r="AC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S283" s="195"/>
      <c r="T283" s="195"/>
      <c r="U283" s="195"/>
      <c r="V283" s="195"/>
      <c r="W283" s="195"/>
      <c r="X283" s="195"/>
      <c r="Y283" s="195"/>
      <c r="Z283" s="195"/>
      <c r="AB283" s="195"/>
      <c r="AC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S284" s="195"/>
      <c r="T284" s="195"/>
      <c r="U284" s="195"/>
      <c r="V284" s="195"/>
      <c r="W284" s="195"/>
      <c r="X284" s="195"/>
      <c r="Y284" s="195"/>
      <c r="Z284" s="195"/>
      <c r="AB284" s="195"/>
      <c r="AC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S285" s="195"/>
      <c r="T285" s="195"/>
      <c r="U285" s="195"/>
      <c r="V285" s="195"/>
      <c r="W285" s="195"/>
      <c r="X285" s="195"/>
      <c r="Y285" s="195"/>
      <c r="Z285" s="195"/>
      <c r="AB285" s="195"/>
      <c r="AC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S286" s="195"/>
      <c r="T286" s="195"/>
      <c r="U286" s="195"/>
      <c r="V286" s="195"/>
      <c r="W286" s="195"/>
      <c r="X286" s="195"/>
      <c r="Y286" s="195"/>
      <c r="Z286" s="195"/>
      <c r="AB286" s="195"/>
      <c r="AC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O288" s="195"/>
      <c r="P288" s="195"/>
      <c r="Q288" s="195"/>
      <c r="S288" s="195"/>
      <c r="T288" s="195"/>
      <c r="U288" s="195"/>
      <c r="V288" s="195"/>
      <c r="W288" s="195"/>
      <c r="X288" s="195"/>
      <c r="Y288" s="195"/>
      <c r="Z288" s="195"/>
      <c r="AB288" s="195"/>
      <c r="AC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O290" s="195"/>
      <c r="P290" s="195"/>
      <c r="Q290" s="195"/>
      <c r="S290" s="195"/>
      <c r="T290" s="195"/>
      <c r="U290" s="195"/>
      <c r="V290" s="195"/>
      <c r="W290" s="195"/>
      <c r="X290" s="195"/>
      <c r="Y290" s="195"/>
      <c r="Z290" s="195"/>
      <c r="AB290" s="195"/>
      <c r="AC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O292" s="195"/>
      <c r="P292" s="195"/>
      <c r="Q292" s="195"/>
      <c r="S292" s="195"/>
      <c r="T292" s="195"/>
      <c r="U292" s="195"/>
      <c r="V292" s="195"/>
      <c r="W292" s="195"/>
      <c r="X292" s="195"/>
      <c r="Y292" s="195"/>
      <c r="Z292" s="195"/>
      <c r="AB292" s="195"/>
      <c r="AC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S293" s="195"/>
      <c r="T293" s="195"/>
      <c r="U293" s="195"/>
      <c r="V293" s="195"/>
      <c r="W293" s="195"/>
      <c r="X293" s="195"/>
      <c r="Y293" s="195"/>
      <c r="Z293" s="195"/>
      <c r="AB293" s="195"/>
      <c r="AC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O294" s="195"/>
      <c r="P294" s="195"/>
      <c r="Q294" s="195"/>
      <c r="S294" s="195"/>
      <c r="T294" s="195"/>
      <c r="U294" s="195"/>
      <c r="V294" s="195"/>
      <c r="W294" s="195"/>
      <c r="X294" s="195"/>
      <c r="Y294" s="195"/>
      <c r="Z294" s="195"/>
      <c r="AB294" s="195"/>
      <c r="AC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O295" s="195"/>
      <c r="P295" s="195"/>
      <c r="Q295" s="195"/>
      <c r="S295" s="195"/>
      <c r="T295" s="195"/>
      <c r="U295" s="195"/>
      <c r="V295" s="195"/>
      <c r="W295" s="195"/>
      <c r="X295" s="195"/>
      <c r="Y295" s="195"/>
      <c r="Z295" s="195"/>
      <c r="AB295" s="195"/>
      <c r="AC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O297" s="195"/>
      <c r="P297" s="195"/>
      <c r="Q297" s="195"/>
      <c r="S297" s="195"/>
      <c r="T297" s="195"/>
      <c r="U297" s="195"/>
      <c r="V297" s="195"/>
      <c r="W297" s="195"/>
      <c r="X297" s="195"/>
      <c r="Y297" s="195"/>
      <c r="Z297" s="195"/>
      <c r="AB297" s="195"/>
      <c r="AC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O298" s="195"/>
      <c r="P298" s="195"/>
      <c r="Q298" s="195"/>
      <c r="S298" s="195"/>
      <c r="T298" s="195"/>
      <c r="U298" s="195"/>
      <c r="V298" s="195"/>
      <c r="W298" s="195"/>
      <c r="X298" s="195"/>
      <c r="Y298" s="195"/>
      <c r="Z298" s="195"/>
      <c r="AB298" s="195"/>
      <c r="AC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O299" s="195"/>
      <c r="P299" s="195"/>
      <c r="Q299" s="195"/>
      <c r="S299" s="195"/>
      <c r="T299" s="195"/>
      <c r="U299" s="195"/>
      <c r="V299" s="195"/>
      <c r="W299" s="195"/>
      <c r="X299" s="195"/>
      <c r="Y299" s="195"/>
      <c r="Z299" s="195"/>
      <c r="AB299" s="195"/>
      <c r="AC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O300" s="195"/>
      <c r="P300" s="195"/>
      <c r="Q300" s="195"/>
      <c r="S300" s="195"/>
      <c r="T300" s="195"/>
      <c r="U300" s="195"/>
      <c r="V300" s="195"/>
      <c r="W300" s="195"/>
      <c r="X300" s="195"/>
      <c r="Y300" s="195"/>
      <c r="Z300" s="195"/>
      <c r="AB300" s="195"/>
      <c r="AC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O301" s="195"/>
      <c r="P301" s="195"/>
      <c r="Q301" s="195"/>
      <c r="S301" s="195"/>
      <c r="T301" s="195"/>
      <c r="U301" s="195"/>
      <c r="V301" s="195"/>
      <c r="W301" s="195"/>
      <c r="X301" s="195"/>
      <c r="Y301" s="195"/>
      <c r="Z301" s="195"/>
      <c r="AB301" s="195"/>
      <c r="AC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S302" s="195"/>
      <c r="T302" s="195"/>
      <c r="U302" s="195"/>
      <c r="V302" s="195"/>
      <c r="W302" s="195"/>
      <c r="X302" s="195"/>
      <c r="Y302" s="195"/>
      <c r="Z302" s="195"/>
      <c r="AB302" s="195"/>
      <c r="AC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O303" s="195"/>
      <c r="P303" s="195"/>
      <c r="Q303" s="195"/>
      <c r="S303" s="195"/>
      <c r="T303" s="195"/>
      <c r="U303" s="195"/>
      <c r="V303" s="195"/>
      <c r="W303" s="195"/>
      <c r="X303" s="195"/>
      <c r="Y303" s="195"/>
      <c r="Z303" s="195"/>
      <c r="AB303" s="195"/>
      <c r="AC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O304" s="195"/>
      <c r="P304" s="195"/>
      <c r="Q304" s="195"/>
      <c r="S304" s="195"/>
      <c r="T304" s="195"/>
      <c r="U304" s="195"/>
      <c r="V304" s="195"/>
      <c r="W304" s="195"/>
      <c r="X304" s="195"/>
      <c r="Y304" s="195"/>
      <c r="Z304" s="195"/>
      <c r="AB304" s="195"/>
      <c r="AC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</row>
    <row r="414">
      <c r="C414" s="197"/>
    </row>
  </sheetData>
  <autoFilter ref="$A$1:$M$48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198" t="str">
        <f>IFERROR(__xludf.DUMMYFUNCTION("IMPORTRANGE(""1TpIiNTfR1pnpn85VWQTTdvQ2Xcr0GStmWJ2UvfKxG_A"", ""Mzdy!A1:F200"")")," ")</f>
        <v> 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5"/>
      <c r="V1" s="199">
        <f>IFERROR(__xludf.DUMMYFUNCTION("IMPORTRANGE(""1TpIiNTfR1pnpn85VWQTTdvQ2Xcr0GStmWJ2UvfKxG_A"", ""Mzdy!ac1:ad200"")"),31.0)</f>
        <v>31</v>
      </c>
      <c r="W1" s="200" t="str">
        <f>IFERROR(__xludf.DUMMYFUNCTION("""COMPUTED_VALUE"""),"dní")</f>
        <v>dní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201"/>
      <c r="B2" s="201"/>
      <c r="C2" s="201"/>
      <c r="D2" s="201"/>
      <c r="E2" s="201"/>
      <c r="F2" s="201"/>
      <c r="G2" s="201"/>
      <c r="H2" s="20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02"/>
      <c r="W2" s="203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201"/>
      <c r="B3" s="201"/>
      <c r="C3" s="201"/>
      <c r="D3" s="201"/>
      <c r="E3" s="201"/>
      <c r="F3" s="201"/>
      <c r="G3" s="201"/>
      <c r="H3" s="20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02"/>
      <c r="W3" s="203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201" t="s">
        <v>1594</v>
      </c>
      <c r="B4" s="201" t="s">
        <v>1595</v>
      </c>
      <c r="C4" s="201" t="str">
        <f>IFERROR(__xludf.DUMMYFUNCTION("""COMPUTED_VALUE"""),"Manažer")</f>
        <v>Manažer</v>
      </c>
      <c r="D4" s="201" t="str">
        <f>IFERROR(__xludf.DUMMYFUNCTION("""COMPUTED_VALUE"""),"Instore")</f>
        <v>Instore</v>
      </c>
      <c r="E4" s="201" t="str">
        <f>IFERROR(__xludf.DUMMYFUNCTION("""COMPUTED_VALUE"""),"První domácí,          Pobočky max 4")</f>
        <v>První domácí,          Pobočky max 4</v>
      </c>
      <c r="F4" s="201"/>
      <c r="G4" s="201"/>
      <c r="H4" s="20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02" t="str">
        <f>IFERROR(__xludf.DUMMYFUNCTION("""COMPUTED_VALUE"""),"Sp.hr. / h")</f>
        <v>Sp.hr. / h</v>
      </c>
      <c r="W4" s="203" t="str">
        <f>IFERROR(__xludf.DUMMYFUNCTION("""COMPUTED_VALUE"""),"Sp.hr. / den")</f>
        <v>Sp.hr. / den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201" t="str">
        <f>IF(AND(B5&lt;&gt;"", C5=TRUE, E5=Report!$B$1), B5, "")</f>
        <v/>
      </c>
      <c r="B5" s="204" t="str">
        <f>IF(OR(E5=Report!$B$1, F5=Report!$B$1, G5=Report!$B$1, H5=Report!$B$1), D5, "")</f>
        <v/>
      </c>
      <c r="C5" s="201" t="b">
        <f>IFERROR(__xludf.DUMMYFUNCTION("""COMPUTED_VALUE"""),TRUE)</f>
        <v>1</v>
      </c>
      <c r="D5" s="201" t="str">
        <f>IFERROR(__xludf.DUMMYFUNCTION("""COMPUTED_VALUE"""),"Nedbal Michal")</f>
        <v>Nedbal Michal</v>
      </c>
      <c r="E5" s="201" t="str">
        <f>IFERROR(__xludf.DUMMYFUNCTION("""COMPUTED_VALUE"""),"Zličín")</f>
        <v>Zličín</v>
      </c>
      <c r="F5" s="201" t="str">
        <f>IFERROR(__xludf.DUMMYFUNCTION("""COMPUTED_VALUE"""),"Malešice")</f>
        <v>Malešice</v>
      </c>
      <c r="G5" s="201" t="str">
        <f>IFERROR(__xludf.DUMMYFUNCTION("""COMPUTED_VALUE"""),"Prosek")</f>
        <v>Prosek</v>
      </c>
      <c r="H5" s="20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03">
        <f>IFERROR(__xludf.DUMMYFUNCTION("""COMPUTED_VALUE"""),432.3078)</f>
        <v>432.3078</v>
      </c>
      <c r="W5" s="203">
        <f>IFERROR(__xludf.DUMMYFUNCTION("""COMPUTED_VALUE"""),2789.082580645161)</f>
        <v>2789.082581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201" t="str">
        <f>IF(AND(B6&lt;&gt;"", C6=TRUE, E6=Report!$B$1), B6, "")</f>
        <v>Sova Martin</v>
      </c>
      <c r="B6" s="204" t="str">
        <f>IF(OR(E6=Report!$B$1, F6=Report!$B$1, G6=Report!$B$1, H6=Report!$B$1), D6, "")</f>
        <v>Sova Martin</v>
      </c>
      <c r="C6" s="201" t="b">
        <f>IFERROR(__xludf.DUMMYFUNCTION("""COMPUTED_VALUE"""),TRUE)</f>
        <v>1</v>
      </c>
      <c r="D6" s="201" t="str">
        <f>IFERROR(__xludf.DUMMYFUNCTION("""COMPUTED_VALUE"""),"Sova Martin")</f>
        <v>Sova Martin</v>
      </c>
      <c r="E6" s="201" t="str">
        <f>IFERROR(__xludf.DUMMYFUNCTION("""COMPUTED_VALUE"""),"Chodov")</f>
        <v>Chodov</v>
      </c>
      <c r="F6" s="201" t="str">
        <f>IFERROR(__xludf.DUMMYFUNCTION("""COMPUTED_VALUE"""),"Libuš")</f>
        <v>Libuš</v>
      </c>
      <c r="G6" s="201" t="str">
        <f>IFERROR(__xludf.DUMMYFUNCTION("""COMPUTED_VALUE"""),"Výroba")</f>
        <v>Výroba</v>
      </c>
      <c r="H6" s="20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203">
        <f>IFERROR(__xludf.DUMMYFUNCTION("""COMPUTED_VALUE"""),432.3078)</f>
        <v>432.3078</v>
      </c>
      <c r="W6" s="203">
        <f>IFERROR(__xludf.DUMMYFUNCTION("""COMPUTED_VALUE"""),2789.082580645161)</f>
        <v>2789.082581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201" t="str">
        <f>IF(AND(B7&lt;&gt;"", C7=TRUE, E7=Report!$B$1), B7, "")</f>
        <v/>
      </c>
      <c r="B7" s="204" t="str">
        <f>IF(OR(E7=Report!$B$1, F7=Report!$B$1, G7=Report!$B$1, H7=Report!$B$1), D7, "")</f>
        <v/>
      </c>
      <c r="C7" s="201" t="b">
        <f>IFERROR(__xludf.DUMMYFUNCTION("""COMPUTED_VALUE"""),TRUE)</f>
        <v>1</v>
      </c>
      <c r="D7" s="201" t="str">
        <f>IFERROR(__xludf.DUMMYFUNCTION("""COMPUTED_VALUE"""),"Paziak Viktoriia")</f>
        <v>Paziak Viktoriia</v>
      </c>
      <c r="E7" s="201" t="str">
        <f>IFERROR(__xludf.DUMMYFUNCTION("""COMPUTED_VALUE"""),"Výroba")</f>
        <v>Výroba</v>
      </c>
      <c r="F7" s="201"/>
      <c r="G7" s="201"/>
      <c r="H7" s="20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03">
        <f>IFERROR(__xludf.DUMMYFUNCTION("""COMPUTED_VALUE"""),341.19)</f>
        <v>341.19</v>
      </c>
      <c r="W7" s="203">
        <f>IFERROR(__xludf.DUMMYFUNCTION("""COMPUTED_VALUE"""),2201.2258064516127)</f>
        <v>2201.225806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01" t="str">
        <f>IF(AND(B8&lt;&gt;"", C8=TRUE, E8=Report!$B$1), B8, "")</f>
        <v/>
      </c>
      <c r="B8" s="204" t="str">
        <f>IF(OR(E8=Report!$B$1, F8=Report!$B$1, G8=Report!$B$1, H8=Report!$B$1), D8, "")</f>
        <v/>
      </c>
      <c r="C8" s="201" t="b">
        <f>IFERROR(__xludf.DUMMYFUNCTION("""COMPUTED_VALUE"""),FALSE)</f>
        <v>0</v>
      </c>
      <c r="D8" s="201" t="str">
        <f>IFERROR(__xludf.DUMMYFUNCTION("""COMPUTED_VALUE"""),"Ahurieva Viktoriia")</f>
        <v>Ahurieva Viktoriia</v>
      </c>
      <c r="E8" s="201" t="str">
        <f>IFERROR(__xludf.DUMMYFUNCTION("""COMPUTED_VALUE"""),"Libuš")</f>
        <v>Libuš</v>
      </c>
      <c r="F8" s="201" t="str">
        <f>IFERROR(__xludf.DUMMYFUNCTION("""COMPUTED_VALUE"""),"Malešice")</f>
        <v>Malešice</v>
      </c>
      <c r="G8" s="201" t="str">
        <f>IFERROR(__xludf.DUMMYFUNCTION("""COMPUTED_VALUE"""),"Výroba")</f>
        <v>Výroba</v>
      </c>
      <c r="H8" s="201" t="str">
        <f>IFERROR(__xludf.DUMMYFUNCTION("""COMPUTED_VALUE"""),"Prosek")</f>
        <v>Prosek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03">
        <f>IFERROR(__xludf.DUMMYFUNCTION("""COMPUTED_VALUE"""),432.3078)</f>
        <v>432.3078</v>
      </c>
      <c r="W8" s="203">
        <f>IFERROR(__xludf.DUMMYFUNCTION("""COMPUTED_VALUE"""),2789.082580645161)</f>
        <v>2789.082581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201" t="str">
        <f>IF(AND(B9&lt;&gt;"", C9=TRUE, E9=Report!$B$1), B9, "")</f>
        <v>Pešová Hana</v>
      </c>
      <c r="B9" s="204" t="str">
        <f>IF(OR(E9=Report!$B$1, F9=Report!$B$1, G9=Report!$B$1, H9=Report!$B$1), D9, "")</f>
        <v>Pešová Hana</v>
      </c>
      <c r="C9" s="201" t="b">
        <f>IFERROR(__xludf.DUMMYFUNCTION("""COMPUTED_VALUE"""),TRUE)</f>
        <v>1</v>
      </c>
      <c r="D9" s="201" t="str">
        <f>IFERROR(__xludf.DUMMYFUNCTION("""COMPUTED_VALUE"""),"Pešová Hana")</f>
        <v>Pešová Hana</v>
      </c>
      <c r="E9" s="201" t="str">
        <f>IFERROR(__xludf.DUMMYFUNCTION("""COMPUTED_VALUE"""),"Chodov")</f>
        <v>Chodov</v>
      </c>
      <c r="F9" s="201" t="str">
        <f>IFERROR(__xludf.DUMMYFUNCTION("""COMPUTED_VALUE"""),"Prosek")</f>
        <v>Prosek</v>
      </c>
      <c r="G9" s="201"/>
      <c r="H9" s="20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203">
        <f>IFERROR(__xludf.DUMMYFUNCTION("""COMPUTED_VALUE"""),341.19)</f>
        <v>341.19</v>
      </c>
      <c r="W9" s="203">
        <f>IFERROR(__xludf.DUMMYFUNCTION("""COMPUTED_VALUE"""),2201.2258064516127)</f>
        <v>2201.225806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201" t="str">
        <f>IF(AND(B10&lt;&gt;"", C10=TRUE, E10=Report!$B$1), B10, "")</f>
        <v/>
      </c>
      <c r="B10" s="204" t="str">
        <f>IF(OR(E10=Report!$B$1, F10=Report!$B$1, G10=Report!$B$1, H10=Report!$B$1), D10, "")</f>
        <v>Šebesta Tomáš</v>
      </c>
      <c r="C10" s="201" t="b">
        <f>IFERROR(__xludf.DUMMYFUNCTION("""COMPUTED_VALUE"""),TRUE)</f>
        <v>1</v>
      </c>
      <c r="D10" s="201" t="str">
        <f>IFERROR(__xludf.DUMMYFUNCTION("""COMPUTED_VALUE"""),"Šebesta Tomáš")</f>
        <v>Šebesta Tomáš</v>
      </c>
      <c r="E10" s="201" t="str">
        <f>IFERROR(__xludf.DUMMYFUNCTION("""COMPUTED_VALUE"""),"Prosek")</f>
        <v>Prosek</v>
      </c>
      <c r="F10" s="201" t="str">
        <f>IFERROR(__xludf.DUMMYFUNCTION("""COMPUTED_VALUE"""),"Libuš")</f>
        <v>Libuš</v>
      </c>
      <c r="G10" s="201" t="str">
        <f>IFERROR(__xludf.DUMMYFUNCTION("""COMPUTED_VALUE"""),"Malešice")</f>
        <v>Malešice</v>
      </c>
      <c r="H10" s="201" t="str">
        <f>IFERROR(__xludf.DUMMYFUNCTION("""COMPUTED_VALUE"""),"Chodov")</f>
        <v>Chodov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203">
        <f>IFERROR(__xludf.DUMMYFUNCTION("""COMPUTED_VALUE"""),432.3078)</f>
        <v>432.3078</v>
      </c>
      <c r="W10" s="203">
        <f>IFERROR(__xludf.DUMMYFUNCTION("""COMPUTED_VALUE"""),2789.082580645161)</f>
        <v>2789.082581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201" t="str">
        <f>IF(AND(B11&lt;&gt;"", C11=TRUE, E11=Report!$B$1), B11, "")</f>
        <v/>
      </c>
      <c r="B11" s="204" t="str">
        <f>IF(OR(E11=Report!$B$1, F11=Report!$B$1, G11=Report!$B$1, H11=Report!$B$1), D11, "")</f>
        <v/>
      </c>
      <c r="C11" s="201" t="b">
        <f>IFERROR(__xludf.DUMMYFUNCTION("""COMPUTED_VALUE"""),FALSE)</f>
        <v>0</v>
      </c>
      <c r="D11" s="201" t="str">
        <f>IFERROR(__xludf.DUMMYFUNCTION("""COMPUTED_VALUE"""),"Hanakova Ayuna")</f>
        <v>Hanakova Ayuna</v>
      </c>
      <c r="E11" s="201" t="str">
        <f>IFERROR(__xludf.DUMMYFUNCTION("""COMPUTED_VALUE"""),"Zličín")</f>
        <v>Zličín</v>
      </c>
      <c r="F11" s="201"/>
      <c r="G11" s="201"/>
      <c r="H11" s="20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03">
        <f>IFERROR(__xludf.DUMMYFUNCTION("""COMPUTED_VALUE"""),295.698)</f>
        <v>295.698</v>
      </c>
      <c r="W11" s="203">
        <f>IFERROR(__xludf.DUMMYFUNCTION("""COMPUTED_VALUE"""),0.0)</f>
        <v>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201" t="str">
        <f>IF(AND(B12&lt;&gt;"", C12=TRUE, E12=Report!$B$1), B12, "")</f>
        <v/>
      </c>
      <c r="B12" s="204" t="str">
        <f>IF(OR(E12=Report!$B$1, F12=Report!$B$1, G12=Report!$B$1, H12=Report!$B$1), D12, "")</f>
        <v/>
      </c>
      <c r="C12" s="201" t="b">
        <f>IFERROR(__xludf.DUMMYFUNCTION("""COMPUTED_VALUE"""),FALSE)</f>
        <v>0</v>
      </c>
      <c r="D12" s="201" t="str">
        <f>IFERROR(__xludf.DUMMYFUNCTION("""COMPUTED_VALUE"""),"Vondráček Lukáš")</f>
        <v>Vondráček Lukáš</v>
      </c>
      <c r="E12" s="201"/>
      <c r="F12" s="201"/>
      <c r="G12" s="201"/>
      <c r="H12" s="20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03">
        <f>IFERROR(__xludf.DUMMYFUNCTION("""COMPUTED_VALUE"""),0.0)</f>
        <v>0</v>
      </c>
      <c r="W12" s="203">
        <f>IFERROR(__xludf.DUMMYFUNCTION("""COMPUTED_VALUE"""),0.0)</f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201" t="str">
        <f>IF(AND(B13&lt;&gt;"", C13=TRUE, E13=Report!$B$1), B13, "")</f>
        <v/>
      </c>
      <c r="B13" s="204" t="str">
        <f>IF(OR(E13=Report!$B$1, F13=Report!$B$1, G13=Report!$B$1, H13=Report!$B$1), D13, "")</f>
        <v/>
      </c>
      <c r="C13" s="201" t="b">
        <f>IFERROR(__xludf.DUMMYFUNCTION("""COMPUTED_VALUE"""),TRUE)</f>
        <v>1</v>
      </c>
      <c r="D13" s="201" t="str">
        <f>IFERROR(__xludf.DUMMYFUNCTION("""COMPUTED_VALUE"""),"Veselý Ondřej")</f>
        <v>Veselý Ondřej</v>
      </c>
      <c r="E13" s="201" t="str">
        <f>IFERROR(__xludf.DUMMYFUNCTION("""COMPUTED_VALUE"""),"Zličín")</f>
        <v>Zličín</v>
      </c>
      <c r="F13" s="201" t="str">
        <f>IFERROR(__xludf.DUMMYFUNCTION("""COMPUTED_VALUE"""),"Malešice")</f>
        <v>Malešice</v>
      </c>
      <c r="G13" s="201"/>
      <c r="H13" s="20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203">
        <f>IFERROR(__xludf.DUMMYFUNCTION("""COMPUTED_VALUE"""),341.19)</f>
        <v>341.19</v>
      </c>
      <c r="W13" s="203">
        <f>IFERROR(__xludf.DUMMYFUNCTION("""COMPUTED_VALUE"""),2201.2258064516127)</f>
        <v>2201.225806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201" t="str">
        <f>IF(AND(B14&lt;&gt;"", C14=TRUE, E14=Report!$B$1), B14, "")</f>
        <v/>
      </c>
      <c r="B14" s="204" t="str">
        <f>IF(OR(E14=Report!$B$1, F14=Report!$B$1, G14=Report!$B$1, H14=Report!$B$1), D14, "")</f>
        <v/>
      </c>
      <c r="C14" s="201" t="b">
        <f>IFERROR(__xludf.DUMMYFUNCTION("""COMPUTED_VALUE"""),FALSE)</f>
        <v>0</v>
      </c>
      <c r="D14" s="201" t="str">
        <f>IFERROR(__xludf.DUMMYFUNCTION("""COMPUTED_VALUE"""),"Coufal Jakub")</f>
        <v>Coufal Jakub</v>
      </c>
      <c r="E14" s="201" t="str">
        <f>IFERROR(__xludf.DUMMYFUNCTION("""COMPUTED_VALUE"""),"Libuš")</f>
        <v>Libuš</v>
      </c>
      <c r="F14" s="201" t="str">
        <f>IFERROR(__xludf.DUMMYFUNCTION("""COMPUTED_VALUE"""),"Malešice")</f>
        <v>Malešice</v>
      </c>
      <c r="G14" s="201" t="str">
        <f>IFERROR(__xludf.DUMMYFUNCTION("""COMPUTED_VALUE"""),"Prosek")</f>
        <v>Prosek</v>
      </c>
      <c r="H14" s="20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203">
        <f>IFERROR(__xludf.DUMMYFUNCTION("""COMPUTED_VALUE"""),250.20600000000002)</f>
        <v>250.206</v>
      </c>
      <c r="W14" s="203">
        <f>IFERROR(__xludf.DUMMYFUNCTION("""COMPUTED_VALUE"""),0.0)</f>
        <v>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201" t="str">
        <f>IF(AND(B15&lt;&gt;"", C15=TRUE, E15=Report!$B$1), B15, "")</f>
        <v/>
      </c>
      <c r="B15" s="204" t="str">
        <f>IF(OR(E15=Report!$B$1, F15=Report!$B$1, G15=Report!$B$1, H15=Report!$B$1), D15, "")</f>
        <v/>
      </c>
      <c r="C15" s="201" t="b">
        <f>IFERROR(__xludf.DUMMYFUNCTION("""COMPUTED_VALUE"""),TRUE)</f>
        <v>1</v>
      </c>
      <c r="D15" s="201" t="str">
        <f>IFERROR(__xludf.DUMMYFUNCTION("""COMPUTED_VALUE"""),"Kinkorová Petra")</f>
        <v>Kinkorová Petra</v>
      </c>
      <c r="E15" s="201" t="str">
        <f>IFERROR(__xludf.DUMMYFUNCTION("""COMPUTED_VALUE"""),"Malešice")</f>
        <v>Malešice</v>
      </c>
      <c r="F15" s="201" t="str">
        <f>IFERROR(__xludf.DUMMYFUNCTION("""COMPUTED_VALUE"""),"Zličín")</f>
        <v>Zličín</v>
      </c>
      <c r="G15" s="201"/>
      <c r="H15" s="20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203">
        <f>IFERROR(__xludf.DUMMYFUNCTION("""COMPUTED_VALUE"""),341.19)</f>
        <v>341.19</v>
      </c>
      <c r="W15" s="203">
        <f>IFERROR(__xludf.DUMMYFUNCTION("""COMPUTED_VALUE"""),2201.2258064516127)</f>
        <v>2201.225806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201" t="str">
        <f>IF(AND(B16&lt;&gt;"", C16=TRUE, E16=Report!$B$1), B16, "")</f>
        <v/>
      </c>
      <c r="B16" s="204" t="str">
        <f>IF(OR(E16=Report!$B$1, F16=Report!$B$1, G16=Report!$B$1, H16=Report!$B$1), D16, "")</f>
        <v/>
      </c>
      <c r="C16" s="201" t="b">
        <f>IFERROR(__xludf.DUMMYFUNCTION("""COMPUTED_VALUE"""),TRUE)</f>
        <v>1</v>
      </c>
      <c r="D16" s="201" t="str">
        <f>IFERROR(__xludf.DUMMYFUNCTION("""COMPUTED_VALUE"""),"Nováková Adéla")</f>
        <v>Nováková Adéla</v>
      </c>
      <c r="E16" s="201" t="str">
        <f>IFERROR(__xludf.DUMMYFUNCTION("""COMPUTED_VALUE"""),"Prosek")</f>
        <v>Prosek</v>
      </c>
      <c r="F16" s="201" t="str">
        <f>IFERROR(__xludf.DUMMYFUNCTION("""COMPUTED_VALUE"""),"Malešice")</f>
        <v>Malešice</v>
      </c>
      <c r="G16" s="201"/>
      <c r="H16" s="20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203">
        <f>IFERROR(__xludf.DUMMYFUNCTION("""COMPUTED_VALUE"""),341.19)</f>
        <v>341.19</v>
      </c>
      <c r="W16" s="203">
        <f>IFERROR(__xludf.DUMMYFUNCTION("""COMPUTED_VALUE"""),2201.2258064516127)</f>
        <v>2201.225806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201" t="str">
        <f>IF(AND(B17&lt;&gt;"", C17=TRUE, E17=Report!$B$1), B17, "")</f>
        <v/>
      </c>
      <c r="B17" s="204" t="str">
        <f>IF(OR(E17=Report!$B$1, F17=Report!$B$1, G17=Report!$B$1, H17=Report!$B$1), D17, "")</f>
        <v/>
      </c>
      <c r="C17" s="201" t="b">
        <f>IFERROR(__xludf.DUMMYFUNCTION("""COMPUTED_VALUE"""),FALSE)</f>
        <v>0</v>
      </c>
      <c r="D17" s="201" t="str">
        <f>IFERROR(__xludf.DUMMYFUNCTION("""COMPUTED_VALUE"""),"Pechová Barbora")</f>
        <v>Pechová Barbora</v>
      </c>
      <c r="E17" s="201" t="str">
        <f>IFERROR(__xludf.DUMMYFUNCTION("""COMPUTED_VALUE"""),"Zličín")</f>
        <v>Zličín</v>
      </c>
      <c r="F17" s="201"/>
      <c r="G17" s="201"/>
      <c r="H17" s="20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03">
        <f>IFERROR(__xludf.DUMMYFUNCTION("""COMPUTED_VALUE"""),267.6)</f>
        <v>267.6</v>
      </c>
      <c r="W17" s="203">
        <f>IFERROR(__xludf.DUMMYFUNCTION("""COMPUTED_VALUE"""),0.0)</f>
        <v>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201" t="str">
        <f>IF(AND(B18&lt;&gt;"", C18=TRUE, E18=Report!$B$1), B18, "")</f>
        <v/>
      </c>
      <c r="B18" s="204" t="str">
        <f>IF(OR(E18=Report!$B$1, F18=Report!$B$1, G18=Report!$B$1, H18=Report!$B$1), D18, "")</f>
        <v/>
      </c>
      <c r="C18" s="201" t="b">
        <f>IFERROR(__xludf.DUMMYFUNCTION("""COMPUTED_VALUE"""),FALSE)</f>
        <v>0</v>
      </c>
      <c r="D18" s="201" t="str">
        <f>IFERROR(__xludf.DUMMYFUNCTION("""COMPUTED_VALUE"""),"Stepanenko Solomiia")</f>
        <v>Stepanenko Solomiia</v>
      </c>
      <c r="E18" s="201" t="str">
        <f>IFERROR(__xludf.DUMMYFUNCTION("""COMPUTED_VALUE"""),"Výroba")</f>
        <v>Výroba</v>
      </c>
      <c r="F18" s="201"/>
      <c r="G18" s="201"/>
      <c r="H18" s="20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03">
        <f>IFERROR(__xludf.DUMMYFUNCTION("""COMPUTED_VALUE"""),286.332)</f>
        <v>286.332</v>
      </c>
      <c r="W18" s="203">
        <f>IFERROR(__xludf.DUMMYFUNCTION("""COMPUTED_VALUE"""),0.0)</f>
        <v>0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201" t="str">
        <f>IF(AND(B19&lt;&gt;"", C19=TRUE, E19=Report!$B$1), B19, "")</f>
        <v/>
      </c>
      <c r="B19" s="204" t="str">
        <f>IF(OR(E19=Report!$B$1, F19=Report!$B$1, G19=Report!$B$1, H19=Report!$B$1), D19, "")</f>
        <v/>
      </c>
      <c r="C19" s="201" t="b">
        <f>IFERROR(__xludf.DUMMYFUNCTION("""COMPUTED_VALUE"""),FALSE)</f>
        <v>0</v>
      </c>
      <c r="D19" s="201" t="str">
        <f>IFERROR(__xludf.DUMMYFUNCTION("""COMPUTED_VALUE"""),"Rothová Anastasia")</f>
        <v>Rothová Anastasia</v>
      </c>
      <c r="E19" s="201" t="str">
        <f>IFERROR(__xludf.DUMMYFUNCTION("""COMPUTED_VALUE"""),"Bolevec")</f>
        <v>Bolevec</v>
      </c>
      <c r="F19" s="201"/>
      <c r="G19" s="201"/>
      <c r="H19" s="20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203">
        <f>IFERROR(__xludf.DUMMYFUNCTION("""COMPUTED_VALUE"""),341.19)</f>
        <v>341.19</v>
      </c>
      <c r="W19" s="203">
        <f>IFERROR(__xludf.DUMMYFUNCTION("""COMPUTED_VALUE"""),0.0)</f>
        <v>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201" t="str">
        <f>IF(AND(B20&lt;&gt;"", C20=TRUE, E20=Report!$B$1), B20, "")</f>
        <v/>
      </c>
      <c r="B20" s="204" t="str">
        <f>IF(OR(E20=Report!$B$1, F20=Report!$B$1, G20=Report!$B$1, H20=Report!$B$1), D20, "")</f>
        <v/>
      </c>
      <c r="C20" s="201" t="b">
        <f>IFERROR(__xludf.DUMMYFUNCTION("""COMPUTED_VALUE"""),FALSE)</f>
        <v>0</v>
      </c>
      <c r="D20" s="201" t="str">
        <f>IFERROR(__xludf.DUMMYFUNCTION("""COMPUTED_VALUE"""),"Pánková Vendula")</f>
        <v>Pánková Vendula</v>
      </c>
      <c r="E20" s="201" t="str">
        <f>IFERROR(__xludf.DUMMYFUNCTION("""COMPUTED_VALUE"""),"Zličín")</f>
        <v>Zličín</v>
      </c>
      <c r="F20" s="201"/>
      <c r="G20" s="201"/>
      <c r="H20" s="20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03">
        <f>IFERROR(__xludf.DUMMYFUNCTION("""COMPUTED_VALUE"""),267.6)</f>
        <v>267.6</v>
      </c>
      <c r="W20" s="203">
        <f>IFERROR(__xludf.DUMMYFUNCTION("""COMPUTED_VALUE"""),0.0)</f>
        <v>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201" t="str">
        <f>IF(AND(B21&lt;&gt;"", C21=TRUE, E21=Report!$B$1), B21, "")</f>
        <v/>
      </c>
      <c r="B21" s="204" t="str">
        <f>IF(OR(E21=Report!$B$1, F21=Report!$B$1, G21=Report!$B$1, H21=Report!$B$1), D21, "")</f>
        <v>Hegedüs Erik</v>
      </c>
      <c r="C21" s="201" t="b">
        <f>IFERROR(__xludf.DUMMYFUNCTION("""COMPUTED_VALUE"""),TRUE)</f>
        <v>1</v>
      </c>
      <c r="D21" s="201" t="str">
        <f>IFERROR(__xludf.DUMMYFUNCTION("""COMPUTED_VALUE"""),"Hegedüs Erik")</f>
        <v>Hegedüs Erik</v>
      </c>
      <c r="E21" s="201" t="str">
        <f>IFERROR(__xludf.DUMMYFUNCTION("""COMPUTED_VALUE"""),"Libuš")</f>
        <v>Libuš</v>
      </c>
      <c r="F21" s="201" t="str">
        <f>IFERROR(__xludf.DUMMYFUNCTION("""COMPUTED_VALUE"""),"Chodov")</f>
        <v>Chodov</v>
      </c>
      <c r="G21" s="201" t="str">
        <f>IFERROR(__xludf.DUMMYFUNCTION("""COMPUTED_VALUE"""),"Malešice")</f>
        <v>Malešice</v>
      </c>
      <c r="H21" s="201" t="str">
        <f>IFERROR(__xludf.DUMMYFUNCTION("""COMPUTED_VALUE"""),"Zličín")</f>
        <v>Zličín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03">
        <f>IFERROR(__xludf.DUMMYFUNCTION("""COMPUTED_VALUE"""),432.3078)</f>
        <v>432.3078</v>
      </c>
      <c r="W21" s="203">
        <f>IFERROR(__xludf.DUMMYFUNCTION("""COMPUTED_VALUE"""),2789.082580645161)</f>
        <v>2789.082581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201" t="str">
        <f>IF(AND(B22&lt;&gt;"", C22=TRUE, E22=Report!$B$1), B22, "")</f>
        <v/>
      </c>
      <c r="B22" s="204" t="str">
        <f>IF(OR(E22=Report!$B$1, F22=Report!$B$1, G22=Report!$B$1, H22=Report!$B$1), D22, "")</f>
        <v/>
      </c>
      <c r="C22" s="201" t="b">
        <f>IFERROR(__xludf.DUMMYFUNCTION("""COMPUTED_VALUE"""),TRUE)</f>
        <v>1</v>
      </c>
      <c r="D22" s="201" t="str">
        <f>IFERROR(__xludf.DUMMYFUNCTION("""COMPUTED_VALUE"""),"Roth Stanislav ml.")</f>
        <v>Roth Stanislav ml.</v>
      </c>
      <c r="E22" s="201" t="str">
        <f>IFERROR(__xludf.DUMMYFUNCTION("""COMPUTED_VALUE"""),"Bolevec")</f>
        <v>Bolevec</v>
      </c>
      <c r="F22" s="201"/>
      <c r="G22" s="201"/>
      <c r="H22" s="20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203">
        <f>IFERROR(__xludf.DUMMYFUNCTION("""COMPUTED_VALUE"""),432.3078)</f>
        <v>432.3078</v>
      </c>
      <c r="W22" s="203">
        <f>IFERROR(__xludf.DUMMYFUNCTION("""COMPUTED_VALUE"""),2789.082580645161)</f>
        <v>2789.082581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201" t="str">
        <f>IF(AND(B23&lt;&gt;"", C23=TRUE, E23=Report!$B$1), B23, "")</f>
        <v/>
      </c>
      <c r="B23" s="204" t="str">
        <f>IF(OR(E23=Report!$B$1, F23=Report!$B$1, G23=Report!$B$1, H23=Report!$B$1), D23, "")</f>
        <v/>
      </c>
      <c r="C23" s="201" t="b">
        <f>IFERROR(__xludf.DUMMYFUNCTION("""COMPUTED_VALUE"""),FALSE)</f>
        <v>0</v>
      </c>
      <c r="D23" s="201" t="str">
        <f>IFERROR(__xludf.DUMMYFUNCTION("""COMPUTED_VALUE"""),"Makula Radek")</f>
        <v>Makula Radek</v>
      </c>
      <c r="E23" s="201" t="str">
        <f>IFERROR(__xludf.DUMMYFUNCTION("""COMPUTED_VALUE"""),"Prosek")</f>
        <v>Prosek</v>
      </c>
      <c r="F23" s="201"/>
      <c r="G23" s="201"/>
      <c r="H23" s="20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03">
        <f>IFERROR(__xludf.DUMMYFUNCTION("""COMPUTED_VALUE"""),250.20600000000002)</f>
        <v>250.206</v>
      </c>
      <c r="W23" s="203">
        <f>IFERROR(__xludf.DUMMYFUNCTION("""COMPUTED_VALUE"""),0.0)</f>
        <v>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201" t="str">
        <f>IF(AND(B24&lt;&gt;"", C24=TRUE, E24=Report!$B$1), B24, "")</f>
        <v/>
      </c>
      <c r="B24" s="204" t="str">
        <f>IF(OR(E24=Report!$B$1, F24=Report!$B$1, G24=Report!$B$1, H24=Report!$B$1), D24, "")</f>
        <v/>
      </c>
      <c r="C24" s="201" t="b">
        <f>IFERROR(__xludf.DUMMYFUNCTION("""COMPUTED_VALUE"""),FALSE)</f>
        <v>0</v>
      </c>
      <c r="D24" s="201" t="str">
        <f>IFERROR(__xludf.DUMMYFUNCTION("""COMPUTED_VALUE"""),"Bubník Martin")</f>
        <v>Bubník Martin</v>
      </c>
      <c r="E24" s="201" t="str">
        <f>IFERROR(__xludf.DUMMYFUNCTION("""COMPUTED_VALUE"""),"Libuš")</f>
        <v>Libuš</v>
      </c>
      <c r="F24" s="201" t="str">
        <f>IFERROR(__xludf.DUMMYFUNCTION("""COMPUTED_VALUE"""),"Malešice")</f>
        <v>Malešice</v>
      </c>
      <c r="G24" s="201"/>
      <c r="H24" s="20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03">
        <f>IFERROR(__xludf.DUMMYFUNCTION("""COMPUTED_VALUE"""),267.6)</f>
        <v>267.6</v>
      </c>
      <c r="W24" s="203">
        <f>IFERROR(__xludf.DUMMYFUNCTION("""COMPUTED_VALUE"""),0.0)</f>
        <v>0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201" t="str">
        <f>IF(AND(B25&lt;&gt;"", C25=TRUE, E25=Report!$B$1), B25, "")</f>
        <v/>
      </c>
      <c r="B25" s="204" t="str">
        <f>IF(OR(E25=Report!$B$1, F25=Report!$B$1, G25=Report!$B$1, H25=Report!$B$1), D25, "")</f>
        <v/>
      </c>
      <c r="C25" s="201" t="b">
        <f>IFERROR(__xludf.DUMMYFUNCTION("""COMPUTED_VALUE"""),FALSE)</f>
        <v>0</v>
      </c>
      <c r="D25" s="201" t="str">
        <f>IFERROR(__xludf.DUMMYFUNCTION("""COMPUTED_VALUE"""),"Mirga Simon")</f>
        <v>Mirga Simon</v>
      </c>
      <c r="E25" s="201" t="str">
        <f>IFERROR(__xludf.DUMMYFUNCTION("""COMPUTED_VALUE"""),"Malešice")</f>
        <v>Malešice</v>
      </c>
      <c r="F25" s="201"/>
      <c r="G25" s="201"/>
      <c r="H25" s="20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203">
        <f>IFERROR(__xludf.DUMMYFUNCTION("""COMPUTED_VALUE"""),231.474)</f>
        <v>231.474</v>
      </c>
      <c r="W25" s="203">
        <f>IFERROR(__xludf.DUMMYFUNCTION("""COMPUTED_VALUE"""),0.0)</f>
        <v>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201" t="str">
        <f>IF(AND(B26&lt;&gt;"", C26=TRUE, E26=Report!$B$1), B26, "")</f>
        <v/>
      </c>
      <c r="B26" s="204" t="str">
        <f>IF(OR(E26=Report!$B$1, F26=Report!$B$1, G26=Report!$B$1, H26=Report!$B$1), D26, "")</f>
        <v/>
      </c>
      <c r="C26" s="201" t="b">
        <f>IFERROR(__xludf.DUMMYFUNCTION("""COMPUTED_VALUE"""),FALSE)</f>
        <v>0</v>
      </c>
      <c r="D26" s="201"/>
      <c r="E26" s="201"/>
      <c r="F26" s="201"/>
      <c r="G26" s="201"/>
      <c r="H26" s="20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03">
        <f>IFERROR(__xludf.DUMMYFUNCTION("""COMPUTED_VALUE"""),0.0)</f>
        <v>0</v>
      </c>
      <c r="W26" s="203">
        <f>IFERROR(__xludf.DUMMYFUNCTION("""COMPUTED_VALUE"""),0.0)</f>
        <v>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201" t="str">
        <f>IF(AND(B27&lt;&gt;"", C27=TRUE, E27=Report!$B$1), B27, "")</f>
        <v/>
      </c>
      <c r="B27" s="204" t="str">
        <f>IF(OR(E27=Report!$B$1, F27=Report!$B$1, G27=Report!$B$1, H27=Report!$B$1), D27, "")</f>
        <v/>
      </c>
      <c r="C27" s="201" t="b">
        <f>IFERROR(__xludf.DUMMYFUNCTION("""COMPUTED_VALUE"""),FALSE)</f>
        <v>0</v>
      </c>
      <c r="D27" s="201" t="str">
        <f>IFERROR(__xludf.DUMMYFUNCTION("""COMPUTED_VALUE"""),"Berdar Vasyl")</f>
        <v>Berdar Vasyl</v>
      </c>
      <c r="E27" s="201" t="str">
        <f>IFERROR(__xludf.DUMMYFUNCTION("""COMPUTED_VALUE"""),"Libuš")</f>
        <v>Libuš</v>
      </c>
      <c r="F27" s="201"/>
      <c r="G27" s="201"/>
      <c r="H27" s="20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203">
        <f>IFERROR(__xludf.DUMMYFUNCTION("""COMPUTED_VALUE"""),286.332)</f>
        <v>286.332</v>
      </c>
      <c r="W27" s="203">
        <f>IFERROR(__xludf.DUMMYFUNCTION("""COMPUTED_VALUE"""),0.0)</f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201" t="str">
        <f>IF(AND(B28&lt;&gt;"", C28=TRUE, E28=Report!$B$1), B28, "")</f>
        <v/>
      </c>
      <c r="B28" s="204" t="str">
        <f>IF(OR(E28=Report!$B$1, F28=Report!$B$1, G28=Report!$B$1, H28=Report!$B$1), D28, "")</f>
        <v>Yarushynskyi Vladyslav</v>
      </c>
      <c r="C28" s="201" t="b">
        <f>IFERROR(__xludf.DUMMYFUNCTION("""COMPUTED_VALUE"""),FALSE)</f>
        <v>0</v>
      </c>
      <c r="D28" s="201" t="str">
        <f>IFERROR(__xludf.DUMMYFUNCTION("""COMPUTED_VALUE"""),"Yarushynskyi Vladyslav")</f>
        <v>Yarushynskyi Vladyslav</v>
      </c>
      <c r="E28" s="201" t="str">
        <f>IFERROR(__xludf.DUMMYFUNCTION("""COMPUTED_VALUE"""),"Malešice")</f>
        <v>Malešice</v>
      </c>
      <c r="F28" s="201" t="str">
        <f>IFERROR(__xludf.DUMMYFUNCTION("""COMPUTED_VALUE"""),"Chodov")</f>
        <v>Chodov</v>
      </c>
      <c r="G28" s="201" t="str">
        <f>IFERROR(__xludf.DUMMYFUNCTION("""COMPUTED_VALUE"""),"Zličín")</f>
        <v>Zličín</v>
      </c>
      <c r="H28" s="201" t="str">
        <f>IFERROR(__xludf.DUMMYFUNCTION("""COMPUTED_VALUE"""),"Prosek")</f>
        <v>Prosek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203">
        <f>IFERROR(__xludf.DUMMYFUNCTION("""COMPUTED_VALUE"""),267.6)</f>
        <v>267.6</v>
      </c>
      <c r="W28" s="203">
        <f>IFERROR(__xludf.DUMMYFUNCTION("""COMPUTED_VALUE"""),0.0)</f>
        <v>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201" t="str">
        <f>IF(AND(B29&lt;&gt;"", C29=TRUE, E29=Report!$B$1), B29, "")</f>
        <v/>
      </c>
      <c r="B29" s="204" t="str">
        <f>IF(OR(E29=Report!$B$1, F29=Report!$B$1, G29=Report!$B$1, H29=Report!$B$1), D29, "")</f>
        <v/>
      </c>
      <c r="C29" s="201" t="b">
        <f>IFERROR(__xludf.DUMMYFUNCTION("""COMPUTED_VALUE"""),FALSE)</f>
        <v>0</v>
      </c>
      <c r="D29" s="201" t="str">
        <f>IFERROR(__xludf.DUMMYFUNCTION("""COMPUTED_VALUE"""),"Raboch Tomáš")</f>
        <v>Raboch Tomáš</v>
      </c>
      <c r="E29" s="201" t="str">
        <f>IFERROR(__xludf.DUMMYFUNCTION("""COMPUTED_VALUE"""),"Bolevec")</f>
        <v>Bolevec</v>
      </c>
      <c r="F29" s="201"/>
      <c r="G29" s="201"/>
      <c r="H29" s="20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203">
        <f>IFERROR(__xludf.DUMMYFUNCTION("""COMPUTED_VALUE"""),250.20600000000002)</f>
        <v>250.206</v>
      </c>
      <c r="W29" s="203">
        <f>IFERROR(__xludf.DUMMYFUNCTION("""COMPUTED_VALUE"""),0.0)</f>
        <v>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201" t="str">
        <f>IF(AND(B30&lt;&gt;"", C30=TRUE, E30=Report!$B$1), B30, "")</f>
        <v/>
      </c>
      <c r="B30" s="204" t="str">
        <f>IF(OR(E30=Report!$B$1, F30=Report!$B$1, G30=Report!$B$1, H30=Report!$B$1), D30, "")</f>
        <v>Židek Petr</v>
      </c>
      <c r="C30" s="201" t="b">
        <f>IFERROR(__xludf.DUMMYFUNCTION("""COMPUTED_VALUE"""),FALSE)</f>
        <v>0</v>
      </c>
      <c r="D30" s="201" t="str">
        <f>IFERROR(__xludf.DUMMYFUNCTION("""COMPUTED_VALUE"""),"Židek Petr")</f>
        <v>Židek Petr</v>
      </c>
      <c r="E30" s="201" t="str">
        <f>IFERROR(__xludf.DUMMYFUNCTION("""COMPUTED_VALUE"""),"Chodov")</f>
        <v>Chodov</v>
      </c>
      <c r="F30" s="201"/>
      <c r="G30" s="201"/>
      <c r="H30" s="20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03">
        <f>IFERROR(__xludf.DUMMYFUNCTION("""COMPUTED_VALUE"""),250.20600000000002)</f>
        <v>250.206</v>
      </c>
      <c r="W30" s="203">
        <f>IFERROR(__xludf.DUMMYFUNCTION("""COMPUTED_VALUE"""),0.0)</f>
        <v>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201" t="str">
        <f>IF(AND(B31&lt;&gt;"", C31=TRUE, E31=Report!$B$1), B31, "")</f>
        <v/>
      </c>
      <c r="B31" s="204" t="str">
        <f>IF(OR(E31=Report!$B$1, F31=Report!$B$1, G31=Report!$B$1, H31=Report!$B$1), D31, "")</f>
        <v/>
      </c>
      <c r="C31" s="201" t="b">
        <f>IFERROR(__xludf.DUMMYFUNCTION("""COMPUTED_VALUE"""),FALSE)</f>
        <v>0</v>
      </c>
      <c r="D31" s="201" t="str">
        <f>IFERROR(__xludf.DUMMYFUNCTION("""COMPUTED_VALUE"""),"Gorol Patrik")</f>
        <v>Gorol Patrik</v>
      </c>
      <c r="E31" s="201" t="str">
        <f>IFERROR(__xludf.DUMMYFUNCTION("""COMPUTED_VALUE"""),"Malešice")</f>
        <v>Malešice</v>
      </c>
      <c r="F31" s="201" t="str">
        <f>IFERROR(__xludf.DUMMYFUNCTION("""COMPUTED_VALUE"""),"Libuš")</f>
        <v>Libuš</v>
      </c>
      <c r="G31" s="201" t="str">
        <f>IFERROR(__xludf.DUMMYFUNCTION("""COMPUTED_VALUE"""),"Prosek")</f>
        <v>Prosek</v>
      </c>
      <c r="H31" s="20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03">
        <f>IFERROR(__xludf.DUMMYFUNCTION("""COMPUTED_VALUE"""),231.474)</f>
        <v>231.474</v>
      </c>
      <c r="W31" s="203">
        <f>IFERROR(__xludf.DUMMYFUNCTION("""COMPUTED_VALUE"""),0.0)</f>
        <v>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201" t="str">
        <f>IF(AND(B32&lt;&gt;"", C32=TRUE, E32=Report!$B$1), B32, "")</f>
        <v/>
      </c>
      <c r="B32" s="204" t="str">
        <f>IF(OR(E32=Report!$B$1, F32=Report!$B$1, G32=Report!$B$1, H32=Report!$B$1), D32, "")</f>
        <v/>
      </c>
      <c r="C32" s="201" t="b">
        <f>IFERROR(__xludf.DUMMYFUNCTION("""COMPUTED_VALUE"""),FALSE)</f>
        <v>0</v>
      </c>
      <c r="D32" s="201" t="str">
        <f>IFERROR(__xludf.DUMMYFUNCTION("""COMPUTED_VALUE"""),"Kratochvíl Kryštof")</f>
        <v>Kratochvíl Kryštof</v>
      </c>
      <c r="E32" s="201" t="str">
        <f>IFERROR(__xludf.DUMMYFUNCTION("""COMPUTED_VALUE"""),"Bolevec")</f>
        <v>Bolevec</v>
      </c>
      <c r="F32" s="201"/>
      <c r="G32" s="201"/>
      <c r="H32" s="20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203">
        <f>IFERROR(__xludf.DUMMYFUNCTION("""COMPUTED_VALUE"""),267.6)</f>
        <v>267.6</v>
      </c>
      <c r="W32" s="203">
        <f>IFERROR(__xludf.DUMMYFUNCTION("""COMPUTED_VALUE"""),0.0)</f>
        <v>0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201" t="str">
        <f>IF(AND(B33&lt;&gt;"", C33=TRUE, E33=Report!$B$1), B33, "")</f>
        <v/>
      </c>
      <c r="B33" s="204" t="str">
        <f>IF(OR(E33=Report!$B$1, F33=Report!$B$1, G33=Report!$B$1, H33=Report!$B$1), D33, "")</f>
        <v/>
      </c>
      <c r="C33" s="201" t="b">
        <f>IFERROR(__xludf.DUMMYFUNCTION("""COMPUTED_VALUE"""),FALSE)</f>
        <v>0</v>
      </c>
      <c r="D33" s="201" t="str">
        <f>IFERROR(__xludf.DUMMYFUNCTION("""COMPUTED_VALUE"""),"Hegedüs Gergö")</f>
        <v>Hegedüs Gergö</v>
      </c>
      <c r="E33" s="201" t="str">
        <f>IFERROR(__xludf.DUMMYFUNCTION("""COMPUTED_VALUE"""),"Libuš")</f>
        <v>Libuš</v>
      </c>
      <c r="F33" s="201"/>
      <c r="G33" s="201"/>
      <c r="H33" s="20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203">
        <f>IFERROR(__xludf.DUMMYFUNCTION("""COMPUTED_VALUE"""),214.08)</f>
        <v>214.08</v>
      </c>
      <c r="W33" s="203">
        <f>IFERROR(__xludf.DUMMYFUNCTION("""COMPUTED_VALUE"""),0.0)</f>
        <v>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201" t="str">
        <f>IF(AND(B34&lt;&gt;"", C34=TRUE, E34=Report!$B$1), B34, "")</f>
        <v/>
      </c>
      <c r="B34" s="204" t="str">
        <f>IF(OR(E34=Report!$B$1, F34=Report!$B$1, G34=Report!$B$1, H34=Report!$B$1), D34, "")</f>
        <v/>
      </c>
      <c r="C34" s="201" t="b">
        <f>IFERROR(__xludf.DUMMYFUNCTION("""COMPUTED_VALUE"""),FALSE)</f>
        <v>0</v>
      </c>
      <c r="D34" s="201" t="str">
        <f>IFERROR(__xludf.DUMMYFUNCTION("""COMPUTED_VALUE"""),"Barvínková Eliška")</f>
        <v>Barvínková Eliška</v>
      </c>
      <c r="E34" s="201" t="str">
        <f>IFERROR(__xludf.DUMMYFUNCTION("""COMPUTED_VALUE"""),"Libuš")</f>
        <v>Libuš</v>
      </c>
      <c r="F34" s="201"/>
      <c r="G34" s="201"/>
      <c r="H34" s="20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03">
        <f>IFERROR(__xludf.DUMMYFUNCTION("""COMPUTED_VALUE"""),231.474)</f>
        <v>231.474</v>
      </c>
      <c r="W34" s="203">
        <f>IFERROR(__xludf.DUMMYFUNCTION("""COMPUTED_VALUE"""),0.0)</f>
        <v>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201" t="str">
        <f>IF(AND(B35&lt;&gt;"", C35=TRUE, E35=Report!$B$1), B35, "")</f>
        <v/>
      </c>
      <c r="B35" s="204" t="str">
        <f>IF(OR(E35=Report!$B$1, F35=Report!$B$1, G35=Report!$B$1, H35=Report!$B$1), D35, "")</f>
        <v>Kursheva Diana</v>
      </c>
      <c r="C35" s="201" t="b">
        <f>IFERROR(__xludf.DUMMYFUNCTION("""COMPUTED_VALUE"""),FALSE)</f>
        <v>0</v>
      </c>
      <c r="D35" s="201" t="str">
        <f>IFERROR(__xludf.DUMMYFUNCTION("""COMPUTED_VALUE"""),"Kursheva Diana")</f>
        <v>Kursheva Diana</v>
      </c>
      <c r="E35" s="201" t="str">
        <f>IFERROR(__xludf.DUMMYFUNCTION("""COMPUTED_VALUE"""),"Výroba")</f>
        <v>Výroba</v>
      </c>
      <c r="F35" s="201" t="str">
        <f>IFERROR(__xludf.DUMMYFUNCTION("""COMPUTED_VALUE"""),"Chodov")</f>
        <v>Chodov</v>
      </c>
      <c r="G35" s="201"/>
      <c r="H35" s="20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203">
        <f>IFERROR(__xludf.DUMMYFUNCTION("""COMPUTED_VALUE"""),250.20600000000002)</f>
        <v>250.206</v>
      </c>
      <c r="W35" s="203">
        <f>IFERROR(__xludf.DUMMYFUNCTION("""COMPUTED_VALUE"""),0.0)</f>
        <v>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201" t="str">
        <f>IF(AND(B36&lt;&gt;"", C36=TRUE, E36=Report!$B$1), B36, "")</f>
        <v/>
      </c>
      <c r="B36" s="204" t="str">
        <f>IF(OR(E36=Report!$B$1, F36=Report!$B$1, G36=Report!$B$1, H36=Report!$B$1), D36, "")</f>
        <v/>
      </c>
      <c r="C36" s="201" t="b">
        <f>IFERROR(__xludf.DUMMYFUNCTION("""COMPUTED_VALUE"""),FALSE)</f>
        <v>0</v>
      </c>
      <c r="D36" s="201" t="str">
        <f>IFERROR(__xludf.DUMMYFUNCTION("""COMPUTED_VALUE"""),"Tůma Vladimír")</f>
        <v>Tůma Vladimír</v>
      </c>
      <c r="E36" s="201" t="str">
        <f>IFERROR(__xludf.DUMMYFUNCTION("""COMPUTED_VALUE"""),"Bolevec")</f>
        <v>Bolevec</v>
      </c>
      <c r="F36" s="201"/>
      <c r="G36" s="201"/>
      <c r="H36" s="20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03">
        <f>IFERROR(__xludf.DUMMYFUNCTION("""COMPUTED_VALUE"""),250.20600000000002)</f>
        <v>250.206</v>
      </c>
      <c r="W36" s="203">
        <f>IFERROR(__xludf.DUMMYFUNCTION("""COMPUTED_VALUE"""),0.0)</f>
        <v>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201" t="str">
        <f>IF(AND(B37&lt;&gt;"", C37=TRUE, E37=Report!$B$1), B37, "")</f>
        <v/>
      </c>
      <c r="B37" s="204" t="str">
        <f>IF(OR(E37=Report!$B$1, F37=Report!$B$1, G37=Report!$B$1, H37=Report!$B$1), D37, "")</f>
        <v/>
      </c>
      <c r="C37" s="201" t="b">
        <f>IFERROR(__xludf.DUMMYFUNCTION("""COMPUTED_VALUE"""),FALSE)</f>
        <v>0</v>
      </c>
      <c r="D37" s="201" t="str">
        <f>IFERROR(__xludf.DUMMYFUNCTION("""COMPUTED_VALUE"""),"Kubík Martin")</f>
        <v>Kubík Martin</v>
      </c>
      <c r="E37" s="201" t="str">
        <f>IFERROR(__xludf.DUMMYFUNCTION("""COMPUTED_VALUE"""),"Libuš")</f>
        <v>Libuš</v>
      </c>
      <c r="F37" s="201"/>
      <c r="G37" s="201"/>
      <c r="H37" s="20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03">
        <f>IFERROR(__xludf.DUMMYFUNCTION("""COMPUTED_VALUE"""),250.20600000000002)</f>
        <v>250.206</v>
      </c>
      <c r="W37" s="203">
        <f>IFERROR(__xludf.DUMMYFUNCTION("""COMPUTED_VALUE"""),0.0)</f>
        <v>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201" t="str">
        <f>IF(AND(B38&lt;&gt;"", C38=TRUE, E38=Report!$B$1), B38, "")</f>
        <v/>
      </c>
      <c r="B38" s="204" t="str">
        <f>IF(OR(E38=Report!$B$1, F38=Report!$B$1, G38=Report!$B$1, H38=Report!$B$1), D38, "")</f>
        <v/>
      </c>
      <c r="C38" s="201" t="b">
        <f>IFERROR(__xludf.DUMMYFUNCTION("""COMPUTED_VALUE"""),FALSE)</f>
        <v>0</v>
      </c>
      <c r="D38" s="201" t="str">
        <f>IFERROR(__xludf.DUMMYFUNCTION("""COMPUTED_VALUE"""),"Putna Jaroslav")</f>
        <v>Putna Jaroslav</v>
      </c>
      <c r="E38" s="201" t="str">
        <f>IFERROR(__xludf.DUMMYFUNCTION("""COMPUTED_VALUE"""),"Zličín")</f>
        <v>Zličín</v>
      </c>
      <c r="F38" s="201" t="str">
        <f>IFERROR(__xludf.DUMMYFUNCTION("""COMPUTED_VALUE"""),"Prosek")</f>
        <v>Prosek</v>
      </c>
      <c r="G38" s="201"/>
      <c r="H38" s="20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203">
        <f>IFERROR(__xludf.DUMMYFUNCTION("""COMPUTED_VALUE"""),250.20600000000002)</f>
        <v>250.206</v>
      </c>
      <c r="W38" s="203">
        <f>IFERROR(__xludf.DUMMYFUNCTION("""COMPUTED_VALUE"""),0.0)</f>
        <v>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201" t="str">
        <f>IF(AND(B39&lt;&gt;"", C39=TRUE, E39=Report!$B$1), B39, "")</f>
        <v/>
      </c>
      <c r="B39" s="204" t="str">
        <f>IF(OR(E39=Report!$B$1, F39=Report!$B$1, G39=Report!$B$1, H39=Report!$B$1), D39, "")</f>
        <v/>
      </c>
      <c r="C39" s="201" t="b">
        <f>IFERROR(__xludf.DUMMYFUNCTION("""COMPUTED_VALUE"""),FALSE)</f>
        <v>0</v>
      </c>
      <c r="D39" s="201" t="str">
        <f>IFERROR(__xludf.DUMMYFUNCTION("""COMPUTED_VALUE"""),"Kopic Jakub")</f>
        <v>Kopic Jakub</v>
      </c>
      <c r="E39" s="201" t="str">
        <f>IFERROR(__xludf.DUMMYFUNCTION("""COMPUTED_VALUE"""),"Malešice")</f>
        <v>Malešice</v>
      </c>
      <c r="F39" s="201" t="str">
        <f>IFERROR(__xludf.DUMMYFUNCTION("""COMPUTED_VALUE"""),"Prosek")</f>
        <v>Prosek</v>
      </c>
      <c r="G39" s="201" t="str">
        <f>IFERROR(__xludf.DUMMYFUNCTION("""COMPUTED_VALUE"""),"Libuš")</f>
        <v>Libuš</v>
      </c>
      <c r="H39" s="201" t="str">
        <f>IFERROR(__xludf.DUMMYFUNCTION("""COMPUTED_VALUE"""),"Prosek")</f>
        <v>Prosek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203">
        <f>IFERROR(__xludf.DUMMYFUNCTION("""COMPUTED_VALUE"""),250.20600000000002)</f>
        <v>250.206</v>
      </c>
      <c r="W39" s="203">
        <f>IFERROR(__xludf.DUMMYFUNCTION("""COMPUTED_VALUE"""),0.0)</f>
        <v>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201" t="str">
        <f>IF(AND(B40&lt;&gt;"", C40=TRUE, E40=Report!$B$1), B40, "")</f>
        <v/>
      </c>
      <c r="B40" s="204" t="str">
        <f>IF(OR(E40=Report!$B$1, F40=Report!$B$1, G40=Report!$B$1, H40=Report!$B$1), D40, "")</f>
        <v/>
      </c>
      <c r="C40" s="201" t="b">
        <f>IFERROR(__xludf.DUMMYFUNCTION("""COMPUTED_VALUE"""),FALSE)</f>
        <v>0</v>
      </c>
      <c r="D40" s="201" t="str">
        <f>IFERROR(__xludf.DUMMYFUNCTION("""COMPUTED_VALUE"""),"Fáberová Kateřina")</f>
        <v>Fáberová Kateřina</v>
      </c>
      <c r="E40" s="201" t="str">
        <f>IFERROR(__xludf.DUMMYFUNCTION("""COMPUTED_VALUE"""),"Prosek")</f>
        <v>Prosek</v>
      </c>
      <c r="F40" s="201"/>
      <c r="G40" s="201"/>
      <c r="H40" s="20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203">
        <f>IFERROR(__xludf.DUMMYFUNCTION("""COMPUTED_VALUE"""),250.20600000000002)</f>
        <v>250.206</v>
      </c>
      <c r="W40" s="203">
        <f>IFERROR(__xludf.DUMMYFUNCTION("""COMPUTED_VALUE"""),0.0)</f>
        <v>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201" t="str">
        <f>IF(AND(B41&lt;&gt;"", C41=TRUE, E41=Report!$B$1), B41, "")</f>
        <v/>
      </c>
      <c r="B41" s="204" t="str">
        <f>IF(OR(E41=Report!$B$1, F41=Report!$B$1, G41=Report!$B$1, H41=Report!$B$1), D41, "")</f>
        <v>Chlubnová Adéla</v>
      </c>
      <c r="C41" s="201" t="b">
        <f>IFERROR(__xludf.DUMMYFUNCTION("""COMPUTED_VALUE"""),FALSE)</f>
        <v>0</v>
      </c>
      <c r="D41" s="201" t="str">
        <f>IFERROR(__xludf.DUMMYFUNCTION("""COMPUTED_VALUE"""),"Chlubnová Adéla")</f>
        <v>Chlubnová Adéla</v>
      </c>
      <c r="E41" s="201" t="str">
        <f>IFERROR(__xludf.DUMMYFUNCTION("""COMPUTED_VALUE"""),"Chodov")</f>
        <v>Chodov</v>
      </c>
      <c r="F41" s="201"/>
      <c r="G41" s="201"/>
      <c r="H41" s="20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203">
        <f>IFERROR(__xludf.DUMMYFUNCTION("""COMPUTED_VALUE"""),250.20600000000002)</f>
        <v>250.206</v>
      </c>
      <c r="W41" s="203">
        <f>IFERROR(__xludf.DUMMYFUNCTION("""COMPUTED_VALUE"""),0.0)</f>
        <v>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201" t="str">
        <f>IF(AND(B42&lt;&gt;"", C42=TRUE, E42=Report!$B$1), B42, "")</f>
        <v/>
      </c>
      <c r="B42" s="204" t="str">
        <f>IF(OR(E42=Report!$B$1, F42=Report!$B$1, G42=Report!$B$1, H42=Report!$B$1), D42, "")</f>
        <v/>
      </c>
      <c r="C42" s="201" t="b">
        <f>IFERROR(__xludf.DUMMYFUNCTION("""COMPUTED_VALUE"""),FALSE)</f>
        <v>0</v>
      </c>
      <c r="D42" s="201"/>
      <c r="E42" s="201"/>
      <c r="F42" s="201"/>
      <c r="G42" s="201"/>
      <c r="H42" s="20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203">
        <f>IFERROR(__xludf.DUMMYFUNCTION("""COMPUTED_VALUE"""),0.0)</f>
        <v>0</v>
      </c>
      <c r="W42" s="203">
        <f>IFERROR(__xludf.DUMMYFUNCTION("""COMPUTED_VALUE"""),0.0)</f>
        <v>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201" t="str">
        <f>IF(AND(B43&lt;&gt;"", C43=TRUE, E43=Report!$B$1), B43, "")</f>
        <v/>
      </c>
      <c r="B43" s="204" t="str">
        <f>IF(OR(E43=Report!$B$1, F43=Report!$B$1, G43=Report!$B$1, H43=Report!$B$1), D43, "")</f>
        <v/>
      </c>
      <c r="C43" s="201" t="b">
        <f>IFERROR(__xludf.DUMMYFUNCTION("""COMPUTED_VALUE"""),FALSE)</f>
        <v>0</v>
      </c>
      <c r="D43" s="201"/>
      <c r="E43" s="201"/>
      <c r="F43" s="201"/>
      <c r="G43" s="201"/>
      <c r="H43" s="20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203">
        <f>IFERROR(__xludf.DUMMYFUNCTION("""COMPUTED_VALUE"""),0.0)</f>
        <v>0</v>
      </c>
      <c r="W43" s="203">
        <f>IFERROR(__xludf.DUMMYFUNCTION("""COMPUTED_VALUE"""),0.0)</f>
        <v>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201"/>
      <c r="B44" s="201" t="str">
        <f>IF(OR(E44=Report!$B$1, F44=Report!$B$1, G44=Report!$B$1, H44=Report!$B$1), D44, "")</f>
        <v/>
      </c>
      <c r="C44" s="201" t="b">
        <f>IFERROR(__xludf.DUMMYFUNCTION("""COMPUTED_VALUE"""),FALSE)</f>
        <v>0</v>
      </c>
      <c r="D44" s="201"/>
      <c r="E44" s="201"/>
      <c r="F44" s="201"/>
      <c r="G44" s="201"/>
      <c r="H44" s="20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03">
        <f>IFERROR(__xludf.DUMMYFUNCTION("""COMPUTED_VALUE"""),0.0)</f>
        <v>0</v>
      </c>
      <c r="W44" s="203">
        <f>IFERROR(__xludf.DUMMYFUNCTION("""COMPUTED_VALUE"""),0.0)</f>
        <v>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201"/>
      <c r="B45" s="201" t="str">
        <f>IF(OR(E45=Report!$B$1, F45=Report!$B$1, G45=Report!$B$1, H45=Report!$B$1), D45, "")</f>
        <v/>
      </c>
      <c r="C45" s="201" t="b">
        <f>IFERROR(__xludf.DUMMYFUNCTION("""COMPUTED_VALUE"""),FALSE)</f>
        <v>0</v>
      </c>
      <c r="D45" s="201"/>
      <c r="E45" s="201"/>
      <c r="F45" s="201"/>
      <c r="G45" s="201"/>
      <c r="H45" s="20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03">
        <f>IFERROR(__xludf.DUMMYFUNCTION("""COMPUTED_VALUE"""),0.0)</f>
        <v>0</v>
      </c>
      <c r="W45" s="203">
        <f>IFERROR(__xludf.DUMMYFUNCTION("""COMPUTED_VALUE"""),0.0)</f>
        <v>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201"/>
      <c r="B46" s="201" t="str">
        <f>IF(OR(E46=Report!$B$1, F46=Report!$B$1, G46=Report!$B$1, H46=Report!$B$1), D46, "")</f>
        <v/>
      </c>
      <c r="C46" s="201" t="b">
        <f>IFERROR(__xludf.DUMMYFUNCTION("""COMPUTED_VALUE"""),FALSE)</f>
        <v>0</v>
      </c>
      <c r="D46" s="201"/>
      <c r="E46" s="201"/>
      <c r="F46" s="201"/>
      <c r="G46" s="201"/>
      <c r="H46" s="20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203">
        <f>IFERROR(__xludf.DUMMYFUNCTION("""COMPUTED_VALUE"""),0.0)</f>
        <v>0</v>
      </c>
      <c r="W46" s="203">
        <f>IFERROR(__xludf.DUMMYFUNCTION("""COMPUTED_VALUE"""),0.0)</f>
        <v>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201"/>
      <c r="B47" s="201" t="str">
        <f>IF(OR(E47=Report!$B$1, F47=Report!$B$1, G47=Report!$B$1, H47=Report!$B$1), D47, "")</f>
        <v/>
      </c>
      <c r="C47" s="201" t="b">
        <f>IFERROR(__xludf.DUMMYFUNCTION("""COMPUTED_VALUE"""),FALSE)</f>
        <v>0</v>
      </c>
      <c r="D47" s="201"/>
      <c r="E47" s="201"/>
      <c r="F47" s="201"/>
      <c r="G47" s="201"/>
      <c r="H47" s="20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03">
        <f>IFERROR(__xludf.DUMMYFUNCTION("""COMPUTED_VALUE"""),0.0)</f>
        <v>0</v>
      </c>
      <c r="W47" s="203">
        <f>IFERROR(__xludf.DUMMYFUNCTION("""COMPUTED_VALUE"""),0.0)</f>
        <v>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201"/>
      <c r="B48" s="201" t="str">
        <f>IF(OR(E48=Report!$B$1, F48=Report!$B$1, G48=Report!$B$1, H48=Report!$B$1), D48, "")</f>
        <v/>
      </c>
      <c r="C48" s="201" t="b">
        <f>IFERROR(__xludf.DUMMYFUNCTION("""COMPUTED_VALUE"""),FALSE)</f>
        <v>0</v>
      </c>
      <c r="D48" s="201"/>
      <c r="E48" s="201"/>
      <c r="F48" s="201"/>
      <c r="G48" s="201"/>
      <c r="H48" s="20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203">
        <f>IFERROR(__xludf.DUMMYFUNCTION("""COMPUTED_VALUE"""),0.0)</f>
        <v>0</v>
      </c>
      <c r="W48" s="203">
        <f>IFERROR(__xludf.DUMMYFUNCTION("""COMPUTED_VALUE"""),0.0)</f>
        <v>0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201"/>
      <c r="B49" s="201" t="str">
        <f>IF(OR(E49=Report!$B$1, F49=Report!$B$1, G49=Report!$B$1, H49=Report!$B$1), D49, "")</f>
        <v/>
      </c>
      <c r="C49" s="201" t="b">
        <f>IFERROR(__xludf.DUMMYFUNCTION("""COMPUTED_VALUE"""),FALSE)</f>
        <v>0</v>
      </c>
      <c r="D49" s="201"/>
      <c r="E49" s="201"/>
      <c r="F49" s="201"/>
      <c r="G49" s="201"/>
      <c r="H49" s="20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03">
        <f>IFERROR(__xludf.DUMMYFUNCTION("""COMPUTED_VALUE"""),0.0)</f>
        <v>0</v>
      </c>
      <c r="W49" s="203">
        <f>IFERROR(__xludf.DUMMYFUNCTION("""COMPUTED_VALUE"""),0.0)</f>
        <v>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201"/>
      <c r="B50" s="201" t="str">
        <f>IF(OR(E50=Report!$B$1, F50=Report!$B$1, G50=Report!$B$1, H50=Report!$B$1), D50, "")</f>
        <v/>
      </c>
      <c r="C50" s="201" t="b">
        <f>IFERROR(__xludf.DUMMYFUNCTION("""COMPUTED_VALUE"""),FALSE)</f>
        <v>0</v>
      </c>
      <c r="D50" s="201"/>
      <c r="E50" s="201"/>
      <c r="F50" s="201"/>
      <c r="G50" s="201"/>
      <c r="H50" s="20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203">
        <f>IFERROR(__xludf.DUMMYFUNCTION("""COMPUTED_VALUE"""),0.0)</f>
        <v>0</v>
      </c>
      <c r="W50" s="203">
        <f>IFERROR(__xludf.DUMMYFUNCTION("""COMPUTED_VALUE"""),0.0)</f>
        <v>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201"/>
      <c r="B51" s="201" t="str">
        <f>IF(OR(E51=Report!$B$1, F51=Report!$B$1, G51=Report!$B$1, H51=Report!$B$1), D51, "")</f>
        <v/>
      </c>
      <c r="C51" s="201" t="b">
        <f>IFERROR(__xludf.DUMMYFUNCTION("""COMPUTED_VALUE"""),FALSE)</f>
        <v>0</v>
      </c>
      <c r="D51" s="201"/>
      <c r="E51" s="201"/>
      <c r="F51" s="201"/>
      <c r="G51" s="201"/>
      <c r="H51" s="20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03">
        <f>IFERROR(__xludf.DUMMYFUNCTION("""COMPUTED_VALUE"""),0.0)</f>
        <v>0</v>
      </c>
      <c r="W51" s="203">
        <f>IFERROR(__xludf.DUMMYFUNCTION("""COMPUTED_VALUE"""),0.0)</f>
        <v>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201"/>
      <c r="B52" s="201" t="str">
        <f>IF(OR(E52=Report!$B$1, F52=Report!$B$1, G52=Report!$B$1, H52=Report!$B$1), D52, "")</f>
        <v/>
      </c>
      <c r="C52" s="201" t="b">
        <f>IFERROR(__xludf.DUMMYFUNCTION("""COMPUTED_VALUE"""),FALSE)</f>
        <v>0</v>
      </c>
      <c r="D52" s="201"/>
      <c r="E52" s="201"/>
      <c r="F52" s="201"/>
      <c r="G52" s="201"/>
      <c r="H52" s="20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203">
        <f>IFERROR(__xludf.DUMMYFUNCTION("""COMPUTED_VALUE"""),0.0)</f>
        <v>0</v>
      </c>
      <c r="W52" s="203">
        <f>IFERROR(__xludf.DUMMYFUNCTION("""COMPUTED_VALUE"""),0.0)</f>
        <v>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201"/>
      <c r="B53" s="201" t="str">
        <f>IF(OR(E53=Report!$B$1, F53=Report!$B$1, G53=Report!$B$1, H53=Report!$B$1), D53, "")</f>
        <v/>
      </c>
      <c r="C53" s="201" t="b">
        <f>IFERROR(__xludf.DUMMYFUNCTION("""COMPUTED_VALUE"""),FALSE)</f>
        <v>0</v>
      </c>
      <c r="D53" s="201"/>
      <c r="E53" s="201"/>
      <c r="F53" s="201"/>
      <c r="G53" s="201"/>
      <c r="H53" s="20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203">
        <f>IFERROR(__xludf.DUMMYFUNCTION("""COMPUTED_VALUE"""),0.0)</f>
        <v>0</v>
      </c>
      <c r="W53" s="203">
        <f>IFERROR(__xludf.DUMMYFUNCTION("""COMPUTED_VALUE"""),0.0)</f>
        <v>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201"/>
      <c r="B54" s="201" t="str">
        <f>IF(OR(E54=Report!$B$1, F54=Report!$B$1, G54=Report!$B$1, H54=Report!$B$1), D54, "")</f>
        <v/>
      </c>
      <c r="C54" s="201" t="b">
        <f>IFERROR(__xludf.DUMMYFUNCTION("""COMPUTED_VALUE"""),FALSE)</f>
        <v>0</v>
      </c>
      <c r="D54" s="201"/>
      <c r="E54" s="201"/>
      <c r="F54" s="201"/>
      <c r="G54" s="201"/>
      <c r="H54" s="20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203">
        <f>IFERROR(__xludf.DUMMYFUNCTION("""COMPUTED_VALUE"""),0.0)</f>
        <v>0</v>
      </c>
      <c r="W54" s="203">
        <f>IFERROR(__xludf.DUMMYFUNCTION("""COMPUTED_VALUE"""),0.0)</f>
        <v>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201"/>
      <c r="B55" s="201" t="str">
        <f>IF(OR(E55=Report!$B$1, F55=Report!$B$1, G55=Report!$B$1, H55=Report!$B$1), D55, "")</f>
        <v/>
      </c>
      <c r="C55" s="201" t="b">
        <f>IFERROR(__xludf.DUMMYFUNCTION("""COMPUTED_VALUE"""),FALSE)</f>
        <v>0</v>
      </c>
      <c r="D55" s="201"/>
      <c r="E55" s="201"/>
      <c r="F55" s="201"/>
      <c r="G55" s="201"/>
      <c r="H55" s="20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03">
        <f>IFERROR(__xludf.DUMMYFUNCTION("""COMPUTED_VALUE"""),0.0)</f>
        <v>0</v>
      </c>
      <c r="W55" s="203">
        <f>IFERROR(__xludf.DUMMYFUNCTION("""COMPUTED_VALUE"""),0.0)</f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201"/>
      <c r="B56" s="201" t="str">
        <f>IF(OR(E56=Report!$B$1, F56=Report!$B$1, G56=Report!$B$1, H56=Report!$B$1), D56, "")</f>
        <v/>
      </c>
      <c r="C56" s="201" t="b">
        <f>IFERROR(__xludf.DUMMYFUNCTION("""COMPUTED_VALUE"""),FALSE)</f>
        <v>0</v>
      </c>
      <c r="D56" s="201"/>
      <c r="E56" s="201"/>
      <c r="F56" s="201"/>
      <c r="G56" s="201"/>
      <c r="H56" s="20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203">
        <f>IFERROR(__xludf.DUMMYFUNCTION("""COMPUTED_VALUE"""),250.20600000000002)</f>
        <v>250.206</v>
      </c>
      <c r="W56" s="203">
        <f>IFERROR(__xludf.DUMMYFUNCTION("""COMPUTED_VALUE"""),0.0)</f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201"/>
      <c r="B57" s="201" t="str">
        <f>IF(OR(E57=Report!$B$1, F57=Report!$B$1, G57=Report!$B$1, H57=Report!$B$1), D57, "")</f>
        <v/>
      </c>
      <c r="C57" s="201" t="b">
        <f>IFERROR(__xludf.DUMMYFUNCTION("""COMPUTED_VALUE"""),FALSE)</f>
        <v>0</v>
      </c>
      <c r="D57" s="201"/>
      <c r="E57" s="201"/>
      <c r="F57" s="201"/>
      <c r="G57" s="201"/>
      <c r="H57" s="20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03">
        <f>IFERROR(__xludf.DUMMYFUNCTION("""COMPUTED_VALUE"""),0.0)</f>
        <v>0</v>
      </c>
      <c r="W57" s="203">
        <f>IFERROR(__xludf.DUMMYFUNCTION("""COMPUTED_VALUE"""),0.0)</f>
        <v>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201"/>
      <c r="B58" s="201" t="str">
        <f>IF(OR(E58=Report!$B$1, F58=Report!$B$1, G58=Report!$B$1, H58=Report!$B$1), D58, "")</f>
        <v/>
      </c>
      <c r="C58" s="201"/>
      <c r="D58" s="201" t="str">
        <f>IFERROR(__xludf.DUMMYFUNCTION("""COMPUTED_VALUE"""),"End")</f>
        <v>End</v>
      </c>
      <c r="E58" s="201"/>
      <c r="F58" s="201"/>
      <c r="G58" s="201"/>
      <c r="H58" s="20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03">
        <f>IFERROR(__xludf.DUMMYFUNCTION("""COMPUTED_VALUE"""),0.0)</f>
        <v>0</v>
      </c>
      <c r="W58" s="203">
        <f>IFERROR(__xludf.DUMMYFUNCTION("""COMPUTED_VALUE"""),0.0)</f>
        <v>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201"/>
      <c r="B59" s="201" t="str">
        <f>IF(OR(E59=Report!$B$1, F59=Report!$B$1, G59=Report!$B$1, H59=Report!$B$1), D59, "")</f>
        <v/>
      </c>
      <c r="C59" s="201"/>
      <c r="D59" s="201" t="str">
        <f>IFERROR(__xludf.DUMMYFUNCTION("""COMPUTED_VALUE"""),"Suma instor")</f>
        <v>Suma instor</v>
      </c>
      <c r="E59" s="201"/>
      <c r="F59" s="201"/>
      <c r="G59" s="201"/>
      <c r="H59" s="20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02"/>
      <c r="W59" s="203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201"/>
      <c r="B60" s="201" t="str">
        <f>IF(OR(E60=Report!$B$1, F60=Report!$B$1, G60=Report!$B$1, H60=Report!$B$1), D60, "")</f>
        <v/>
      </c>
      <c r="C60" s="201"/>
      <c r="D60" s="201"/>
      <c r="E60" s="201"/>
      <c r="F60" s="201"/>
      <c r="G60" s="201"/>
      <c r="H60" s="20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02"/>
      <c r="W60" s="203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201"/>
      <c r="B61" s="204" t="str">
        <f>IF(OR(E61=Report!$B$1, F61=Report!$B$1, G61=Report!$B$1, H61=Report!$B$1), D61, "")</f>
        <v/>
      </c>
      <c r="C61" s="201"/>
      <c r="D61" s="201"/>
      <c r="E61" s="201"/>
      <c r="F61" s="201"/>
      <c r="G61" s="201"/>
      <c r="H61" s="20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02"/>
      <c r="W61" s="203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201"/>
      <c r="B62" s="204" t="str">
        <f>IF(OR(E62=Report!$B$1, F62=Report!$B$1, G62=Report!$B$1, H62=Report!$B$1), D62, "")</f>
        <v/>
      </c>
      <c r="C62" s="201"/>
      <c r="D62" s="201"/>
      <c r="E62" s="201"/>
      <c r="F62" s="201"/>
      <c r="G62" s="201"/>
      <c r="H62" s="20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02"/>
      <c r="W62" s="203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201"/>
      <c r="B63" s="204" t="str">
        <f>IF(OR(E63=Report!$B$1, F63=Report!$B$1, G63=Report!$B$1, H63=Report!$B$1), D63, "")</f>
        <v/>
      </c>
      <c r="C63" s="201"/>
      <c r="D63" s="201"/>
      <c r="E63" s="201"/>
      <c r="F63" s="201"/>
      <c r="G63" s="201"/>
      <c r="H63" s="20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02"/>
      <c r="W63" s="203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201"/>
      <c r="B64" s="204" t="str">
        <f>IF(OR(E64=Report!$B$1, F64=Report!$B$1, G64=Report!$B$1, H64=Report!$B$1), D64, "")</f>
        <v/>
      </c>
      <c r="C64" s="201"/>
      <c r="D64" s="201"/>
      <c r="E64" s="201"/>
      <c r="F64" s="201"/>
      <c r="G64" s="201"/>
      <c r="H64" s="20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02"/>
      <c r="W64" s="203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201"/>
      <c r="B65" s="204" t="str">
        <f>IF(OR(E65=Report!$B$1, F65=Report!$B$1, G65=Report!$B$1, H65=Report!$B$1), D65, "")</f>
        <v/>
      </c>
      <c r="C65" s="201"/>
      <c r="D65" s="201"/>
      <c r="E65" s="201"/>
      <c r="F65" s="201"/>
      <c r="G65" s="201"/>
      <c r="H65" s="20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02"/>
      <c r="W65" s="203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201"/>
      <c r="B66" s="204" t="str">
        <f>IF(OR(E66=Report!$B$1, F66=Report!$B$1, G66=Report!$B$1, H66=Report!$B$1), D66, "")</f>
        <v/>
      </c>
      <c r="C66" s="201"/>
      <c r="D66" s="201"/>
      <c r="E66" s="201"/>
      <c r="F66" s="201"/>
      <c r="G66" s="201"/>
      <c r="H66" s="20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02"/>
      <c r="W66" s="203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201"/>
      <c r="B67" s="204" t="str">
        <f>IF(OR(E67=Report!$B$1, F67=Report!$B$1, G67=Report!$B$1, H67=Report!$B$1), D67, "")</f>
        <v/>
      </c>
      <c r="C67" s="201"/>
      <c r="D67" s="201"/>
      <c r="E67" s="201"/>
      <c r="F67" s="201"/>
      <c r="G67" s="201"/>
      <c r="H67" s="20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02"/>
      <c r="W67" s="203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201"/>
      <c r="B68" s="204" t="str">
        <f>IF(OR(E68=Report!$B$1, F68=Report!$B$1, G68=Report!$B$1, H68=Report!$B$1), D68, "")</f>
        <v/>
      </c>
      <c r="C68" s="201"/>
      <c r="D68" s="201"/>
      <c r="E68" s="201"/>
      <c r="F68" s="201"/>
      <c r="G68" s="201"/>
      <c r="H68" s="20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02"/>
      <c r="W68" s="203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201"/>
      <c r="B69" s="204" t="str">
        <f>IF(OR(E69=Report!$B$1, F69=Report!$B$1, G69=Report!$B$1, H69=Report!$B$1), D69, "")</f>
        <v/>
      </c>
      <c r="C69" s="201"/>
      <c r="D69" s="201"/>
      <c r="E69" s="201"/>
      <c r="F69" s="201"/>
      <c r="G69" s="201"/>
      <c r="H69" s="20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02"/>
      <c r="W69" s="203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201"/>
      <c r="B70" s="204" t="str">
        <f>IF(OR(E70=Report!$B$1, F70=Report!$B$1, G70=Report!$B$1, H70=Report!$B$1), D70, "")</f>
        <v/>
      </c>
      <c r="C70" s="201"/>
      <c r="D70" s="201"/>
      <c r="E70" s="201"/>
      <c r="F70" s="201"/>
      <c r="G70" s="201"/>
      <c r="H70" s="20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02"/>
      <c r="W70" s="203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201"/>
      <c r="B71" s="204" t="str">
        <f>IF(OR(E71=Report!$B$1, F71=Report!$B$1, G71=Report!$B$1, H71=Report!$B$1), D71, "")</f>
        <v/>
      </c>
      <c r="C71" s="201"/>
      <c r="D71" s="201"/>
      <c r="E71" s="201"/>
      <c r="F71" s="201"/>
      <c r="G71" s="201"/>
      <c r="H71" s="20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02"/>
      <c r="W71" s="203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201"/>
      <c r="B72" s="204" t="str">
        <f>IF(OR(E72=Report!$B$1, F72=Report!$B$1, G72=Report!$B$1, H72=Report!$B$1), D72, "")</f>
        <v/>
      </c>
      <c r="C72" s="201"/>
      <c r="D72" s="201"/>
      <c r="E72" s="201"/>
      <c r="F72" s="201"/>
      <c r="G72" s="201"/>
      <c r="H72" s="20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02"/>
      <c r="W72" s="203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201"/>
      <c r="B73" s="204" t="str">
        <f>IF(OR(E73=Report!$B$1, F73=Report!$B$1, G73=Report!$B$1, H73=Report!$B$1), D73, "")</f>
        <v/>
      </c>
      <c r="C73" s="201"/>
      <c r="D73" s="201"/>
      <c r="E73" s="201"/>
      <c r="F73" s="201"/>
      <c r="G73" s="201"/>
      <c r="H73" s="20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02"/>
      <c r="W73" s="203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201"/>
      <c r="B74" s="204" t="str">
        <f>IF(OR(E74=Report!$B$1, F74=Report!$B$1, G74=Report!$B$1, H74=Report!$B$1), D74, "")</f>
        <v/>
      </c>
      <c r="C74" s="201" t="str">
        <f>IFERROR(__xludf.DUMMYFUNCTION("""COMPUTED_VALUE"""),"Manažer")</f>
        <v>Manažer</v>
      </c>
      <c r="D74" s="201" t="str">
        <f>IFERROR(__xludf.DUMMYFUNCTION("""COMPUTED_VALUE"""),"Kurýr")</f>
        <v>Kurýr</v>
      </c>
      <c r="E74" s="201" t="str">
        <f>IFERROR(__xludf.DUMMYFUNCTION("""COMPUTED_VALUE"""),"První domácí,          Pobočky max 4    ")</f>
        <v>První domácí,          Pobočky max 4    </v>
      </c>
      <c r="F74" s="201"/>
      <c r="G74" s="201"/>
      <c r="H74" s="20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202" t="str">
        <f>IFERROR(__xludf.DUMMYFUNCTION("""COMPUTED_VALUE"""),"Sp.hr. / h")</f>
        <v>Sp.hr. / h</v>
      </c>
      <c r="W74" s="203" t="str">
        <f>IFERROR(__xludf.DUMMYFUNCTION("""COMPUTED_VALUE"""),"Sp.hr. / den")</f>
        <v>Sp.hr. / den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201"/>
      <c r="B75" s="204" t="str">
        <f>IF(OR(E75=Report!$B$1, F75=Report!$B$1, G75=Report!$B$1, H75=Report!$B$1), D75, "")</f>
        <v>Jurkovič Martin</v>
      </c>
      <c r="C75" s="201" t="b">
        <f>IFERROR(__xludf.DUMMYFUNCTION("""COMPUTED_VALUE"""),FALSE)</f>
        <v>0</v>
      </c>
      <c r="D75" s="201" t="str">
        <f>IFERROR(__xludf.DUMMYFUNCTION("""COMPUTED_VALUE"""),"Jurkovič Martin")</f>
        <v>Jurkovič Martin</v>
      </c>
      <c r="E75" s="201" t="str">
        <f>IFERROR(__xludf.DUMMYFUNCTION("""COMPUTED_VALUE"""),"Libuš")</f>
        <v>Libuš</v>
      </c>
      <c r="F75" s="201" t="str">
        <f>IFERROR(__xludf.DUMMYFUNCTION("""COMPUTED_VALUE"""),"Chodov")</f>
        <v>Chodov</v>
      </c>
      <c r="G75" s="201" t="str">
        <f>IFERROR(__xludf.DUMMYFUNCTION("""COMPUTED_VALUE"""),"Malešice")</f>
        <v>Malešice</v>
      </c>
      <c r="H75" s="20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03">
        <f>IFERROR(__xludf.DUMMYFUNCTION("""COMPUTED_VALUE"""),150.0)</f>
        <v>150</v>
      </c>
      <c r="W75" s="203">
        <f>IFERROR(__xludf.DUMMYFUNCTION("""COMPUTED_VALUE"""),0.0)</f>
        <v>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201"/>
      <c r="B76" s="204" t="str">
        <f>IF(OR(E76=Report!$B$1, F76=Report!$B$1, G76=Report!$B$1, H76=Report!$B$1), D76, "")</f>
        <v>Navrátil Ondřej</v>
      </c>
      <c r="C76" s="201" t="b">
        <f>IFERROR(__xludf.DUMMYFUNCTION("""COMPUTED_VALUE"""),FALSE)</f>
        <v>0</v>
      </c>
      <c r="D76" s="201" t="str">
        <f>IFERROR(__xludf.DUMMYFUNCTION("""COMPUTED_VALUE"""),"Navrátil Ondřej")</f>
        <v>Navrátil Ondřej</v>
      </c>
      <c r="E76" s="201" t="str">
        <f>IFERROR(__xludf.DUMMYFUNCTION("""COMPUTED_VALUE"""),"Chodov")</f>
        <v>Chodov</v>
      </c>
      <c r="F76" s="201"/>
      <c r="G76" s="201"/>
      <c r="H76" s="20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203">
        <f>IFERROR(__xludf.DUMMYFUNCTION("""COMPUTED_VALUE"""),267.6)</f>
        <v>267.6</v>
      </c>
      <c r="W76" s="203">
        <f>IFERROR(__xludf.DUMMYFUNCTION("""COMPUTED_VALUE"""),0.0)</f>
        <v>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201"/>
      <c r="B77" s="204" t="str">
        <f>IF(OR(E77=Report!$B$1, F77=Report!$B$1, G77=Report!$B$1, H77=Report!$B$1), D77, "")</f>
        <v/>
      </c>
      <c r="C77" s="201" t="b">
        <f>IFERROR(__xludf.DUMMYFUNCTION("""COMPUTED_VALUE"""),FALSE)</f>
        <v>0</v>
      </c>
      <c r="D77" s="201" t="str">
        <f>IFERROR(__xludf.DUMMYFUNCTION("""COMPUTED_VALUE"""),"Němec Filip")</f>
        <v>Němec Filip</v>
      </c>
      <c r="E77" s="201" t="str">
        <f>IFERROR(__xludf.DUMMYFUNCTION("""COMPUTED_VALUE"""),"Zličín")</f>
        <v>Zličín</v>
      </c>
      <c r="F77" s="201"/>
      <c r="G77" s="201"/>
      <c r="H77" s="20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203">
        <f>IFERROR(__xludf.DUMMYFUNCTION("""COMPUTED_VALUE"""),231.474)</f>
        <v>231.474</v>
      </c>
      <c r="W77" s="203">
        <f>IFERROR(__xludf.DUMMYFUNCTION("""COMPUTED_VALUE"""),0.0)</f>
        <v>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201"/>
      <c r="B78" s="204" t="str">
        <f>IF(OR(E78=Report!$B$1, F78=Report!$B$1, G78=Report!$B$1, H78=Report!$B$1), D78, "")</f>
        <v/>
      </c>
      <c r="C78" s="201" t="b">
        <f>IFERROR(__xludf.DUMMYFUNCTION("""COMPUTED_VALUE"""),FALSE)</f>
        <v>0</v>
      </c>
      <c r="D78" s="201" t="str">
        <f>IFERROR(__xludf.DUMMYFUNCTION("""COMPUTED_VALUE"""),"Zimmer Jakub")</f>
        <v>Zimmer Jakub</v>
      </c>
      <c r="E78" s="201" t="str">
        <f>IFERROR(__xludf.DUMMYFUNCTION("""COMPUTED_VALUE"""),"Zličín")</f>
        <v>Zličín</v>
      </c>
      <c r="F78" s="201"/>
      <c r="G78" s="201"/>
      <c r="H78" s="20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203">
        <f>IFERROR(__xludf.DUMMYFUNCTION("""COMPUTED_VALUE"""),267.6)</f>
        <v>267.6</v>
      </c>
      <c r="W78" s="203">
        <f>IFERROR(__xludf.DUMMYFUNCTION("""COMPUTED_VALUE"""),0.0)</f>
        <v>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201"/>
      <c r="B79" s="204" t="str">
        <f>IF(OR(E79=Report!$B$1, F79=Report!$B$1, G79=Report!$B$1, H79=Report!$B$1), D79, "")</f>
        <v>Nekolný Vladimír</v>
      </c>
      <c r="C79" s="201" t="b">
        <f>IFERROR(__xludf.DUMMYFUNCTION("""COMPUTED_VALUE"""),FALSE)</f>
        <v>0</v>
      </c>
      <c r="D79" s="201" t="str">
        <f>IFERROR(__xludf.DUMMYFUNCTION("""COMPUTED_VALUE"""),"Nekolný Vladimír")</f>
        <v>Nekolný Vladimír</v>
      </c>
      <c r="E79" s="201" t="str">
        <f>IFERROR(__xludf.DUMMYFUNCTION("""COMPUTED_VALUE"""),"Chodov")</f>
        <v>Chodov</v>
      </c>
      <c r="F79" s="201" t="str">
        <f>IFERROR(__xludf.DUMMYFUNCTION("""COMPUTED_VALUE"""),"Libuš")</f>
        <v>Libuš</v>
      </c>
      <c r="G79" s="201" t="str">
        <f>IFERROR(__xludf.DUMMYFUNCTION("""COMPUTED_VALUE"""),"Zličín")</f>
        <v>Zličín</v>
      </c>
      <c r="H79" s="20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203">
        <f>IFERROR(__xludf.DUMMYFUNCTION("""COMPUTED_VALUE"""),231.474)</f>
        <v>231.474</v>
      </c>
      <c r="W79" s="203">
        <f>IFERROR(__xludf.DUMMYFUNCTION("""COMPUTED_VALUE"""),0.0)</f>
        <v>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201"/>
      <c r="B80" s="204" t="str">
        <f>IF(OR(E80=Report!$B$1, F80=Report!$B$1, G80=Report!$B$1, H80=Report!$B$1), D80, "")</f>
        <v/>
      </c>
      <c r="C80" s="201" t="b">
        <f>IFERROR(__xludf.DUMMYFUNCTION("""COMPUTED_VALUE"""),FALSE)</f>
        <v>0</v>
      </c>
      <c r="D80" s="201" t="str">
        <f>IFERROR(__xludf.DUMMYFUNCTION("""COMPUTED_VALUE"""),"Hanibal Filip")</f>
        <v>Hanibal Filip</v>
      </c>
      <c r="E80" s="201" t="str">
        <f>IFERROR(__xludf.DUMMYFUNCTION("""COMPUTED_VALUE"""),"Malešice")</f>
        <v>Malešice</v>
      </c>
      <c r="F80" s="201" t="str">
        <f>IFERROR(__xludf.DUMMYFUNCTION("""COMPUTED_VALUE"""),"Libuš")</f>
        <v>Libuš</v>
      </c>
      <c r="G80" s="201" t="str">
        <f>IFERROR(__xludf.DUMMYFUNCTION("""COMPUTED_VALUE"""),"Prosek")</f>
        <v>Prosek</v>
      </c>
      <c r="H80" s="20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203">
        <f>IFERROR(__xludf.DUMMYFUNCTION("""COMPUTED_VALUE"""),250.20600000000002)</f>
        <v>250.206</v>
      </c>
      <c r="W80" s="203">
        <f>IFERROR(__xludf.DUMMYFUNCTION("""COMPUTED_VALUE"""),0.0)</f>
        <v>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201"/>
      <c r="B81" s="204" t="str">
        <f>IF(OR(E81=Report!$B$1, F81=Report!$B$1, G81=Report!$B$1, H81=Report!$B$1), D81, "")</f>
        <v/>
      </c>
      <c r="C81" s="201" t="b">
        <f>IFERROR(__xludf.DUMMYFUNCTION("""COMPUTED_VALUE"""),FALSE)</f>
        <v>0</v>
      </c>
      <c r="D81" s="201" t="str">
        <f>IFERROR(__xludf.DUMMYFUNCTION("""COMPUTED_VALUE"""),"Novák Jakub")</f>
        <v>Novák Jakub</v>
      </c>
      <c r="E81" s="201" t="str">
        <f>IFERROR(__xludf.DUMMYFUNCTION("""COMPUTED_VALUE"""),"Zličín")</f>
        <v>Zličín</v>
      </c>
      <c r="F81" s="201" t="str">
        <f>IFERROR(__xludf.DUMMYFUNCTION("""COMPUTED_VALUE"""),"Malešice")</f>
        <v>Malešice</v>
      </c>
      <c r="G81" s="201"/>
      <c r="H81" s="20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203">
        <f>IFERROR(__xludf.DUMMYFUNCTION("""COMPUTED_VALUE"""),231.474)</f>
        <v>231.474</v>
      </c>
      <c r="W81" s="203">
        <f>IFERROR(__xludf.DUMMYFUNCTION("""COMPUTED_VALUE"""),0.0)</f>
        <v>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201"/>
      <c r="B82" s="204" t="str">
        <f>IF(OR(E82=Report!$B$1, F82=Report!$B$1, G82=Report!$B$1, H82=Report!$B$1), D82, "")</f>
        <v/>
      </c>
      <c r="C82" s="201" t="b">
        <f>IFERROR(__xludf.DUMMYFUNCTION("""COMPUTED_VALUE"""),FALSE)</f>
        <v>0</v>
      </c>
      <c r="D82" s="201" t="str">
        <f>IFERROR(__xludf.DUMMYFUNCTION("""COMPUTED_VALUE"""),"Černohorský Otakar")</f>
        <v>Černohorský Otakar</v>
      </c>
      <c r="E82" s="201" t="str">
        <f>IFERROR(__xludf.DUMMYFUNCTION("""COMPUTED_VALUE"""),"Zličín")</f>
        <v>Zličín</v>
      </c>
      <c r="F82" s="201"/>
      <c r="G82" s="201"/>
      <c r="H82" s="20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03">
        <f>IFERROR(__xludf.DUMMYFUNCTION("""COMPUTED_VALUE"""),231.474)</f>
        <v>231.474</v>
      </c>
      <c r="W82" s="203">
        <f>IFERROR(__xludf.DUMMYFUNCTION("""COMPUTED_VALUE"""),0.0)</f>
        <v>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201"/>
      <c r="B83" s="204" t="str">
        <f>IF(OR(E83=Report!$B$1, F83=Report!$B$1, G83=Report!$B$1, H83=Report!$B$1), D83, "")</f>
        <v/>
      </c>
      <c r="C83" s="201" t="b">
        <f>IFERROR(__xludf.DUMMYFUNCTION("""COMPUTED_VALUE"""),FALSE)</f>
        <v>0</v>
      </c>
      <c r="D83" s="201" t="str">
        <f>IFERROR(__xludf.DUMMYFUNCTION("""COMPUTED_VALUE"""),"Nedvěd Dominik")</f>
        <v>Nedvěd Dominik</v>
      </c>
      <c r="E83" s="201" t="str">
        <f>IFERROR(__xludf.DUMMYFUNCTION("""COMPUTED_VALUE"""),"Libuš")</f>
        <v>Libuš</v>
      </c>
      <c r="F83" s="201"/>
      <c r="G83" s="201"/>
      <c r="H83" s="20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203">
        <f>IFERROR(__xludf.DUMMYFUNCTION("""COMPUTED_VALUE"""),231.474)</f>
        <v>231.474</v>
      </c>
      <c r="W83" s="203">
        <f>IFERROR(__xludf.DUMMYFUNCTION("""COMPUTED_VALUE"""),0.0)</f>
        <v>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201"/>
      <c r="B84" s="204" t="str">
        <f>IF(OR(E84=Report!$B$1, F84=Report!$B$1, G84=Report!$B$1, H84=Report!$B$1), D84, "")</f>
        <v>Lanský Zoltan</v>
      </c>
      <c r="C84" s="201" t="b">
        <f>IFERROR(__xludf.DUMMYFUNCTION("""COMPUTED_VALUE"""),FALSE)</f>
        <v>0</v>
      </c>
      <c r="D84" s="201" t="str">
        <f>IFERROR(__xludf.DUMMYFUNCTION("""COMPUTED_VALUE"""),"Lanský Zoltan")</f>
        <v>Lanský Zoltan</v>
      </c>
      <c r="E84" s="201" t="str">
        <f>IFERROR(__xludf.DUMMYFUNCTION("""COMPUTED_VALUE"""),"Chodov")</f>
        <v>Chodov</v>
      </c>
      <c r="F84" s="201" t="str">
        <f>IFERROR(__xludf.DUMMYFUNCTION("""COMPUTED_VALUE"""),"Libuš")</f>
        <v>Libuš</v>
      </c>
      <c r="G84" s="201"/>
      <c r="H84" s="20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03">
        <f>IFERROR(__xludf.DUMMYFUNCTION("""COMPUTED_VALUE"""),250.20600000000002)</f>
        <v>250.206</v>
      </c>
      <c r="W84" s="203">
        <f>IFERROR(__xludf.DUMMYFUNCTION("""COMPUTED_VALUE"""),0.0)</f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201"/>
      <c r="B85" s="204" t="str">
        <f>IF(OR(E85=Report!$B$1, F85=Report!$B$1, G85=Report!$B$1, H85=Report!$B$1), D85, "")</f>
        <v/>
      </c>
      <c r="C85" s="201" t="b">
        <f>IFERROR(__xludf.DUMMYFUNCTION("""COMPUTED_VALUE"""),FALSE)</f>
        <v>0</v>
      </c>
      <c r="D85" s="201" t="str">
        <f>IFERROR(__xludf.DUMMYFUNCTION("""COMPUTED_VALUE"""),"Lowe Jana")</f>
        <v>Lowe Jana</v>
      </c>
      <c r="E85" s="201" t="str">
        <f>IFERROR(__xludf.DUMMYFUNCTION("""COMPUTED_VALUE"""),"Zličín")</f>
        <v>Zličín</v>
      </c>
      <c r="F85" s="201"/>
      <c r="G85" s="201"/>
      <c r="H85" s="20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03">
        <f>IFERROR(__xludf.DUMMYFUNCTION("""COMPUTED_VALUE"""),150.0)</f>
        <v>150</v>
      </c>
      <c r="W85" s="203">
        <f>IFERROR(__xludf.DUMMYFUNCTION("""COMPUTED_VALUE"""),0.0)</f>
        <v>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201"/>
      <c r="B86" s="204" t="str">
        <f>IF(OR(E86=Report!$B$1, F86=Report!$B$1, G86=Report!$B$1, H86=Report!$B$1), D86, "")</f>
        <v/>
      </c>
      <c r="C86" s="201" t="b">
        <f>IFERROR(__xludf.DUMMYFUNCTION("""COMPUTED_VALUE"""),FALSE)</f>
        <v>0</v>
      </c>
      <c r="D86" s="201" t="str">
        <f>IFERROR(__xludf.DUMMYFUNCTION("""COMPUTED_VALUE"""),"Mikuš Pavel")</f>
        <v>Mikuš Pavel</v>
      </c>
      <c r="E86" s="201" t="str">
        <f>IFERROR(__xludf.DUMMYFUNCTION("""COMPUTED_VALUE"""),"Prosek")</f>
        <v>Prosek</v>
      </c>
      <c r="F86" s="201"/>
      <c r="G86" s="201"/>
      <c r="H86" s="20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203">
        <f>IFERROR(__xludf.DUMMYFUNCTION("""COMPUTED_VALUE"""),250.20600000000002)</f>
        <v>250.206</v>
      </c>
      <c r="W86" s="203">
        <f>IFERROR(__xludf.DUMMYFUNCTION("""COMPUTED_VALUE"""),0.0)</f>
        <v>0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201"/>
      <c r="B87" s="204" t="str">
        <f>IF(OR(E87=Report!$B$1, F87=Report!$B$1, G87=Report!$B$1, H87=Report!$B$1), D87, "")</f>
        <v>Hyský Aleš</v>
      </c>
      <c r="C87" s="201" t="b">
        <f>IFERROR(__xludf.DUMMYFUNCTION("""COMPUTED_VALUE"""),FALSE)</f>
        <v>0</v>
      </c>
      <c r="D87" s="201" t="str">
        <f>IFERROR(__xludf.DUMMYFUNCTION("""COMPUTED_VALUE"""),"Hyský Aleš")</f>
        <v>Hyský Aleš</v>
      </c>
      <c r="E87" s="201" t="str">
        <f>IFERROR(__xludf.DUMMYFUNCTION("""COMPUTED_VALUE"""),"Chodov")</f>
        <v>Chodov</v>
      </c>
      <c r="F87" s="201"/>
      <c r="G87" s="201"/>
      <c r="H87" s="20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203">
        <f>IFERROR(__xludf.DUMMYFUNCTION("""COMPUTED_VALUE"""),231.474)</f>
        <v>231.474</v>
      </c>
      <c r="W87" s="203">
        <f>IFERROR(__xludf.DUMMYFUNCTION("""COMPUTED_VALUE"""),0.0)</f>
        <v>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201"/>
      <c r="B88" s="204" t="str">
        <f>IF(OR(E88=Report!$B$1, F88=Report!$B$1, G88=Report!$B$1, H88=Report!$B$1), D88, "")</f>
        <v>Šmídová Sabina</v>
      </c>
      <c r="C88" s="201" t="b">
        <f>IFERROR(__xludf.DUMMYFUNCTION("""COMPUTED_VALUE"""),FALSE)</f>
        <v>0</v>
      </c>
      <c r="D88" s="201" t="str">
        <f>IFERROR(__xludf.DUMMYFUNCTION("""COMPUTED_VALUE"""),"Šmídová Sabina")</f>
        <v>Šmídová Sabina</v>
      </c>
      <c r="E88" s="201" t="str">
        <f>IFERROR(__xludf.DUMMYFUNCTION("""COMPUTED_VALUE"""),"Chodov")</f>
        <v>Chodov</v>
      </c>
      <c r="F88" s="201" t="str">
        <f>IFERROR(__xludf.DUMMYFUNCTION("""COMPUTED_VALUE"""),"Prosek")</f>
        <v>Prosek</v>
      </c>
      <c r="G88" s="201"/>
      <c r="H88" s="20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203">
        <f>IFERROR(__xludf.DUMMYFUNCTION("""COMPUTED_VALUE"""),250.20600000000002)</f>
        <v>250.206</v>
      </c>
      <c r="W88" s="203">
        <f>IFERROR(__xludf.DUMMYFUNCTION("""COMPUTED_VALUE"""),0.0)</f>
        <v>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201"/>
      <c r="B89" s="204" t="str">
        <f>IF(OR(E89=Report!$B$1, F89=Report!$B$1, G89=Report!$B$1, H89=Report!$B$1), D89, "")</f>
        <v>Lažek Jaroslav</v>
      </c>
      <c r="C89" s="201" t="b">
        <f>IFERROR(__xludf.DUMMYFUNCTION("""COMPUTED_VALUE"""),FALSE)</f>
        <v>0</v>
      </c>
      <c r="D89" s="201" t="str">
        <f>IFERROR(__xludf.DUMMYFUNCTION("""COMPUTED_VALUE"""),"Lažek Jaroslav")</f>
        <v>Lažek Jaroslav</v>
      </c>
      <c r="E89" s="201" t="str">
        <f>IFERROR(__xludf.DUMMYFUNCTION("""COMPUTED_VALUE"""),"Libuš")</f>
        <v>Libuš</v>
      </c>
      <c r="F89" s="201" t="str">
        <f>IFERROR(__xludf.DUMMYFUNCTION("""COMPUTED_VALUE"""),"Chodov")</f>
        <v>Chodov</v>
      </c>
      <c r="G89" s="201" t="str">
        <f>IFERROR(__xludf.DUMMYFUNCTION("""COMPUTED_VALUE"""),"Malešice")</f>
        <v>Malešice</v>
      </c>
      <c r="H89" s="201" t="str">
        <f>IFERROR(__xludf.DUMMYFUNCTION("""COMPUTED_VALUE"""),"Výroba")</f>
        <v>Výroba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203">
        <f>IFERROR(__xludf.DUMMYFUNCTION("""COMPUTED_VALUE"""),170.0)</f>
        <v>170</v>
      </c>
      <c r="W89" s="203">
        <f>IFERROR(__xludf.DUMMYFUNCTION("""COMPUTED_VALUE"""),0.0)</f>
        <v>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201"/>
      <c r="B90" s="204" t="str">
        <f>IF(OR(E90=Report!$B$1, F90=Report!$B$1, G90=Report!$B$1, H90=Report!$B$1), D90, "")</f>
        <v/>
      </c>
      <c r="C90" s="201" t="b">
        <f>IFERROR(__xludf.DUMMYFUNCTION("""COMPUTED_VALUE"""),FALSE)</f>
        <v>0</v>
      </c>
      <c r="D90" s="201" t="str">
        <f>IFERROR(__xludf.DUMMYFUNCTION("""COMPUTED_VALUE"""),"Kormash Liubov")</f>
        <v>Kormash Liubov</v>
      </c>
      <c r="E90" s="201" t="str">
        <f>IFERROR(__xludf.DUMMYFUNCTION("""COMPUTED_VALUE"""),"Zličín")</f>
        <v>Zličín</v>
      </c>
      <c r="F90" s="201" t="str">
        <f>IFERROR(__xludf.DUMMYFUNCTION("""COMPUTED_VALUE"""),"Prosek")</f>
        <v>Prosek</v>
      </c>
      <c r="G90" s="201"/>
      <c r="H90" s="20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203">
        <f>IFERROR(__xludf.DUMMYFUNCTION("""COMPUTED_VALUE"""),160.0)</f>
        <v>160</v>
      </c>
      <c r="W90" s="203">
        <f>IFERROR(__xludf.DUMMYFUNCTION("""COMPUTED_VALUE"""),0.0)</f>
        <v>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201"/>
      <c r="B91" s="204" t="str">
        <f>IF(OR(E91=Report!$B$1, F91=Report!$B$1, G91=Report!$B$1, H91=Report!$B$1), D91, "")</f>
        <v/>
      </c>
      <c r="C91" s="201" t="b">
        <f>IFERROR(__xludf.DUMMYFUNCTION("""COMPUTED_VALUE"""),FALSE)</f>
        <v>0</v>
      </c>
      <c r="D91" s="201"/>
      <c r="E91" s="201"/>
      <c r="F91" s="201"/>
      <c r="G91" s="201"/>
      <c r="H91" s="20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203">
        <f>IFERROR(__xludf.DUMMYFUNCTION("""COMPUTED_VALUE"""),0.0)</f>
        <v>0</v>
      </c>
      <c r="W91" s="203">
        <f>IFERROR(__xludf.DUMMYFUNCTION("""COMPUTED_VALUE"""),0.0)</f>
        <v>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201"/>
      <c r="B92" s="204" t="str">
        <f>IF(OR(E92=Report!$B$1, F92=Report!$B$1, G92=Report!$B$1, H92=Report!$B$1), D92, "")</f>
        <v/>
      </c>
      <c r="C92" s="201" t="b">
        <f>IFERROR(__xludf.DUMMYFUNCTION("""COMPUTED_VALUE"""),FALSE)</f>
        <v>0</v>
      </c>
      <c r="D92" s="201"/>
      <c r="E92" s="201"/>
      <c r="F92" s="201"/>
      <c r="G92" s="201"/>
      <c r="H92" s="20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203">
        <f>IFERROR(__xludf.DUMMYFUNCTION("""COMPUTED_VALUE"""),0.0)</f>
        <v>0</v>
      </c>
      <c r="W92" s="203">
        <f>IFERROR(__xludf.DUMMYFUNCTION("""COMPUTED_VALUE"""),0.0)</f>
        <v>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201"/>
      <c r="B93" s="204" t="str">
        <f>IF(OR(E93=Report!$B$1, F93=Report!$B$1, G93=Report!$B$1, H93=Report!$B$1), D93, "")</f>
        <v>Chlubna Tomáš</v>
      </c>
      <c r="C93" s="201" t="b">
        <f>IFERROR(__xludf.DUMMYFUNCTION("""COMPUTED_VALUE"""),FALSE)</f>
        <v>0</v>
      </c>
      <c r="D93" s="201" t="str">
        <f>IFERROR(__xludf.DUMMYFUNCTION("""COMPUTED_VALUE"""),"Chlubna Tomáš")</f>
        <v>Chlubna Tomáš</v>
      </c>
      <c r="E93" s="201" t="str">
        <f>IFERROR(__xludf.DUMMYFUNCTION("""COMPUTED_VALUE"""),"Chodov")</f>
        <v>Chodov</v>
      </c>
      <c r="F93" s="201" t="str">
        <f>IFERROR(__xludf.DUMMYFUNCTION("""COMPUTED_VALUE"""),"Libuš")</f>
        <v>Libuš</v>
      </c>
      <c r="G93" s="201" t="str">
        <f>IFERROR(__xludf.DUMMYFUNCTION("""COMPUTED_VALUE"""),"Výroba")</f>
        <v>Výroba</v>
      </c>
      <c r="H93" s="20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203">
        <f>IFERROR(__xludf.DUMMYFUNCTION("""COMPUTED_VALUE"""),250.20600000000002)</f>
        <v>250.206</v>
      </c>
      <c r="W93" s="203">
        <f>IFERROR(__xludf.DUMMYFUNCTION("""COMPUTED_VALUE"""),0.0)</f>
        <v>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201"/>
      <c r="B94" s="204" t="str">
        <f>IF(OR(E94=Report!$B$1, F94=Report!$B$1, G94=Report!$B$1, H94=Report!$B$1), D94, "")</f>
        <v/>
      </c>
      <c r="C94" s="201" t="b">
        <f>IFERROR(__xludf.DUMMYFUNCTION("""COMPUTED_VALUE"""),FALSE)</f>
        <v>0</v>
      </c>
      <c r="D94" s="201" t="str">
        <f>IFERROR(__xludf.DUMMYFUNCTION("""COMPUTED_VALUE"""),"Vychivskyi Volodymyr")</f>
        <v>Vychivskyi Volodymyr</v>
      </c>
      <c r="E94" s="201" t="str">
        <f>IFERROR(__xludf.DUMMYFUNCTION("""COMPUTED_VALUE"""),"Malešice")</f>
        <v>Malešice</v>
      </c>
      <c r="F94" s="201" t="str">
        <f>IFERROR(__xludf.DUMMYFUNCTION("""COMPUTED_VALUE"""),"Prosek")</f>
        <v>Prosek</v>
      </c>
      <c r="G94" s="201" t="str">
        <f>IFERROR(__xludf.DUMMYFUNCTION("""COMPUTED_VALUE"""),"Zličín")</f>
        <v>Zličín</v>
      </c>
      <c r="H94" s="20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203">
        <f>IFERROR(__xludf.DUMMYFUNCTION("""COMPUTED_VALUE"""),250.20600000000002)</f>
        <v>250.206</v>
      </c>
      <c r="W94" s="203">
        <f>IFERROR(__xludf.DUMMYFUNCTION("""COMPUTED_VALUE"""),0.0)</f>
        <v>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201"/>
      <c r="B95" s="204" t="str">
        <f>IF(OR(E95=Report!$B$1, F95=Report!$B$1, G95=Report!$B$1, H95=Report!$B$1), D95, "")</f>
        <v/>
      </c>
      <c r="C95" s="201" t="b">
        <f>IFERROR(__xludf.DUMMYFUNCTION("""COMPUTED_VALUE"""),FALSE)</f>
        <v>0</v>
      </c>
      <c r="D95" s="201"/>
      <c r="E95" s="201"/>
      <c r="F95" s="201"/>
      <c r="G95" s="201"/>
      <c r="H95" s="20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203">
        <f>IFERROR(__xludf.DUMMYFUNCTION("""COMPUTED_VALUE"""),0.0)</f>
        <v>0</v>
      </c>
      <c r="W95" s="203">
        <f>IFERROR(__xludf.DUMMYFUNCTION("""COMPUTED_VALUE"""),0.0)</f>
        <v>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201"/>
      <c r="B96" s="204" t="str">
        <f>IF(OR(E96=Report!$B$1, F96=Report!$B$1, G96=Report!$B$1, H96=Report!$B$1), D96, "")</f>
        <v>Hřebík Martin</v>
      </c>
      <c r="C96" s="201" t="b">
        <f>IFERROR(__xludf.DUMMYFUNCTION("""COMPUTED_VALUE"""),FALSE)</f>
        <v>0</v>
      </c>
      <c r="D96" s="201" t="str">
        <f>IFERROR(__xludf.DUMMYFUNCTION("""COMPUTED_VALUE"""),"Hřebík Martin")</f>
        <v>Hřebík Martin</v>
      </c>
      <c r="E96" s="201" t="str">
        <f>IFERROR(__xludf.DUMMYFUNCTION("""COMPUTED_VALUE"""),"Výroba")</f>
        <v>Výroba</v>
      </c>
      <c r="F96" s="201" t="str">
        <f>IFERROR(__xludf.DUMMYFUNCTION("""COMPUTED_VALUE"""),"Chodov")</f>
        <v>Chodov</v>
      </c>
      <c r="G96" s="201" t="str">
        <f>IFERROR(__xludf.DUMMYFUNCTION("""COMPUTED_VALUE"""),"Prosek")</f>
        <v>Prosek</v>
      </c>
      <c r="H96" s="201" t="str">
        <f>IFERROR(__xludf.DUMMYFUNCTION("""COMPUTED_VALUE"""),"Libuš")</f>
        <v>Libuš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203">
        <f>IFERROR(__xludf.DUMMYFUNCTION("""COMPUTED_VALUE"""),386.68199999999996)</f>
        <v>386.682</v>
      </c>
      <c r="W96" s="203">
        <f>IFERROR(__xludf.DUMMYFUNCTION("""COMPUTED_VALUE"""),2494.722580645161)</f>
        <v>2494.722581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201"/>
      <c r="B97" s="204" t="str">
        <f>IF(OR(E97=Report!$B$1, F97=Report!$B$1, G97=Report!$B$1, H97=Report!$B$1), D97, "")</f>
        <v/>
      </c>
      <c r="C97" s="201" t="b">
        <f>IFERROR(__xludf.DUMMYFUNCTION("""COMPUTED_VALUE"""),FALSE)</f>
        <v>0</v>
      </c>
      <c r="D97" s="201" t="str">
        <f>IFERROR(__xludf.DUMMYFUNCTION("""COMPUTED_VALUE"""),"Eszenyiová Patrícia")</f>
        <v>Eszenyiová Patrícia</v>
      </c>
      <c r="E97" s="201" t="str">
        <f>IFERROR(__xludf.DUMMYFUNCTION("""COMPUTED_VALUE"""),"Libuš")</f>
        <v>Libuš</v>
      </c>
      <c r="F97" s="201"/>
      <c r="G97" s="201"/>
      <c r="H97" s="20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203">
        <f>IFERROR(__xludf.DUMMYFUNCTION("""COMPUTED_VALUE"""),250.20600000000002)</f>
        <v>250.206</v>
      </c>
      <c r="W97" s="203">
        <f>IFERROR(__xludf.DUMMYFUNCTION("""COMPUTED_VALUE"""),0.0)</f>
        <v>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201"/>
      <c r="B98" s="204" t="str">
        <f>IF(OR(E98=Report!$B$1, F98=Report!$B$1, G98=Report!$B$1, H98=Report!$B$1), D98, "")</f>
        <v>Reischl Jan</v>
      </c>
      <c r="C98" s="201" t="b">
        <f>IFERROR(__xludf.DUMMYFUNCTION("""COMPUTED_VALUE"""),FALSE)</f>
        <v>0</v>
      </c>
      <c r="D98" s="201" t="str">
        <f>IFERROR(__xludf.DUMMYFUNCTION("""COMPUTED_VALUE"""),"Reischl Jan")</f>
        <v>Reischl Jan</v>
      </c>
      <c r="E98" s="201" t="str">
        <f>IFERROR(__xludf.DUMMYFUNCTION("""COMPUTED_VALUE"""),"Malešice")</f>
        <v>Malešice</v>
      </c>
      <c r="F98" s="201" t="str">
        <f>IFERROR(__xludf.DUMMYFUNCTION("""COMPUTED_VALUE"""),"Chodov")</f>
        <v>Chodov</v>
      </c>
      <c r="G98" s="201" t="str">
        <f>IFERROR(__xludf.DUMMYFUNCTION("""COMPUTED_VALUE"""),"Libuš")</f>
        <v>Libuš</v>
      </c>
      <c r="H98" s="201" t="str">
        <f>IFERROR(__xludf.DUMMYFUNCTION("""COMPUTED_VALUE"""),"Prosek")</f>
        <v>Prosek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203">
        <f>IFERROR(__xludf.DUMMYFUNCTION("""COMPUTED_VALUE"""),214.08)</f>
        <v>214.08</v>
      </c>
      <c r="W98" s="203">
        <f>IFERROR(__xludf.DUMMYFUNCTION("""COMPUTED_VALUE"""),0.0)</f>
        <v>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201"/>
      <c r="B99" s="204" t="str">
        <f>IF(OR(E99=Report!$B$1, F99=Report!$B$1, G99=Report!$B$1, H99=Report!$B$1), D99, "")</f>
        <v/>
      </c>
      <c r="C99" s="201" t="b">
        <f>IFERROR(__xludf.DUMMYFUNCTION("""COMPUTED_VALUE"""),FALSE)</f>
        <v>0</v>
      </c>
      <c r="D99" s="201" t="str">
        <f>IFERROR(__xludf.DUMMYFUNCTION("""COMPUTED_VALUE"""),"Mikešová Adéla")</f>
        <v>Mikešová Adéla</v>
      </c>
      <c r="E99" s="201" t="str">
        <f>IFERROR(__xludf.DUMMYFUNCTION("""COMPUTED_VALUE"""),"Bolevec")</f>
        <v>Bolevec</v>
      </c>
      <c r="F99" s="201"/>
      <c r="G99" s="201"/>
      <c r="H99" s="20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203">
        <f>IFERROR(__xludf.DUMMYFUNCTION("""COMPUTED_VALUE"""),214.08)</f>
        <v>214.08</v>
      </c>
      <c r="W99" s="203">
        <f>IFERROR(__xludf.DUMMYFUNCTION("""COMPUTED_VALUE"""),0.0)</f>
        <v>0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201"/>
      <c r="B100" s="204" t="str">
        <f>IF(OR(E100=Report!$B$1, F100=Report!$B$1, G100=Report!$B$1, H100=Report!$B$1), D100, "")</f>
        <v>Pražák Aleš</v>
      </c>
      <c r="C100" s="201" t="b">
        <f>IFERROR(__xludf.DUMMYFUNCTION("""COMPUTED_VALUE"""),FALSE)</f>
        <v>0</v>
      </c>
      <c r="D100" s="201" t="str">
        <f>IFERROR(__xludf.DUMMYFUNCTION("""COMPUTED_VALUE"""),"Pražák Aleš")</f>
        <v>Pražák Aleš</v>
      </c>
      <c r="E100" s="201" t="str">
        <f>IFERROR(__xludf.DUMMYFUNCTION("""COMPUTED_VALUE"""),"Chodov")</f>
        <v>Chodov</v>
      </c>
      <c r="F100" s="201"/>
      <c r="G100" s="201"/>
      <c r="H100" s="20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203">
        <f>IFERROR(__xludf.DUMMYFUNCTION("""COMPUTED_VALUE"""),231.474)</f>
        <v>231.474</v>
      </c>
      <c r="W100" s="203">
        <f>IFERROR(__xludf.DUMMYFUNCTION("""COMPUTED_VALUE"""),0.0)</f>
        <v>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201"/>
      <c r="B101" s="204" t="str">
        <f>IF(OR(E101=Report!$B$1, F101=Report!$B$1, G101=Report!$B$1, H101=Report!$B$1), D101, "")</f>
        <v>Chyský David</v>
      </c>
      <c r="C101" s="201" t="b">
        <f>IFERROR(__xludf.DUMMYFUNCTION("""COMPUTED_VALUE"""),FALSE)</f>
        <v>0</v>
      </c>
      <c r="D101" s="201" t="str">
        <f>IFERROR(__xludf.DUMMYFUNCTION("""COMPUTED_VALUE"""),"Chyský David")</f>
        <v>Chyský David</v>
      </c>
      <c r="E101" s="201" t="str">
        <f>IFERROR(__xludf.DUMMYFUNCTION("""COMPUTED_VALUE"""),"Chodov")</f>
        <v>Chodov</v>
      </c>
      <c r="F101" s="201"/>
      <c r="G101" s="201"/>
      <c r="H101" s="20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203">
        <f>IFERROR(__xludf.DUMMYFUNCTION("""COMPUTED_VALUE"""),231.474)</f>
        <v>231.474</v>
      </c>
      <c r="W101" s="203">
        <f>IFERROR(__xludf.DUMMYFUNCTION("""COMPUTED_VALUE"""),0.0)</f>
        <v>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201"/>
      <c r="B102" s="204" t="str">
        <f>IF(OR(E102=Report!$B$1, F102=Report!$B$1, G102=Report!$B$1, H102=Report!$B$1), D102, "")</f>
        <v/>
      </c>
      <c r="C102" s="201" t="b">
        <f>IFERROR(__xludf.DUMMYFUNCTION("""COMPUTED_VALUE"""),FALSE)</f>
        <v>0</v>
      </c>
      <c r="D102" s="201"/>
      <c r="E102" s="201"/>
      <c r="F102" s="201"/>
      <c r="G102" s="201"/>
      <c r="H102" s="20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203">
        <f>IFERROR(__xludf.DUMMYFUNCTION("""COMPUTED_VALUE"""),0.0)</f>
        <v>0</v>
      </c>
      <c r="W102" s="203">
        <f>IFERROR(__xludf.DUMMYFUNCTION("""COMPUTED_VALUE"""),0.0)</f>
        <v>0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201"/>
      <c r="B103" s="204" t="str">
        <f>IF(OR(E103=Report!$B$1, F103=Report!$B$1, G103=Report!$B$1, H103=Report!$B$1), D103, "")</f>
        <v/>
      </c>
      <c r="C103" s="201" t="b">
        <f>IFERROR(__xludf.DUMMYFUNCTION("""COMPUTED_VALUE"""),FALSE)</f>
        <v>0</v>
      </c>
      <c r="D103" s="201"/>
      <c r="E103" s="201"/>
      <c r="F103" s="201"/>
      <c r="G103" s="201"/>
      <c r="H103" s="20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203">
        <f>IFERROR(__xludf.DUMMYFUNCTION("""COMPUTED_VALUE"""),0.0)</f>
        <v>0</v>
      </c>
      <c r="W103" s="203">
        <f>IFERROR(__xludf.DUMMYFUNCTION("""COMPUTED_VALUE"""),0.0)</f>
        <v>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201"/>
      <c r="B104" s="204" t="str">
        <f>IF(OR(E104=Report!$B$1, F104=Report!$B$1, G104=Report!$B$1, H104=Report!$B$1), D104, "")</f>
        <v/>
      </c>
      <c r="C104" s="201" t="b">
        <f>IFERROR(__xludf.DUMMYFUNCTION("""COMPUTED_VALUE"""),FALSE)</f>
        <v>0</v>
      </c>
      <c r="D104" s="201" t="str">
        <f>IFERROR(__xludf.DUMMYFUNCTION("""COMPUTED_VALUE"""),"Kulinič Michail")</f>
        <v>Kulinič Michail</v>
      </c>
      <c r="E104" s="201" t="str">
        <f>IFERROR(__xludf.DUMMYFUNCTION("""COMPUTED_VALUE"""),"Prosek")</f>
        <v>Prosek</v>
      </c>
      <c r="F104" s="201"/>
      <c r="G104" s="201"/>
      <c r="H104" s="20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203">
        <f>IFERROR(__xludf.DUMMYFUNCTION("""COMPUTED_VALUE"""),231.474)</f>
        <v>231.474</v>
      </c>
      <c r="W104" s="203">
        <f>IFERROR(__xludf.DUMMYFUNCTION("""COMPUTED_VALUE"""),0.0)</f>
        <v>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201"/>
      <c r="B105" s="204" t="str">
        <f>IF(OR(E105=Report!$B$1, F105=Report!$B$1, G105=Report!$B$1, H105=Report!$B$1), D105, "")</f>
        <v/>
      </c>
      <c r="C105" s="201" t="b">
        <f>IFERROR(__xludf.DUMMYFUNCTION("""COMPUTED_VALUE"""),FALSE)</f>
        <v>0</v>
      </c>
      <c r="D105" s="201" t="str">
        <f>IFERROR(__xludf.DUMMYFUNCTION("""COMPUTED_VALUE"""),"Kalina Filip")</f>
        <v>Kalina Filip</v>
      </c>
      <c r="E105" s="201" t="str">
        <f>IFERROR(__xludf.DUMMYFUNCTION("""COMPUTED_VALUE"""),"Malešice")</f>
        <v>Malešice</v>
      </c>
      <c r="F105" s="201" t="str">
        <f>IFERROR(__xludf.DUMMYFUNCTION("""COMPUTED_VALUE"""),"Libuš")</f>
        <v>Libuš</v>
      </c>
      <c r="G105" s="201"/>
      <c r="H105" s="20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03">
        <f>IFERROR(__xludf.DUMMYFUNCTION("""COMPUTED_VALUE"""),231.474)</f>
        <v>231.474</v>
      </c>
      <c r="W105" s="203">
        <f>IFERROR(__xludf.DUMMYFUNCTION("""COMPUTED_VALUE"""),0.0)</f>
        <v>0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201"/>
      <c r="B106" s="204" t="str">
        <f>IF(OR(E106=Report!$B$1, F106=Report!$B$1, G106=Report!$B$1, H106=Report!$B$1), D106, "")</f>
        <v/>
      </c>
      <c r="C106" s="201" t="b">
        <f>IFERROR(__xludf.DUMMYFUNCTION("""COMPUTED_VALUE"""),FALSE)</f>
        <v>0</v>
      </c>
      <c r="D106" s="201"/>
      <c r="E106" s="201"/>
      <c r="F106" s="201"/>
      <c r="G106" s="201"/>
      <c r="H106" s="20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203">
        <f>IFERROR(__xludf.DUMMYFUNCTION("""COMPUTED_VALUE"""),0.0)</f>
        <v>0</v>
      </c>
      <c r="W106" s="203">
        <f>IFERROR(__xludf.DUMMYFUNCTION("""COMPUTED_VALUE"""),0.0)</f>
        <v>0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201"/>
      <c r="B107" s="204" t="str">
        <f>IF(OR(E107=Report!$B$1, F107=Report!$B$1, G107=Report!$B$1, H107=Report!$B$1), D107, "")</f>
        <v/>
      </c>
      <c r="C107" s="201" t="b">
        <f>IFERROR(__xludf.DUMMYFUNCTION("""COMPUTED_VALUE"""),FALSE)</f>
        <v>0</v>
      </c>
      <c r="D107" s="201" t="str">
        <f>IFERROR(__xludf.DUMMYFUNCTION("""COMPUTED_VALUE"""),"Kaločai Rudolf")</f>
        <v>Kaločai Rudolf</v>
      </c>
      <c r="E107" s="201" t="str">
        <f>IFERROR(__xludf.DUMMYFUNCTION("""COMPUTED_VALUE"""),"Bolevec")</f>
        <v>Bolevec</v>
      </c>
      <c r="F107" s="201"/>
      <c r="G107" s="201"/>
      <c r="H107" s="20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203">
        <f>IFERROR(__xludf.DUMMYFUNCTION("""COMPUTED_VALUE"""),140.0)</f>
        <v>140</v>
      </c>
      <c r="W107" s="203">
        <f>IFERROR(__xludf.DUMMYFUNCTION("""COMPUTED_VALUE"""),0.0)</f>
        <v>0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201"/>
      <c r="B108" s="204" t="str">
        <f>IF(OR(E108=Report!$B$1, F108=Report!$B$1, G108=Report!$B$1, H108=Report!$B$1), D108, "")</f>
        <v/>
      </c>
      <c r="C108" s="201" t="b">
        <f>IFERROR(__xludf.DUMMYFUNCTION("""COMPUTED_VALUE"""),FALSE)</f>
        <v>0</v>
      </c>
      <c r="D108" s="201" t="str">
        <f>IFERROR(__xludf.DUMMYFUNCTION("""COMPUTED_VALUE"""),"Dušek Sam")</f>
        <v>Dušek Sam</v>
      </c>
      <c r="E108" s="201" t="str">
        <f>IFERROR(__xludf.DUMMYFUNCTION("""COMPUTED_VALUE"""),"Libuš")</f>
        <v>Libuš</v>
      </c>
      <c r="F108" s="201" t="str">
        <f>IFERROR(__xludf.DUMMYFUNCTION("""COMPUTED_VALUE"""),"Malešice")</f>
        <v>Malešice</v>
      </c>
      <c r="G108" s="201"/>
      <c r="H108" s="20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203">
        <f>IFERROR(__xludf.DUMMYFUNCTION("""COMPUTED_VALUE"""),250.20600000000002)</f>
        <v>250.206</v>
      </c>
      <c r="W108" s="203">
        <f>IFERROR(__xludf.DUMMYFUNCTION("""COMPUTED_VALUE"""),0.0)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201"/>
      <c r="B109" s="204" t="str">
        <f>IF(OR(E109=Report!$B$1, F109=Report!$B$1, G109=Report!$B$1, H109=Report!$B$1), D109, "")</f>
        <v/>
      </c>
      <c r="C109" s="201" t="b">
        <f>IFERROR(__xludf.DUMMYFUNCTION("""COMPUTED_VALUE"""),FALSE)</f>
        <v>0</v>
      </c>
      <c r="D109" s="201" t="str">
        <f>IFERROR(__xludf.DUMMYFUNCTION("""COMPUTED_VALUE"""),"Kačena Stanislav")</f>
        <v>Kačena Stanislav</v>
      </c>
      <c r="E109" s="201" t="str">
        <f>IFERROR(__xludf.DUMMYFUNCTION("""COMPUTED_VALUE"""),"Prosek")</f>
        <v>Prosek</v>
      </c>
      <c r="F109" s="201"/>
      <c r="G109" s="201"/>
      <c r="H109" s="20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203">
        <f>IFERROR(__xludf.DUMMYFUNCTION("""COMPUTED_VALUE"""),231.474)</f>
        <v>231.474</v>
      </c>
      <c r="W109" s="203">
        <f>IFERROR(__xludf.DUMMYFUNCTION("""COMPUTED_VALUE"""),0.0)</f>
        <v>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201"/>
      <c r="B110" s="204" t="str">
        <f>IF(OR(E110=Report!$B$1, F110=Report!$B$1, G110=Report!$B$1, H110=Report!$B$1), D110, "")</f>
        <v/>
      </c>
      <c r="C110" s="201" t="b">
        <f>IFERROR(__xludf.DUMMYFUNCTION("""COMPUTED_VALUE"""),FALSE)</f>
        <v>0</v>
      </c>
      <c r="D110" s="201" t="str">
        <f>IFERROR(__xludf.DUMMYFUNCTION("""COMPUTED_VALUE"""),"Cieslar Marek")</f>
        <v>Cieslar Marek</v>
      </c>
      <c r="E110" s="201" t="str">
        <f>IFERROR(__xludf.DUMMYFUNCTION("""COMPUTED_VALUE"""),"Libuš")</f>
        <v>Libuš</v>
      </c>
      <c r="F110" s="201"/>
      <c r="G110" s="201"/>
      <c r="H110" s="20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203">
        <f>IFERROR(__xludf.DUMMYFUNCTION("""COMPUTED_VALUE"""),214.08)</f>
        <v>214.08</v>
      </c>
      <c r="W110" s="203">
        <f>IFERROR(__xludf.DUMMYFUNCTION("""COMPUTED_VALUE"""),0.0)</f>
        <v>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201"/>
      <c r="B111" s="204" t="str">
        <f>IF(OR(E111=Report!$B$1, F111=Report!$B$1, G111=Report!$B$1, H111=Report!$B$1), D111, "")</f>
        <v/>
      </c>
      <c r="C111" s="201" t="b">
        <f>IFERROR(__xludf.DUMMYFUNCTION("""COMPUTED_VALUE"""),FALSE)</f>
        <v>0</v>
      </c>
      <c r="D111" s="201" t="str">
        <f>IFERROR(__xludf.DUMMYFUNCTION("""COMPUTED_VALUE"""),"Banga Adam")</f>
        <v>Banga Adam</v>
      </c>
      <c r="E111" s="201" t="str">
        <f>IFERROR(__xludf.DUMMYFUNCTION("""COMPUTED_VALUE"""),"Zličín")</f>
        <v>Zličín</v>
      </c>
      <c r="F111" s="201"/>
      <c r="G111" s="201"/>
      <c r="H111" s="20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203">
        <f>IFERROR(__xludf.DUMMYFUNCTION("""COMPUTED_VALUE"""),231.474)</f>
        <v>231.474</v>
      </c>
      <c r="W111" s="203">
        <f>IFERROR(__xludf.DUMMYFUNCTION("""COMPUTED_VALUE"""),0.0)</f>
        <v>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201"/>
      <c r="B112" s="204" t="str">
        <f>IF(OR(E112=Report!$B$1, F112=Report!$B$1, G112=Report!$B$1, H112=Report!$B$1), D112, "")</f>
        <v/>
      </c>
      <c r="C112" s="201" t="b">
        <f>IFERROR(__xludf.DUMMYFUNCTION("""COMPUTED_VALUE"""),FALSE)</f>
        <v>0</v>
      </c>
      <c r="D112" s="201" t="str">
        <f>IFERROR(__xludf.DUMMYFUNCTION("""COMPUTED_VALUE"""),"Vopatová Anna")</f>
        <v>Vopatová Anna</v>
      </c>
      <c r="E112" s="201" t="str">
        <f>IFERROR(__xludf.DUMMYFUNCTION("""COMPUTED_VALUE"""),"Bolevec")</f>
        <v>Bolevec</v>
      </c>
      <c r="F112" s="201"/>
      <c r="G112" s="201"/>
      <c r="H112" s="20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203">
        <f>IFERROR(__xludf.DUMMYFUNCTION("""COMPUTED_VALUE"""),214.08)</f>
        <v>214.08</v>
      </c>
      <c r="W112" s="203">
        <f>IFERROR(__xludf.DUMMYFUNCTION("""COMPUTED_VALUE"""),0.0)</f>
        <v>0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201"/>
      <c r="B113" s="204" t="str">
        <f>IF(OR(E113=Report!$B$1, F113=Report!$B$1, G113=Report!$B$1, H113=Report!$B$1), D113, "")</f>
        <v/>
      </c>
      <c r="C113" s="201" t="b">
        <f>IFERROR(__xludf.DUMMYFUNCTION("""COMPUTED_VALUE"""),FALSE)</f>
        <v>0</v>
      </c>
      <c r="D113" s="201" t="str">
        <f>IFERROR(__xludf.DUMMYFUNCTION("""COMPUTED_VALUE"""),"Vopatová Šárka")</f>
        <v>Vopatová Šárka</v>
      </c>
      <c r="E113" s="201" t="str">
        <f>IFERROR(__xludf.DUMMYFUNCTION("""COMPUTED_VALUE"""),"Bolevec")</f>
        <v>Bolevec</v>
      </c>
      <c r="F113" s="201"/>
      <c r="G113" s="201"/>
      <c r="H113" s="20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203">
        <f>IFERROR(__xludf.DUMMYFUNCTION("""COMPUTED_VALUE"""),214.08)</f>
        <v>214.08</v>
      </c>
      <c r="W113" s="203">
        <f>IFERROR(__xludf.DUMMYFUNCTION("""COMPUTED_VALUE"""),0.0)</f>
        <v>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201"/>
      <c r="B114" s="204" t="str">
        <f>IF(OR(E114=Report!$B$1, F114=Report!$B$1, G114=Report!$B$1, H114=Report!$B$1), D114, "")</f>
        <v/>
      </c>
      <c r="C114" s="201" t="b">
        <f>IFERROR(__xludf.DUMMYFUNCTION("""COMPUTED_VALUE"""),FALSE)</f>
        <v>0</v>
      </c>
      <c r="D114" s="201" t="str">
        <f>IFERROR(__xludf.DUMMYFUNCTION("""COMPUTED_VALUE"""),"Richterová Monika")</f>
        <v>Richterová Monika</v>
      </c>
      <c r="E114" s="201" t="str">
        <f>IFERROR(__xludf.DUMMYFUNCTION("""COMPUTED_VALUE"""),"Malešice")</f>
        <v>Malešice</v>
      </c>
      <c r="F114" s="201"/>
      <c r="G114" s="201"/>
      <c r="H114" s="20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203">
        <f>IFERROR(__xludf.DUMMYFUNCTION("""COMPUTED_VALUE"""),214.08)</f>
        <v>214.08</v>
      </c>
      <c r="W114" s="203">
        <f>IFERROR(__xludf.DUMMYFUNCTION("""COMPUTED_VALUE"""),0.0)</f>
        <v>0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201"/>
      <c r="B115" s="204" t="str">
        <f>IF(OR(E115=Report!$B$1, F115=Report!$B$1, G115=Report!$B$1, H115=Report!$B$1), D115, "")</f>
        <v/>
      </c>
      <c r="C115" s="201" t="b">
        <f>IFERROR(__xludf.DUMMYFUNCTION("""COMPUTED_VALUE"""),FALSE)</f>
        <v>0</v>
      </c>
      <c r="D115" s="201" t="str">
        <f>IFERROR(__xludf.DUMMYFUNCTION("""COMPUTED_VALUE"""),"Serin David")</f>
        <v>Serin David</v>
      </c>
      <c r="E115" s="201" t="str">
        <f>IFERROR(__xludf.DUMMYFUNCTION("""COMPUTED_VALUE"""),"Libuš")</f>
        <v>Libuš</v>
      </c>
      <c r="F115" s="201" t="str">
        <f>IFERROR(__xludf.DUMMYFUNCTION("""COMPUTED_VALUE"""),"Malešice")</f>
        <v>Malešice</v>
      </c>
      <c r="G115" s="201"/>
      <c r="H115" s="20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203">
        <f>IFERROR(__xludf.DUMMYFUNCTION("""COMPUTED_VALUE"""),250.20600000000002)</f>
        <v>250.206</v>
      </c>
      <c r="W115" s="203">
        <f>IFERROR(__xludf.DUMMYFUNCTION("""COMPUTED_VALUE"""),0.0)</f>
        <v>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201"/>
      <c r="B116" s="204" t="str">
        <f>IF(OR(E116=Report!$B$1, F116=Report!$B$1, G116=Report!$B$1, H116=Report!$B$1), D116, "")</f>
        <v>Fabera Tomáš</v>
      </c>
      <c r="C116" s="201" t="b">
        <f>IFERROR(__xludf.DUMMYFUNCTION("""COMPUTED_VALUE"""),FALSE)</f>
        <v>0</v>
      </c>
      <c r="D116" s="201" t="str">
        <f>IFERROR(__xludf.DUMMYFUNCTION("""COMPUTED_VALUE"""),"Fabera Tomáš")</f>
        <v>Fabera Tomáš</v>
      </c>
      <c r="E116" s="201" t="str">
        <f>IFERROR(__xludf.DUMMYFUNCTION("""COMPUTED_VALUE"""),"Chodov")</f>
        <v>Chodov</v>
      </c>
      <c r="F116" s="201"/>
      <c r="G116" s="201"/>
      <c r="H116" s="20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203">
        <f>IFERROR(__xludf.DUMMYFUNCTION("""COMPUTED_VALUE"""),231.474)</f>
        <v>231.474</v>
      </c>
      <c r="W116" s="203">
        <f>IFERROR(__xludf.DUMMYFUNCTION("""COMPUTED_VALUE"""),0.0)</f>
        <v>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201"/>
      <c r="B117" s="204" t="str">
        <f>IF(OR(E117=Report!$B$1, F117=Report!$B$1, G117=Report!$B$1, H117=Report!$B$1), D117, "")</f>
        <v/>
      </c>
      <c r="C117" s="201" t="b">
        <f>IFERROR(__xludf.DUMMYFUNCTION("""COMPUTED_VALUE"""),FALSE)</f>
        <v>0</v>
      </c>
      <c r="D117" s="201" t="str">
        <f>IFERROR(__xludf.DUMMYFUNCTION("""COMPUTED_VALUE"""),"Hendrych Rostislav")</f>
        <v>Hendrych Rostislav</v>
      </c>
      <c r="E117" s="201" t="str">
        <f>IFERROR(__xludf.DUMMYFUNCTION("""COMPUTED_VALUE"""),"Malešice")</f>
        <v>Malešice</v>
      </c>
      <c r="F117" s="201"/>
      <c r="G117" s="201"/>
      <c r="H117" s="20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203">
        <f>IFERROR(__xludf.DUMMYFUNCTION("""COMPUTED_VALUE"""),250.20600000000002)</f>
        <v>250.206</v>
      </c>
      <c r="W117" s="203">
        <f>IFERROR(__xludf.DUMMYFUNCTION("""COMPUTED_VALUE"""),0.0)</f>
        <v>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201"/>
      <c r="B118" s="204" t="str">
        <f>IF(OR(E118=Report!$B$1, F118=Report!$B$1, G118=Report!$B$1, H118=Report!$B$1), D118, "")</f>
        <v/>
      </c>
      <c r="C118" s="201" t="b">
        <f>IFERROR(__xludf.DUMMYFUNCTION("""COMPUTED_VALUE"""),FALSE)</f>
        <v>0</v>
      </c>
      <c r="D118" s="201"/>
      <c r="E118" s="201"/>
      <c r="F118" s="201"/>
      <c r="G118" s="201"/>
      <c r="H118" s="20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203">
        <f>IFERROR(__xludf.DUMMYFUNCTION("""COMPUTED_VALUE"""),0.0)</f>
        <v>0</v>
      </c>
      <c r="W118" s="203">
        <f>IFERROR(__xludf.DUMMYFUNCTION("""COMPUTED_VALUE"""),0.0)</f>
        <v>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201"/>
      <c r="B119" s="204" t="str">
        <f>IF(OR(E119=Report!$B$1, F119=Report!$B$1, G119=Report!$B$1, H119=Report!$B$1), D119, "")</f>
        <v/>
      </c>
      <c r="C119" s="201" t="b">
        <f>IFERROR(__xludf.DUMMYFUNCTION("""COMPUTED_VALUE"""),FALSE)</f>
        <v>0</v>
      </c>
      <c r="D119" s="201" t="str">
        <f>IFERROR(__xludf.DUMMYFUNCTION("""COMPUTED_VALUE"""),"Světlík František")</f>
        <v>Světlík František</v>
      </c>
      <c r="E119" s="201" t="str">
        <f>IFERROR(__xludf.DUMMYFUNCTION("""COMPUTED_VALUE"""),"Bolevec")</f>
        <v>Bolevec</v>
      </c>
      <c r="F119" s="201"/>
      <c r="G119" s="201"/>
      <c r="H119" s="20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203">
        <f>IFERROR(__xludf.DUMMYFUNCTION("""COMPUTED_VALUE"""),214.08)</f>
        <v>214.08</v>
      </c>
      <c r="W119" s="203">
        <f>IFERROR(__xludf.DUMMYFUNCTION("""COMPUTED_VALUE"""),0.0)</f>
        <v>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201"/>
      <c r="B120" s="204" t="str">
        <f>IF(OR(E120=Report!$B$1, F120=Report!$B$1, G120=Report!$B$1, H120=Report!$B$1), D120, "")</f>
        <v/>
      </c>
      <c r="C120" s="201" t="b">
        <f>IFERROR(__xludf.DUMMYFUNCTION("""COMPUTED_VALUE"""),FALSE)</f>
        <v>0</v>
      </c>
      <c r="D120" s="201" t="str">
        <f>IFERROR(__xludf.DUMMYFUNCTION("""COMPUTED_VALUE"""),"Ženíšek Lukáš")</f>
        <v>Ženíšek Lukáš</v>
      </c>
      <c r="E120" s="201" t="str">
        <f>IFERROR(__xludf.DUMMYFUNCTION("""COMPUTED_VALUE"""),"Bolevec")</f>
        <v>Bolevec</v>
      </c>
      <c r="F120" s="201"/>
      <c r="G120" s="201"/>
      <c r="H120" s="20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203">
        <f>IFERROR(__xludf.DUMMYFUNCTION("""COMPUTED_VALUE"""),214.08)</f>
        <v>214.08</v>
      </c>
      <c r="W120" s="203">
        <f>IFERROR(__xludf.DUMMYFUNCTION("""COMPUTED_VALUE"""),0.0)</f>
        <v>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201"/>
      <c r="B121" s="204" t="str">
        <f>IF(OR(E121=Report!$B$1, F121=Report!$B$1, G121=Report!$B$1, H121=Report!$B$1), D121, "")</f>
        <v/>
      </c>
      <c r="C121" s="201" t="b">
        <f>IFERROR(__xludf.DUMMYFUNCTION("""COMPUTED_VALUE"""),FALSE)</f>
        <v>0</v>
      </c>
      <c r="D121" s="201"/>
      <c r="E121" s="201" t="str">
        <f>IFERROR(__xludf.DUMMYFUNCTION("""COMPUTED_VALUE"""),"Chodov")</f>
        <v>Chodov</v>
      </c>
      <c r="F121" s="201"/>
      <c r="G121" s="201"/>
      <c r="H121" s="20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203">
        <f>IFERROR(__xludf.DUMMYFUNCTION("""COMPUTED_VALUE"""),231.474)</f>
        <v>231.474</v>
      </c>
      <c r="W121" s="203">
        <f>IFERROR(__xludf.DUMMYFUNCTION("""COMPUTED_VALUE"""),0.0)</f>
        <v>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201"/>
      <c r="B122" s="204" t="str">
        <f>IF(OR(E122=Report!$B$1, F122=Report!$B$1, G122=Report!$B$1, H122=Report!$B$1), D122, "")</f>
        <v/>
      </c>
      <c r="C122" s="201" t="b">
        <f>IFERROR(__xludf.DUMMYFUNCTION("""COMPUTED_VALUE"""),FALSE)</f>
        <v>0</v>
      </c>
      <c r="D122" s="201" t="str">
        <f>IFERROR(__xludf.DUMMYFUNCTION("""COMPUTED_VALUE"""),"Roth Stanislav st.")</f>
        <v>Roth Stanislav st.</v>
      </c>
      <c r="E122" s="201" t="str">
        <f>IFERROR(__xludf.DUMMYFUNCTION("""COMPUTED_VALUE"""),"Bolevec")</f>
        <v>Bolevec</v>
      </c>
      <c r="F122" s="201"/>
      <c r="G122" s="201"/>
      <c r="H122" s="20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203">
        <f>IFERROR(__xludf.DUMMYFUNCTION("""COMPUTED_VALUE"""),49506.0)</f>
        <v>49506</v>
      </c>
      <c r="W122" s="203">
        <f>IFERROR(__xludf.DUMMYFUNCTION("""COMPUTED_VALUE"""),1596.967741935484)</f>
        <v>1596.967742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201"/>
      <c r="B123" s="204" t="str">
        <f>IF(OR(E123=Report!$B$1, F123=Report!$B$1, G123=Report!$B$1, H123=Report!$B$1), D123, "")</f>
        <v/>
      </c>
      <c r="C123" s="201" t="b">
        <f>IFERROR(__xludf.DUMMYFUNCTION("""COMPUTED_VALUE"""),FALSE)</f>
        <v>0</v>
      </c>
      <c r="D123" s="201"/>
      <c r="E123" s="201"/>
      <c r="F123" s="201"/>
      <c r="G123" s="201"/>
      <c r="H123" s="20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203">
        <f>IFERROR(__xludf.DUMMYFUNCTION("""COMPUTED_VALUE"""),0.0)</f>
        <v>0</v>
      </c>
      <c r="W123" s="203">
        <f>IFERROR(__xludf.DUMMYFUNCTION("""COMPUTED_VALUE"""),0.0)</f>
        <v>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201"/>
      <c r="B124" s="204" t="str">
        <f>IF(OR(E124=Report!$B$1, F124=Report!$B$1, G124=Report!$B$1, H124=Report!$B$1), D124, "")</f>
        <v/>
      </c>
      <c r="C124" s="201" t="b">
        <f>IFERROR(__xludf.DUMMYFUNCTION("""COMPUTED_VALUE"""),FALSE)</f>
        <v>0</v>
      </c>
      <c r="D124" s="201"/>
      <c r="E124" s="201"/>
      <c r="F124" s="201"/>
      <c r="G124" s="201"/>
      <c r="H124" s="20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203">
        <f>IFERROR(__xludf.DUMMYFUNCTION("""COMPUTED_VALUE"""),0.0)</f>
        <v>0</v>
      </c>
      <c r="W124" s="203">
        <f>IFERROR(__xludf.DUMMYFUNCTION("""COMPUTED_VALUE"""),0.0)</f>
        <v>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201"/>
      <c r="B125" s="204" t="str">
        <f>IF(OR(E125=Report!$B$1, F125=Report!$B$1, G125=Report!$B$1, H125=Report!$B$1), D125, "")</f>
        <v/>
      </c>
      <c r="C125" s="201" t="b">
        <f>IFERROR(__xludf.DUMMYFUNCTION("""COMPUTED_VALUE"""),FALSE)</f>
        <v>0</v>
      </c>
      <c r="D125" s="201" t="str">
        <f>IFERROR(__xludf.DUMMYFUNCTION("""COMPUTED_VALUE"""),"Vaníková Anna")</f>
        <v>Vaníková Anna</v>
      </c>
      <c r="E125" s="201" t="str">
        <f>IFERROR(__xludf.DUMMYFUNCTION("""COMPUTED_VALUE"""),"Zličín")</f>
        <v>Zličín</v>
      </c>
      <c r="F125" s="201"/>
      <c r="G125" s="201"/>
      <c r="H125" s="20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203">
        <f>IFERROR(__xludf.DUMMYFUNCTION("""COMPUTED_VALUE"""),231.474)</f>
        <v>231.474</v>
      </c>
      <c r="W125" s="203">
        <f>IFERROR(__xludf.DUMMYFUNCTION("""COMPUTED_VALUE"""),0.0)</f>
        <v>0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201"/>
      <c r="B126" s="204" t="str">
        <f>IF(OR(E126=Report!$B$1, F126=Report!$B$1, G126=Report!$B$1, H126=Report!$B$1), D126, "")</f>
        <v/>
      </c>
      <c r="C126" s="201" t="b">
        <f>IFERROR(__xludf.DUMMYFUNCTION("""COMPUTED_VALUE"""),FALSE)</f>
        <v>0</v>
      </c>
      <c r="D126" s="201" t="str">
        <f>IFERROR(__xludf.DUMMYFUNCTION("""COMPUTED_VALUE"""),"Břicháč Pavel")</f>
        <v>Břicháč Pavel</v>
      </c>
      <c r="E126" s="201" t="str">
        <f>IFERROR(__xludf.DUMMYFUNCTION("""COMPUTED_VALUE"""),"Libuš")</f>
        <v>Libuš</v>
      </c>
      <c r="F126" s="201"/>
      <c r="G126" s="201"/>
      <c r="H126" s="20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203">
        <f>IFERROR(__xludf.DUMMYFUNCTION("""COMPUTED_VALUE"""),231.474)</f>
        <v>231.474</v>
      </c>
      <c r="W126" s="203">
        <f>IFERROR(__xludf.DUMMYFUNCTION("""COMPUTED_VALUE"""),0.0)</f>
        <v>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201"/>
      <c r="B127" s="204" t="str">
        <f>IF(OR(E127=Report!$B$1, F127=Report!$B$1, G127=Report!$B$1, H127=Report!$B$1), D127, "")</f>
        <v/>
      </c>
      <c r="C127" s="201" t="b">
        <f>IFERROR(__xludf.DUMMYFUNCTION("""COMPUTED_VALUE"""),FALSE)</f>
        <v>0</v>
      </c>
      <c r="D127" s="201" t="str">
        <f>IFERROR(__xludf.DUMMYFUNCTION("""COMPUTED_VALUE"""),"Čerešňák Michal")</f>
        <v>Čerešňák Michal</v>
      </c>
      <c r="E127" s="201" t="str">
        <f>IFERROR(__xludf.DUMMYFUNCTION("""COMPUTED_VALUE"""),"Zličín")</f>
        <v>Zličín</v>
      </c>
      <c r="F127" s="201"/>
      <c r="G127" s="201"/>
      <c r="H127" s="20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203">
        <f>IFERROR(__xludf.DUMMYFUNCTION("""COMPUTED_VALUE"""),170.0)</f>
        <v>170</v>
      </c>
      <c r="W127" s="203">
        <f>IFERROR(__xludf.DUMMYFUNCTION("""COMPUTED_VALUE"""),0.0)</f>
        <v>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201"/>
      <c r="B128" s="204" t="str">
        <f>IF(OR(E128=Report!$B$1, F128=Report!$B$1, G128=Report!$B$1, H128=Report!$B$1), D128, "")</f>
        <v/>
      </c>
      <c r="C128" s="201" t="b">
        <f>IFERROR(__xludf.DUMMYFUNCTION("""COMPUTED_VALUE"""),FALSE)</f>
        <v>0</v>
      </c>
      <c r="D128" s="201" t="str">
        <f>IFERROR(__xludf.DUMMYFUNCTION("""COMPUTED_VALUE"""),"Weindling Josef")</f>
        <v>Weindling Josef</v>
      </c>
      <c r="E128" s="201" t="str">
        <f>IFERROR(__xludf.DUMMYFUNCTION("""COMPUTED_VALUE"""),"Libuš")</f>
        <v>Libuš</v>
      </c>
      <c r="F128" s="201"/>
      <c r="G128" s="201"/>
      <c r="H128" s="20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203">
        <f>IFERROR(__xludf.DUMMYFUNCTION("""COMPUTED_VALUE"""),231.474)</f>
        <v>231.474</v>
      </c>
      <c r="W128" s="203">
        <f>IFERROR(__xludf.DUMMYFUNCTION("""COMPUTED_VALUE"""),0.0)</f>
        <v>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201"/>
      <c r="B129" s="204" t="str">
        <f>IF(OR(E129=Report!$B$1, F129=Report!$B$1, G129=Report!$B$1, H129=Report!$B$1), D129, "")</f>
        <v>Fux Vojtěch</v>
      </c>
      <c r="C129" s="201" t="b">
        <f>IFERROR(__xludf.DUMMYFUNCTION("""COMPUTED_VALUE"""),FALSE)</f>
        <v>0</v>
      </c>
      <c r="D129" s="201" t="str">
        <f>IFERROR(__xludf.DUMMYFUNCTION("""COMPUTED_VALUE"""),"Fux Vojtěch")</f>
        <v>Fux Vojtěch</v>
      </c>
      <c r="E129" s="201" t="str">
        <f>IFERROR(__xludf.DUMMYFUNCTION("""COMPUTED_VALUE"""),"Chodov")</f>
        <v>Chodov</v>
      </c>
      <c r="F129" s="201"/>
      <c r="G129" s="201"/>
      <c r="H129" s="20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203">
        <f>IFERROR(__xludf.DUMMYFUNCTION("""COMPUTED_VALUE"""),170.0)</f>
        <v>170</v>
      </c>
      <c r="W129" s="203">
        <f>IFERROR(__xludf.DUMMYFUNCTION("""COMPUTED_VALUE"""),0.0)</f>
        <v>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201"/>
      <c r="B130" s="204" t="str">
        <f>IF(OR(E130=Report!$B$1, F130=Report!$B$1, G130=Report!$B$1, H130=Report!$B$1), D130, "")</f>
        <v/>
      </c>
      <c r="C130" s="201" t="b">
        <f>IFERROR(__xludf.DUMMYFUNCTION("""COMPUTED_VALUE"""),FALSE)</f>
        <v>0</v>
      </c>
      <c r="D130" s="201"/>
      <c r="E130" s="201"/>
      <c r="F130" s="201"/>
      <c r="G130" s="201"/>
      <c r="H130" s="20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203">
        <f>IFERROR(__xludf.DUMMYFUNCTION("""COMPUTED_VALUE"""),0.0)</f>
        <v>0</v>
      </c>
      <c r="W130" s="203">
        <f>IFERROR(__xludf.DUMMYFUNCTION("""COMPUTED_VALUE"""),0.0)</f>
        <v>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201"/>
      <c r="B131" s="204" t="str">
        <f>IF(OR(E131=Report!$B$1, F131=Report!$B$1, G131=Report!$B$1, H131=Report!$B$1), D131, "")</f>
        <v/>
      </c>
      <c r="C131" s="201" t="b">
        <f>IFERROR(__xludf.DUMMYFUNCTION("""COMPUTED_VALUE"""),FALSE)</f>
        <v>0</v>
      </c>
      <c r="D131" s="201"/>
      <c r="E131" s="201"/>
      <c r="F131" s="201"/>
      <c r="G131" s="201"/>
      <c r="H131" s="20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202"/>
      <c r="W131" s="203">
        <f>IFERROR(__xludf.DUMMYFUNCTION("""COMPUTED_VALUE"""),0.0)</f>
        <v>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201"/>
      <c r="B132" s="204" t="str">
        <f>IF(OR(E132=Report!$B$1, F132=Report!$B$1, G132=Report!$B$1, H132=Report!$B$1), D132, "")</f>
        <v/>
      </c>
      <c r="C132" s="201" t="b">
        <f>IFERROR(__xludf.DUMMYFUNCTION("""COMPUTED_VALUE"""),FALSE)</f>
        <v>0</v>
      </c>
      <c r="D132" s="201"/>
      <c r="E132" s="201"/>
      <c r="F132" s="201"/>
      <c r="G132" s="201"/>
      <c r="H132" s="20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203">
        <f>IFERROR(__xludf.DUMMYFUNCTION("""COMPUTED_VALUE"""),0.0)</f>
        <v>0</v>
      </c>
      <c r="W132" s="203">
        <f>IFERROR(__xludf.DUMMYFUNCTION("""COMPUTED_VALUE"""),0.0)</f>
        <v>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201"/>
      <c r="B133" s="204" t="str">
        <f>IF(OR(E133=Report!$B$1, F133=Report!$B$1, G133=Report!$B$1, H133=Report!$B$1), D133, "")</f>
        <v/>
      </c>
      <c r="C133" s="201" t="b">
        <f>IFERROR(__xludf.DUMMYFUNCTION("""COMPUTED_VALUE"""),FALSE)</f>
        <v>0</v>
      </c>
      <c r="D133" s="201"/>
      <c r="E133" s="201"/>
      <c r="F133" s="201"/>
      <c r="G133" s="201"/>
      <c r="H133" s="20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203">
        <f>IFERROR(__xludf.DUMMYFUNCTION("""COMPUTED_VALUE"""),0.0)</f>
        <v>0</v>
      </c>
      <c r="W133" s="203">
        <f>IFERROR(__xludf.DUMMYFUNCTION("""COMPUTED_VALUE"""),0.0)</f>
        <v>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201"/>
      <c r="B134" s="204" t="str">
        <f>IF(OR(E134=Report!$B$1, F134=Report!$B$1, G134=Report!$B$1, H134=Report!$B$1), D134, "")</f>
        <v/>
      </c>
      <c r="C134" s="201" t="b">
        <f>IFERROR(__xludf.DUMMYFUNCTION("""COMPUTED_VALUE"""),FALSE)</f>
        <v>0</v>
      </c>
      <c r="D134" s="201"/>
      <c r="E134" s="201"/>
      <c r="F134" s="201"/>
      <c r="G134" s="201"/>
      <c r="H134" s="20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203">
        <f>IFERROR(__xludf.DUMMYFUNCTION("""COMPUTED_VALUE"""),0.0)</f>
        <v>0</v>
      </c>
      <c r="W134" s="203">
        <f>IFERROR(__xludf.DUMMYFUNCTION("""COMPUTED_VALUE"""),0.0)</f>
        <v>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201"/>
      <c r="B135" s="204" t="str">
        <f>IF(OR(E135=Report!$B$1, F135=Report!$B$1, G135=Report!$B$1, H135=Report!$B$1), D135, "")</f>
        <v/>
      </c>
      <c r="C135" s="201" t="b">
        <f>IFERROR(__xludf.DUMMYFUNCTION("""COMPUTED_VALUE"""),FALSE)</f>
        <v>0</v>
      </c>
      <c r="D135" s="201"/>
      <c r="E135" s="201"/>
      <c r="F135" s="201"/>
      <c r="G135" s="201"/>
      <c r="H135" s="20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203">
        <f>IFERROR(__xludf.DUMMYFUNCTION("""COMPUTED_VALUE"""),0.0)</f>
        <v>0</v>
      </c>
      <c r="W135" s="203">
        <f>IFERROR(__xludf.DUMMYFUNCTION("""COMPUTED_VALUE"""),0.0)</f>
        <v>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201"/>
      <c r="B136" s="204" t="str">
        <f>IF(OR(E136=Report!$B$1, F136=Report!$B$1, G136=Report!$B$1, H136=Report!$B$1), D136, "")</f>
        <v/>
      </c>
      <c r="C136" s="201" t="b">
        <f>IFERROR(__xludf.DUMMYFUNCTION("""COMPUTED_VALUE"""),FALSE)</f>
        <v>0</v>
      </c>
      <c r="D136" s="201"/>
      <c r="E136" s="201"/>
      <c r="F136" s="201"/>
      <c r="G136" s="201"/>
      <c r="H136" s="20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203">
        <f>IFERROR(__xludf.DUMMYFUNCTION("""COMPUTED_VALUE"""),0.0)</f>
        <v>0</v>
      </c>
      <c r="W136" s="203">
        <f>IFERROR(__xludf.DUMMYFUNCTION("""COMPUTED_VALUE"""),0.0)</f>
        <v>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201"/>
      <c r="B137" s="204" t="str">
        <f>IF(OR(E137=Report!$B$1, F137=Report!$B$1, G137=Report!$B$1, H137=Report!$B$1), D137, "")</f>
        <v/>
      </c>
      <c r="C137" s="201" t="b">
        <f>IFERROR(__xludf.DUMMYFUNCTION("""COMPUTED_VALUE"""),FALSE)</f>
        <v>0</v>
      </c>
      <c r="D137" s="201"/>
      <c r="E137" s="201"/>
      <c r="F137" s="201"/>
      <c r="G137" s="201"/>
      <c r="H137" s="20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203">
        <f>IFERROR(__xludf.DUMMYFUNCTION("""COMPUTED_VALUE"""),0.0)</f>
        <v>0</v>
      </c>
      <c r="W137" s="203">
        <f>IFERROR(__xludf.DUMMYFUNCTION("""COMPUTED_VALUE"""),0.0)</f>
        <v>0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201"/>
      <c r="B138" s="204" t="str">
        <f>IF(OR(E138=Report!$B$1, F138=Report!$B$1, G138=Report!$B$1, H138=Report!$B$1), D138, "")</f>
        <v/>
      </c>
      <c r="C138" s="201" t="b">
        <f>IFERROR(__xludf.DUMMYFUNCTION("""COMPUTED_VALUE"""),FALSE)</f>
        <v>0</v>
      </c>
      <c r="D138" s="201"/>
      <c r="E138" s="201"/>
      <c r="F138" s="201"/>
      <c r="G138" s="201"/>
      <c r="H138" s="20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203">
        <f>IFERROR(__xludf.DUMMYFUNCTION("""COMPUTED_VALUE"""),0.0)</f>
        <v>0</v>
      </c>
      <c r="W138" s="203">
        <f>IFERROR(__xludf.DUMMYFUNCTION("""COMPUTED_VALUE"""),0.0)</f>
        <v>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201"/>
      <c r="B139" s="204" t="str">
        <f>IF(OR(E139=Report!$B$1, F139=Report!$B$1, G139=Report!$B$1, H139=Report!$B$1), D139, "")</f>
        <v/>
      </c>
      <c r="C139" s="201" t="b">
        <f>IFERROR(__xludf.DUMMYFUNCTION("""COMPUTED_VALUE"""),FALSE)</f>
        <v>0</v>
      </c>
      <c r="D139" s="201"/>
      <c r="E139" s="201"/>
      <c r="F139" s="201"/>
      <c r="G139" s="201"/>
      <c r="H139" s="20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203">
        <f>IFERROR(__xludf.DUMMYFUNCTION("""COMPUTED_VALUE"""),0.0)</f>
        <v>0</v>
      </c>
      <c r="W139" s="203">
        <f>IFERROR(__xludf.DUMMYFUNCTION("""COMPUTED_VALUE"""),0.0)</f>
        <v>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201"/>
      <c r="B140" s="204" t="str">
        <f>IF(OR(E140=Report!$B$1, F140=Report!$B$1, G140=Report!$B$1, H140=Report!$B$1), D140, "")</f>
        <v/>
      </c>
      <c r="C140" s="201" t="b">
        <f>IFERROR(__xludf.DUMMYFUNCTION("""COMPUTED_VALUE"""),FALSE)</f>
        <v>0</v>
      </c>
      <c r="D140" s="201"/>
      <c r="E140" s="201"/>
      <c r="F140" s="201"/>
      <c r="G140" s="201"/>
      <c r="H140" s="20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203">
        <f>IFERROR(__xludf.DUMMYFUNCTION("""COMPUTED_VALUE"""),0.0)</f>
        <v>0</v>
      </c>
      <c r="W140" s="203">
        <f>IFERROR(__xludf.DUMMYFUNCTION("""COMPUTED_VALUE"""),0.0)</f>
        <v>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201"/>
      <c r="B141" s="204" t="str">
        <f>IF(OR(E141=Report!$B$1, F141=Report!$B$1, G141=Report!$B$1, H141=Report!$B$1), D141, "")</f>
        <v/>
      </c>
      <c r="C141" s="201" t="b">
        <f>IFERROR(__xludf.DUMMYFUNCTION("""COMPUTED_VALUE"""),FALSE)</f>
        <v>0</v>
      </c>
      <c r="D141" s="201"/>
      <c r="E141" s="201"/>
      <c r="F141" s="201"/>
      <c r="G141" s="201"/>
      <c r="H141" s="20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203">
        <f>IFERROR(__xludf.DUMMYFUNCTION("""COMPUTED_VALUE"""),0.0)</f>
        <v>0</v>
      </c>
      <c r="W141" s="203">
        <f>IFERROR(__xludf.DUMMYFUNCTION("""COMPUTED_VALUE"""),0.0)</f>
        <v>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201"/>
      <c r="B142" s="204" t="str">
        <f>IF(OR(E142=Report!$B$1, F142=Report!$B$1, G142=Report!$B$1, H142=Report!$B$1), D142, "")</f>
        <v/>
      </c>
      <c r="C142" s="201" t="b">
        <f>IFERROR(__xludf.DUMMYFUNCTION("""COMPUTED_VALUE"""),FALSE)</f>
        <v>0</v>
      </c>
      <c r="D142" s="201"/>
      <c r="E142" s="201"/>
      <c r="F142" s="201"/>
      <c r="G142" s="201"/>
      <c r="H142" s="20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203">
        <f>IFERROR(__xludf.DUMMYFUNCTION("""COMPUTED_VALUE"""),0.0)</f>
        <v>0</v>
      </c>
      <c r="W142" s="203">
        <f>IFERROR(__xludf.DUMMYFUNCTION("""COMPUTED_VALUE"""),0.0)</f>
        <v>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201"/>
      <c r="B143" s="204" t="str">
        <f>IF(OR(E143=Report!$B$1, F143=Report!$B$1, G143=Report!$B$1, H143=Report!$B$1), D143, "")</f>
        <v/>
      </c>
      <c r="C143" s="201" t="b">
        <f>IFERROR(__xludf.DUMMYFUNCTION("""COMPUTED_VALUE"""),FALSE)</f>
        <v>0</v>
      </c>
      <c r="D143" s="201"/>
      <c r="E143" s="201"/>
      <c r="F143" s="201"/>
      <c r="G143" s="201"/>
      <c r="H143" s="20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203">
        <f>IFERROR(__xludf.DUMMYFUNCTION("""COMPUTED_VALUE"""),0.0)</f>
        <v>0</v>
      </c>
      <c r="W143" s="203">
        <f>IFERROR(__xludf.DUMMYFUNCTION("""COMPUTED_VALUE"""),0.0)</f>
        <v>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201"/>
      <c r="B144" s="204" t="str">
        <f>IF(OR(E144=Report!$B$1, F144=Report!$B$1, G144=Report!$B$1, H144=Report!$B$1), D144, "")</f>
        <v/>
      </c>
      <c r="C144" s="201" t="b">
        <f>IFERROR(__xludf.DUMMYFUNCTION("""COMPUTED_VALUE"""),FALSE)</f>
        <v>0</v>
      </c>
      <c r="D144" s="201"/>
      <c r="E144" s="201"/>
      <c r="F144" s="201"/>
      <c r="G144" s="201"/>
      <c r="H144" s="20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203">
        <f>IFERROR(__xludf.DUMMYFUNCTION("""COMPUTED_VALUE"""),0.0)</f>
        <v>0</v>
      </c>
      <c r="W144" s="203">
        <f>IFERROR(__xludf.DUMMYFUNCTION("""COMPUTED_VALUE"""),0.0)</f>
        <v>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201"/>
      <c r="B145" s="204" t="str">
        <f>IF(OR(E145=Report!$B$1, F145=Report!$B$1, G145=Report!$B$1, H145=Report!$B$1), D145, "")</f>
        <v/>
      </c>
      <c r="C145" s="201" t="b">
        <f>IFERROR(__xludf.DUMMYFUNCTION("""COMPUTED_VALUE"""),FALSE)</f>
        <v>0</v>
      </c>
      <c r="D145" s="201"/>
      <c r="E145" s="201"/>
      <c r="F145" s="201"/>
      <c r="G145" s="201"/>
      <c r="H145" s="20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203">
        <f>IFERROR(__xludf.DUMMYFUNCTION("""COMPUTED_VALUE"""),0.0)</f>
        <v>0</v>
      </c>
      <c r="W145" s="203">
        <f>IFERROR(__xludf.DUMMYFUNCTION("""COMPUTED_VALUE"""),0.0)</f>
        <v>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201"/>
      <c r="B146" s="204" t="str">
        <f>IF(OR(E146=Report!$B$1, F146=Report!$B$1, G146=Report!$B$1, H146=Report!$B$1), D146, "")</f>
        <v/>
      </c>
      <c r="C146" s="201" t="b">
        <f>IFERROR(__xludf.DUMMYFUNCTION("""COMPUTED_VALUE"""),FALSE)</f>
        <v>0</v>
      </c>
      <c r="D146" s="201"/>
      <c r="E146" s="201"/>
      <c r="F146" s="201"/>
      <c r="G146" s="201"/>
      <c r="H146" s="20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203">
        <f>IFERROR(__xludf.DUMMYFUNCTION("""COMPUTED_VALUE"""),0.0)</f>
        <v>0</v>
      </c>
      <c r="W146" s="203">
        <f>IFERROR(__xludf.DUMMYFUNCTION("""COMPUTED_VALUE"""),0.0)</f>
        <v>0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201"/>
      <c r="B147" s="204" t="str">
        <f>IF(OR(E147=Report!$B$1, F147=Report!$B$1, G147=Report!$B$1, H147=Report!$B$1), D147, "")</f>
        <v/>
      </c>
      <c r="C147" s="201" t="b">
        <f>IFERROR(__xludf.DUMMYFUNCTION("""COMPUTED_VALUE"""),FALSE)</f>
        <v>0</v>
      </c>
      <c r="D147" s="201"/>
      <c r="E147" s="201"/>
      <c r="F147" s="201"/>
      <c r="G147" s="201"/>
      <c r="H147" s="20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03">
        <f>IFERROR(__xludf.DUMMYFUNCTION("""COMPUTED_VALUE"""),0.0)</f>
        <v>0</v>
      </c>
      <c r="W147" s="203">
        <f>IFERROR(__xludf.DUMMYFUNCTION("""COMPUTED_VALUE"""),0.0)</f>
        <v>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201"/>
      <c r="B148" s="204" t="str">
        <f>IF(OR(E148=Report!$B$1, F148=Report!$B$1, G148=Report!$B$1, H148=Report!$B$1), D148, "")</f>
        <v/>
      </c>
      <c r="C148" s="201" t="b">
        <f>IFERROR(__xludf.DUMMYFUNCTION("""COMPUTED_VALUE"""),FALSE)</f>
        <v>0</v>
      </c>
      <c r="D148" s="201"/>
      <c r="E148" s="201"/>
      <c r="F148" s="201"/>
      <c r="G148" s="201"/>
      <c r="H148" s="20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203">
        <f>IFERROR(__xludf.DUMMYFUNCTION("""COMPUTED_VALUE"""),0.0)</f>
        <v>0</v>
      </c>
      <c r="W148" s="203">
        <f>IFERROR(__xludf.DUMMYFUNCTION("""COMPUTED_VALUE"""),0.0)</f>
        <v>0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201"/>
      <c r="B149" s="204" t="str">
        <f>IF(OR(E149=Report!$B$1, F149=Report!$B$1, G149=Report!$B$1, H149=Report!$B$1), D149, "")</f>
        <v/>
      </c>
      <c r="C149" s="201" t="b">
        <f>IFERROR(__xludf.DUMMYFUNCTION("""COMPUTED_VALUE"""),FALSE)</f>
        <v>0</v>
      </c>
      <c r="D149" s="201"/>
      <c r="E149" s="201"/>
      <c r="F149" s="201"/>
      <c r="G149" s="201"/>
      <c r="H149" s="20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203">
        <f>IFERROR(__xludf.DUMMYFUNCTION("""COMPUTED_VALUE"""),0.0)</f>
        <v>0</v>
      </c>
      <c r="W149" s="203">
        <f>IFERROR(__xludf.DUMMYFUNCTION("""COMPUTED_VALUE"""),0.0)</f>
        <v>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201"/>
      <c r="B150" s="204" t="str">
        <f>IF(OR(E150=Report!$B$1, F150=Report!$B$1, G150=Report!$B$1, H150=Report!$B$1), D150, "")</f>
        <v/>
      </c>
      <c r="C150" s="201" t="b">
        <f>IFERROR(__xludf.DUMMYFUNCTION("""COMPUTED_VALUE"""),FALSE)</f>
        <v>0</v>
      </c>
      <c r="D150" s="201"/>
      <c r="E150" s="201"/>
      <c r="F150" s="201"/>
      <c r="G150" s="201"/>
      <c r="H150" s="20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203">
        <f>IFERROR(__xludf.DUMMYFUNCTION("""COMPUTED_VALUE"""),0.0)</f>
        <v>0</v>
      </c>
      <c r="W150" s="203">
        <f>IFERROR(__xludf.DUMMYFUNCTION("""COMPUTED_VALUE"""),0.0)</f>
        <v>0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201"/>
      <c r="B151" s="204" t="str">
        <f>IF(OR(E151=Report!$B$1, F151=Report!$B$1, G151=Report!$B$1, H151=Report!$B$1), D151, "")</f>
        <v/>
      </c>
      <c r="C151" s="201" t="b">
        <f>IFERROR(__xludf.DUMMYFUNCTION("""COMPUTED_VALUE"""),FALSE)</f>
        <v>0</v>
      </c>
      <c r="D151" s="201"/>
      <c r="E151" s="201"/>
      <c r="F151" s="201"/>
      <c r="G151" s="201"/>
      <c r="H151" s="20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203">
        <f>IFERROR(__xludf.DUMMYFUNCTION("""COMPUTED_VALUE"""),100.0)</f>
        <v>100</v>
      </c>
      <c r="W151" s="203">
        <f>IFERROR(__xludf.DUMMYFUNCTION("""COMPUTED_VALUE"""),0.0)</f>
        <v>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201"/>
      <c r="B152" s="204" t="str">
        <f>IF(OR(E152=Report!$B$1, F152=Report!$B$1, G152=Report!$B$1, H152=Report!$B$1), D152, "")</f>
        <v/>
      </c>
      <c r="C152" s="201" t="b">
        <f>IFERROR(__xludf.DUMMYFUNCTION("""COMPUTED_VALUE"""),FALSE)</f>
        <v>0</v>
      </c>
      <c r="D152" s="201"/>
      <c r="E152" s="201"/>
      <c r="F152" s="201"/>
      <c r="G152" s="201"/>
      <c r="H152" s="20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203">
        <f>IFERROR(__xludf.DUMMYFUNCTION("""COMPUTED_VALUE"""),100.0)</f>
        <v>100</v>
      </c>
      <c r="W152" s="203">
        <f>IFERROR(__xludf.DUMMYFUNCTION("""COMPUTED_VALUE"""),0.0)</f>
        <v>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201"/>
      <c r="B153" s="204" t="str">
        <f>IF(OR(E153=Report!$B$1, F153=Report!$B$1, G153=Report!$B$1, H153=Report!$B$1), D153, "")</f>
        <v/>
      </c>
      <c r="C153" s="201" t="b">
        <f>IFERROR(__xludf.DUMMYFUNCTION("""COMPUTED_VALUE"""),FALSE)</f>
        <v>0</v>
      </c>
      <c r="D153" s="201"/>
      <c r="E153" s="201"/>
      <c r="F153" s="201"/>
      <c r="G153" s="201"/>
      <c r="H153" s="20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203">
        <f>IFERROR(__xludf.DUMMYFUNCTION("""COMPUTED_VALUE"""),100.0)</f>
        <v>100</v>
      </c>
      <c r="W153" s="203">
        <f>IFERROR(__xludf.DUMMYFUNCTION("""COMPUTED_VALUE"""),0.0)</f>
        <v>0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201"/>
      <c r="B154" s="204" t="str">
        <f>IF(OR(E154=Report!$B$1, F154=Report!$B$1, G154=Report!$B$1, H154=Report!$B$1), D154, "")</f>
        <v/>
      </c>
      <c r="C154" s="201" t="b">
        <f>IFERROR(__xludf.DUMMYFUNCTION("""COMPUTED_VALUE"""),FALSE)</f>
        <v>0</v>
      </c>
      <c r="D154" s="201"/>
      <c r="E154" s="201"/>
      <c r="F154" s="201"/>
      <c r="G154" s="201"/>
      <c r="H154" s="20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203">
        <f>IFERROR(__xludf.DUMMYFUNCTION("""COMPUTED_VALUE"""),100.0)</f>
        <v>100</v>
      </c>
      <c r="W154" s="203">
        <f>IFERROR(__xludf.DUMMYFUNCTION("""COMPUTED_VALUE"""),0.0)</f>
        <v>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201"/>
      <c r="B155" s="204" t="str">
        <f>IF(OR(E155=Report!$B$1, F155=Report!$B$1, G155=Report!$B$1, H155=Report!$B$1), D155, "")</f>
        <v/>
      </c>
      <c r="C155" s="201" t="b">
        <f>IFERROR(__xludf.DUMMYFUNCTION("""COMPUTED_VALUE"""),FALSE)</f>
        <v>0</v>
      </c>
      <c r="D155" s="201"/>
      <c r="E155" s="201"/>
      <c r="F155" s="201"/>
      <c r="G155" s="201"/>
      <c r="H155" s="20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203">
        <f>IFERROR(__xludf.DUMMYFUNCTION("""COMPUTED_VALUE"""),100.0)</f>
        <v>100</v>
      </c>
      <c r="W155" s="203">
        <f>IFERROR(__xludf.DUMMYFUNCTION("""COMPUTED_VALUE"""),0.0)</f>
        <v>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201"/>
      <c r="B156" s="204" t="str">
        <f>IF(OR(E156=Report!$B$1, F156=Report!$B$1, G156=Report!$B$1, H156=Report!$B$1), D156, "")</f>
        <v/>
      </c>
      <c r="C156" s="201" t="b">
        <f>IFERROR(__xludf.DUMMYFUNCTION("""COMPUTED_VALUE"""),FALSE)</f>
        <v>0</v>
      </c>
      <c r="D156" s="201"/>
      <c r="E156" s="201"/>
      <c r="F156" s="201"/>
      <c r="G156" s="201"/>
      <c r="H156" s="20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203">
        <f>IFERROR(__xludf.DUMMYFUNCTION("""COMPUTED_VALUE"""),100.0)</f>
        <v>100</v>
      </c>
      <c r="W156" s="203">
        <f>IFERROR(__xludf.DUMMYFUNCTION("""COMPUTED_VALUE"""),0.0)</f>
        <v>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201"/>
      <c r="B157" s="204" t="str">
        <f>IF(OR(E157=Report!$B$1, F157=Report!$B$1, G157=Report!$B$1, H157=Report!$B$1), D157, "")</f>
        <v/>
      </c>
      <c r="C157" s="201" t="b">
        <f>IFERROR(__xludf.DUMMYFUNCTION("""COMPUTED_VALUE"""),FALSE)</f>
        <v>0</v>
      </c>
      <c r="D157" s="201"/>
      <c r="E157" s="201"/>
      <c r="F157" s="201"/>
      <c r="G157" s="201"/>
      <c r="H157" s="20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203">
        <f>IFERROR(__xludf.DUMMYFUNCTION("""COMPUTED_VALUE"""),100.0)</f>
        <v>100</v>
      </c>
      <c r="W157" s="203">
        <f>IFERROR(__xludf.DUMMYFUNCTION("""COMPUTED_VALUE"""),0.0)</f>
        <v>0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201"/>
      <c r="B158" s="204" t="str">
        <f>IF(OR(E158=Report!$B$1, F158=Report!$B$1, G158=Report!$B$1, H158=Report!$B$1), D158, "")</f>
        <v/>
      </c>
      <c r="C158" s="201" t="b">
        <f>IFERROR(__xludf.DUMMYFUNCTION("""COMPUTED_VALUE"""),FALSE)</f>
        <v>0</v>
      </c>
      <c r="D158" s="201"/>
      <c r="E158" s="201"/>
      <c r="F158" s="201"/>
      <c r="G158" s="201"/>
      <c r="H158" s="20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203">
        <f>IFERROR(__xludf.DUMMYFUNCTION("""COMPUTED_VALUE"""),100.0)</f>
        <v>100</v>
      </c>
      <c r="W158" s="203">
        <f>IFERROR(__xludf.DUMMYFUNCTION("""COMPUTED_VALUE"""),0.0)</f>
        <v>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201"/>
      <c r="B159" s="204" t="str">
        <f>IF(OR(E159=Report!$B$1, F159=Report!$B$1, G159=Report!$B$1, H159=Report!$B$1), D159, "")</f>
        <v/>
      </c>
      <c r="C159" s="201" t="b">
        <f>IFERROR(__xludf.DUMMYFUNCTION("""COMPUTED_VALUE"""),FALSE)</f>
        <v>0</v>
      </c>
      <c r="D159" s="201"/>
      <c r="E159" s="201"/>
      <c r="F159" s="201"/>
      <c r="G159" s="201"/>
      <c r="H159" s="20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203">
        <f>IFERROR(__xludf.DUMMYFUNCTION("""COMPUTED_VALUE"""),100.0)</f>
        <v>100</v>
      </c>
      <c r="W159" s="203">
        <f>IFERROR(__xludf.DUMMYFUNCTION("""COMPUTED_VALUE"""),0.0)</f>
        <v>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201"/>
      <c r="B160" s="204" t="str">
        <f>IF(OR(E160=Report!$B$1, F160=Report!$B$1, G160=Report!$B$1, H160=Report!$B$1), D160, "")</f>
        <v/>
      </c>
      <c r="C160" s="201" t="b">
        <f>IFERROR(__xludf.DUMMYFUNCTION("""COMPUTED_VALUE"""),FALSE)</f>
        <v>0</v>
      </c>
      <c r="D160" s="201"/>
      <c r="E160" s="201"/>
      <c r="F160" s="201"/>
      <c r="G160" s="201"/>
      <c r="H160" s="20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203">
        <f>IFERROR(__xludf.DUMMYFUNCTION("""COMPUTED_VALUE"""),100.0)</f>
        <v>100</v>
      </c>
      <c r="W160" s="203">
        <f>IFERROR(__xludf.DUMMYFUNCTION("""COMPUTED_VALUE"""),0.0)</f>
        <v>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201"/>
      <c r="B161" s="204" t="str">
        <f>IF(OR(E161=Report!$B$1, F161=Report!$B$1, G161=Report!$B$1, H161=Report!$B$1), D161, "")</f>
        <v/>
      </c>
      <c r="C161" s="201" t="b">
        <f>IFERROR(__xludf.DUMMYFUNCTION("""COMPUTED_VALUE"""),FALSE)</f>
        <v>0</v>
      </c>
      <c r="D161" s="201"/>
      <c r="E161" s="201"/>
      <c r="F161" s="201"/>
      <c r="G161" s="201"/>
      <c r="H161" s="20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203">
        <f>IFERROR(__xludf.DUMMYFUNCTION("""COMPUTED_VALUE"""),100.0)</f>
        <v>100</v>
      </c>
      <c r="W161" s="203">
        <f>IFERROR(__xludf.DUMMYFUNCTION("""COMPUTED_VALUE"""),0.0)</f>
        <v>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201"/>
      <c r="B162" s="204" t="str">
        <f>IF(OR(E162=Report!$B$1, F162=Report!$B$1, G162=Report!$B$1, H162=Report!$B$1), D162, "")</f>
        <v/>
      </c>
      <c r="C162" s="201" t="b">
        <f>IFERROR(__xludf.DUMMYFUNCTION("""COMPUTED_VALUE"""),FALSE)</f>
        <v>0</v>
      </c>
      <c r="D162" s="201"/>
      <c r="E162" s="201"/>
      <c r="F162" s="201"/>
      <c r="G162" s="201"/>
      <c r="H162" s="20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203">
        <f>IFERROR(__xludf.DUMMYFUNCTION("""COMPUTED_VALUE"""),100.0)</f>
        <v>100</v>
      </c>
      <c r="W162" s="203">
        <f>IFERROR(__xludf.DUMMYFUNCTION("""COMPUTED_VALUE"""),0.0)</f>
        <v>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201"/>
      <c r="B163" s="204" t="str">
        <f>IF(OR(E163=Report!$B$1, F163=Report!$B$1, G163=Report!$B$1, H163=Report!$B$1), D163, "")</f>
        <v/>
      </c>
      <c r="C163" s="201" t="b">
        <f>IFERROR(__xludf.DUMMYFUNCTION("""COMPUTED_VALUE"""),FALSE)</f>
        <v>0</v>
      </c>
      <c r="D163" s="201"/>
      <c r="E163" s="201"/>
      <c r="F163" s="201"/>
      <c r="G163" s="201"/>
      <c r="H163" s="20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203">
        <f>IFERROR(__xludf.DUMMYFUNCTION("""COMPUTED_VALUE"""),100.0)</f>
        <v>100</v>
      </c>
      <c r="W163" s="203">
        <f>IFERROR(__xludf.DUMMYFUNCTION("""COMPUTED_VALUE"""),0.0)</f>
        <v>0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201"/>
      <c r="B164" s="204" t="str">
        <f>IF(OR(E164=Report!$B$1, F164=Report!$B$1, G164=Report!$B$1, H164=Report!$B$1), D164, "")</f>
        <v/>
      </c>
      <c r="C164" s="201" t="b">
        <f>IFERROR(__xludf.DUMMYFUNCTION("""COMPUTED_VALUE"""),FALSE)</f>
        <v>0</v>
      </c>
      <c r="D164" s="201"/>
      <c r="E164" s="201"/>
      <c r="F164" s="201"/>
      <c r="G164" s="201"/>
      <c r="H164" s="20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203">
        <f>IFERROR(__xludf.DUMMYFUNCTION("""COMPUTED_VALUE"""),100.0)</f>
        <v>100</v>
      </c>
      <c r="W164" s="203">
        <f>IFERROR(__xludf.DUMMYFUNCTION("""COMPUTED_VALUE"""),0.0)</f>
        <v>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201"/>
      <c r="B165" s="204" t="str">
        <f>IF(OR(E165=Report!$B$1, F165=Report!$B$1, G165=Report!$B$1, H165=Report!$B$1), D165, "")</f>
        <v/>
      </c>
      <c r="C165" s="201" t="b">
        <f>IFERROR(__xludf.DUMMYFUNCTION("""COMPUTED_VALUE"""),FALSE)</f>
        <v>0</v>
      </c>
      <c r="D165" s="201"/>
      <c r="E165" s="201"/>
      <c r="F165" s="201"/>
      <c r="G165" s="201"/>
      <c r="H165" s="20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203">
        <f>IFERROR(__xludf.DUMMYFUNCTION("""COMPUTED_VALUE"""),100.0)</f>
        <v>100</v>
      </c>
      <c r="W165" s="203">
        <f>IFERROR(__xludf.DUMMYFUNCTION("""COMPUTED_VALUE"""),0.0)</f>
        <v>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201"/>
      <c r="B166" s="204" t="str">
        <f>IF(OR(E166=Report!$B$1, F166=Report!$B$1, G166=Report!$B$1, H166=Report!$B$1), D166, "")</f>
        <v/>
      </c>
      <c r="C166" s="201" t="b">
        <f>IFERROR(__xludf.DUMMYFUNCTION("""COMPUTED_VALUE"""),FALSE)</f>
        <v>0</v>
      </c>
      <c r="D166" s="201"/>
      <c r="E166" s="201"/>
      <c r="F166" s="201"/>
      <c r="G166" s="201"/>
      <c r="H166" s="20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203">
        <f>IFERROR(__xludf.DUMMYFUNCTION("""COMPUTED_VALUE"""),100.0)</f>
        <v>100</v>
      </c>
      <c r="W166" s="203">
        <f>IFERROR(__xludf.DUMMYFUNCTION("""COMPUTED_VALUE"""),0.0)</f>
        <v>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201"/>
      <c r="B167" s="204" t="str">
        <f>IF(OR(E167=Report!$B$1, F167=Report!$B$1, G167=Report!$B$1, H167=Report!$B$1), D167, "")</f>
        <v/>
      </c>
      <c r="C167" s="201" t="b">
        <f>IFERROR(__xludf.DUMMYFUNCTION("""COMPUTED_VALUE"""),FALSE)</f>
        <v>0</v>
      </c>
      <c r="D167" s="201"/>
      <c r="E167" s="201"/>
      <c r="F167" s="201"/>
      <c r="G167" s="201"/>
      <c r="H167" s="20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203">
        <f>IFERROR(__xludf.DUMMYFUNCTION("""COMPUTED_VALUE"""),100.0)</f>
        <v>100</v>
      </c>
      <c r="W167" s="203">
        <f>IFERROR(__xludf.DUMMYFUNCTION("""COMPUTED_VALUE"""),0.0)</f>
        <v>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201"/>
      <c r="B168" s="204" t="str">
        <f>IF(OR(E168=Report!$B$1, F168=Report!$B$1, G168=Report!$B$1, H168=Report!$B$1), D168, "")</f>
        <v/>
      </c>
      <c r="C168" s="201" t="b">
        <f>IFERROR(__xludf.DUMMYFUNCTION("""COMPUTED_VALUE"""),FALSE)</f>
        <v>0</v>
      </c>
      <c r="D168" s="201"/>
      <c r="E168" s="201"/>
      <c r="F168" s="201"/>
      <c r="G168" s="201"/>
      <c r="H168" s="20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203">
        <f>IFERROR(__xludf.DUMMYFUNCTION("""COMPUTED_VALUE"""),100.0)</f>
        <v>100</v>
      </c>
      <c r="W168" s="203">
        <f>IFERROR(__xludf.DUMMYFUNCTION("""COMPUTED_VALUE"""),0.0)</f>
        <v>0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201"/>
      <c r="B169" s="204" t="str">
        <f>IF(OR(E169=Report!$B$1, F169=Report!$B$1, G169=Report!$B$1, H169=Report!$B$1), D169, "")</f>
        <v/>
      </c>
      <c r="C169" s="201" t="b">
        <f>IFERROR(__xludf.DUMMYFUNCTION("""COMPUTED_VALUE"""),FALSE)</f>
        <v>0</v>
      </c>
      <c r="D169" s="201"/>
      <c r="E169" s="201"/>
      <c r="F169" s="201"/>
      <c r="G169" s="201"/>
      <c r="H169" s="20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203">
        <f>IFERROR(__xludf.DUMMYFUNCTION("""COMPUTED_VALUE"""),100.0)</f>
        <v>100</v>
      </c>
      <c r="W169" s="203">
        <f>IFERROR(__xludf.DUMMYFUNCTION("""COMPUTED_VALUE"""),0.0)</f>
        <v>0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201"/>
      <c r="B170" s="204" t="str">
        <f>IF(OR(E170=Report!$B$1, F170=Report!$B$1, G170=Report!$B$1, H170=Report!$B$1), D170, "")</f>
        <v/>
      </c>
      <c r="C170" s="201" t="b">
        <f>IFERROR(__xludf.DUMMYFUNCTION("""COMPUTED_VALUE"""),FALSE)</f>
        <v>0</v>
      </c>
      <c r="D170" s="201"/>
      <c r="E170" s="201"/>
      <c r="F170" s="201"/>
      <c r="G170" s="201"/>
      <c r="H170" s="20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203">
        <f>IFERROR(__xludf.DUMMYFUNCTION("""COMPUTED_VALUE"""),100.0)</f>
        <v>100</v>
      </c>
      <c r="W170" s="203">
        <f>IFERROR(__xludf.DUMMYFUNCTION("""COMPUTED_VALUE"""),0.0)</f>
        <v>0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201"/>
      <c r="B171" s="204" t="str">
        <f>IF(OR(E171=Report!$B$1, F171=Report!$B$1, G171=Report!$B$1, H171=Report!$B$1), D171, "")</f>
        <v/>
      </c>
      <c r="C171" s="201" t="b">
        <f>IFERROR(__xludf.DUMMYFUNCTION("""COMPUTED_VALUE"""),FALSE)</f>
        <v>0</v>
      </c>
      <c r="D171" s="201"/>
      <c r="E171" s="201"/>
      <c r="F171" s="201"/>
      <c r="G171" s="201"/>
      <c r="H171" s="20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203">
        <f>IFERROR(__xludf.DUMMYFUNCTION("""COMPUTED_VALUE"""),100.0)</f>
        <v>100</v>
      </c>
      <c r="W171" s="203">
        <f>IFERROR(__xludf.DUMMYFUNCTION("""COMPUTED_VALUE"""),0.0)</f>
        <v>0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201"/>
      <c r="B172" s="204" t="str">
        <f>IF(OR(E172=Report!$B$1, F172=Report!$B$1, G172=Report!$B$1, H172=Report!$B$1), D172, "")</f>
        <v/>
      </c>
      <c r="C172" s="201" t="b">
        <f>IFERROR(__xludf.DUMMYFUNCTION("""COMPUTED_VALUE"""),FALSE)</f>
        <v>0</v>
      </c>
      <c r="D172" s="201"/>
      <c r="E172" s="201"/>
      <c r="F172" s="201"/>
      <c r="G172" s="201"/>
      <c r="H172" s="20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203">
        <f>IFERROR(__xludf.DUMMYFUNCTION("""COMPUTED_VALUE"""),100.0)</f>
        <v>100</v>
      </c>
      <c r="W172" s="203">
        <f>IFERROR(__xludf.DUMMYFUNCTION("""COMPUTED_VALUE"""),0.0)</f>
        <v>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201"/>
      <c r="B173" s="204" t="str">
        <f>IF(OR(E173=Report!$B$1, F173=Report!$B$1, G173=Report!$B$1, H173=Report!$B$1), D173, "")</f>
        <v/>
      </c>
      <c r="C173" s="201" t="b">
        <f>IFERROR(__xludf.DUMMYFUNCTION("""COMPUTED_VALUE"""),FALSE)</f>
        <v>0</v>
      </c>
      <c r="D173" s="201"/>
      <c r="E173" s="201"/>
      <c r="F173" s="201"/>
      <c r="G173" s="201"/>
      <c r="H173" s="20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203">
        <f>IFERROR(__xludf.DUMMYFUNCTION("""COMPUTED_VALUE"""),100.0)</f>
        <v>100</v>
      </c>
      <c r="W173" s="203">
        <f>IFERROR(__xludf.DUMMYFUNCTION("""COMPUTED_VALUE"""),0.0)</f>
        <v>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201"/>
      <c r="B174" s="204" t="str">
        <f>IF(OR(E174=Report!$B$1, F174=Report!$B$1, G174=Report!$B$1, H174=Report!$B$1), D174, "")</f>
        <v/>
      </c>
      <c r="C174" s="201" t="b">
        <f>IFERROR(__xludf.DUMMYFUNCTION("""COMPUTED_VALUE"""),FALSE)</f>
        <v>0</v>
      </c>
      <c r="D174" s="201"/>
      <c r="E174" s="201"/>
      <c r="F174" s="201"/>
      <c r="G174" s="201"/>
      <c r="H174" s="20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203">
        <f>IFERROR(__xludf.DUMMYFUNCTION("""COMPUTED_VALUE"""),100.0)</f>
        <v>100</v>
      </c>
      <c r="W174" s="203">
        <f>IFERROR(__xludf.DUMMYFUNCTION("""COMPUTED_VALUE"""),0.0)</f>
        <v>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201"/>
      <c r="B175" s="204" t="str">
        <f>IF(OR(E175=Report!$B$1, F175=Report!$B$1, G175=Report!$B$1, H175=Report!$B$1), D175, "")</f>
        <v/>
      </c>
      <c r="C175" s="201" t="b">
        <f>IFERROR(__xludf.DUMMYFUNCTION("""COMPUTED_VALUE"""),FALSE)</f>
        <v>0</v>
      </c>
      <c r="D175" s="201"/>
      <c r="E175" s="201"/>
      <c r="F175" s="201"/>
      <c r="G175" s="201"/>
      <c r="H175" s="20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203">
        <f>IFERROR(__xludf.DUMMYFUNCTION("""COMPUTED_VALUE"""),100.0)</f>
        <v>100</v>
      </c>
      <c r="W175" s="203">
        <f>IFERROR(__xludf.DUMMYFUNCTION("""COMPUTED_VALUE"""),0.0)</f>
        <v>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201"/>
      <c r="B176" s="204" t="str">
        <f>IF(OR(E176=Report!$B$1, F176=Report!$B$1, G176=Report!$B$1, H176=Report!$B$1), D176, "")</f>
        <v/>
      </c>
      <c r="C176" s="201" t="b">
        <f>IFERROR(__xludf.DUMMYFUNCTION("""COMPUTED_VALUE"""),FALSE)</f>
        <v>0</v>
      </c>
      <c r="D176" s="201"/>
      <c r="E176" s="201"/>
      <c r="F176" s="201"/>
      <c r="G176" s="201"/>
      <c r="H176" s="20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203">
        <f>IFERROR(__xludf.DUMMYFUNCTION("""COMPUTED_VALUE"""),100.0)</f>
        <v>100</v>
      </c>
      <c r="W176" s="203">
        <f>IFERROR(__xludf.DUMMYFUNCTION("""COMPUTED_VALUE"""),0.0)</f>
        <v>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201"/>
      <c r="B177" s="204" t="str">
        <f>IF(OR(E177=Report!$B$1, F177=Report!$B$1, G177=Report!$B$1, H177=Report!$B$1), D177, "")</f>
        <v/>
      </c>
      <c r="C177" s="201" t="b">
        <f>IFERROR(__xludf.DUMMYFUNCTION("""COMPUTED_VALUE"""),FALSE)</f>
        <v>0</v>
      </c>
      <c r="D177" s="201"/>
      <c r="E177" s="201"/>
      <c r="F177" s="201"/>
      <c r="G177" s="201"/>
      <c r="H177" s="20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203">
        <f>IFERROR(__xludf.DUMMYFUNCTION("""COMPUTED_VALUE"""),100.0)</f>
        <v>100</v>
      </c>
      <c r="W177" s="203">
        <f>IFERROR(__xludf.DUMMYFUNCTION("""COMPUTED_VALUE"""),0.0)</f>
        <v>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201"/>
      <c r="B178" s="204" t="str">
        <f>IF(OR(E178=Report!$B$1, F178=Report!$B$1, G178=Report!$B$1, H178=Report!$B$1), D178, "")</f>
        <v/>
      </c>
      <c r="C178" s="201" t="b">
        <f>IFERROR(__xludf.DUMMYFUNCTION("""COMPUTED_VALUE"""),FALSE)</f>
        <v>0</v>
      </c>
      <c r="D178" s="201"/>
      <c r="E178" s="201"/>
      <c r="F178" s="201"/>
      <c r="G178" s="201"/>
      <c r="H178" s="20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203">
        <f>IFERROR(__xludf.DUMMYFUNCTION("""COMPUTED_VALUE"""),100.0)</f>
        <v>100</v>
      </c>
      <c r="W178" s="203">
        <f>IFERROR(__xludf.DUMMYFUNCTION("""COMPUTED_VALUE"""),0.0)</f>
        <v>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201"/>
      <c r="B179" s="204" t="str">
        <f>IF(OR(E179=Report!$B$1, F179=Report!$B$1, G179=Report!$B$1, H179=Report!$B$1), D179, "")</f>
        <v/>
      </c>
      <c r="C179" s="201" t="b">
        <f>IFERROR(__xludf.DUMMYFUNCTION("""COMPUTED_VALUE"""),FALSE)</f>
        <v>0</v>
      </c>
      <c r="D179" s="201"/>
      <c r="E179" s="201"/>
      <c r="F179" s="201"/>
      <c r="G179" s="201"/>
      <c r="H179" s="20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203">
        <f>IFERROR(__xludf.DUMMYFUNCTION("""COMPUTED_VALUE"""),100.0)</f>
        <v>100</v>
      </c>
      <c r="W179" s="203">
        <f>IFERROR(__xludf.DUMMYFUNCTION("""COMPUTED_VALUE"""),0.0)</f>
        <v>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201"/>
      <c r="B180" s="201"/>
      <c r="C180" s="201" t="b">
        <f>IFERROR(__xludf.DUMMYFUNCTION("""COMPUTED_VALUE"""),FALSE)</f>
        <v>0</v>
      </c>
      <c r="D180" s="201"/>
      <c r="E180" s="201"/>
      <c r="F180" s="201"/>
      <c r="G180" s="201"/>
      <c r="H180" s="20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203">
        <f>IFERROR(__xludf.DUMMYFUNCTION("""COMPUTED_VALUE"""),100.0)</f>
        <v>100</v>
      </c>
      <c r="W180" s="203">
        <f>IFERROR(__xludf.DUMMYFUNCTION("""COMPUTED_VALUE"""),0.0)</f>
        <v>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201"/>
      <c r="B181" s="201"/>
      <c r="C181" s="201" t="b">
        <f>IFERROR(__xludf.DUMMYFUNCTION("""COMPUTED_VALUE"""),FALSE)</f>
        <v>0</v>
      </c>
      <c r="D181" s="201"/>
      <c r="E181" s="201"/>
      <c r="F181" s="201"/>
      <c r="G181" s="201"/>
      <c r="H181" s="20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203">
        <f>IFERROR(__xludf.DUMMYFUNCTION("""COMPUTED_VALUE"""),100.0)</f>
        <v>100</v>
      </c>
      <c r="W181" s="203">
        <f>IFERROR(__xludf.DUMMYFUNCTION("""COMPUTED_VALUE"""),0.0)</f>
        <v>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201"/>
      <c r="B182" s="201"/>
      <c r="C182" s="201" t="b">
        <f>IFERROR(__xludf.DUMMYFUNCTION("""COMPUTED_VALUE"""),FALSE)</f>
        <v>0</v>
      </c>
      <c r="D182" s="201"/>
      <c r="E182" s="201"/>
      <c r="F182" s="201"/>
      <c r="G182" s="201"/>
      <c r="H182" s="20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200">
        <f>IFERROR(__xludf.DUMMYFUNCTION("""COMPUTED_VALUE"""),100.0)</f>
        <v>100</v>
      </c>
      <c r="W182" s="200">
        <f>IFERROR(__xludf.DUMMYFUNCTION("""COMPUTED_VALUE"""),0.0)</f>
        <v>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 t="b">
        <f>IFERROR(__xludf.DUMMYFUNCTION("""COMPUTED_VALUE"""),FALSE)</f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200">
        <f>IFERROR(__xludf.DUMMYFUNCTION("""COMPUTED_VALUE"""),100.0)</f>
        <v>100</v>
      </c>
      <c r="W183" s="200">
        <f>IFERROR(__xludf.DUMMYFUNCTION("""COMPUTED_VALUE"""),0.0)</f>
        <v>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 t="b">
        <f>IFERROR(__xludf.DUMMYFUNCTION("""COMPUTED_VALUE"""),FALSE)</f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200">
        <f>IFERROR(__xludf.DUMMYFUNCTION("""COMPUTED_VALUE"""),100.0)</f>
        <v>100</v>
      </c>
      <c r="W184" s="200">
        <f>IFERROR(__xludf.DUMMYFUNCTION("""COMPUTED_VALUE"""),0.0)</f>
        <v>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 t="b">
        <f>IFERROR(__xludf.DUMMYFUNCTION("""COMPUTED_VALUE"""),FALSE)</f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200">
        <f>IFERROR(__xludf.DUMMYFUNCTION("""COMPUTED_VALUE"""),100.0)</f>
        <v>100</v>
      </c>
      <c r="W185" s="200">
        <f>IFERROR(__xludf.DUMMYFUNCTION("""COMPUTED_VALUE"""),0.0)</f>
        <v>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 t="b">
        <f>IFERROR(__xludf.DUMMYFUNCTION("""COMPUTED_VALUE"""),FALSE)</f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200">
        <f>IFERROR(__xludf.DUMMYFUNCTION("""COMPUTED_VALUE"""),100.0)</f>
        <v>100</v>
      </c>
      <c r="W186" s="200">
        <f>IFERROR(__xludf.DUMMYFUNCTION("""COMPUTED_VALUE"""),0.0)</f>
        <v>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 t="b">
        <f>IFERROR(__xludf.DUMMYFUNCTION("""COMPUTED_VALUE"""),FALSE)</f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200">
        <f>IFERROR(__xludf.DUMMYFUNCTION("""COMPUTED_VALUE"""),100.0)</f>
        <v>100</v>
      </c>
      <c r="W187" s="200">
        <f>IFERROR(__xludf.DUMMYFUNCTION("""COMPUTED_VALUE"""),0.0)</f>
        <v>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 t="b">
        <f>IFERROR(__xludf.DUMMYFUNCTION("""COMPUTED_VALUE"""),FALSE)</f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200">
        <f>IFERROR(__xludf.DUMMYFUNCTION("""COMPUTED_VALUE"""),100.0)</f>
        <v>100</v>
      </c>
      <c r="W188" s="200">
        <f>IFERROR(__xludf.DUMMYFUNCTION("""COMPUTED_VALUE"""),0.0)</f>
        <v>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 t="b">
        <f>IFERROR(__xludf.DUMMYFUNCTION("""COMPUTED_VALUE"""),FALSE)</f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200">
        <f>IFERROR(__xludf.DUMMYFUNCTION("""COMPUTED_VALUE"""),100.0)</f>
        <v>100</v>
      </c>
      <c r="W189" s="200">
        <f>IFERROR(__xludf.DUMMYFUNCTION("""COMPUTED_VALUE"""),0.0)</f>
        <v>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 t="b">
        <f>IFERROR(__xludf.DUMMYFUNCTION("""COMPUTED_VALUE"""),FALSE)</f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200">
        <f>IFERROR(__xludf.DUMMYFUNCTION("""COMPUTED_VALUE"""),100.0)</f>
        <v>100</v>
      </c>
      <c r="W190" s="200">
        <f>IFERROR(__xludf.DUMMYFUNCTION("""COMPUTED_VALUE"""),0.0)</f>
        <v>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 t="b">
        <f>IFERROR(__xludf.DUMMYFUNCTION("""COMPUTED_VALUE"""),FALSE)</f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200">
        <f>IFERROR(__xludf.DUMMYFUNCTION("""COMPUTED_VALUE"""),100.0)</f>
        <v>100</v>
      </c>
      <c r="W191" s="200">
        <f>IFERROR(__xludf.DUMMYFUNCTION("""COMPUTED_VALUE"""),0.0)</f>
        <v>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 t="b">
        <f>IFERROR(__xludf.DUMMYFUNCTION("""COMPUTED_VALUE"""),FALSE)</f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00">
        <f>IFERROR(__xludf.DUMMYFUNCTION("""COMPUTED_VALUE"""),0.0)</f>
        <v>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 t="b">
        <f>IFERROR(__xludf.DUMMYFUNCTION("""COMPUTED_VALUE"""),FALSE)</f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200">
        <f>IFERROR(__xludf.DUMMYFUNCTION("""COMPUTED_VALUE"""),0.0)</f>
        <v>0</v>
      </c>
      <c r="W193" s="200">
        <f>IFERROR(__xludf.DUMMYFUNCTION("""COMPUTED_VALUE"""),0.0)</f>
        <v>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 t="str">
        <f>IFERROR(__xludf.DUMMYFUNCTION("""COMPUTED_VALUE"""),"End")</f>
        <v>End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200">
        <f>IFERROR(__xludf.DUMMYFUNCTION("""COMPUTED_VALUE"""),0.0)</f>
        <v>0</v>
      </c>
      <c r="W194" s="200">
        <f>IFERROR(__xludf.DUMMYFUNCTION("""COMPUTED_VALUE"""),0.0)</f>
        <v>0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 t="str">
        <f>IFERROR(__xludf.DUMMYFUNCTION("""COMPUTED_VALUE"""),"Celkem kurýr")</f>
        <v>Celkem kurýr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200">
        <f>IFERROR(__xludf.DUMMYFUNCTION("""COMPUTED_VALUE"""),0.0)</f>
        <v>0</v>
      </c>
      <c r="W195" s="200">
        <f>IFERROR(__xludf.DUMMYFUNCTION("""COMPUTED_VALUE"""),0.0)</f>
        <v>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 t="str">
        <f>IFERROR(__xludf.DUMMYFUNCTION("""COMPUTED_VALUE"""),"Celkem inst + kurýr")</f>
        <v>Celkem inst + kurýr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00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00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00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00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00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00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00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00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00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00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00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00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00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00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00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00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00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00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00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00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00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00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00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00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00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00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00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00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00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00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00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00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00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00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00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00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00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00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00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00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00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00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00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00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00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00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00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00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00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00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00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00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00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00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00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00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00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00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00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00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00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00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00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00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00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00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00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00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00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00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00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00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00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00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00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00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00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00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00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00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00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00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00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00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00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00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00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00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00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00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00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00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00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00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00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00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00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00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00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00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00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00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00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00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00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00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00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00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00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00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00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00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00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00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00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00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00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00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00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00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00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00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00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00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00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00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00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00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00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00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00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00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00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00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00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00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00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00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00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00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00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00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00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00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00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00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00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00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00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00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00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00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00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00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00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00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00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00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00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00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00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00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00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00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00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00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00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00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00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00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00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00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00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00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00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00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00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00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00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00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00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00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00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00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00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00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00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00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00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00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00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00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00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00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00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00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00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00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00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00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00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00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00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00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00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00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00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00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00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00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00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00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00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00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00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00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00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00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00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00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00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00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00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00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00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00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00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00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00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00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00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00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00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00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00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00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00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00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00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00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00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00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00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00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00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00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00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00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00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00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00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00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00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00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00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00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00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00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00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00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00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00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00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00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00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00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00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00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00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00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00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00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00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00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00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00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00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00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00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00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00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00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00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00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00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00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00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00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00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00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00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00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00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00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00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00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00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00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00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00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00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00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00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00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00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00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00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00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00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00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00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00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00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00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00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00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00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00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00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00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00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00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00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00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00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00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00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00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00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00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00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00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00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00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00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00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00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00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00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00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00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00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00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00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00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00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00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00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00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00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00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00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00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00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00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00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00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00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00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00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00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00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00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00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00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00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00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00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00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00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00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00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00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00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00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00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00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00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00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00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00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00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00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00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00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00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00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00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00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00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00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00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00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00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00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00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00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00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00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00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00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00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00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00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00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00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00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00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00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00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00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00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00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00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00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00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00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00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00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00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00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00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00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00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00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00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00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00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00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00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00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00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00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00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00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00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00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00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00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00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00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00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00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00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00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00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00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00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00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00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00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00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00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00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00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00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00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00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00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00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00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00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00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00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00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00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00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00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00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00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00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00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00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00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00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00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00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00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00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00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00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00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00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00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00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00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00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00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00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00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00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00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00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00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00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00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00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00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00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00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00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00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00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00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00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00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00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00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00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00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00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00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00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00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00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00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00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00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00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00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00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00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00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00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00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00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00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00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00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00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00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00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00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00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00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00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00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00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00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00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00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00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00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00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00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00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00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00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00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00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00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00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00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00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00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00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00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00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00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00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00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00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00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00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00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00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00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00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00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00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00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00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00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00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00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00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00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00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00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00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00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00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00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00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00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00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00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00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00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00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00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00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00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00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00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00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00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00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00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00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00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00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00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00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00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00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00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00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00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00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00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00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00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00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00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00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00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00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00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00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00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00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00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00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00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00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00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00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00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00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00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00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00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00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00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00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00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00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00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00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00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00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00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00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00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00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00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00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00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00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00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00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00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00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00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00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00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00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00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00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00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00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00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00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00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00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00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00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00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00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00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00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00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00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00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00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00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00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00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00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00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00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00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00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00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00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00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00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00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00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00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00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00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00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00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00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00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00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00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00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00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00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00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00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00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00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00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00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00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00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00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00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00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00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00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00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00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00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00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00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00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00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00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00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00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00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00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00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00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00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00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00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00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00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00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00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00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00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00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00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00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00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00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00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00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00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00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00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00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00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00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00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00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00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00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00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00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00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00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00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00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00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00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00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00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00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00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00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00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00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00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200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200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200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200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200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200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200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200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200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200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200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200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200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200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200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200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200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200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200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200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200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200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200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200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200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200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200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200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200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200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200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200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200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200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7.13"/>
  </cols>
  <sheetData>
    <row r="1">
      <c r="A1" s="205" t="s">
        <v>1596</v>
      </c>
      <c r="B1" s="14"/>
      <c r="C1" s="14"/>
      <c r="D1" s="14"/>
      <c r="E1" s="14"/>
      <c r="F1" s="14"/>
      <c r="G1" s="14"/>
      <c r="H1" s="15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</row>
    <row r="2">
      <c r="A2" s="1" t="s">
        <v>1597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" t="s">
        <v>84</v>
      </c>
      <c r="AB2" s="1" t="s">
        <v>85</v>
      </c>
    </row>
    <row r="3">
      <c r="A3" s="1" t="s">
        <v>1598</v>
      </c>
      <c r="B3" s="1" t="s">
        <v>1599</v>
      </c>
      <c r="C3" s="1" t="s">
        <v>1600</v>
      </c>
      <c r="D3" s="1" t="s">
        <v>1601</v>
      </c>
      <c r="E3" s="1" t="s">
        <v>1601</v>
      </c>
      <c r="F3" s="1" t="s">
        <v>1599</v>
      </c>
      <c r="G3" s="195"/>
      <c r="H3" s="195"/>
    </row>
    <row r="4">
      <c r="A4" s="1" t="s">
        <v>1602</v>
      </c>
      <c r="B4" s="1" t="s">
        <v>1601</v>
      </c>
      <c r="C4" s="195"/>
      <c r="D4" s="1" t="s">
        <v>1600</v>
      </c>
      <c r="E4" s="195"/>
      <c r="F4" s="1" t="s">
        <v>1601</v>
      </c>
      <c r="G4" s="1" t="s">
        <v>1600</v>
      </c>
      <c r="H4" s="1" t="s">
        <v>1603</v>
      </c>
    </row>
    <row r="5">
      <c r="A5" s="1" t="s">
        <v>1095</v>
      </c>
      <c r="B5" s="1" t="s">
        <v>1604</v>
      </c>
      <c r="D5" s="195"/>
      <c r="E5" s="195"/>
    </row>
    <row r="6">
      <c r="A6" s="1" t="s">
        <v>1605</v>
      </c>
      <c r="B6" s="1" t="s">
        <v>1606</v>
      </c>
      <c r="C6" s="195"/>
      <c r="D6" s="1" t="s">
        <v>1606</v>
      </c>
      <c r="E6" s="195"/>
      <c r="F6" s="1" t="s">
        <v>1607</v>
      </c>
      <c r="G6" s="1" t="s">
        <v>1607</v>
      </c>
      <c r="H6" s="1" t="s">
        <v>1608</v>
      </c>
    </row>
    <row r="7">
      <c r="A7" s="1" t="s">
        <v>1503</v>
      </c>
      <c r="B7" s="1" t="s">
        <v>1609</v>
      </c>
      <c r="C7" s="1" t="s">
        <v>1609</v>
      </c>
      <c r="E7" s="195"/>
      <c r="F7" s="1" t="s">
        <v>1609</v>
      </c>
      <c r="G7" s="195"/>
      <c r="H7" s="195"/>
    </row>
    <row r="8">
      <c r="A8" s="1" t="s">
        <v>1610</v>
      </c>
      <c r="B8" s="1" t="s">
        <v>1611</v>
      </c>
      <c r="C8" s="195"/>
      <c r="D8" s="195"/>
      <c r="E8" s="1" t="s">
        <v>1612</v>
      </c>
      <c r="F8" s="195"/>
      <c r="G8" s="1" t="s">
        <v>1613</v>
      </c>
      <c r="H8" s="195"/>
    </row>
    <row r="9">
      <c r="A9" s="1" t="s">
        <v>438</v>
      </c>
      <c r="C9" s="1" t="s">
        <v>1601</v>
      </c>
      <c r="D9" s="195"/>
      <c r="E9" s="1" t="s">
        <v>1600</v>
      </c>
      <c r="F9" s="1" t="s">
        <v>1614</v>
      </c>
      <c r="G9" s="1" t="s">
        <v>1614</v>
      </c>
      <c r="H9" s="1" t="s">
        <v>1615</v>
      </c>
    </row>
    <row r="10">
      <c r="A10" s="1" t="s">
        <v>1616</v>
      </c>
      <c r="C10" s="1" t="s">
        <v>1606</v>
      </c>
      <c r="D10" s="195"/>
      <c r="E10" s="195"/>
      <c r="F10" s="195"/>
      <c r="H10" s="195"/>
    </row>
    <row r="11">
      <c r="A11" s="1" t="s">
        <v>1617</v>
      </c>
      <c r="C11" s="1" t="s">
        <v>1618</v>
      </c>
      <c r="D11" s="195"/>
      <c r="E11" s="195"/>
      <c r="F11" s="195"/>
    </row>
    <row r="12">
      <c r="A12" s="1" t="s">
        <v>1495</v>
      </c>
      <c r="D12" s="1" t="s">
        <v>1619</v>
      </c>
      <c r="E12" s="195"/>
      <c r="F12" s="195"/>
      <c r="G12" s="195"/>
      <c r="H12" s="195"/>
    </row>
    <row r="13">
      <c r="A13" s="1" t="s">
        <v>466</v>
      </c>
      <c r="D13" s="1" t="s">
        <v>1609</v>
      </c>
      <c r="E13" s="195"/>
      <c r="F13" s="1" t="s">
        <v>1609</v>
      </c>
      <c r="G13" s="195"/>
    </row>
    <row r="14">
      <c r="A14" s="1" t="s">
        <v>298</v>
      </c>
      <c r="E14" s="1" t="s">
        <v>1613</v>
      </c>
      <c r="F14" s="1" t="s">
        <v>1606</v>
      </c>
      <c r="G14" s="1" t="s">
        <v>1606</v>
      </c>
      <c r="H14" s="1" t="s">
        <v>1606</v>
      </c>
    </row>
    <row r="15">
      <c r="A15" s="1" t="s">
        <v>1493</v>
      </c>
      <c r="E15" s="1" t="s">
        <v>1618</v>
      </c>
      <c r="G15" s="1" t="s">
        <v>1618</v>
      </c>
      <c r="H15" s="195"/>
    </row>
    <row r="16">
      <c r="A16" s="1" t="s">
        <v>1620</v>
      </c>
      <c r="F16" s="1" t="s">
        <v>1606</v>
      </c>
      <c r="G16" s="195"/>
      <c r="H16" s="1" t="s">
        <v>1621</v>
      </c>
    </row>
    <row r="17">
      <c r="A17" s="1" t="s">
        <v>1622</v>
      </c>
      <c r="G17" s="1" t="s">
        <v>1599</v>
      </c>
      <c r="H17" s="1" t="s">
        <v>1599</v>
      </c>
    </row>
    <row r="18">
      <c r="A18" s="1" t="s">
        <v>1623</v>
      </c>
      <c r="G18" s="1" t="s">
        <v>1624</v>
      </c>
      <c r="H18" s="1" t="s">
        <v>1615</v>
      </c>
    </row>
    <row r="22">
      <c r="K22" s="195"/>
      <c r="L22" s="195"/>
      <c r="M22" s="195"/>
      <c r="N22" s="195"/>
      <c r="O22" s="195"/>
      <c r="P22" s="195"/>
      <c r="Q22" s="195"/>
      <c r="T22" s="195"/>
      <c r="U22" s="195"/>
      <c r="V22" s="195"/>
      <c r="W22" s="195"/>
      <c r="X22" s="195"/>
      <c r="Y22" s="195"/>
      <c r="Z22" s="195"/>
      <c r="AB22" s="1"/>
    </row>
    <row r="23">
      <c r="K23" s="195"/>
      <c r="L23" s="195"/>
      <c r="M23" s="195"/>
      <c r="O23" s="195"/>
      <c r="P23" s="195"/>
      <c r="Q23" s="195"/>
      <c r="S23" s="195"/>
      <c r="T23" s="195"/>
      <c r="U23" s="195"/>
      <c r="V23" s="195"/>
      <c r="W23" s="195"/>
      <c r="X23" s="195"/>
      <c r="Y23" s="195"/>
      <c r="Z23" s="195"/>
      <c r="AB23" s="1"/>
    </row>
    <row r="24">
      <c r="K24" s="195"/>
      <c r="L24" s="195"/>
      <c r="M24" s="195"/>
      <c r="O24" s="195"/>
      <c r="P24" s="195"/>
      <c r="Q24" s="195"/>
      <c r="S24" s="195"/>
      <c r="T24" s="195"/>
      <c r="U24" s="195"/>
      <c r="V24" s="195"/>
      <c r="W24" s="195"/>
      <c r="X24" s="195"/>
      <c r="Y24" s="195"/>
      <c r="Z24" s="195"/>
      <c r="AB24" s="1"/>
    </row>
    <row r="25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O25" s="195"/>
      <c r="P25" s="195"/>
      <c r="Q25" s="195"/>
      <c r="S25" s="195"/>
      <c r="T25" s="195"/>
      <c r="U25" s="195"/>
      <c r="V25" s="195"/>
      <c r="W25" s="195"/>
      <c r="X25" s="195"/>
      <c r="Y25" s="195"/>
      <c r="Z25" s="195"/>
      <c r="AB25" s="1"/>
    </row>
    <row r="26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O26" s="195"/>
      <c r="P26" s="195"/>
      <c r="Q26" s="195"/>
      <c r="S26" s="195"/>
      <c r="T26" s="195"/>
      <c r="U26" s="195"/>
      <c r="V26" s="195"/>
      <c r="W26" s="195"/>
      <c r="X26" s="195"/>
      <c r="Y26" s="195"/>
      <c r="Z26" s="195"/>
      <c r="AB26" s="1">
        <v>0.0</v>
      </c>
    </row>
    <row r="27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S27" s="195"/>
      <c r="T27" s="195"/>
      <c r="U27" s="195"/>
      <c r="V27" s="195"/>
      <c r="W27" s="195"/>
      <c r="X27" s="195"/>
      <c r="Y27" s="195"/>
      <c r="Z27" s="195"/>
      <c r="AB27" s="1"/>
    </row>
    <row r="28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O28" s="195"/>
      <c r="P28" s="195"/>
      <c r="Q28" s="195"/>
      <c r="S28" s="195"/>
      <c r="T28" s="195"/>
      <c r="U28" s="195"/>
      <c r="V28" s="195"/>
      <c r="W28" s="195"/>
      <c r="X28" s="195"/>
      <c r="Y28" s="195"/>
      <c r="Z28" s="195"/>
      <c r="AB28" s="1"/>
    </row>
    <row r="29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O29" s="195"/>
      <c r="P29" s="195"/>
      <c r="Q29" s="195"/>
      <c r="S29" s="195"/>
      <c r="T29" s="195"/>
      <c r="U29" s="195"/>
      <c r="V29" s="195"/>
      <c r="W29" s="195"/>
      <c r="X29" s="195"/>
      <c r="Y29" s="195"/>
      <c r="Z29" s="195"/>
      <c r="AB29" s="1">
        <v>0.0</v>
      </c>
    </row>
    <row r="30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"/>
      <c r="AB30" s="1"/>
    </row>
    <row r="31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T31" s="195"/>
      <c r="U31" s="195"/>
      <c r="V31" s="195"/>
      <c r="W31" s="195"/>
      <c r="X31" s="195"/>
      <c r="Y31" s="195"/>
      <c r="Z31" s="195"/>
      <c r="AB31" s="1"/>
    </row>
    <row r="32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O32" s="195"/>
      <c r="P32" s="195"/>
      <c r="Q32" s="195"/>
      <c r="S32" s="195"/>
      <c r="T32" s="195"/>
      <c r="U32" s="195"/>
      <c r="V32" s="195"/>
      <c r="W32" s="195"/>
      <c r="X32" s="195"/>
      <c r="Y32" s="195"/>
      <c r="Z32" s="195"/>
      <c r="AB32" s="1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T33" s="195"/>
      <c r="U33" s="195"/>
      <c r="V33" s="195"/>
      <c r="W33" s="195"/>
      <c r="X33" s="195"/>
      <c r="Y33" s="195"/>
      <c r="Z33" s="195"/>
      <c r="AB33" s="1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"/>
      <c r="AB34" s="1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O35" s="195"/>
      <c r="P35" s="195"/>
      <c r="Q35" s="195"/>
      <c r="S35" s="195"/>
      <c r="T35" s="195"/>
      <c r="U35" s="195"/>
      <c r="V35" s="195"/>
      <c r="W35" s="195"/>
      <c r="X35" s="195"/>
      <c r="Y35" s="195"/>
      <c r="Z35" s="195"/>
      <c r="AB35" s="1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O36" s="195"/>
      <c r="P36" s="195"/>
      <c r="Q36" s="195"/>
      <c r="S36" s="195"/>
      <c r="T36" s="195"/>
      <c r="U36" s="195"/>
      <c r="V36" s="195"/>
      <c r="Y36" s="195"/>
      <c r="Z36" s="195"/>
      <c r="AB36" s="1">
        <v>0.0</v>
      </c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O37" s="195"/>
      <c r="P37" s="195"/>
      <c r="Q37" s="195"/>
      <c r="S37" s="195"/>
      <c r="T37" s="195"/>
      <c r="U37" s="195"/>
      <c r="V37" s="195"/>
      <c r="W37" s="195"/>
      <c r="X37" s="195"/>
      <c r="Y37" s="195"/>
      <c r="Z37" s="195"/>
      <c r="AB37" s="1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"/>
      <c r="AB38" s="1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"/>
      <c r="AB39" s="1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O40" s="195"/>
      <c r="P40" s="195"/>
      <c r="Q40" s="195"/>
      <c r="S40" s="195"/>
      <c r="T40" s="195"/>
      <c r="U40" s="195"/>
      <c r="V40" s="195"/>
      <c r="W40" s="195"/>
      <c r="X40" s="195"/>
      <c r="Y40" s="195"/>
      <c r="Z40" s="195"/>
      <c r="AB40" s="1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O41" s="195"/>
      <c r="P41" s="195"/>
      <c r="Q41" s="195"/>
      <c r="S41" s="195"/>
      <c r="T41" s="195"/>
      <c r="U41" s="195"/>
      <c r="V41" s="195"/>
      <c r="W41" s="195"/>
      <c r="X41" s="195"/>
      <c r="Y41" s="195"/>
      <c r="Z41" s="195"/>
      <c r="AB41" s="1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"/>
      <c r="AB42" s="1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T43" s="195"/>
      <c r="U43" s="195"/>
      <c r="V43" s="195"/>
      <c r="W43" s="195"/>
      <c r="X43" s="195"/>
      <c r="Y43" s="195"/>
      <c r="Z43" s="195"/>
      <c r="AB43" s="1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O44" s="195"/>
      <c r="P44" s="195"/>
      <c r="Q44" s="195"/>
      <c r="S44" s="195"/>
      <c r="T44" s="195"/>
      <c r="U44" s="195"/>
      <c r="V44" s="195"/>
      <c r="W44" s="195"/>
      <c r="X44" s="195"/>
      <c r="Y44" s="195"/>
      <c r="Z44" s="195"/>
      <c r="AB44" s="1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O45" s="195"/>
      <c r="P45" s="195"/>
      <c r="Q45" s="195"/>
      <c r="S45" s="195"/>
      <c r="T45" s="195"/>
      <c r="U45" s="195"/>
      <c r="V45" s="195"/>
      <c r="W45" s="195"/>
      <c r="X45" s="195"/>
      <c r="Y45" s="195"/>
      <c r="Z45" s="195"/>
      <c r="AB45" s="1">
        <v>0.0</v>
      </c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T46" s="195"/>
      <c r="U46" s="195"/>
      <c r="V46" s="195"/>
      <c r="W46" s="195"/>
      <c r="X46" s="195"/>
      <c r="Y46" s="195"/>
      <c r="Z46" s="195"/>
      <c r="AB46" s="1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O47" s="195"/>
      <c r="P47" s="195"/>
      <c r="Q47" s="195"/>
      <c r="S47" s="195"/>
      <c r="T47" s="195"/>
      <c r="U47" s="195"/>
      <c r="V47" s="195"/>
      <c r="W47" s="195"/>
      <c r="X47" s="195"/>
      <c r="Y47" s="195"/>
      <c r="Z47" s="195"/>
      <c r="AB47" s="1">
        <v>0.0</v>
      </c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"/>
      <c r="AB48" s="1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T49" s="195"/>
      <c r="U49" s="195"/>
      <c r="V49" s="195"/>
      <c r="W49" s="195"/>
      <c r="X49" s="195"/>
      <c r="Y49" s="195"/>
      <c r="Z49" s="195"/>
      <c r="AB49" s="1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O50" s="195"/>
      <c r="P50" s="195"/>
      <c r="Q50" s="195"/>
      <c r="S50" s="195"/>
      <c r="T50" s="195"/>
      <c r="U50" s="195"/>
      <c r="V50" s="195"/>
      <c r="W50" s="195"/>
      <c r="X50" s="195"/>
      <c r="Y50" s="195"/>
      <c r="Z50" s="195"/>
      <c r="AB50" s="1">
        <v>0.0</v>
      </c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O51" s="195"/>
      <c r="P51" s="195"/>
      <c r="Q51" s="195"/>
      <c r="S51" s="195"/>
      <c r="T51" s="195"/>
      <c r="U51" s="195"/>
      <c r="V51" s="195"/>
      <c r="W51" s="195"/>
      <c r="X51" s="195"/>
      <c r="Y51" s="195"/>
      <c r="Z51" s="195"/>
      <c r="AB51" s="1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"/>
      <c r="AB52" s="1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O53" s="195"/>
      <c r="P53" s="195"/>
      <c r="Q53" s="195"/>
      <c r="S53" s="195"/>
      <c r="T53" s="195"/>
      <c r="U53" s="195"/>
      <c r="V53" s="195"/>
      <c r="W53" s="195"/>
      <c r="X53" s="195"/>
      <c r="Y53" s="195"/>
      <c r="Z53" s="195"/>
      <c r="AB53" s="1">
        <v>0.0</v>
      </c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O54" s="195"/>
      <c r="P54" s="195"/>
      <c r="Q54" s="195"/>
      <c r="S54" s="195"/>
      <c r="T54" s="195"/>
      <c r="U54" s="195"/>
      <c r="V54" s="195"/>
      <c r="W54" s="195"/>
      <c r="X54" s="195"/>
      <c r="Y54" s="195"/>
      <c r="Z54" s="195"/>
      <c r="AB54" s="1">
        <v>0.0</v>
      </c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T55" s="195"/>
      <c r="U55" s="195"/>
      <c r="V55" s="195"/>
      <c r="W55" s="195"/>
      <c r="X55" s="195"/>
      <c r="Y55" s="195"/>
      <c r="Z55" s="195"/>
      <c r="AB55" s="1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T56" s="195"/>
      <c r="U56" s="195"/>
      <c r="V56" s="195"/>
      <c r="W56" s="195"/>
      <c r="X56" s="195"/>
      <c r="Y56" s="195"/>
      <c r="Z56" s="195"/>
      <c r="AB56" s="1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T57" s="195"/>
      <c r="U57" s="195"/>
      <c r="V57" s="195"/>
      <c r="W57" s="195"/>
      <c r="X57" s="195"/>
      <c r="Y57" s="195"/>
      <c r="Z57" s="195"/>
      <c r="AB57" s="1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O58" s="195"/>
      <c r="P58" s="195"/>
      <c r="Q58" s="195"/>
      <c r="S58" s="195"/>
      <c r="T58" s="195"/>
      <c r="U58" s="195"/>
      <c r="V58" s="195"/>
      <c r="W58" s="195"/>
      <c r="X58" s="195"/>
      <c r="Y58" s="195"/>
      <c r="Z58" s="195"/>
      <c r="AB58" s="1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"/>
      <c r="AB59" s="1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T60" s="195"/>
      <c r="U60" s="195"/>
      <c r="V60" s="195"/>
      <c r="W60" s="195"/>
      <c r="X60" s="195"/>
      <c r="Y60" s="195"/>
      <c r="Z60" s="195"/>
      <c r="AB60" s="1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O61" s="195"/>
      <c r="P61" s="195"/>
      <c r="Q61" s="195"/>
      <c r="S61" s="195"/>
      <c r="T61" s="195"/>
      <c r="U61" s="195"/>
      <c r="V61" s="195"/>
      <c r="W61" s="195"/>
      <c r="X61" s="195"/>
      <c r="Y61" s="195"/>
      <c r="Z61" s="195"/>
      <c r="AB61" s="1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T62" s="195"/>
      <c r="U62" s="195"/>
      <c r="V62" s="195"/>
      <c r="W62" s="195"/>
      <c r="X62" s="195"/>
      <c r="Y62" s="195"/>
      <c r="Z62" s="195"/>
      <c r="AB62" s="1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"/>
      <c r="AB63" s="1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O64" s="195"/>
      <c r="P64" s="195"/>
      <c r="Q64" s="195"/>
      <c r="S64" s="195"/>
      <c r="T64" s="195"/>
      <c r="U64" s="195"/>
      <c r="V64" s="195"/>
      <c r="W64" s="195"/>
      <c r="X64" s="195"/>
      <c r="Y64" s="195"/>
      <c r="Z64" s="195"/>
      <c r="AB64" s="1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T65" s="195"/>
      <c r="U65" s="195"/>
      <c r="V65" s="195"/>
      <c r="W65" s="195"/>
      <c r="X65" s="195"/>
      <c r="Y65" s="195"/>
      <c r="Z65" s="195"/>
      <c r="AB65" s="1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T66" s="195"/>
      <c r="U66" s="195"/>
      <c r="V66" s="195"/>
      <c r="W66" s="195"/>
      <c r="X66" s="195"/>
      <c r="Y66" s="195"/>
      <c r="Z66" s="195"/>
      <c r="AB66" s="1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O67" s="195"/>
      <c r="P67" s="195"/>
      <c r="Q67" s="195"/>
      <c r="S67" s="195"/>
      <c r="T67" s="195"/>
      <c r="U67" s="195"/>
      <c r="V67" s="195"/>
      <c r="W67" s="195"/>
      <c r="X67" s="195"/>
      <c r="Y67" s="195"/>
      <c r="Z67" s="195"/>
      <c r="AB67" s="1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O68" s="195"/>
      <c r="P68" s="195"/>
      <c r="Q68" s="195"/>
      <c r="S68" s="195"/>
      <c r="T68" s="195"/>
      <c r="U68" s="195"/>
      <c r="V68" s="195"/>
      <c r="W68" s="195"/>
      <c r="X68" s="195"/>
      <c r="Y68" s="195"/>
      <c r="Z68" s="195"/>
      <c r="AB68" s="1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O69" s="195"/>
      <c r="P69" s="195"/>
      <c r="Q69" s="195"/>
      <c r="S69" s="195"/>
      <c r="T69" s="195"/>
      <c r="U69" s="195"/>
      <c r="V69" s="195"/>
      <c r="W69" s="195"/>
      <c r="X69" s="195"/>
      <c r="Y69" s="195"/>
      <c r="Z69" s="195"/>
      <c r="AB69" s="1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"/>
      <c r="AB70" s="1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O71" s="195"/>
      <c r="P71" s="195"/>
      <c r="Q71" s="195"/>
      <c r="S71" s="195"/>
      <c r="T71" s="195"/>
      <c r="U71" s="195"/>
      <c r="V71" s="195"/>
      <c r="W71" s="195"/>
      <c r="X71" s="195"/>
      <c r="Y71" s="195"/>
      <c r="Z71" s="195"/>
      <c r="AB71" s="1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O72" s="195"/>
      <c r="P72" s="195"/>
      <c r="Q72" s="195"/>
      <c r="S72" s="195"/>
      <c r="T72" s="195"/>
      <c r="U72" s="195"/>
      <c r="V72" s="195"/>
      <c r="W72" s="195"/>
      <c r="X72" s="195"/>
      <c r="Y72" s="195"/>
      <c r="Z72" s="195"/>
      <c r="AB72" s="1"/>
    </row>
    <row r="73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O73" s="195"/>
      <c r="P73" s="195"/>
      <c r="Q73" s="195"/>
      <c r="S73" s="195"/>
      <c r="T73" s="195"/>
      <c r="U73" s="195"/>
      <c r="V73" s="195"/>
      <c r="W73" s="195"/>
      <c r="X73" s="195"/>
      <c r="Y73" s="195"/>
      <c r="Z73" s="195"/>
      <c r="AB73" s="1"/>
    </row>
    <row r="74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O74" s="195"/>
      <c r="P74" s="195"/>
      <c r="Q74" s="195"/>
      <c r="S74" s="195"/>
      <c r="T74" s="195"/>
      <c r="U74" s="195"/>
      <c r="V74" s="195"/>
      <c r="W74" s="195"/>
      <c r="X74" s="195"/>
      <c r="Y74" s="195"/>
      <c r="Z74" s="195"/>
      <c r="AB74" s="1"/>
    </row>
    <row r="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T75" s="195"/>
      <c r="U75" s="195"/>
      <c r="V75" s="195"/>
      <c r="W75" s="195"/>
      <c r="X75" s="195"/>
      <c r="Y75" s="195"/>
      <c r="Z75" s="195"/>
      <c r="AB75" s="1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O76" s="195"/>
      <c r="P76" s="195"/>
      <c r="Q76" s="195"/>
      <c r="S76" s="195"/>
      <c r="T76" s="195"/>
      <c r="U76" s="195"/>
      <c r="V76" s="195"/>
      <c r="W76" s="195"/>
      <c r="X76" s="195"/>
      <c r="Y76" s="195"/>
      <c r="Z76" s="195"/>
      <c r="AB76" s="1">
        <v>0.0</v>
      </c>
    </row>
    <row r="77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T77" s="195"/>
      <c r="U77" s="195"/>
      <c r="V77" s="195"/>
      <c r="W77" s="195"/>
      <c r="X77" s="195"/>
      <c r="Y77" s="195"/>
      <c r="Z77" s="195"/>
      <c r="AB77" s="1"/>
    </row>
    <row r="78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O78" s="195"/>
      <c r="P78" s="195"/>
      <c r="Q78" s="195"/>
      <c r="S78" s="195"/>
      <c r="T78" s="195"/>
      <c r="U78" s="195"/>
      <c r="V78" s="195"/>
      <c r="W78" s="195"/>
      <c r="X78" s="195"/>
      <c r="Y78" s="195"/>
      <c r="Z78" s="195"/>
      <c r="AB78" s="1">
        <v>0.0</v>
      </c>
    </row>
    <row r="79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T79" s="195"/>
      <c r="U79" s="195"/>
      <c r="V79" s="195"/>
      <c r="W79" s="195"/>
      <c r="X79" s="195"/>
      <c r="Y79" s="195"/>
      <c r="Z79" s="195"/>
      <c r="AB79" s="1"/>
    </row>
    <row r="80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O80" s="195"/>
      <c r="P80" s="195"/>
      <c r="Q80" s="195"/>
      <c r="S80" s="195"/>
      <c r="T80" s="195"/>
      <c r="U80" s="195"/>
      <c r="V80" s="195"/>
      <c r="W80" s="195"/>
      <c r="X80" s="195"/>
      <c r="Y80" s="195"/>
      <c r="Z80" s="195"/>
      <c r="AB80" s="1">
        <v>0.0</v>
      </c>
    </row>
    <row r="8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O81" s="195"/>
      <c r="P81" s="195"/>
      <c r="Q81" s="195"/>
      <c r="S81" s="195"/>
      <c r="T81" s="195"/>
      <c r="U81" s="195"/>
      <c r="V81" s="195"/>
      <c r="W81" s="195"/>
      <c r="X81" s="195"/>
      <c r="Y81" s="195"/>
      <c r="Z81" s="195"/>
      <c r="AB81" s="1"/>
    </row>
    <row r="82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T82" s="195"/>
      <c r="U82" s="195"/>
      <c r="V82" s="195"/>
      <c r="W82" s="195"/>
      <c r="X82" s="195"/>
      <c r="Y82" s="195"/>
      <c r="Z82" s="195"/>
      <c r="AB82" s="1"/>
    </row>
    <row r="83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O83" s="195"/>
      <c r="P83" s="195"/>
      <c r="Q83" s="195"/>
      <c r="S83" s="195"/>
      <c r="T83" s="195"/>
      <c r="U83" s="195"/>
      <c r="V83" s="195"/>
      <c r="W83" s="195"/>
      <c r="X83" s="195"/>
      <c r="Y83" s="195"/>
      <c r="Z83" s="195"/>
      <c r="AB83" s="1">
        <v>0.0</v>
      </c>
    </row>
    <row r="84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O84" s="195"/>
      <c r="P84" s="195"/>
      <c r="Q84" s="195"/>
      <c r="S84" s="195"/>
      <c r="T84" s="195"/>
      <c r="U84" s="195"/>
      <c r="V84" s="195"/>
      <c r="W84" s="195"/>
      <c r="X84" s="195"/>
      <c r="Y84" s="195"/>
      <c r="Z84" s="195"/>
      <c r="AB84" s="1"/>
    </row>
    <row r="85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O85" s="195"/>
      <c r="P85" s="195"/>
      <c r="Q85" s="195"/>
      <c r="S85" s="195"/>
      <c r="T85" s="195"/>
      <c r="U85" s="195"/>
      <c r="V85" s="195"/>
      <c r="W85" s="195"/>
      <c r="X85" s="195"/>
      <c r="Y85" s="195"/>
      <c r="Z85" s="195"/>
      <c r="AB85" s="1"/>
    </row>
    <row r="86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"/>
      <c r="AB86" s="1"/>
    </row>
    <row r="87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"/>
      <c r="AB87" s="1"/>
    </row>
    <row r="88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"/>
      <c r="AB88" s="1"/>
    </row>
    <row r="89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"/>
      <c r="AB89" s="1"/>
    </row>
    <row r="90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S90" s="195"/>
      <c r="T90" s="195"/>
      <c r="U90" s="195"/>
      <c r="V90" s="195"/>
      <c r="W90" s="195"/>
      <c r="X90" s="195"/>
      <c r="Y90" s="195"/>
      <c r="Z90" s="195"/>
      <c r="AB90" s="1"/>
    </row>
    <row r="9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O91" s="195"/>
      <c r="P91" s="195"/>
      <c r="Q91" s="195"/>
      <c r="S91" s="195"/>
      <c r="T91" s="195"/>
      <c r="U91" s="195"/>
      <c r="V91" s="195"/>
      <c r="W91" s="195"/>
      <c r="X91" s="195"/>
      <c r="Y91" s="195"/>
      <c r="Z91" s="195"/>
      <c r="AB91" s="1"/>
    </row>
    <row r="92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"/>
      <c r="AB92" s="1"/>
    </row>
    <row r="93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O93" s="195"/>
      <c r="P93" s="195"/>
      <c r="Q93" s="195"/>
      <c r="S93" s="195"/>
      <c r="T93" s="195"/>
      <c r="U93" s="195"/>
      <c r="V93" s="195"/>
      <c r="W93" s="195"/>
      <c r="X93" s="195"/>
      <c r="Y93" s="195"/>
      <c r="Z93" s="195"/>
      <c r="AB93" s="1"/>
    </row>
    <row r="94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T94" s="195"/>
      <c r="U94" s="195"/>
      <c r="V94" s="195"/>
      <c r="W94" s="195"/>
      <c r="X94" s="195"/>
      <c r="Y94" s="195"/>
      <c r="Z94" s="195"/>
      <c r="AB94" s="1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T95" s="195"/>
      <c r="U95" s="195"/>
      <c r="V95" s="195"/>
      <c r="W95" s="195"/>
      <c r="X95" s="195"/>
      <c r="Y95" s="195"/>
      <c r="Z95" s="195"/>
      <c r="AB95" s="1"/>
    </row>
    <row r="96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O96" s="195"/>
      <c r="P96" s="195"/>
      <c r="Q96" s="195"/>
      <c r="S96" s="195"/>
      <c r="T96" s="195"/>
      <c r="U96" s="195"/>
      <c r="V96" s="195"/>
      <c r="W96" s="195"/>
      <c r="X96" s="195"/>
      <c r="Y96" s="195"/>
      <c r="Z96" s="195"/>
      <c r="AB96" s="1"/>
    </row>
    <row r="97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O97" s="195"/>
      <c r="P97" s="195"/>
      <c r="Q97" s="195"/>
      <c r="S97" s="195"/>
      <c r="T97" s="195"/>
      <c r="U97" s="195"/>
      <c r="V97" s="195"/>
      <c r="W97" s="195"/>
      <c r="X97" s="195"/>
      <c r="Y97" s="195"/>
      <c r="Z97" s="195"/>
      <c r="AB97" s="1">
        <v>0.0</v>
      </c>
    </row>
    <row r="98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T98" s="195"/>
      <c r="U98" s="195"/>
      <c r="V98" s="195"/>
      <c r="W98" s="195"/>
      <c r="X98" s="195"/>
      <c r="Y98" s="195"/>
      <c r="Z98" s="195"/>
      <c r="AB98" s="1"/>
    </row>
    <row r="99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O99" s="195"/>
      <c r="P99" s="195"/>
      <c r="Q99" s="195"/>
      <c r="S99" s="195"/>
      <c r="T99" s="195"/>
      <c r="U99" s="195"/>
      <c r="V99" s="195"/>
      <c r="W99" s="195"/>
      <c r="X99" s="195"/>
      <c r="Y99" s="195"/>
      <c r="Z99" s="195"/>
      <c r="AB99" s="1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T100" s="195"/>
      <c r="U100" s="195"/>
      <c r="V100" s="195"/>
      <c r="W100" s="195"/>
      <c r="X100" s="195"/>
      <c r="Y100" s="195"/>
      <c r="Z100" s="195"/>
      <c r="AB100" s="1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"/>
      <c r="AB101" s="1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"/>
      <c r="AB102" s="1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O103" s="195"/>
      <c r="P103" s="195"/>
      <c r="Q103" s="195"/>
      <c r="S103" s="195"/>
      <c r="T103" s="195"/>
      <c r="U103" s="195"/>
      <c r="V103" s="195"/>
      <c r="W103" s="195"/>
      <c r="X103" s="195"/>
      <c r="Y103" s="195"/>
      <c r="Z103" s="195"/>
      <c r="AB103" s="1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T104" s="195"/>
      <c r="U104" s="195"/>
      <c r="V104" s="195"/>
      <c r="W104" s="195"/>
      <c r="X104" s="195"/>
      <c r="Y104" s="195"/>
      <c r="Z104" s="195"/>
      <c r="AB104" s="1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"/>
      <c r="AB105" s="1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O106" s="195"/>
      <c r="P106" s="195"/>
      <c r="Q106" s="195"/>
      <c r="S106" s="195"/>
      <c r="T106" s="195"/>
      <c r="U106" s="195"/>
      <c r="V106" s="195"/>
      <c r="W106" s="195"/>
      <c r="X106" s="195"/>
      <c r="Y106" s="195"/>
      <c r="Z106" s="195"/>
      <c r="AB106" s="1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"/>
      <c r="AB107" s="1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O108" s="195"/>
      <c r="P108" s="195"/>
      <c r="Q108" s="195"/>
      <c r="S108" s="195"/>
      <c r="T108" s="195"/>
      <c r="U108" s="195"/>
      <c r="V108" s="195"/>
      <c r="W108" s="195"/>
      <c r="X108" s="195"/>
      <c r="Y108" s="195"/>
      <c r="Z108" s="195"/>
      <c r="AB108" s="1">
        <v>0.0</v>
      </c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O109" s="195"/>
      <c r="P109" s="195"/>
      <c r="Q109" s="195"/>
      <c r="S109" s="195"/>
      <c r="T109" s="195"/>
      <c r="U109" s="195"/>
      <c r="V109" s="195"/>
      <c r="W109" s="195"/>
      <c r="X109" s="195"/>
      <c r="Y109" s="195"/>
      <c r="Z109" s="195"/>
      <c r="AB109" s="1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"/>
      <c r="AB110" s="1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"/>
      <c r="AB111" s="1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"/>
      <c r="AB112" s="1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T113" s="195"/>
      <c r="U113" s="195"/>
      <c r="V113" s="195"/>
      <c r="W113" s="195"/>
      <c r="X113" s="195"/>
      <c r="Y113" s="195"/>
      <c r="Z113" s="195"/>
      <c r="AB113" s="1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"/>
      <c r="AB114" s="1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O115" s="195"/>
      <c r="P115" s="195"/>
      <c r="Q115" s="195"/>
      <c r="S115" s="195"/>
      <c r="T115" s="195"/>
      <c r="U115" s="195"/>
      <c r="V115" s="195"/>
      <c r="W115" s="195"/>
      <c r="X115" s="195"/>
      <c r="Y115" s="195"/>
      <c r="Z115" s="195"/>
      <c r="AB115" s="1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O116" s="195"/>
      <c r="P116" s="195"/>
      <c r="Q116" s="195"/>
      <c r="S116" s="195"/>
      <c r="T116" s="195"/>
      <c r="U116" s="195"/>
      <c r="V116" s="195"/>
      <c r="W116" s="195"/>
      <c r="X116" s="195"/>
      <c r="Y116" s="195"/>
      <c r="Z116" s="195"/>
      <c r="AB116" s="1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"/>
      <c r="AB117" s="1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O118" s="195"/>
      <c r="P118" s="195"/>
      <c r="Q118" s="195"/>
      <c r="S118" s="195"/>
      <c r="T118" s="195"/>
      <c r="U118" s="195"/>
      <c r="V118" s="195"/>
      <c r="W118" s="195"/>
      <c r="X118" s="195"/>
      <c r="Y118" s="195"/>
      <c r="Z118" s="195"/>
      <c r="AB118" s="1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"/>
      <c r="AB119" s="1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T120" s="195"/>
      <c r="U120" s="195"/>
      <c r="V120" s="195"/>
      <c r="W120" s="195"/>
      <c r="X120" s="195"/>
      <c r="Y120" s="195"/>
      <c r="Z120" s="195"/>
      <c r="AB120" s="1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T121" s="195"/>
      <c r="U121" s="195"/>
      <c r="V121" s="195"/>
      <c r="W121" s="195"/>
      <c r="X121" s="195"/>
      <c r="Y121" s="195"/>
      <c r="Z121" s="195"/>
      <c r="AB121" s="1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T122" s="195"/>
      <c r="U122" s="195"/>
      <c r="V122" s="195"/>
      <c r="W122" s="195"/>
      <c r="X122" s="195"/>
      <c r="Y122" s="195"/>
      <c r="Z122" s="195"/>
      <c r="AB122" s="1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"/>
      <c r="AB123" s="1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S124" s="195"/>
      <c r="T124" s="195"/>
      <c r="U124" s="195"/>
      <c r="V124" s="195"/>
      <c r="W124" s="195"/>
      <c r="X124" s="195"/>
      <c r="Y124" s="195"/>
      <c r="Z124" s="195"/>
      <c r="AB124" s="1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O125" s="195"/>
      <c r="P125" s="195"/>
      <c r="Q125" s="195"/>
      <c r="S125" s="195"/>
      <c r="T125" s="195"/>
      <c r="U125" s="195"/>
      <c r="V125" s="195"/>
      <c r="W125" s="195"/>
      <c r="X125" s="195"/>
      <c r="Y125" s="195"/>
      <c r="Z125" s="195"/>
      <c r="AB125" s="1">
        <v>0.0</v>
      </c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O126" s="195"/>
      <c r="P126" s="195"/>
      <c r="Q126" s="195"/>
      <c r="S126" s="195"/>
      <c r="T126" s="195"/>
      <c r="U126" s="195"/>
      <c r="V126" s="195"/>
      <c r="W126" s="195"/>
      <c r="X126" s="195"/>
      <c r="Y126" s="195"/>
      <c r="Z126" s="195"/>
      <c r="AB126" s="1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O127" s="195"/>
      <c r="P127" s="195"/>
      <c r="Q127" s="195"/>
      <c r="S127" s="195"/>
      <c r="T127" s="195"/>
      <c r="U127" s="195"/>
      <c r="V127" s="195"/>
      <c r="W127" s="195"/>
      <c r="X127" s="195"/>
      <c r="Y127" s="195"/>
      <c r="Z127" s="195"/>
      <c r="AB127" s="1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"/>
      <c r="AB128" s="1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T129" s="195"/>
      <c r="U129" s="195"/>
      <c r="V129" s="195"/>
      <c r="W129" s="195"/>
      <c r="X129" s="195"/>
      <c r="Y129" s="195"/>
      <c r="Z129" s="195"/>
      <c r="AB129" s="1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T130" s="195"/>
      <c r="U130" s="195"/>
      <c r="V130" s="195"/>
      <c r="W130" s="195"/>
      <c r="X130" s="195"/>
      <c r="Y130" s="195"/>
      <c r="Z130" s="195"/>
      <c r="AB130" s="1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O131" s="195"/>
      <c r="P131" s="195"/>
      <c r="Q131" s="195"/>
      <c r="S131" s="195"/>
      <c r="T131" s="195"/>
      <c r="U131" s="195"/>
      <c r="V131" s="195"/>
      <c r="W131" s="195"/>
      <c r="X131" s="195"/>
      <c r="Y131" s="195"/>
      <c r="Z131" s="195"/>
      <c r="AB131" s="1">
        <v>0.0</v>
      </c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O132" s="195"/>
      <c r="P132" s="195"/>
      <c r="Q132" s="195"/>
      <c r="S132" s="195"/>
      <c r="T132" s="195"/>
      <c r="U132" s="195"/>
      <c r="V132" s="195"/>
      <c r="W132" s="195"/>
      <c r="X132" s="195"/>
      <c r="Y132" s="195"/>
      <c r="Z132" s="195"/>
      <c r="AB132" s="1">
        <v>0.0</v>
      </c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O133" s="195"/>
      <c r="P133" s="195"/>
      <c r="Q133" s="195"/>
      <c r="S133" s="195"/>
      <c r="T133" s="195"/>
      <c r="U133" s="195"/>
      <c r="V133" s="195"/>
      <c r="W133" s="195"/>
      <c r="X133" s="195"/>
      <c r="Y133" s="195"/>
      <c r="Z133" s="195"/>
      <c r="AB133" s="1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S134" s="195"/>
      <c r="T134" s="195"/>
      <c r="U134" s="195"/>
      <c r="V134" s="195"/>
      <c r="W134" s="195"/>
      <c r="X134" s="195"/>
      <c r="Y134" s="195"/>
      <c r="Z134" s="195"/>
      <c r="AB134" s="1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S135" s="195"/>
      <c r="T135" s="195"/>
      <c r="U135" s="195"/>
      <c r="V135" s="195"/>
      <c r="W135" s="195"/>
      <c r="X135" s="195"/>
      <c r="Y135" s="195"/>
      <c r="Z135" s="195"/>
      <c r="AB135" s="1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O136" s="195"/>
      <c r="P136" s="195"/>
      <c r="Q136" s="195"/>
      <c r="S136" s="195"/>
      <c r="T136" s="195"/>
      <c r="U136" s="195"/>
      <c r="V136" s="195"/>
      <c r="W136" s="195"/>
      <c r="X136" s="195"/>
      <c r="Y136" s="195"/>
      <c r="Z136" s="195"/>
      <c r="AB136" s="1">
        <v>0.0</v>
      </c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T137" s="195"/>
      <c r="U137" s="195"/>
      <c r="V137" s="195"/>
      <c r="W137" s="195"/>
      <c r="X137" s="195"/>
      <c r="Y137" s="195"/>
      <c r="Z137" s="195"/>
      <c r="AB137" s="1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O138" s="195"/>
      <c r="P138" s="195"/>
      <c r="Q138" s="195"/>
      <c r="S138" s="195"/>
      <c r="T138" s="195"/>
      <c r="U138" s="195"/>
      <c r="V138" s="195"/>
      <c r="W138" s="195"/>
      <c r="X138" s="195"/>
      <c r="Y138" s="195"/>
      <c r="Z138" s="195"/>
      <c r="AB138" s="1">
        <v>0.0</v>
      </c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S139" s="195"/>
      <c r="T139" s="195"/>
      <c r="U139" s="195"/>
      <c r="V139" s="195"/>
      <c r="W139" s="195"/>
      <c r="X139" s="195"/>
      <c r="Y139" s="195"/>
      <c r="Z139" s="195"/>
      <c r="AB139" s="1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O140" s="195"/>
      <c r="P140" s="195"/>
      <c r="Q140" s="195"/>
      <c r="S140" s="195"/>
      <c r="T140" s="195"/>
      <c r="U140" s="195"/>
      <c r="V140" s="195"/>
      <c r="W140" s="195"/>
      <c r="X140" s="195"/>
      <c r="Y140" s="195"/>
      <c r="Z140" s="195"/>
      <c r="AB140" s="1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"/>
      <c r="AB141" s="1"/>
    </row>
  </sheetData>
  <mergeCells count="1">
    <mergeCell ref="A1:H1"/>
  </mergeCells>
  <drawing r:id="rId1"/>
</worksheet>
</file>