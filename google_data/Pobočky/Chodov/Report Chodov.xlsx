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<sst xmlns="http://schemas.openxmlformats.org/spreadsheetml/2006/main" count="5522" uniqueCount="1626">
  <si>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</si>
  <si>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</si>
  <si>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</si>
  <si>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</si>
  <si>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</si>
  <si>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</si>
  <si>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</si>
  <si>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</si>
  <si>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</si>
  <si>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</si>
  <si>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</si>
  <si>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</si>
  <si>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</si>
  <si>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</si>
  <si>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</si>
  <si>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</si>
  <si>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</si>
  <si>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</si>
  <si>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</si>
  <si>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</si>
  <si>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</si>
  <si>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</si>
  <si>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</si>
  <si>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</si>
  <si>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</si>
  <si>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</si>
  <si>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</si>
  <si>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</si>
  <si>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</si>
  <si>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</si>
  <si>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</si>
  <si>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</si>
  <si>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</si>
  <si>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</si>
  <si>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</si>
  <si>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</si>
  <si>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</si>
  <si>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</si>
  <si>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</si>
  <si>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</si>
  <si>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</si>
  <si>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</si>
  <si>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</si>
  <si>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</si>
  <si>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</si>
  <si>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</si>
  <si>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</si>
  <si>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</si>
  <si>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</si>
  <si>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</si>
  <si>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</si>
  <si>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</si>
  <si>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</si>
  <si>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</si>
  <si>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</si>
  <si>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</si>
  <si>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</si>
  <si>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</si>
  <si>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</si>
  <si>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</si>
  <si>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</si>
  <si>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</si>
  <si>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</si>
  <si>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</si>
  <si>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</si>
  <si>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</si>
  <si>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</si>
  <si>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</si>
  <si>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</si>
  <si>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</si>
  <si>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</si>
  <si>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</si>
  <si>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</si>
  <si>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</si>
  <si>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</si>
  <si>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</si>
  <si>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</si>
  <si>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</si>
  <si>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</si>
  <si>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</si>
  <si>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</si>
  <si>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</si>
  <si>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</si>
  <si>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</si>
  <si>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</si>
  <si>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</si>
  <si>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</si>
  <si>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</si>
  <si>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</si>
  <si>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</si>
  <si>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</si>
  <si>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</si>
  <si>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</si>
  <si>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</si>
  <si>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</si>
  <si>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</si>
  <si>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</si>
  <si>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</si>
  <si>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</si>
  <si>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</si>
  <si>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</si>
  <si>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</si>
  <si>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</si>
  <si>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</si>
  <si>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</si>
  <si>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</si>
  <si>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</si>
  <si>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</si>
  <si>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</si>
  <si>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</si>
  <si>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</si>
  <si>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</si>
  <si>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</si>
  <si>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</si>
  <si>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</si>
  <si>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</si>
  <si>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</si>
  <si>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</si>
  <si>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</si>
  <si>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</si>
  <si>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</si>
  <si>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</si>
  <si>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</si>
  <si>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</si>
  <si>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</si>
  <si>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</si>
  <si>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</si>
  <si>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</si>
  <si>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</si>
  <si>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</si>
  <si>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</si>
  <si>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</si>
  <si>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</si>
  <si>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</si>
  <si>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</si>
  <si>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</si>
  <si>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</si>
  <si>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</si>
  <si>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</si>
  <si>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</si>
  <si>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</si>
  <si>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</si>
  <si>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</si>
  <si>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</si>
  <si>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</si>
  <si>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</si>
  <si>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</si>
  <si>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</si>
  <si>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</si>
  <si>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</si>
  <si>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</si>
  <si>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</si>
  <si>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</si>
  <si>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</si>
  <si>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</si>
  <si>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</si>
  <si>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</si>
  <si>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</si>
  <si>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</si>
  <si>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</si>
  <si>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</si>
  <si>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</si>
  <si>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</si>
  <si>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</si>
  <si>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</si>
  <si>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</si>
  <si>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</si>
  <si>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</si>
  <si>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</si>
  <si>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</si>
  <si>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</si>
  <si>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</si>
  <si>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</si>
  <si>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</si>
  <si>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</si>
  <si>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</si>
  <si>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</si>
  <si>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</si>
  <si>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</si>
  <si>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</si>
  <si>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</si>
  <si>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</si>
  <si>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</si>
  <si>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</si>
  <si>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</si>
  <si>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</si>
  <si>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</si>
  <si>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</si>
  <si>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</si>
  <si>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</si>
  <si>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</si>
  <si>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</si>
  <si>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</si>
  <si>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</si>
  <si>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</si>
  <si>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</si>
  <si>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</si>
  <si>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</si>
  <si>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</si>
  <si>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</si>
  <si>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</si>
  <si>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</si>
  <si>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</si>
  <si>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</si>
  <si>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</si>
  <si>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</si>
  <si>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</si>
  <si>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</si>
  <si>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</si>
  <si>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</si>
  <si>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</si>
  <si>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</si>
  <si>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</si>
  <si>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</si>
  <si>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</si>
  <si>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</si>
  <si>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</si>
  <si>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</si>
  <si>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</si>
  <si>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</si>
  <si>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</si>
  <si>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</si>
  <si>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</si>
  <si>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</si>
  <si>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</si>
  <si>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</si>
  <si>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</si>
  <si>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</si>
  <si>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</si>
  <si>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</si>
  <si>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</si>
  <si>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</si>
  <si>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</si>
  <si>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</si>
  <si>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</si>
  <si>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</si>
  <si>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</si>
  <si>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</si>
  <si>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</si>
  <si>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</si>
  <si>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</si>
  <si>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</si>
  <si>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</si>
  <si>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</si>
  <si>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</si>
  <si>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</si>
  <si>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</si>
  <si>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</si>
  <si>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</si>
  <si>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</si>
  <si>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</si>
  <si>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</si>
  <si>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</si>
  <si>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</si>
  <si>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</si>
  <si>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</si>
  <si>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</si>
  <si>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</si>
  <si>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</si>
  <si>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</si>
  <si>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</si>
  <si>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</si>
  <si>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</si>
  <si>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</si>
  <si>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</si>
  <si>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</si>
  <si>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</si>
  <si>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</si>
  <si>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</si>
  <si>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</si>
  <si>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</si>
  <si>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</si>
  <si>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</si>
  <si>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</si>
  <si>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</si>
  <si>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</si>
  <si>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</si>
  <si>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</si>
  <si>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</si>
  <si>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</si>
  <si>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</si>
  <si>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</si>
  <si>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</si>
  <si>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</si>
  <si>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</si>
  <si>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</si>
  <si>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</si>
  <si>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</si>
  <si>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</si>
  <si>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</si>
  <si>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</si>
  <si>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</si>
  <si>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</si>
  <si>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</si>
  <si>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</si>
  <si>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</si>
  <si>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</si>
  <si>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</si>
  <si>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</si>
  <si>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</si>
  <si>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</si>
  <si>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</si>
  <si>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</si>
  <si>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</si>
  <si>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</si>
  <si>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</si>
  <si>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</si>
  <si>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</si>
  <si>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</si>
  <si>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</si>
  <si>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</si>
  <si>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</si>
  <si>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</si>
  <si>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</si>
  <si>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</si>
  <si>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</si>
  <si>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</si>
  <si>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</si>
  <si>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</si>
  <si>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</si>
  <si>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</si>
  <si>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</si>
  <si>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</si>
  <si>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</si>
  <si>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</si>
  <si>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</si>
  <si>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</si>
  <si>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</si>
  <si>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</si>
  <si>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</si>
  <si>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</si>
  <si>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</si>
  <si>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</si>
  <si>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</si>
  <si>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</si>
  <si>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</si>
  <si>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</si>
  <si>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</si>
  <si>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</si>
  <si>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</si>
  <si>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</si>
  <si>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</si>
  <si>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</si>
  <si>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</si>
  <si>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</si>
  <si>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</si>
  <si>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</si>
  <si>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</si>
  <si>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</si>
  <si>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</si>
  <si>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</si>
  <si>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</si>
  <si>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</si>
  <si>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</si>
  <si>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</si>
  <si>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</si>
  <si>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</si>
  <si>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</si>
  <si>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</si>
  <si>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</si>
  <si>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</si>
  <si>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</si>
  <si>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</si>
  <si>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</si>
  <si>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</si>
  <si>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</si>
  <si>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</si>
  <si>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</si>
  <si>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</si>
  <si>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</si>
  <si>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</si>
  <si>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</si>
  <si>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</si>
  <si>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</si>
  <si>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</si>
  <si>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</si>
  <si>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</si>
  <si>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</si>
  <si>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</si>
  <si>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</si>
  <si>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</si>
  <si>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</si>
  <si>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</si>
  <si>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</si>
  <si>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</si>
  <si>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</si>
  <si>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</si>
  <si>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</si>
  <si>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</si>
  <si>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</si>
  <si>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</si>
  <si>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</si>
  <si>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</si>
  <si>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</si>
  <si>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</si>
  <si>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</si>
  <si>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</si>
  <si>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</si>
  <si>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</si>
  <si>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</si>
  <si>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</si>
  <si>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</si>
  <si>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</si>
  <si>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</si>
  <si>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</si>
  <si>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</si>
  <si>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</si>
  <si>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</si>
  <si>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</si>
  <si>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</si>
  <si>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</si>
  <si>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</si>
  <si>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</si>
  <si>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</si>
  <si>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</si>
  <si>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</si>
  <si>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</si>
  <si>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</si>
  <si>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</si>
  <si>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</si>
  <si>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</si>
  <si>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</si>
  <si>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</si>
  <si>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</si>
  <si>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</si>
  <si>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</si>
  <si>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</si>
  <si>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</si>
  <si>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</si>
  <si>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</si>
  <si>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</si>
  <si>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</si>
  <si>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</si>
  <si>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</si>
  <si>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</si>
  <si>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</si>
  <si>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</si>
  <si>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</si>
  <si>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</si>
  <si>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</si>
  <si>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</si>
  <si>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</si>
  <si>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</si>
  <si>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</si>
  <si>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</si>
  <si>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</si>
  <si>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</si>
  <si>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</si>
  <si>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</si>
  <si>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</si>
  <si>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</si>
  <si>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</si>
  <si>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</si>
  <si>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</si>
  <si>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</si>
  <si>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</si>
  <si>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</si>
  <si>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</si>
  <si>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</si>
  <si>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</si>
  <si>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</si>
  <si>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</si>
  <si>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</si>
  <si>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</si>
  <si>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</si>
  <si>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</si>
  <si>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</si>
  <si>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</si>
  <si>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</si>
  <si>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</si>
  <si>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</si>
  <si>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</si>
  <si>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</si>
  <si>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</si>
  <si>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</si>
  <si>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</si>
  <si>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</si>
  <si>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</si>
  <si>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</si>
  <si>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</si>
  <si>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</si>
  <si>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</si>
  <si>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</si>
  <si>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</si>
  <si>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</si>
  <si>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</si>
  <si>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</si>
  <si>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</si>
  <si>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</si>
  <si>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</si>
  <si>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</si>
  <si>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</si>
  <si>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</si>
  <si>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</si>
  <si>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</si>
  <si>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</si>
  <si>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</si>
  <si>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</si>
  <si>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</si>
  <si>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</si>
  <si>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</si>
  <si>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</si>
  <si>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</si>
  <si>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</si>
  <si>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</si>
  <si>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</si>
  <si>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</si>
  <si>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</si>
  <si>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</si>
  <si>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</si>
  <si>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</si>
  <si>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</si>
  <si>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</si>
  <si>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</si>
  <si>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</si>
  <si>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</si>
  <si>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</si>
  <si>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</si>
  <si>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</si>
  <si>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</si>
  <si>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</si>
  <si>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</si>
  <si>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</si>
  <si>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</si>
  <si>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</si>
  <si>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</si>
  <si>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</si>
  <si>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</si>
  <si>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</si>
  <si>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</si>
  <si>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</si>
  <si>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</si>
  <si>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</si>
  <si>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</si>
  <si>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</si>
  <si>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</si>
  <si>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</si>
  <si>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</si>
  <si>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</si>
  <si>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</si>
  <si>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</si>
  <si>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</si>
  <si>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</si>
  <si>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</si>
  <si>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</si>
  <si>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</si>
  <si>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</si>
  <si>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</si>
  <si>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</si>
  <si>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</si>
  <si>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</si>
  <si>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</si>
  <si>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</si>
  <si>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</si>
  <si>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</si>
  <si>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</si>
  <si>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</si>
  <si>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</si>
  <si>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</si>
  <si>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</si>
  <si>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</si>
  <si>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</si>
  <si>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</si>
  <si>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</si>
  <si>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</si>
  <si>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</si>
  <si>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</si>
  <si>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</si>
  <si>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</si>
  <si>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</si>
  <si>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</si>
  <si>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</si>
  <si>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</si>
  <si>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</si>
  <si>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</si>
  <si>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</si>
  <si>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</si>
  <si>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</si>
  <si>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</si>
  <si>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</si>
  <si>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</si>
  <si>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</si>
  <si>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</si>
  <si>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</si>
  <si>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</si>
  <si>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</si>
  <si>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</si>
  <si>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</si>
  <si>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</si>
  <si>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</si>
  <si>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</si>
  <si>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</si>
  <si>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</si>
  <si>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</si>
  <si>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</si>
  <si>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</si>
  <si>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</si>
  <si>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</si>
  <si>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</si>
  <si>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</si>
  <si>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</si>
  <si>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</si>
  <si>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</si>
  <si>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</si>
  <si>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</si>
  <si>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</si>
  <si>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</si>
  <si>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</si>
  <si>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</si>
  <si>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</si>
  <si>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</si>
  <si>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</si>
  <si>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</si>
  <si>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</si>
  <si>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</si>
  <si>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</si>
  <si>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</si>
  <si>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</si>
  <si>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</si>
  <si>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</si>
  <si>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</si>
  <si>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</si>
  <si>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</si>
  <si>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</si>
  <si>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</si>
  <si>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</si>
  <si>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</si>
  <si>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</si>
  <si>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</si>
  <si>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</si>
  <si>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</si>
  <si>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</si>
  <si>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</si>
  <si>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</si>
  <si>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</si>
  <si>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</si>
  <si>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</si>
  <si>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</si>
  <si>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</si>
  <si>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</si>
  <si>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</si>
  <si>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</si>
  <si>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</si>
  <si>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</si>
  <si>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</si>
  <si>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</si>
  <si>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</si>
  <si>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</si>
  <si>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</si>
  <si>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</si>
  <si>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</si>
  <si>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</si>
  <si>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</si>
  <si>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</si>
  <si>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</si>
  <si>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</si>
  <si>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</si>
  <si>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</si>
  <si>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</si>
  <si>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</si>
  <si>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</si>
  <si>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</si>
  <si>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</si>
  <si>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</si>
  <si>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</si>
  <si>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</si>
  <si>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</si>
  <si>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</si>
  <si>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</si>
  <si>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</si>
  <si>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</si>
  <si>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</si>
  <si>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</si>
  <si>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</si>
  <si>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</si>
  <si>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</si>
  <si>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</si>
  <si>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</si>
  <si>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</si>
  <si>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</si>
  <si>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</si>
  <si>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</si>
  <si>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</si>
  <si>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</si>
  <si>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</si>
  <si>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</si>
  <si>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</si>
  <si>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</si>
  <si>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</si>
  <si>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</si>
  <si>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</si>
  <si>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</si>
  <si>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</si>
  <si>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</si>
  <si>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</si>
  <si>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</si>
  <si>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</si>
  <si>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</si>
  <si>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</si>
  <si>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</si>
  <si>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</si>
  <si>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</si>
  <si>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</si>
  <si>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</si>
  <si>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</si>
  <si>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</si>
  <si>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</si>
  <si>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</si>
  <si>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</si>
  <si>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</si>
  <si>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</si>
  <si>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</si>
  <si>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</si>
  <si>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</si>
  <si>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</si>
  <si>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</si>
  <si>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</si>
  <si>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</si>
  <si>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</si>
  <si>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</si>
  <si>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</si>
  <si>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</si>
  <si>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</si>
  <si>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</si>
  <si>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</si>
  <si>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</si>
  <si>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</si>
  <si>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</si>
  <si>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</si>
  <si>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</si>
  <si>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</si>
  <si>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</si>
  <si>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</si>
  <si>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</si>
  <si>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</si>
  <si>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</si>
  <si>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</si>
  <si>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</si>
  <si>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</si>
  <si>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</si>
  <si>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</si>
  <si>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</si>
  <si>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</si>
  <si>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</si>
  <si>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</si>
  <si>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</si>
  <si>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</si>
  <si>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</si>
  <si>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</si>
  <si>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</si>
  <si>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</si>
  <si>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</si>
  <si>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</si>
  <si>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</si>
  <si>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</si>
  <si>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</si>
  <si>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</si>
  <si>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</si>
  <si>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</si>
  <si>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</si>
  <si>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</si>
  <si>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</si>
  <si>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</si>
  <si>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</si>
  <si>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</si>
  <si>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</si>
  <si>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</si>
  <si>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</si>
  <si>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</si>
  <si>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</si>
  <si>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</si>
  <si>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</si>
  <si>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</si>
  <si>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</si>
  <si>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</si>
  <si>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</si>
  <si>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</si>
  <si>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</si>
  <si>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</si>
  <si>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</si>
  <si>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</si>
  <si>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</si>
  <si>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</si>
  <si>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</si>
  <si>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</si>
  <si>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</si>
  <si>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</si>
  <si>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</si>
  <si>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</si>
  <si>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</si>
  <si>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</si>
  <si>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</si>
  <si>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</si>
  <si>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</si>
  <si>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</si>
  <si>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</si>
  <si>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</si>
  <si>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</si>
  <si>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</si>
  <si>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</si>
  <si>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</si>
  <si>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</si>
  <si>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</si>
  <si>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</si>
  <si>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</si>
  <si>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</si>
  <si>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</si>
  <si>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</si>
  <si>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</si>
  <si>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</si>
  <si>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</si>
  <si>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</si>
  <si>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</si>
  <si>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</si>
  <si>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</si>
  <si>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</si>
  <si>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</si>
  <si>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</si>
  <si>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</si>
  <si>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</si>
  <si>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</si>
  <si>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</si>
  <si>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</si>
  <si>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</si>
  <si>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</si>
  <si>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</si>
  <si>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</si>
  <si>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</si>
  <si>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</si>
  <si>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</si>
  <si>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</si>
  <si>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</si>
  <si>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</si>
  <si>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</si>
  <si>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</si>
  <si>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</si>
  <si>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</si>
  <si>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</si>
  <si>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</si>
  <si>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</si>
  <si>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</si>
  <si>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</si>
  <si>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</si>
  <si>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</si>
  <si>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</si>
  <si>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</si>
  <si>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</si>
  <si>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</si>
  <si>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</si>
  <si>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</si>
  <si>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</si>
  <si>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</si>
  <si>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</si>
  <si>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</si>
  <si>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</si>
  <si>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</si>
  <si>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</si>
  <si>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</si>
  <si>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</si>
  <si>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</si>
  <si>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</si>
  <si>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</si>
  <si>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</si>
  <si>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</si>
  <si>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</si>
  <si>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</si>
  <si>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</si>
  <si>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</si>
  <si>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</si>
  <si>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</si>
  <si>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</si>
  <si>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</si>
  <si>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</si>
  <si>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</si>
  <si>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</si>
  <si>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</si>
  <si>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</si>
  <si>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</si>
  <si>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</si>
  <si>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</si>
  <si>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</si>
  <si>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</si>
  <si>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</si>
  <si>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</si>
  <si>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</si>
  <si>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</si>
  <si>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</si>
  <si>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</si>
  <si>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</si>
  <si>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</si>
  <si>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</si>
  <si>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</si>
  <si>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</si>
  <si>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</si>
  <si>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</si>
  <si>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</si>
  <si>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</si>
  <si>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</si>
  <si>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</si>
  <si>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</si>
  <si>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</si>
  <si>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</si>
  <si>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</si>
  <si>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</si>
  <si>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</si>
  <si>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</si>
  <si>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</si>
  <si>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</si>
  <si>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</si>
  <si>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</si>
  <si>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</si>
  <si>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</si>
  <si>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</si>
  <si>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</si>
  <si>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</si>
  <si>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</si>
  <si>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</si>
  <si>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</si>
  <si>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</si>
  <si>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</si>
  <si>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</si>
  <si>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</si>
  <si>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</si>
  <si>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</si>
  <si>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</si>
  <si>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</si>
  <si>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</si>
  <si>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</si>
  <si>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</si>
  <si>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</si>
  <si>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</si>
  <si>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</si>
  <si>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</si>
  <si>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</si>
  <si>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</si>
  <si>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</si>
  <si>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</si>
  <si>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</si>
  <si>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</si>
  <si>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</si>
  <si>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</si>
  <si>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</si>
  <si>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</si>
  <si>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</si>
  <si>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</si>
  <si>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</si>
  <si>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</si>
  <si>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</si>
  <si>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</si>
  <si>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</si>
  <si>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</si>
  <si>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</si>
  <si>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</si>
  <si>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</si>
  <si>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</si>
  <si>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</si>
  <si>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</si>
  <si>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</si>
  <si>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</si>
  <si>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</si>
  <si>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</si>
  <si>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</si>
  <si>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</si>
  <si>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</si>
  <si>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</si>
  <si>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</si>
  <si>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</si>
  <si>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</si>
  <si>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</si>
  <si>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</si>
  <si>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</si>
  <si>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</si>
  <si>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</si>
  <si>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</si>
  <si>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</si>
  <si>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</si>
  <si>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</si>
  <si>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</si>
  <si>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</si>
  <si>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</si>
  <si>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</si>
  <si>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</si>
  <si>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</si>
  <si>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</si>
  <si>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</si>
  <si>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</si>
  <si>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</si>
  <si>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</si>
  <si>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</si>
  <si>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</si>
  <si>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</si>
  <si>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</si>
  <si>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</si>
  <si>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</si>
  <si>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</si>
  <si>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</si>
  <si>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</si>
  <si>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</si>
  <si>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</si>
  <si>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</si>
  <si>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</si>
  <si>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</si>
  <si>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</si>
  <si>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</si>
  <si>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</si>
  <si>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</si>
  <si>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</si>
  <si>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</si>
  <si>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</si>
  <si>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</si>
  <si>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</si>
  <si>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</si>
  <si>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</si>
  <si>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</si>
  <si>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</si>
  <si>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</si>
  <si>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</si>
  <si>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</si>
  <si>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</si>
  <si>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</si>
  <si>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</si>
  <si>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</si>
  <si>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</si>
  <si>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</si>
  <si>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</si>
  <si>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</si>
  <si>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</si>
  <si>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</si>
  <si>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</si>
  <si>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</si>
  <si>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</si>
  <si>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</si>
  <si>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</si>
  <si>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</si>
  <si>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</si>
  <si>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</si>
  <si>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</si>
  <si>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</si>
  <si>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</si>
  <si>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</si>
  <si>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</si>
  <si>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</si>
  <si>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</si>
  <si>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</si>
  <si>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</si>
  <si>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</si>
  <si>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</si>
  <si>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</si>
  <si>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</si>
  <si>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</si>
  <si>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</si>
  <si>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</si>
  <si>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</si>
  <si>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</si>
  <si>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</si>
  <si>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</si>
  <si>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</si>
  <si>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</si>
  <si>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</si>
  <si>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</si>
  <si>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</si>
  <si>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</si>
  <si>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</si>
  <si>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</si>
  <si>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</si>
  <si>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</si>
  <si>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</si>
  <si>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</si>
  <si>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</si>
  <si>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</si>
  <si>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</si>
  <si>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</si>
  <si>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</si>
  <si>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</si>
  <si>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</si>
  <si>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</si>
  <si>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</si>
  <si>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</si>
  <si>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</si>
  <si>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</si>
  <si>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</si>
  <si>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</si>
  <si>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</si>
  <si>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</si>
  <si>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</si>
  <si>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</si>
  <si>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</si>
  <si>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</si>
  <si>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</si>
  <si>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</si>
  <si>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</si>
  <si>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</si>
  <si>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</si>
  <si>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</si>
  <si>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</si>
  <si>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</si>
  <si>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</si>
  <si>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</si>
  <si>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</si>
  <si>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</si>
  <si>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</si>
  <si>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</si>
  <si>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</si>
  <si>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</si>
  <si>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</si>
  <si>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</si>
  <si>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</si>
  <si>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</si>
  <si>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</si>
  <si>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</si>
  <si>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</si>
  <si>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</si>
  <si>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</si>
  <si>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</si>
  <si>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</si>
  <si>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</si>
  <si>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</si>
  <si>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</si>
  <si>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</si>
  <si>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</si>
  <si>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</si>
  <si>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</si>
  <si>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</si>
  <si>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</si>
  <si>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</si>
  <si>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</si>
  <si>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</si>
  <si>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</si>
  <si>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</si>
  <si>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</si>
  <si>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</si>
  <si>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</si>
  <si>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</si>
  <si>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</si>
  <si>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</si>
  <si>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</si>
  <si>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</si>
  <si>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</si>
  <si>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</si>
  <si>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</si>
  <si>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</si>
  <si>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</si>
  <si>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</si>
  <si>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</si>
  <si>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</si>
  <si>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</si>
  <si>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</si>
  <si>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</si>
  <si>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</si>
  <si>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</si>
  <si>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</si>
  <si>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</si>
  <si>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</si>
  <si>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</si>
  <si>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</si>
  <si>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</si>
  <si>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</si>
  <si>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</si>
  <si>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</si>
  <si>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</si>
  <si>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</si>
  <si>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</si>
  <si>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</si>
  <si>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</si>
  <si>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</si>
  <si>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</si>
  <si>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</si>
  <si>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</si>
  <si>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</si>
  <si>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</si>
  <si>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</si>
  <si>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</si>
  <si>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</si>
  <si>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</si>
  <si>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</si>
  <si>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</si>
  <si>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</si>
  <si>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</si>
  <si>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</si>
  <si>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</si>
  <si>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</si>
  <si>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</si>
  <si>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</si>
  <si>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</si>
  <si>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</si>
  <si>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</si>
  <si>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</si>
  <si>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</si>
  <si>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</si>
  <si>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</si>
  <si>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</si>
  <si>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</si>
  <si>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</si>
  <si>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</si>
  <si>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</si>
  <si>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</si>
  <si>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</si>
  <si>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</si>
  <si>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</si>
  <si>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</si>
  <si>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</si>
  <si>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</si>
  <si>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</si>
  <si>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</si>
  <si>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</si>
  <si>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</si>
  <si>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</si>
  <si>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</si>
  <si>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</si>
  <si>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</si>
  <si>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</si>
  <si>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</si>
  <si>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</si>
  <si>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</si>
  <si>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</si>
  <si>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</si>
  <si>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</si>
  <si>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</si>
  <si>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</si>
  <si>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</si>
  <si>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</si>
  <si>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</si>
  <si>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</si>
  <si>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</si>
  <si>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</si>
  <si>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</si>
  <si>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</si>
  <si>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</si>
  <si>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</si>
  <si>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</si>
  <si>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</si>
  <si>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</si>
  <si>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</si>
  <si>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</si>
  <si>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</si>
  <si>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</si>
  <si>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</si>
  <si>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</si>
  <si>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</si>
  <si>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</si>
  <si>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</si>
  <si>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</si>
  <si>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</si>
  <si>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</si>
  <si>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</si>
  <si>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</si>
  <si>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</si>
  <si>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</si>
  <si>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</si>
  <si>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</si>
  <si>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</si>
  <si>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</si>
  <si>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</si>
  <si>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</si>
  <si>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</si>
  <si>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</si>
  <si>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</si>
  <si>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</si>
  <si>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</si>
  <si>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</si>
  <si>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</si>
  <si>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</si>
  <si>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</si>
  <si>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</si>
  <si>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</si>
  <si>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</si>
  <si>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</si>
  <si>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</si>
  <si>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</si>
  <si>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</si>
  <si>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</si>
  <si>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</si>
  <si>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</si>
  <si>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</si>
  <si>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</si>
  <si>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</si>
  <si>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</si>
  <si>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</si>
  <si>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</si>
  <si>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</si>
  <si>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</si>
  <si>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</si>
  <si>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</si>
  <si>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</si>
  <si>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</si>
  <si>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</si>
  <si>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</si>
  <si>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</si>
  <si>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</si>
  <si>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</si>
  <si>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</si>
  <si>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</si>
  <si>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</si>
  <si>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</si>
  <si>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</si>
  <si>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</si>
  <si>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</si>
  <si>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</si>
  <si>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</si>
  <si>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</si>
  <si>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</si>
  <si>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</si>
  <si>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</si>
  <si>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</si>
  <si>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</si>
  <si>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</si>
  <si>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</si>
  <si>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</si>
  <si>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</si>
  <si>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</si>
  <si>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</si>
  <si>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</si>
  <si>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</si>
  <si>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</si>
  <si>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</si>
  <si>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</si>
  <si>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</si>
  <si>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</si>
  <si>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</si>
  <si>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</si>
  <si>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</si>
  <si>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</si>
  <si>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</si>
  <si>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</si>
  <si>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</si>
  <si>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</si>
  <si>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</si>
  <si>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</si>
  <si>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</si>
  <si>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</si>
  <si>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</si>
  <si>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</si>
  <si>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</si>
  <si>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</si>
  <si>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</si>
  <si>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</si>
  <si>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</si>
  <si>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</si>
  <si>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</si>
  <si>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</si>
  <si>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</si>
  <si>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</si>
  <si>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</si>
  <si>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</si>
  <si>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</si>
  <si>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</si>
  <si>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</si>
  <si>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</si>
  <si>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</si>
  <si>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</si>
  <si>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</si>
  <si>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</si>
  <si>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</si>
  <si>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</si>
  <si>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</si>
  <si>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</si>
  <si>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</si>
  <si>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</si>
  <si>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</si>
  <si>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</si>
  <si>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</si>
  <si>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</si>
  <si>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</si>
  <si>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</si>
  <si>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</si>
  <si>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</si>
  <si>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</si>
  <si>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</si>
  <si>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</si>
  <si>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</si>
  <si>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</si>
  <si>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</si>
  <si>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</si>
  <si>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</si>
  <si>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</si>
  <si>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</si>
  <si>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</si>
  <si>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</si>
  <si>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</si>
  <si>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</si>
  <si>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</si>
  <si>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</si>
  <si>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</si>
  <si>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</si>
  <si>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</si>
  <si>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</si>
  <si>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</si>
  <si>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</si>
  <si>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</si>
  <si>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</si>
  <si>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</si>
  <si>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</si>
  <si>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</si>
  <si>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</si>
  <si>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</si>
  <si>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</si>
  <si>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</si>
  <si>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</si>
  <si>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</si>
  <si>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</si>
  <si>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</si>
  <si>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</si>
  <si>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</si>
  <si>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</si>
  <si>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</si>
  <si>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</si>
  <si>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</si>
  <si>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</si>
  <si>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</si>
  <si>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</si>
  <si>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</si>
  <si>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</si>
  <si>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</si>
  <si>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</si>
  <si>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</si>
  <si>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</si>
  <si>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</si>
  <si>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</si>
  <si>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</si>
  <si>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</si>
  <si>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</si>
  <si>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</si>
  <si>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</si>
  <si>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</si>
  <si>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</si>
  <si>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</si>
  <si>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</si>
  <si>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</si>
  <si>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</si>
  <si>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</si>
  <si>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</si>
  <si>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</si>
  <si>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</si>
  <si>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</si>
  <si>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</si>
  <si>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</si>
  <si>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</si>
  <si>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</si>
  <si>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</si>
  <si>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</si>
  <si>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</si>
  <si>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</si>
  <si>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</si>
  <si>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</si>
  <si>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</si>
  <si>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</si>
  <si>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</si>
  <si>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</si>
  <si>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</si>
  <si>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</si>
  <si>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</si>
  <si>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</si>
  <si>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</si>
  <si>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</si>
  <si>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</si>
  <si>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</si>
  <si>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</si>
  <si>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</si>
  <si>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</si>
  <si>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</si>
  <si>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</si>
  <si>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</si>
  <si>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</si>
  <si>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</si>
  <si>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</si>
  <si>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</si>
  <si>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</si>
  <si>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</si>
  <si>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</si>
  <si>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</si>
  <si>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</si>
  <si>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</si>
  <si>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</si>
  <si>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</si>
  <si>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</si>
  <si>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</si>
  <si>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</si>
  <si>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</si>
  <si>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</si>
  <si>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</si>
  <si>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</si>
  <si>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</si>
  <si>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</si>
  <si>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</si>
  <si>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</si>
  <si>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</si>
  <si>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</si>
  <si>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</si>
  <si>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</si>
  <si>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</si>
  <si>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</si>
  <si>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</si>
  <si>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</si>
  <si>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</si>
  <si>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</si>
  <si>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</si>
  <si>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</si>
  <si>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</si>
  <si>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</si>
  <si>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</si>
  <si>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</si>
  <si>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</si>
  <si>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</si>
  <si>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</si>
  <si>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</si>
  <si>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</si>
  <si>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</si>
  <si>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</si>
  <si>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</si>
  <si>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</si>
  <si>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</si>
  <si>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</si>
  <si>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</si>
  <si>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</si>
  <si>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</si>
  <si>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</si>
  <si>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</si>
  <si>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</si>
  <si>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</si>
  <si>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</si>
  <si>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</si>
  <si>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</si>
  <si>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</si>
  <si>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</si>
  <si>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</si>
  <si>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</si>
  <si>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</si>
  <si>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</si>
  <si>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</si>
  <si>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</si>
  <si>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</si>
  <si>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</si>
  <si>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</si>
  <si>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</si>
  <si>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</si>
  <si>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</si>
  <si>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</si>
  <si>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</si>
  <si>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</si>
  <si>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</si>
  <si>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</si>
  <si>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</si>
  <si>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</si>
  <si>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</si>
  <si>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</si>
  <si>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</si>
  <si>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</si>
  <si>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</si>
  <si>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</si>
  <si>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</si>
  <si>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</si>
  <si>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</si>
  <si>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</si>
  <si>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</si>
  <si>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</si>
  <si>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</si>
  <si>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</si>
  <si>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</si>
  <si>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</si>
  <si>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</si>
  <si>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</si>
  <si>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</si>
  <si>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</si>
  <si>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</si>
  <si>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Sova Martin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</si>
  <si>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</si>
  <si>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</si>
  <si>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</si>
  <si>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</si>
  <si>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</si>
  <si>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</si>
  <si>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</si>
  <si>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</si>
  <si>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</si>
  <si>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</si>
  <si>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</si>
  <si>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65:30</t>
  </si>
  <si>
    <t>29:00</t>
  </si>
  <si>
    <t>54:00</t>
  </si>
  <si>
    <t>53:30</t>
  </si>
  <si>
    <t>Fabera Tomáš</t>
  </si>
  <si>
    <t>4:00</t>
  </si>
  <si>
    <t>Židek Petr</t>
  </si>
  <si>
    <t>66:30</t>
  </si>
  <si>
    <t>3:30</t>
  </si>
  <si>
    <t>Chlubnová Adéla</t>
  </si>
  <si>
    <t>43:30</t>
  </si>
  <si>
    <t>Chlubna Tomáš</t>
  </si>
  <si>
    <t>53:00</t>
  </si>
  <si>
    <t>7:00</t>
  </si>
  <si>
    <t>Nekolný Vladimír</t>
  </si>
  <si>
    <t>Fux Vojtěch</t>
  </si>
  <si>
    <t>Hřebík Martin</t>
  </si>
  <si>
    <t>11 min 26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</si>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</sst>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46183.0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460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1564</v>
      </c>
      <c r="C12" s="52" t="s">
        <v>41</v>
      </c>
      <c r="D12" s="52" t="s">
        <v>49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13:00</v>
      </c>
      <c r="I12" s="22"/>
      <c r="J12" s="37"/>
      <c r="K12" s="22"/>
      <c r="L12" s="55" t="s">
        <v>1565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>
        <v>400.0</v>
      </c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>
        <v>60.0</v>
      </c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2140.8</v>
      </c>
      <c r="B25" s="82" t="s">
        <v>1570</v>
      </c>
      <c r="C25" s="83" t="s">
        <v>41</v>
      </c>
      <c r="D25" s="52" t="s">
        <v>70</v>
      </c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1571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52"/>
      <c r="D28" s="52"/>
      <c r="E28" s="94"/>
      <c r="F28" s="84" t="str">
        <f t="shared" si="2"/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"Sova Martin"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46174.0</v>
      </c>
      <c r="D1" s="114" t="s">
        <v>1572</v>
      </c>
      <c r="E1" s="115">
        <v>46203.0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0.29853253056724666</v>
      </c>
      <c r="H2" s="22"/>
      <c r="I2" s="119">
        <v>493638.0</v>
      </c>
      <c r="K2" s="22"/>
      <c r="L2" s="120" t="s">
        <v>1550</v>
      </c>
      <c r="M2" s="121">
        <v>125893.60000000002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8"/>
      <c r="D3" s="124" t="str">
        <f>CHOOSE(WEEKDAY(E1), "Neděle", "Pondělí", "Úterý", "Středa", "Čtvrtek", "Pátek", "Sobota")</f>
        <v>Úterý</v>
      </c>
      <c r="E3" s="12"/>
      <c r="H3" s="22"/>
      <c r="K3" s="22"/>
      <c r="L3" s="125" t="s">
        <v>1551</v>
      </c>
      <c r="M3" s="126">
        <v>45812.0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104893.64000000001</v>
      </c>
      <c r="N4" s="122"/>
    </row>
    <row r="5">
      <c r="A5" s="127"/>
      <c r="B5" s="128" t="s">
        <v>1573</v>
      </c>
      <c r="C5" s="28"/>
      <c r="D5" s="28"/>
      <c r="E5" s="12"/>
      <c r="F5" s="129" t="s">
        <v>1574</v>
      </c>
      <c r="G5" s="28"/>
      <c r="H5" s="28"/>
      <c r="I5" s="28"/>
      <c r="J5" s="28"/>
      <c r="K5" s="12"/>
      <c r="L5" s="130" t="s">
        <v>1554</v>
      </c>
      <c r="M5" s="126">
        <v>119797.0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2266.0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229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175.5</v>
      </c>
      <c r="G7" s="14"/>
      <c r="H7" s="14"/>
      <c r="I7" s="14"/>
      <c r="J7" s="134"/>
      <c r="K7" s="134"/>
      <c r="L7" s="135" t="s">
        <v>1556</v>
      </c>
      <c r="M7" s="136">
        <v>17112.36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1575</v>
      </c>
      <c r="D9" s="144" t="s">
        <v>1563</v>
      </c>
      <c r="E9" s="145"/>
      <c r="F9" s="143" t="s">
        <v>1559</v>
      </c>
      <c r="G9" s="144" t="s">
        <v>1575</v>
      </c>
      <c r="H9" s="144" t="s">
        <v>1563</v>
      </c>
      <c r="I9" s="146" t="s">
        <v>1567</v>
      </c>
      <c r="J9" s="147">
        <v>-0.7599999999365536</v>
      </c>
      <c r="K9" s="12"/>
      <c r="L9" s="148" t="s">
        <v>23</v>
      </c>
      <c r="M9" s="126">
        <v>40590.0</v>
      </c>
      <c r="N9" s="122"/>
    </row>
    <row r="10" ht="18.75" customHeight="1">
      <c r="A10" s="149"/>
      <c r="B10" s="150" t="s">
        <v>1564</v>
      </c>
      <c r="C10" s="151">
        <v>7.0</v>
      </c>
      <c r="D10" s="151" t="s">
        <v>1576</v>
      </c>
      <c r="E10" s="152" t="s">
        <v>1577</v>
      </c>
      <c r="F10" s="150" t="s">
        <v>1570</v>
      </c>
      <c r="G10" s="151">
        <v>7.0</v>
      </c>
      <c r="H10" s="151" t="s">
        <v>1578</v>
      </c>
      <c r="I10" s="153">
        <v>64.0</v>
      </c>
      <c r="J10" s="37"/>
      <c r="K10" s="22"/>
      <c r="L10" s="148" t="s">
        <v>24</v>
      </c>
      <c r="M10" s="126">
        <v>0.0</v>
      </c>
      <c r="N10" s="122"/>
    </row>
    <row r="11" ht="18.75" customHeight="1">
      <c r="A11" s="149"/>
      <c r="B11" s="150" t="s">
        <v>1486</v>
      </c>
      <c r="C11" s="151">
        <v>7.0</v>
      </c>
      <c r="D11" s="151" t="s">
        <v>1579</v>
      </c>
      <c r="E11" s="152" t="s">
        <v>49</v>
      </c>
      <c r="F11" s="154" t="s">
        <v>1580</v>
      </c>
      <c r="G11" s="154">
        <v>1.0</v>
      </c>
      <c r="H11" s="154" t="s">
        <v>1581</v>
      </c>
      <c r="I11" s="153">
        <v>4.0</v>
      </c>
      <c r="J11" s="37"/>
      <c r="K11" s="22"/>
      <c r="L11" s="155" t="s">
        <v>25</v>
      </c>
      <c r="M11" s="156">
        <v>43551.0</v>
      </c>
      <c r="N11" s="122"/>
    </row>
    <row r="12" ht="18.75" customHeight="1">
      <c r="A12" s="149"/>
      <c r="B12" s="150" t="s">
        <v>1582</v>
      </c>
      <c r="C12" s="151">
        <v>7.0</v>
      </c>
      <c r="D12" s="151" t="s">
        <v>1583</v>
      </c>
      <c r="E12" s="152" t="s">
        <v>50</v>
      </c>
      <c r="F12" s="157" t="s">
        <v>1494</v>
      </c>
      <c r="G12" s="157">
        <v>1.0</v>
      </c>
      <c r="H12" s="154" t="s">
        <v>1584</v>
      </c>
      <c r="I12" s="153">
        <v>4.0</v>
      </c>
      <c r="J12" s="37"/>
      <c r="K12" s="22"/>
      <c r="L12" s="158" t="s">
        <v>1565</v>
      </c>
      <c r="M12" s="20"/>
      <c r="N12" s="117"/>
    </row>
    <row r="13" ht="18.75" customHeight="1">
      <c r="A13" s="149"/>
      <c r="B13" s="150" t="s">
        <v>1585</v>
      </c>
      <c r="C13" s="151">
        <v>5.0</v>
      </c>
      <c r="D13" s="151" t="s">
        <v>1586</v>
      </c>
      <c r="E13" s="152" t="s">
        <v>50</v>
      </c>
      <c r="F13" s="157" t="s">
        <v>1587</v>
      </c>
      <c r="G13" s="157">
        <v>6.0</v>
      </c>
      <c r="H13" s="157" t="s">
        <v>1588</v>
      </c>
      <c r="I13" s="153">
        <v>60.0</v>
      </c>
      <c r="J13" s="37"/>
      <c r="K13" s="22"/>
      <c r="L13" s="148" t="s">
        <v>29</v>
      </c>
      <c r="M13" s="126">
        <v>3600.0</v>
      </c>
      <c r="N13" s="122"/>
    </row>
    <row r="14" ht="18.75" customHeight="1">
      <c r="A14" s="149"/>
      <c r="B14" s="150"/>
      <c r="C14" s="151"/>
      <c r="D14" s="151"/>
      <c r="E14" s="152" t="s">
        <v>1589</v>
      </c>
      <c r="F14" s="150" t="s">
        <v>1590</v>
      </c>
      <c r="G14" s="151">
        <v>2.0</v>
      </c>
      <c r="H14" s="151" t="s">
        <v>63</v>
      </c>
      <c r="I14" s="153">
        <v>14.0</v>
      </c>
      <c r="J14" s="37"/>
      <c r="K14" s="22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2" t="s">
        <v>1589</v>
      </c>
      <c r="F15" s="150" t="s">
        <v>1182</v>
      </c>
      <c r="G15" s="151">
        <v>3.0</v>
      </c>
      <c r="H15" s="151" t="s">
        <v>1506</v>
      </c>
      <c r="I15" s="153">
        <v>29.0</v>
      </c>
      <c r="J15" s="37"/>
      <c r="K15" s="22"/>
      <c r="L15" s="159" t="s">
        <v>31</v>
      </c>
      <c r="M15" s="126">
        <v>189.0</v>
      </c>
      <c r="N15" s="122"/>
    </row>
    <row r="16" ht="18.75" customHeight="1">
      <c r="A16" s="149"/>
      <c r="B16" s="150"/>
      <c r="C16" s="151"/>
      <c r="D16" s="151"/>
      <c r="E16" s="160"/>
      <c r="F16" s="150" t="s">
        <v>1591</v>
      </c>
      <c r="G16" s="151">
        <v>3.0</v>
      </c>
      <c r="H16" s="151" t="s">
        <v>1482</v>
      </c>
      <c r="I16" s="153">
        <v>43.0</v>
      </c>
      <c r="J16" s="37"/>
      <c r="K16" s="22"/>
      <c r="L16" s="159" t="s">
        <v>32</v>
      </c>
      <c r="M16" s="126">
        <v>70.0</v>
      </c>
      <c r="N16" s="122"/>
    </row>
    <row r="17" ht="18.75" customHeight="1">
      <c r="A17" s="149"/>
      <c r="B17" s="150"/>
      <c r="C17" s="151"/>
      <c r="D17" s="151"/>
      <c r="E17" s="160"/>
      <c r="F17" s="150" t="s">
        <v>1592</v>
      </c>
      <c r="G17" s="151">
        <v>1.0</v>
      </c>
      <c r="H17" s="151" t="s">
        <v>50</v>
      </c>
      <c r="I17" s="153">
        <v>24.0</v>
      </c>
      <c r="J17" s="19"/>
      <c r="K17" s="20"/>
      <c r="L17" s="161" t="s">
        <v>33</v>
      </c>
      <c r="M17" s="162">
        <v>6975.0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1566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8.0</v>
      </c>
      <c r="K21" s="173">
        <v>9619.38</v>
      </c>
      <c r="L21" s="174">
        <v>17.0</v>
      </c>
      <c r="M21" s="175" t="s">
        <v>1593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1569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15.0</v>
      </c>
      <c r="K24" s="174">
        <v>1274.0</v>
      </c>
      <c r="L24" s="174">
        <v>262.0</v>
      </c>
      <c r="M24" s="181">
        <v>10.0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1571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5.0</v>
      </c>
      <c r="K27" s="98"/>
      <c r="L27" s="187">
        <v>0.05942450945458147</v>
      </c>
      <c r="M27" s="188">
        <v>6.0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1594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0.9405754905454184</v>
      </c>
      <c r="M30" s="194">
        <v>0.02224929813464718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/>
      <c r="B2" s="1"/>
      <c r="C2" s="196"/>
      <c r="D2" s="1"/>
      <c r="E2" s="195"/>
      <c r="F2" s="1"/>
      <c r="G2" s="1"/>
      <c r="H2" s="1"/>
      <c r="I2" s="1"/>
      <c r="J2" s="1"/>
      <c r="K2" s="195"/>
      <c r="L2" s="1"/>
      <c r="M2" s="1"/>
      <c r="N2" s="1"/>
      <c r="O2" s="1"/>
      <c r="P2" s="1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/>
      <c r="B3" s="1"/>
      <c r="C3" s="196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/>
      <c r="B4" s="1"/>
      <c r="C4" s="196"/>
      <c r="D4" s="1"/>
      <c r="E4" s="1"/>
      <c r="F4" s="1"/>
      <c r="G4" s="1"/>
      <c r="H4" s="1"/>
      <c r="I4" s="1"/>
      <c r="J4" s="1"/>
      <c r="K4" s="195"/>
      <c r="L4" s="1"/>
      <c r="M4" s="1"/>
      <c r="N4" s="1"/>
      <c r="O4" s="1"/>
      <c r="P4" s="1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/>
      <c r="B5" s="196"/>
      <c r="C5" s="196"/>
      <c r="D5" s="1"/>
      <c r="E5" s="195"/>
      <c r="F5" s="1"/>
      <c r="G5" s="1"/>
      <c r="H5" s="1"/>
      <c r="I5" s="1"/>
      <c r="J5" s="1"/>
      <c r="K5" s="195"/>
      <c r="L5" s="1"/>
      <c r="M5" s="1"/>
      <c r="N5" s="1"/>
      <c r="O5" s="1"/>
      <c r="P5" s="1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/>
      <c r="B6" s="1"/>
      <c r="C6" s="196"/>
      <c r="D6" s="1"/>
      <c r="E6" s="1"/>
      <c r="F6" s="1"/>
      <c r="G6" s="1"/>
      <c r="H6" s="1"/>
      <c r="I6" s="1"/>
      <c r="J6" s="1"/>
      <c r="K6" s="195"/>
      <c r="L6" s="1"/>
      <c r="M6" s="1"/>
      <c r="N6" s="1"/>
      <c r="O6" s="1"/>
      <c r="P6" s="1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/>
      <c r="B7" s="1"/>
      <c r="C7" s="196"/>
      <c r="D7" s="1"/>
      <c r="E7" s="1"/>
      <c r="F7" s="1"/>
      <c r="G7" s="1"/>
      <c r="H7" s="1"/>
      <c r="I7" s="1"/>
      <c r="J7" s="1"/>
      <c r="K7" s="195"/>
      <c r="L7" s="1"/>
      <c r="M7" s="1"/>
      <c r="N7" s="1"/>
      <c r="O7" s="1"/>
      <c r="P7" s="1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/>
      <c r="B8" s="196"/>
      <c r="C8" s="196"/>
      <c r="D8" s="1"/>
      <c r="E8" s="1"/>
      <c r="F8" s="1"/>
      <c r="G8" s="1"/>
      <c r="H8" s="1"/>
      <c r="I8" s="1"/>
      <c r="J8" s="1"/>
      <c r="K8" s="195"/>
      <c r="L8" s="1"/>
      <c r="M8" s="1"/>
      <c r="N8" s="1"/>
      <c r="O8" s="1"/>
      <c r="P8" s="1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/>
      <c r="B9" s="1"/>
      <c r="C9" s="196"/>
      <c r="D9" s="1"/>
      <c r="E9" s="1"/>
      <c r="F9" s="1"/>
      <c r="G9" s="1"/>
      <c r="H9" s="1"/>
      <c r="I9" s="1"/>
      <c r="J9" s="1"/>
      <c r="K9" s="195"/>
      <c r="L9" s="1"/>
      <c r="M9" s="1"/>
      <c r="N9" s="1"/>
      <c r="O9" s="1"/>
      <c r="P9" s="1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/>
      <c r="B10" s="1"/>
      <c r="C10" s="196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/>
      <c r="B11" s="1"/>
      <c r="C11" s="196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/>
      <c r="B12" s="196"/>
      <c r="C12" s="196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/>
      <c r="B13" s="1"/>
      <c r="C13" s="196"/>
      <c r="D13" s="1"/>
      <c r="E13" s="1"/>
      <c r="F13" s="1"/>
      <c r="G13" s="1"/>
      <c r="H13" s="1"/>
      <c r="I13" s="1"/>
      <c r="J13" s="1"/>
      <c r="K13" s="195"/>
      <c r="L13" s="1"/>
      <c r="M13" s="1"/>
      <c r="N13" s="1"/>
      <c r="O13" s="1"/>
      <c r="P13" s="1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/>
      <c r="B14" s="1"/>
      <c r="C14" s="196"/>
      <c r="D14" s="1"/>
      <c r="E14" s="1"/>
      <c r="F14" s="1"/>
      <c r="G14" s="1"/>
      <c r="H14" s="1"/>
      <c r="I14" s="1"/>
      <c r="J14" s="1"/>
      <c r="K14" s="195"/>
      <c r="L14" s="1"/>
      <c r="M14" s="1"/>
      <c r="N14" s="1"/>
      <c r="O14" s="1"/>
      <c r="P14" s="1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/>
      <c r="B15" s="1"/>
      <c r="C15" s="196"/>
      <c r="D15" s="1"/>
      <c r="E15" s="1"/>
      <c r="F15" s="1"/>
      <c r="G15" s="1"/>
      <c r="H15" s="1"/>
      <c r="I15" s="1"/>
      <c r="J15" s="1"/>
      <c r="K15" s="195"/>
      <c r="L15" s="1"/>
      <c r="M15" s="1"/>
      <c r="N15" s="1"/>
      <c r="O15" s="1"/>
      <c r="P15" s="1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/>
      <c r="B16" s="1"/>
      <c r="C16" s="196"/>
      <c r="D16" s="1"/>
      <c r="E16" s="195"/>
      <c r="F16" s="1"/>
      <c r="G16" s="1"/>
      <c r="H16" s="1"/>
      <c r="I16" s="1"/>
      <c r="J16" s="1"/>
      <c r="K16" s="195"/>
      <c r="L16" s="1"/>
      <c r="M16" s="1"/>
      <c r="N16" s="1"/>
      <c r="O16" s="1"/>
      <c r="P16" s="1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/>
      <c r="B17" s="1"/>
      <c r="C17" s="196"/>
      <c r="D17" s="1"/>
      <c r="E17" s="1"/>
      <c r="F17" s="1"/>
      <c r="G17" s="1"/>
      <c r="H17" s="1"/>
      <c r="I17" s="1"/>
      <c r="J17" s="1"/>
      <c r="K17" s="195"/>
      <c r="L17" s="1"/>
      <c r="M17" s="1"/>
      <c r="N17" s="1"/>
      <c r="O17" s="1"/>
      <c r="P17" s="1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/>
      <c r="B18" s="1"/>
      <c r="C18" s="196"/>
      <c r="D18" s="1"/>
      <c r="E18" s="195"/>
      <c r="F18" s="1"/>
      <c r="G18" s="1"/>
      <c r="H18" s="1"/>
      <c r="I18" s="1"/>
      <c r="J18" s="1"/>
      <c r="K18" s="195"/>
      <c r="L18" s="1"/>
      <c r="M18" s="1"/>
      <c r="N18" s="1"/>
      <c r="O18" s="1"/>
      <c r="P18" s="1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/>
      <c r="B19" s="1"/>
      <c r="C19" s="196"/>
      <c r="D19" s="1"/>
      <c r="E19" s="195"/>
      <c r="F19" s="1"/>
      <c r="G19" s="1"/>
      <c r="H19" s="1"/>
      <c r="I19" s="1"/>
      <c r="J19" s="1"/>
      <c r="K19" s="195"/>
      <c r="L19" s="1"/>
      <c r="M19" s="1"/>
      <c r="N19" s="1"/>
      <c r="O19" s="1"/>
      <c r="P19" s="1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/>
      <c r="B20" s="1"/>
      <c r="C20" s="196"/>
      <c r="D20" s="1"/>
      <c r="E20" s="1"/>
      <c r="F20" s="1"/>
      <c r="G20" s="1"/>
      <c r="H20" s="1"/>
      <c r="I20" s="1"/>
      <c r="J20" s="1"/>
      <c r="K20" s="195"/>
      <c r="L20" s="1"/>
      <c r="M20" s="1"/>
      <c r="N20" s="1"/>
      <c r="O20" s="1"/>
      <c r="P20" s="1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/>
      <c r="B21" s="1"/>
      <c r="C21" s="196"/>
      <c r="D21" s="1"/>
      <c r="E21" s="1"/>
      <c r="F21" s="1"/>
      <c r="G21" s="1"/>
      <c r="H21" s="1"/>
      <c r="I21" s="1"/>
      <c r="J21" s="1"/>
      <c r="K21" s="195"/>
      <c r="L21" s="1"/>
      <c r="M21" s="1"/>
      <c r="N21" s="1"/>
      <c r="O21" s="1"/>
      <c r="P21" s="1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/>
      <c r="B22" s="1"/>
      <c r="C22" s="196"/>
      <c r="D22" s="1"/>
      <c r="E22" s="195"/>
      <c r="F22" s="1"/>
      <c r="G22" s="1"/>
      <c r="H22" s="1"/>
      <c r="I22" s="1"/>
      <c r="J22" s="1"/>
      <c r="K22" s="195"/>
      <c r="L22" s="1"/>
      <c r="M22" s="1"/>
      <c r="N22" s="1"/>
      <c r="O22" s="1"/>
      <c r="P22" s="1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/>
      <c r="B23" s="196"/>
      <c r="C23" s="1"/>
      <c r="D23" s="1"/>
      <c r="E23" s="1"/>
      <c r="F23" s="1"/>
      <c r="G23" s="1"/>
      <c r="H23" s="1"/>
      <c r="I23" s="1"/>
      <c r="J23" s="1"/>
      <c r="K23" s="195"/>
      <c r="L23" s="1"/>
      <c r="M23" s="1"/>
      <c r="N23" s="1"/>
      <c r="O23" s="1"/>
      <c r="P23" s="1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/>
      <c r="B24" s="196"/>
      <c r="C24" s="196"/>
      <c r="D24" s="1"/>
      <c r="E24" s="1"/>
      <c r="F24" s="1"/>
      <c r="G24" s="1"/>
      <c r="H24" s="1"/>
      <c r="I24" s="1"/>
      <c r="J24" s="1"/>
      <c r="K24" s="195"/>
      <c r="L24" s="1"/>
      <c r="M24" s="1"/>
      <c r="N24" s="1"/>
      <c r="O24" s="1"/>
      <c r="P24" s="1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/>
      <c r="B25" s="1"/>
      <c r="C25" s="196"/>
      <c r="D25" s="1"/>
      <c r="E25" s="195"/>
      <c r="F25" s="1"/>
      <c r="G25" s="1"/>
      <c r="H25" s="1"/>
      <c r="I25" s="1"/>
      <c r="J25" s="1"/>
      <c r="K25" s="195"/>
      <c r="L25" s="1"/>
      <c r="M25" s="1"/>
      <c r="N25" s="1"/>
      <c r="O25" s="1"/>
      <c r="P25" s="1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/>
      <c r="B26" s="1"/>
      <c r="C26" s="196"/>
      <c r="D26" s="1"/>
      <c r="E26" s="1"/>
      <c r="F26" s="1"/>
      <c r="G26" s="1"/>
      <c r="H26" s="1"/>
      <c r="I26" s="1"/>
      <c r="J26" s="1"/>
      <c r="K26" s="195"/>
      <c r="L26" s="1"/>
      <c r="M26" s="1"/>
      <c r="N26" s="1"/>
      <c r="O26" s="1"/>
      <c r="P26" s="1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/>
      <c r="B27" s="1"/>
      <c r="C27" s="196"/>
      <c r="D27" s="1"/>
      <c r="E27" s="195"/>
      <c r="F27" s="1"/>
      <c r="G27" s="1"/>
      <c r="H27" s="1"/>
      <c r="I27" s="1"/>
      <c r="J27" s="1"/>
      <c r="K27" s="195"/>
      <c r="L27" s="1"/>
      <c r="M27" s="1"/>
      <c r="N27" s="1"/>
      <c r="O27" s="1"/>
      <c r="P27" s="1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/>
      <c r="B28" s="1"/>
      <c r="C28" s="196"/>
      <c r="D28" s="1"/>
      <c r="E28" s="1"/>
      <c r="F28" s="1"/>
      <c r="G28" s="1"/>
      <c r="H28" s="1"/>
      <c r="I28" s="1"/>
      <c r="J28" s="1"/>
      <c r="K28" s="195"/>
      <c r="L28" s="1"/>
      <c r="M28" s="1"/>
      <c r="N28" s="1"/>
      <c r="O28" s="1"/>
      <c r="P28" s="1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/>
      <c r="B29" s="1"/>
      <c r="C29" s="196"/>
      <c r="D29" s="1"/>
      <c r="E29" s="195"/>
      <c r="F29" s="1"/>
      <c r="G29" s="1"/>
      <c r="H29" s="1"/>
      <c r="I29" s="1"/>
      <c r="J29" s="1"/>
      <c r="K29" s="195"/>
      <c r="L29" s="1"/>
      <c r="M29" s="1"/>
      <c r="N29" s="1"/>
      <c r="O29" s="1"/>
      <c r="P29" s="1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/>
      <c r="B30" s="196"/>
      <c r="C30" s="196"/>
      <c r="D30" s="1"/>
      <c r="E30" s="1"/>
      <c r="F30" s="1"/>
      <c r="G30" s="1"/>
      <c r="H30" s="1"/>
      <c r="I30" s="1"/>
      <c r="J30" s="1"/>
      <c r="K30" s="195"/>
      <c r="L30" s="1"/>
      <c r="M30" s="1"/>
      <c r="N30" s="1"/>
      <c r="O30" s="1"/>
      <c r="P30" s="1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/>
      <c r="B32" s="1"/>
      <c r="C32" s="196"/>
      <c r="D32" s="1"/>
      <c r="E32" s="195"/>
      <c r="F32" s="1"/>
      <c r="G32" s="1"/>
      <c r="H32" s="1"/>
      <c r="I32" s="1"/>
      <c r="J32" s="1"/>
      <c r="K32" s="195"/>
      <c r="L32" s="1"/>
      <c r="M32" s="1"/>
      <c r="N32" s="1"/>
      <c r="O32" s="1"/>
      <c r="P32" s="1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/>
      <c r="B33" s="1"/>
      <c r="C33" s="196"/>
      <c r="D33" s="1"/>
      <c r="E33" s="1"/>
      <c r="F33" s="1"/>
      <c r="G33" s="1"/>
      <c r="H33" s="1"/>
      <c r="I33" s="1"/>
      <c r="J33" s="1"/>
      <c r="K33" s="195"/>
      <c r="L33" s="1"/>
      <c r="M33" s="1"/>
      <c r="N33" s="1"/>
      <c r="O33" s="1"/>
      <c r="P33" s="1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/>
      <c r="B34" s="196"/>
      <c r="C34" s="196"/>
      <c r="D34" s="1"/>
      <c r="E34" s="195"/>
      <c r="F34" s="1"/>
      <c r="G34" s="1"/>
      <c r="H34" s="1"/>
      <c r="I34" s="1"/>
      <c r="J34" s="1"/>
      <c r="K34" s="195"/>
      <c r="L34" s="1"/>
      <c r="M34" s="1"/>
      <c r="N34" s="1"/>
      <c r="O34" s="1"/>
      <c r="P34" s="1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/>
      <c r="B35" s="1"/>
      <c r="C35" s="196"/>
      <c r="D35" s="1"/>
      <c r="E35" s="1"/>
      <c r="F35" s="1"/>
      <c r="G35" s="1"/>
      <c r="H35" s="1"/>
      <c r="I35" s="1"/>
      <c r="J35" s="1"/>
      <c r="K35" s="195"/>
      <c r="L35" s="1"/>
      <c r="M35" s="1"/>
      <c r="N35" s="1"/>
      <c r="O35" s="1"/>
      <c r="P35" s="1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/>
      <c r="B36" s="1"/>
      <c r="C36" s="196"/>
      <c r="D36" s="1"/>
      <c r="E36" s="1"/>
      <c r="F36" s="1"/>
      <c r="G36" s="1"/>
      <c r="H36" s="1"/>
      <c r="I36" s="1"/>
      <c r="J36" s="1"/>
      <c r="K36" s="195"/>
      <c r="L36" s="1"/>
      <c r="M36" s="1"/>
      <c r="N36" s="1"/>
      <c r="O36" s="1"/>
      <c r="P36" s="1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95"/>
      <c r="L37" s="1"/>
      <c r="M37" s="1"/>
      <c r="N37" s="1"/>
      <c r="O37" s="1"/>
      <c r="P37" s="1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/>
      <c r="B38" s="1"/>
      <c r="C38" s="196"/>
      <c r="D38" s="1"/>
      <c r="E38" s="1"/>
      <c r="F38" s="1"/>
      <c r="G38" s="1"/>
      <c r="H38" s="1"/>
      <c r="I38" s="1"/>
      <c r="J38" s="1"/>
      <c r="K38" s="195"/>
      <c r="L38" s="1"/>
      <c r="M38" s="1"/>
      <c r="N38" s="1"/>
      <c r="O38" s="1"/>
      <c r="P38" s="1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/>
      <c r="B39" s="1"/>
      <c r="C39" s="196"/>
      <c r="D39" s="1"/>
      <c r="E39" s="195"/>
      <c r="F39" s="1"/>
      <c r="G39" s="1"/>
      <c r="H39" s="1"/>
      <c r="I39" s="1"/>
      <c r="J39" s="1"/>
      <c r="K39" s="195"/>
      <c r="L39" s="1"/>
      <c r="M39" s="1"/>
      <c r="N39" s="1"/>
      <c r="O39" s="1"/>
      <c r="P39" s="1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/>
      <c r="B40" s="196"/>
      <c r="C40" s="196"/>
      <c r="D40" s="1"/>
      <c r="E40" s="1"/>
      <c r="F40" s="1"/>
      <c r="G40" s="1"/>
      <c r="H40" s="1"/>
      <c r="I40" s="1"/>
      <c r="J40" s="1"/>
      <c r="K40" s="195"/>
      <c r="L40" s="1"/>
      <c r="M40" s="1"/>
      <c r="N40" s="1"/>
      <c r="O40" s="1"/>
      <c r="P40" s="1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/>
      <c r="B41" s="1"/>
      <c r="C41" s="1"/>
      <c r="D41" s="1"/>
      <c r="E41" s="195"/>
      <c r="F41" s="1"/>
      <c r="G41" s="1"/>
      <c r="H41" s="1"/>
      <c r="I41" s="1"/>
      <c r="J41" s="1"/>
      <c r="K41" s="195"/>
      <c r="L41" s="1"/>
      <c r="M41" s="1"/>
      <c r="N41" s="1"/>
      <c r="O41" s="1"/>
      <c r="P41" s="1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/>
      <c r="B42" s="1"/>
      <c r="C42" s="196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/>
      <c r="B43" s="1"/>
      <c r="C43" s="196"/>
      <c r="D43" s="1"/>
      <c r="E43" s="1"/>
      <c r="F43" s="1"/>
      <c r="G43" s="1"/>
      <c r="H43" s="1"/>
      <c r="I43" s="1"/>
      <c r="J43" s="1"/>
      <c r="K43" s="195"/>
      <c r="L43" s="1"/>
      <c r="M43" s="1"/>
      <c r="N43" s="1"/>
      <c r="O43" s="1"/>
      <c r="P43" s="1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/>
      <c r="B44" s="1"/>
      <c r="C44" s="196"/>
      <c r="D44" s="1"/>
      <c r="E44" s="1"/>
      <c r="F44" s="1"/>
      <c r="G44" s="1"/>
      <c r="H44" s="1"/>
      <c r="I44" s="1"/>
      <c r="J44" s="1"/>
      <c r="K44" s="195"/>
      <c r="L44" s="1"/>
      <c r="M44" s="1"/>
      <c r="N44" s="1"/>
      <c r="O44" s="1"/>
      <c r="P44" s="1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/>
      <c r="B45" s="1"/>
      <c r="C45" s="196"/>
      <c r="D45" s="1"/>
      <c r="E45" s="1"/>
      <c r="F45" s="1"/>
      <c r="G45" s="1"/>
      <c r="H45" s="1"/>
      <c r="I45" s="1"/>
      <c r="J45" s="1"/>
      <c r="K45" s="195"/>
      <c r="L45" s="1"/>
      <c r="M45" s="1"/>
      <c r="N45" s="1"/>
      <c r="O45" s="1"/>
      <c r="P45" s="1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/>
      <c r="B46" s="1"/>
      <c r="C46" s="196"/>
      <c r="D46" s="1"/>
      <c r="E46" s="195"/>
      <c r="F46" s="1"/>
      <c r="G46" s="1"/>
      <c r="H46" s="1"/>
      <c r="I46" s="1"/>
      <c r="J46" s="1"/>
      <c r="K46" s="195"/>
      <c r="L46" s="1"/>
      <c r="M46" s="1"/>
      <c r="N46" s="1"/>
      <c r="O46" s="1"/>
      <c r="P46" s="1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/>
      <c r="B47" s="196"/>
      <c r="C47" s="196"/>
      <c r="D47" s="1"/>
      <c r="E47" s="195"/>
      <c r="F47" s="1"/>
      <c r="G47" s="1"/>
      <c r="H47" s="1"/>
      <c r="I47" s="1"/>
      <c r="J47" s="1"/>
      <c r="K47" s="195"/>
      <c r="L47" s="1"/>
      <c r="M47" s="1"/>
      <c r="N47" s="1"/>
      <c r="O47" s="1"/>
      <c r="P47" s="1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/>
      <c r="B48" s="1"/>
      <c r="C48" s="196"/>
      <c r="D48" s="1"/>
      <c r="E48" s="1"/>
      <c r="F48" s="1"/>
      <c r="G48" s="1"/>
      <c r="H48" s="1"/>
      <c r="I48" s="1"/>
      <c r="J48" s="1"/>
      <c r="K48" s="195"/>
      <c r="L48" s="1"/>
      <c r="M48" s="1"/>
      <c r="N48" s="1"/>
      <c r="O48" s="1"/>
      <c r="P48" s="1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/>
      <c r="B49" s="1"/>
      <c r="C49" s="196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/>
      <c r="B50" s="1"/>
      <c r="C50" s="196"/>
      <c r="D50" s="1"/>
      <c r="E50" s="1"/>
      <c r="F50" s="1"/>
      <c r="G50" s="1"/>
      <c r="H50" s="1"/>
      <c r="I50" s="1"/>
      <c r="J50" s="1"/>
      <c r="K50" s="195"/>
      <c r="L50" s="1"/>
      <c r="M50" s="1"/>
      <c r="N50" s="1"/>
      <c r="O50" s="1"/>
      <c r="P50" s="1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/>
      <c r="B51" s="1"/>
      <c r="C51" s="196"/>
      <c r="D51" s="1"/>
      <c r="E51" s="195"/>
      <c r="F51" s="1"/>
      <c r="G51" s="1"/>
      <c r="H51" s="1"/>
      <c r="I51" s="1"/>
      <c r="J51" s="1"/>
      <c r="K51" s="195"/>
      <c r="L51" s="1"/>
      <c r="M51" s="1"/>
      <c r="N51" s="1"/>
      <c r="O51" s="1"/>
      <c r="P51" s="1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/>
      <c r="B52" s="1"/>
      <c r="C52" s="196"/>
      <c r="D52" s="1"/>
      <c r="E52" s="195"/>
      <c r="F52" s="1"/>
      <c r="G52" s="1"/>
      <c r="H52" s="1"/>
      <c r="I52" s="1"/>
      <c r="J52" s="1"/>
      <c r="K52" s="195"/>
      <c r="L52" s="1"/>
      <c r="M52" s="1"/>
      <c r="N52" s="1"/>
      <c r="O52" s="1"/>
      <c r="P52" s="1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/>
      <c r="B53" s="196"/>
      <c r="C53" s="1"/>
      <c r="D53" s="1"/>
      <c r="E53" s="195"/>
      <c r="F53" s="1"/>
      <c r="G53" s="1"/>
      <c r="H53" s="1"/>
      <c r="I53" s="1"/>
      <c r="J53" s="1"/>
      <c r="K53" s="195"/>
      <c r="L53" s="1"/>
      <c r="M53" s="1"/>
      <c r="N53" s="1"/>
      <c r="O53" s="1"/>
      <c r="P53" s="1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/>
      <c r="B54" s="1"/>
      <c r="C54" s="196"/>
      <c r="D54" s="1"/>
      <c r="E54" s="1"/>
      <c r="F54" s="1"/>
      <c r="G54" s="1"/>
      <c r="H54" s="1"/>
      <c r="I54" s="1"/>
      <c r="J54" s="1"/>
      <c r="K54" s="195"/>
      <c r="L54" s="1"/>
      <c r="M54" s="1"/>
      <c r="N54" s="1"/>
      <c r="O54" s="1"/>
      <c r="P54" s="1"/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/>
      <c r="B55" s="1"/>
      <c r="C55" s="196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/>
      <c r="B56" s="1"/>
      <c r="C56" s="196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/>
      <c r="B57" s="1"/>
      <c r="C57" s="196"/>
      <c r="D57" s="1"/>
      <c r="E57" s="195"/>
      <c r="F57" s="1"/>
      <c r="G57" s="1"/>
      <c r="H57" s="1"/>
      <c r="I57" s="1"/>
      <c r="J57" s="1"/>
      <c r="K57" s="195"/>
      <c r="L57" s="1"/>
      <c r="M57" s="1"/>
      <c r="N57" s="1"/>
      <c r="O57" s="1"/>
      <c r="P57" s="1"/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95"/>
      <c r="L58" s="1"/>
      <c r="M58" s="1"/>
      <c r="N58" s="1"/>
      <c r="O58" s="1"/>
      <c r="P58" s="1"/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/>
      <c r="B59" s="1"/>
      <c r="C59" s="196"/>
      <c r="D59" s="1"/>
      <c r="E59" s="195"/>
      <c r="F59" s="1"/>
      <c r="G59" s="1"/>
      <c r="H59" s="1"/>
      <c r="I59" s="1"/>
      <c r="J59" s="1"/>
      <c r="K59" s="195"/>
      <c r="L59" s="1"/>
      <c r="M59" s="1"/>
      <c r="N59" s="1"/>
      <c r="O59" s="1"/>
      <c r="P59" s="1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/>
      <c r="B60" s="1"/>
      <c r="C60" s="196"/>
      <c r="D60" s="1"/>
      <c r="E60" s="195"/>
      <c r="F60" s="1"/>
      <c r="G60" s="1"/>
      <c r="H60" s="1"/>
      <c r="I60" s="1"/>
      <c r="J60" s="1"/>
      <c r="K60" s="195"/>
      <c r="L60" s="1"/>
      <c r="M60" s="1"/>
      <c r="N60" s="1"/>
      <c r="O60" s="1"/>
      <c r="P60" s="1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/>
      <c r="B61" s="1"/>
      <c r="C61" s="196"/>
      <c r="D61" s="1"/>
      <c r="E61" s="195"/>
      <c r="F61" s="1"/>
      <c r="G61" s="1"/>
      <c r="H61" s="1"/>
      <c r="I61" s="1"/>
      <c r="J61" s="1"/>
      <c r="K61" s="195"/>
      <c r="L61" s="1"/>
      <c r="M61" s="1"/>
      <c r="N61" s="1"/>
      <c r="O61" s="1"/>
      <c r="P61" s="1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/>
      <c r="B62" s="1"/>
      <c r="C62" s="196"/>
      <c r="D62" s="1"/>
      <c r="E62" s="1"/>
      <c r="F62" s="1"/>
      <c r="G62" s="1"/>
      <c r="H62" s="1"/>
      <c r="I62" s="1"/>
      <c r="J62" s="1"/>
      <c r="K62" s="195"/>
      <c r="L62" s="1"/>
      <c r="M62" s="1"/>
      <c r="N62" s="1"/>
      <c r="O62" s="1"/>
      <c r="P62" s="1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/>
      <c r="B63" s="1"/>
      <c r="C63" s="196"/>
      <c r="D63" s="1"/>
      <c r="E63" s="195"/>
      <c r="F63" s="1"/>
      <c r="G63" s="1"/>
      <c r="H63" s="1"/>
      <c r="I63" s="1"/>
      <c r="J63" s="1"/>
      <c r="K63" s="195"/>
      <c r="L63" s="1"/>
      <c r="M63" s="1"/>
      <c r="N63" s="1"/>
      <c r="O63" s="1"/>
      <c r="P63" s="1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/>
      <c r="B64" s="1"/>
      <c r="C64" s="1"/>
      <c r="D64" s="1"/>
      <c r="E64" s="195"/>
      <c r="F64" s="1"/>
      <c r="G64" s="1"/>
      <c r="H64" s="1"/>
      <c r="I64" s="1"/>
      <c r="J64" s="1"/>
      <c r="K64" s="195"/>
      <c r="L64" s="1"/>
      <c r="M64" s="1"/>
      <c r="N64" s="1"/>
      <c r="O64" s="1"/>
      <c r="P64" s="1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/>
      <c r="B65" s="1"/>
      <c r="C65" s="196"/>
      <c r="D65" s="1"/>
      <c r="E65" s="1"/>
      <c r="F65" s="1"/>
      <c r="G65" s="1"/>
      <c r="H65" s="1"/>
      <c r="I65" s="1"/>
      <c r="J65" s="1"/>
      <c r="K65" s="195"/>
      <c r="L65" s="1"/>
      <c r="M65" s="1"/>
      <c r="N65" s="1"/>
      <c r="O65" s="1"/>
      <c r="P65" s="1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/>
      <c r="B66" s="1"/>
      <c r="C66" s="196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/>
      <c r="B67" s="1"/>
      <c r="C67" s="196"/>
      <c r="D67" s="1"/>
      <c r="E67" s="1"/>
      <c r="F67" s="1"/>
      <c r="G67" s="1"/>
      <c r="H67" s="1"/>
      <c r="I67" s="1"/>
      <c r="J67" s="1"/>
      <c r="K67" s="195"/>
      <c r="L67" s="1"/>
      <c r="M67" s="1"/>
      <c r="N67" s="1"/>
      <c r="O67" s="1"/>
      <c r="P67" s="1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/>
      <c r="B68" s="1"/>
      <c r="C68" s="196"/>
      <c r="D68" s="1"/>
      <c r="E68" s="1"/>
      <c r="F68" s="1"/>
      <c r="G68" s="1"/>
      <c r="H68" s="1"/>
      <c r="I68" s="1"/>
      <c r="J68" s="1"/>
      <c r="K68" s="195"/>
      <c r="L68" s="1"/>
      <c r="M68" s="1"/>
      <c r="N68" s="1"/>
      <c r="O68" s="1"/>
      <c r="P68" s="1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/>
      <c r="B69" s="1"/>
      <c r="C69" s="196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/>
      <c r="B70" s="1"/>
      <c r="C70" s="196"/>
      <c r="D70" s="1"/>
      <c r="E70" s="195"/>
      <c r="F70" s="1"/>
      <c r="G70" s="1"/>
      <c r="H70" s="1"/>
      <c r="I70" s="1"/>
      <c r="J70" s="1"/>
      <c r="K70" s="195"/>
      <c r="L70" s="1"/>
      <c r="M70" s="1"/>
      <c r="N70" s="1"/>
      <c r="O70" s="1"/>
      <c r="P70" s="1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/>
      <c r="B71" s="1"/>
      <c r="C71" s="196"/>
      <c r="D71" s="1"/>
      <c r="E71" s="195"/>
      <c r="F71" s="1"/>
      <c r="G71" s="1"/>
      <c r="H71" s="1"/>
      <c r="I71" s="1"/>
      <c r="J71" s="1"/>
      <c r="K71" s="195"/>
      <c r="L71" s="1"/>
      <c r="M71" s="1"/>
      <c r="N71" s="1"/>
      <c r="O71" s="1"/>
      <c r="P71" s="1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/>
      <c r="B72" s="1"/>
      <c r="C72" s="1"/>
      <c r="D72" s="1"/>
      <c r="E72" s="195"/>
      <c r="F72" s="1"/>
      <c r="G72" s="1"/>
      <c r="H72" s="1"/>
      <c r="I72" s="1"/>
      <c r="J72" s="1"/>
      <c r="K72" s="195"/>
      <c r="L72" s="1"/>
      <c r="M72" s="1"/>
      <c r="N72" s="1"/>
      <c r="O72" s="1"/>
      <c r="P72" s="1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/>
      <c r="B73" s="1"/>
      <c r="C73" s="196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/>
      <c r="B74" s="1"/>
      <c r="C74" s="196"/>
      <c r="D74" s="1"/>
      <c r="E74" s="195"/>
      <c r="F74" s="1"/>
      <c r="G74" s="1"/>
      <c r="H74" s="1"/>
      <c r="I74" s="1"/>
      <c r="J74" s="1"/>
      <c r="K74" s="195"/>
      <c r="L74" s="1"/>
      <c r="M74" s="1"/>
      <c r="N74" s="1"/>
      <c r="O74" s="1"/>
      <c r="P74" s="1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/>
      <c r="B75" s="1"/>
      <c r="C75" s="1"/>
      <c r="D75" s="1"/>
      <c r="E75" s="195"/>
      <c r="F75" s="1"/>
      <c r="G75" s="1"/>
      <c r="H75" s="1"/>
      <c r="I75" s="1"/>
      <c r="J75" s="1"/>
      <c r="K75" s="195"/>
      <c r="L75" s="1"/>
      <c r="M75" s="1"/>
      <c r="N75" s="1"/>
      <c r="O75" s="1"/>
      <c r="P75" s="1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95"/>
      <c r="L77" s="1"/>
      <c r="M77" s="1"/>
      <c r="N77" s="1"/>
      <c r="O77" s="1"/>
      <c r="P77" s="1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/>
      <c r="B78" s="1"/>
      <c r="C78" s="196"/>
      <c r="D78" s="1"/>
      <c r="E78" s="195"/>
      <c r="F78" s="1"/>
      <c r="G78" s="1"/>
      <c r="H78" s="1"/>
      <c r="I78" s="1"/>
      <c r="J78" s="1"/>
      <c r="K78" s="195"/>
      <c r="L78" s="1"/>
      <c r="M78" s="1"/>
      <c r="N78" s="1"/>
      <c r="O78" s="1"/>
      <c r="P78" s="1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/>
      <c r="B79" s="1"/>
      <c r="C79" s="196"/>
      <c r="D79" s="1"/>
      <c r="E79" s="1"/>
      <c r="F79" s="1"/>
      <c r="G79" s="1"/>
      <c r="H79" s="1"/>
      <c r="I79" s="1"/>
      <c r="J79" s="1"/>
      <c r="K79" s="195"/>
      <c r="L79" s="1"/>
      <c r="M79" s="1"/>
      <c r="N79" s="1"/>
      <c r="O79" s="1"/>
      <c r="P79" s="1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/>
      <c r="B80" s="1"/>
      <c r="C80" s="196"/>
      <c r="D80" s="1"/>
      <c r="E80" s="1"/>
      <c r="F80" s="1"/>
      <c r="G80" s="1"/>
      <c r="H80" s="1"/>
      <c r="I80" s="1"/>
      <c r="J80" s="1"/>
      <c r="K80" s="195"/>
      <c r="L80" s="1"/>
      <c r="M80" s="1"/>
      <c r="N80" s="1"/>
      <c r="O80" s="1"/>
      <c r="P80" s="1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95"/>
      <c r="L81" s="1"/>
      <c r="M81" s="1"/>
      <c r="N81" s="1"/>
      <c r="O81" s="1"/>
      <c r="P81" s="1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95"/>
      <c r="L82" s="1"/>
      <c r="M82" s="1"/>
      <c r="N82" s="1"/>
      <c r="O82" s="1"/>
      <c r="P82" s="1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/>
      <c r="B83" s="1"/>
      <c r="C83" s="196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95"/>
      <c r="L84" s="1"/>
      <c r="M84" s="1"/>
      <c r="N84" s="1"/>
      <c r="O84" s="1"/>
      <c r="P84" s="1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/>
      <c r="B85" s="196"/>
      <c r="C85" s="196"/>
      <c r="D85" s="1"/>
      <c r="E85" s="195"/>
      <c r="F85" s="1"/>
      <c r="G85" s="1"/>
      <c r="H85" s="1"/>
      <c r="I85" s="1"/>
      <c r="J85" s="1"/>
      <c r="K85" s="195"/>
      <c r="L85" s="1"/>
      <c r="M85" s="1"/>
      <c r="N85" s="1"/>
      <c r="O85" s="1"/>
      <c r="P85" s="1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/>
      <c r="B86" s="1"/>
      <c r="C86" s="196"/>
      <c r="D86" s="1"/>
      <c r="E86" s="195"/>
      <c r="F86" s="1"/>
      <c r="G86" s="1"/>
      <c r="H86" s="1"/>
      <c r="I86" s="1"/>
      <c r="J86" s="1"/>
      <c r="K86" s="195"/>
      <c r="L86" s="1"/>
      <c r="M86" s="1"/>
      <c r="N86" s="1"/>
      <c r="O86" s="1"/>
      <c r="P86" s="1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/>
      <c r="B87" s="1"/>
      <c r="C87" s="196"/>
      <c r="D87" s="1"/>
      <c r="E87" s="195"/>
      <c r="F87" s="1"/>
      <c r="G87" s="1"/>
      <c r="H87" s="1"/>
      <c r="I87" s="1"/>
      <c r="J87" s="1"/>
      <c r="K87" s="195"/>
      <c r="L87" s="1"/>
      <c r="M87" s="1"/>
      <c r="N87" s="1"/>
      <c r="O87" s="1"/>
      <c r="P87" s="1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/>
      <c r="B88" s="1"/>
      <c r="C88" s="196"/>
      <c r="D88" s="1"/>
      <c r="E88" s="195"/>
      <c r="F88" s="1"/>
      <c r="G88" s="1"/>
      <c r="H88" s="1"/>
      <c r="I88" s="1"/>
      <c r="J88" s="1"/>
      <c r="K88" s="195"/>
      <c r="L88" s="1"/>
      <c r="M88" s="1"/>
      <c r="N88" s="1"/>
      <c r="O88" s="1"/>
      <c r="P88" s="1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/>
      <c r="B89" s="1"/>
      <c r="C89" s="196"/>
      <c r="D89" s="1"/>
      <c r="E89" s="1"/>
      <c r="F89" s="1"/>
      <c r="G89" s="1"/>
      <c r="H89" s="1"/>
      <c r="I89" s="1"/>
      <c r="J89" s="1"/>
      <c r="K89" s="195"/>
      <c r="L89" s="1"/>
      <c r="M89" s="1"/>
      <c r="N89" s="1"/>
      <c r="O89" s="1"/>
      <c r="P89" s="1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/>
      <c r="B90" s="1"/>
      <c r="C90" s="196"/>
      <c r="D90" s="1"/>
      <c r="E90" s="1"/>
      <c r="F90" s="1"/>
      <c r="G90" s="1"/>
      <c r="H90" s="1"/>
      <c r="I90" s="1"/>
      <c r="J90" s="1"/>
      <c r="K90" s="195"/>
      <c r="L90" s="1"/>
      <c r="M90" s="1"/>
      <c r="N90" s="1"/>
      <c r="O90" s="1"/>
      <c r="P90" s="1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/>
      <c r="B91" s="1"/>
      <c r="C91" s="196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/>
      <c r="B92" s="1"/>
      <c r="C92" s="196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/>
      <c r="B93" s="1"/>
      <c r="C93" s="196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/>
      <c r="B94" s="1"/>
      <c r="C94" s="196"/>
      <c r="D94" s="1"/>
      <c r="E94" s="195"/>
      <c r="F94" s="1"/>
      <c r="G94" s="1"/>
      <c r="H94" s="1"/>
      <c r="I94" s="1"/>
      <c r="J94" s="1"/>
      <c r="K94" s="195"/>
      <c r="L94" s="1"/>
      <c r="M94" s="1"/>
      <c r="N94" s="1"/>
      <c r="O94" s="1"/>
      <c r="P94" s="1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/>
      <c r="B95" s="196"/>
      <c r="C95" s="196"/>
      <c r="D95" s="1"/>
      <c r="E95" s="1"/>
      <c r="F95" s="1"/>
      <c r="G95" s="1"/>
      <c r="H95" s="1"/>
      <c r="I95" s="1"/>
      <c r="J95" s="1"/>
      <c r="K95" s="195"/>
      <c r="L95" s="1"/>
      <c r="M95" s="1"/>
      <c r="N95" s="1"/>
      <c r="O95" s="1"/>
      <c r="P95" s="1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/>
      <c r="B96" s="1"/>
      <c r="C96" s="196"/>
      <c r="D96" s="1"/>
      <c r="E96" s="1"/>
      <c r="F96" s="1"/>
      <c r="G96" s="1"/>
      <c r="H96" s="1"/>
      <c r="I96" s="1"/>
      <c r="J96" s="1"/>
      <c r="K96" s="195"/>
      <c r="L96" s="1"/>
      <c r="M96" s="1"/>
      <c r="N96" s="1"/>
      <c r="O96" s="1"/>
      <c r="P96" s="1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95"/>
      <c r="L97" s="1"/>
      <c r="M97" s="1"/>
      <c r="N97" s="1"/>
      <c r="O97" s="1"/>
      <c r="P97" s="1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"/>
      <c r="B98" s="1"/>
      <c r="C98" s="196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"/>
      <c r="B99" s="1"/>
      <c r="C99" s="196"/>
      <c r="D99" s="1"/>
      <c r="E99" s="1"/>
      <c r="F99" s="1"/>
      <c r="G99" s="1"/>
      <c r="H99" s="1"/>
      <c r="I99" s="1"/>
      <c r="J99" s="1"/>
      <c r="K99" s="195"/>
      <c r="L99" s="1"/>
      <c r="M99" s="1"/>
      <c r="N99" s="1"/>
      <c r="O99" s="1"/>
      <c r="P99" s="1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"/>
      <c r="B100" s="1"/>
      <c r="C100" s="196"/>
      <c r="D100" s="1"/>
      <c r="E100" s="195"/>
      <c r="F100" s="1"/>
      <c r="G100" s="1"/>
      <c r="H100" s="1"/>
      <c r="I100" s="1"/>
      <c r="J100" s="1"/>
      <c r="K100" s="195"/>
      <c r="L100" s="1"/>
      <c r="M100" s="1"/>
      <c r="N100" s="1"/>
      <c r="O100" s="1"/>
      <c r="P100" s="1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"/>
      <c r="B101" s="1"/>
      <c r="C101" s="196"/>
      <c r="D101" s="1"/>
      <c r="E101" s="195"/>
      <c r="F101" s="1"/>
      <c r="G101" s="1"/>
      <c r="H101" s="1"/>
      <c r="I101" s="1"/>
      <c r="J101" s="1"/>
      <c r="K101" s="195"/>
      <c r="L101" s="1"/>
      <c r="M101" s="1"/>
      <c r="N101" s="1"/>
      <c r="O101" s="1"/>
      <c r="P101" s="1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"/>
      <c r="B102" s="1"/>
      <c r="C102" s="196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"/>
      <c r="B103" s="1"/>
      <c r="C103" s="196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"/>
      <c r="B104" s="1"/>
      <c r="C104" s="196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"/>
      <c r="B105" s="1"/>
      <c r="C105" s="196"/>
      <c r="D105" s="1"/>
      <c r="E105" s="1"/>
      <c r="F105" s="1"/>
      <c r="G105" s="1"/>
      <c r="H105" s="1"/>
      <c r="I105" s="1"/>
      <c r="J105" s="1"/>
      <c r="K105" s="195"/>
      <c r="L105" s="1"/>
      <c r="M105" s="1"/>
      <c r="N105" s="1"/>
      <c r="O105" s="1"/>
      <c r="P105" s="1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"/>
      <c r="B106" s="1"/>
      <c r="C106" s="1"/>
      <c r="D106" s="1"/>
      <c r="E106" s="195"/>
      <c r="F106" s="1"/>
      <c r="G106" s="1"/>
      <c r="H106" s="1"/>
      <c r="I106" s="1"/>
      <c r="J106" s="1"/>
      <c r="K106" s="195"/>
      <c r="L106" s="1"/>
      <c r="M106" s="1"/>
      <c r="N106" s="1"/>
      <c r="O106" s="1"/>
      <c r="P106" s="1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"/>
      <c r="B107" s="1"/>
      <c r="C107" s="196"/>
      <c r="D107" s="1"/>
      <c r="E107" s="1"/>
      <c r="F107" s="1"/>
      <c r="G107" s="1"/>
      <c r="H107" s="1"/>
      <c r="I107" s="1"/>
      <c r="J107" s="1"/>
      <c r="K107" s="195"/>
      <c r="L107" s="1"/>
      <c r="M107" s="1"/>
      <c r="N107" s="1"/>
      <c r="O107" s="1"/>
      <c r="P107" s="1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"/>
      <c r="B108" s="1"/>
      <c r="C108" s="196"/>
      <c r="D108" s="1"/>
      <c r="E108" s="195"/>
      <c r="F108" s="1"/>
      <c r="G108" s="1"/>
      <c r="H108" s="1"/>
      <c r="I108" s="1"/>
      <c r="J108" s="1"/>
      <c r="K108" s="195"/>
      <c r="L108" s="1"/>
      <c r="M108" s="1"/>
      <c r="N108" s="1"/>
      <c r="O108" s="1"/>
      <c r="P108" s="1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"/>
      <c r="B109" s="1"/>
      <c r="C109" s="196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"/>
      <c r="B110" s="1"/>
      <c r="C110" s="1"/>
      <c r="D110" s="1"/>
      <c r="E110" s="195"/>
      <c r="F110" s="1"/>
      <c r="G110" s="1"/>
      <c r="H110" s="1"/>
      <c r="I110" s="1"/>
      <c r="J110" s="1"/>
      <c r="K110" s="195"/>
      <c r="L110" s="1"/>
      <c r="M110" s="1"/>
      <c r="N110" s="1"/>
      <c r="O110" s="1"/>
      <c r="P110" s="1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"/>
      <c r="B111" s="1"/>
      <c r="C111" s="196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"/>
      <c r="B112" s="1"/>
      <c r="C112" s="196"/>
      <c r="D112" s="1"/>
      <c r="E112" s="1"/>
      <c r="F112" s="1"/>
      <c r="G112" s="1"/>
      <c r="H112" s="1"/>
      <c r="I112" s="1"/>
      <c r="J112" s="1"/>
      <c r="K112" s="195"/>
      <c r="L112" s="1"/>
      <c r="M112" s="1"/>
      <c r="N112" s="1"/>
      <c r="O112" s="1"/>
      <c r="P112" s="1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"/>
      <c r="B113" s="1"/>
      <c r="C113" s="196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"/>
      <c r="B114" s="1"/>
      <c r="C114" s="196"/>
      <c r="D114" s="1"/>
      <c r="E114" s="1"/>
      <c r="F114" s="1"/>
      <c r="G114" s="1"/>
      <c r="H114" s="1"/>
      <c r="I114" s="1"/>
      <c r="J114" s="1"/>
      <c r="K114" s="195"/>
      <c r="L114" s="1"/>
      <c r="M114" s="1"/>
      <c r="N114" s="1"/>
      <c r="O114" s="1"/>
      <c r="P114" s="1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"/>
      <c r="B115" s="1"/>
      <c r="C115" s="196"/>
      <c r="D115" s="1"/>
      <c r="E115" s="1"/>
      <c r="F115" s="1"/>
      <c r="G115" s="1"/>
      <c r="H115" s="1"/>
      <c r="I115" s="1"/>
      <c r="J115" s="1"/>
      <c r="K115" s="195"/>
      <c r="L115" s="1"/>
      <c r="M115" s="1"/>
      <c r="N115" s="1"/>
      <c r="O115" s="1"/>
      <c r="P115" s="1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"/>
      <c r="B116" s="196"/>
      <c r="C116" s="196"/>
      <c r="D116" s="1"/>
      <c r="E116" s="195"/>
      <c r="F116" s="1"/>
      <c r="G116" s="1"/>
      <c r="H116" s="1"/>
      <c r="I116" s="1"/>
      <c r="J116" s="1"/>
      <c r="K116" s="195"/>
      <c r="L116" s="1"/>
      <c r="M116" s="1"/>
      <c r="N116" s="1"/>
      <c r="O116" s="1"/>
      <c r="P116" s="1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5"/>
      <c r="L117" s="1"/>
      <c r="M117" s="1"/>
      <c r="N117" s="1"/>
      <c r="O117" s="1"/>
      <c r="P117" s="1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"/>
      <c r="B118" s="1"/>
      <c r="C118" s="196"/>
      <c r="D118" s="1"/>
      <c r="E118" s="195"/>
      <c r="F118" s="1"/>
      <c r="G118" s="1"/>
      <c r="H118" s="1"/>
      <c r="I118" s="1"/>
      <c r="J118" s="1"/>
      <c r="K118" s="195"/>
      <c r="L118" s="1"/>
      <c r="M118" s="1"/>
      <c r="N118" s="1"/>
      <c r="O118" s="1"/>
      <c r="P118" s="1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5"/>
      <c r="L119" s="1"/>
      <c r="M119" s="1"/>
      <c r="N119" s="1"/>
      <c r="O119" s="1"/>
      <c r="P119" s="1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"/>
      <c r="B120" s="1"/>
      <c r="C120" s="196"/>
      <c r="D120" s="1"/>
      <c r="E120" s="195"/>
      <c r="F120" s="1"/>
      <c r="G120" s="1"/>
      <c r="H120" s="1"/>
      <c r="I120" s="1"/>
      <c r="J120" s="1"/>
      <c r="K120" s="195"/>
      <c r="L120" s="1"/>
      <c r="M120" s="1"/>
      <c r="N120" s="1"/>
      <c r="O120" s="1"/>
      <c r="P120" s="1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"/>
      <c r="B121" s="1"/>
      <c r="C121" s="196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"/>
      <c r="B122" s="1"/>
      <c r="C122" s="1"/>
      <c r="D122" s="1"/>
      <c r="E122" s="195"/>
      <c r="F122" s="1"/>
      <c r="G122" s="1"/>
      <c r="H122" s="1"/>
      <c r="I122" s="1"/>
      <c r="J122" s="1"/>
      <c r="K122" s="195"/>
      <c r="L122" s="1"/>
      <c r="M122" s="1"/>
      <c r="N122" s="1"/>
      <c r="O122" s="1"/>
      <c r="P122" s="1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"/>
      <c r="B123" s="1"/>
      <c r="C123" s="1"/>
      <c r="D123" s="1"/>
      <c r="E123" s="195"/>
      <c r="F123" s="1"/>
      <c r="G123" s="1"/>
      <c r="H123" s="1"/>
      <c r="I123" s="1"/>
      <c r="J123" s="1"/>
      <c r="K123" s="195"/>
      <c r="L123" s="1"/>
      <c r="M123" s="1"/>
      <c r="N123" s="1"/>
      <c r="O123" s="1"/>
      <c r="P123" s="1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"/>
      <c r="B124" s="1"/>
      <c r="C124" s="196"/>
      <c r="D124" s="1"/>
      <c r="E124" s="195"/>
      <c r="F124" s="1"/>
      <c r="G124" s="1"/>
      <c r="H124" s="1"/>
      <c r="I124" s="1"/>
      <c r="J124" s="1"/>
      <c r="K124" s="195"/>
      <c r="L124" s="1"/>
      <c r="M124" s="1"/>
      <c r="N124" s="1"/>
      <c r="O124" s="1"/>
      <c r="P124" s="1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"/>
      <c r="B125" s="1"/>
      <c r="C125" s="196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"/>
      <c r="B126" s="1"/>
      <c r="C126" s="196"/>
      <c r="D126" s="1"/>
      <c r="E126" s="195"/>
      <c r="F126" s="1"/>
      <c r="G126" s="1"/>
      <c r="H126" s="1"/>
      <c r="I126" s="1"/>
      <c r="J126" s="1"/>
      <c r="K126" s="195"/>
      <c r="L126" s="1"/>
      <c r="M126" s="1"/>
      <c r="N126" s="1"/>
      <c r="O126" s="1"/>
      <c r="P126" s="1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"/>
      <c r="B127" s="1"/>
      <c r="C127" s="196"/>
      <c r="D127" s="1"/>
      <c r="E127" s="1"/>
      <c r="F127" s="1"/>
      <c r="G127" s="1"/>
      <c r="H127" s="1"/>
      <c r="I127" s="1"/>
      <c r="J127" s="1"/>
      <c r="K127" s="195"/>
      <c r="L127" s="1"/>
      <c r="M127" s="1"/>
      <c r="N127" s="1"/>
      <c r="O127" s="1"/>
      <c r="P127" s="1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"/>
      <c r="B128" s="1"/>
      <c r="C128" s="196"/>
      <c r="D128" s="1"/>
      <c r="E128" s="195"/>
      <c r="F128" s="1"/>
      <c r="G128" s="1"/>
      <c r="H128" s="1"/>
      <c r="I128" s="1"/>
      <c r="J128" s="1"/>
      <c r="K128" s="195"/>
      <c r="L128" s="1"/>
      <c r="M128" s="1"/>
      <c r="N128" s="1"/>
      <c r="O128" s="1"/>
      <c r="P128" s="1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"/>
      <c r="B129" s="1"/>
      <c r="C129" s="196"/>
      <c r="D129" s="1"/>
      <c r="E129" s="195"/>
      <c r="F129" s="1"/>
      <c r="G129" s="1"/>
      <c r="H129" s="1"/>
      <c r="I129" s="1"/>
      <c r="J129" s="1"/>
      <c r="K129" s="195"/>
      <c r="L129" s="1"/>
      <c r="M129" s="1"/>
      <c r="N129" s="1"/>
      <c r="O129" s="1"/>
      <c r="P129" s="1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"/>
      <c r="B130" s="1"/>
      <c r="C130" s="196"/>
      <c r="D130" s="1"/>
      <c r="E130" s="195"/>
      <c r="F130" s="1"/>
      <c r="G130" s="1"/>
      <c r="H130" s="1"/>
      <c r="I130" s="1"/>
      <c r="J130" s="1"/>
      <c r="K130" s="195"/>
      <c r="L130" s="1"/>
      <c r="M130" s="1"/>
      <c r="N130" s="1"/>
      <c r="O130" s="1"/>
      <c r="P130" s="1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"/>
      <c r="B131" s="196"/>
      <c r="C131" s="196"/>
      <c r="D131" s="1"/>
      <c r="E131" s="195"/>
      <c r="F131" s="1"/>
      <c r="G131" s="1"/>
      <c r="H131" s="1"/>
      <c r="I131" s="1"/>
      <c r="J131" s="1"/>
      <c r="K131" s="195"/>
      <c r="L131" s="1"/>
      <c r="M131" s="1"/>
      <c r="N131" s="1"/>
      <c r="O131" s="1"/>
      <c r="P131" s="1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"/>
      <c r="B132" s="1"/>
      <c r="C132" s="196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"/>
      <c r="B133" s="1"/>
      <c r="C133" s="196"/>
      <c r="D133" s="1"/>
      <c r="E133" s="1"/>
      <c r="F133" s="1"/>
      <c r="G133" s="1"/>
      <c r="H133" s="1"/>
      <c r="I133" s="1"/>
      <c r="J133" s="1"/>
      <c r="K133" s="195"/>
      <c r="L133" s="1"/>
      <c r="M133" s="1"/>
      <c r="N133" s="1"/>
      <c r="O133" s="1"/>
      <c r="P133" s="1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"/>
      <c r="B134" s="1"/>
      <c r="C134" s="196"/>
      <c r="D134" s="1"/>
      <c r="E134" s="195"/>
      <c r="F134" s="1"/>
      <c r="G134" s="1"/>
      <c r="H134" s="1"/>
      <c r="I134" s="1"/>
      <c r="J134" s="1"/>
      <c r="K134" s="195"/>
      <c r="L134" s="1"/>
      <c r="M134" s="1"/>
      <c r="N134" s="1"/>
      <c r="O134" s="1"/>
      <c r="P134" s="1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"/>
      <c r="B135" s="1"/>
      <c r="C135" s="196"/>
      <c r="D135" s="1"/>
      <c r="E135" s="1"/>
      <c r="F135" s="1"/>
      <c r="G135" s="1"/>
      <c r="H135" s="1"/>
      <c r="I135" s="1"/>
      <c r="J135" s="1"/>
      <c r="K135" s="195"/>
      <c r="L135" s="1"/>
      <c r="M135" s="1"/>
      <c r="N135" s="1"/>
      <c r="O135" s="1"/>
      <c r="P135" s="1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"/>
      <c r="B136" s="1"/>
      <c r="C136" s="196"/>
      <c r="D136" s="1"/>
      <c r="E136" s="195"/>
      <c r="F136" s="1"/>
      <c r="G136" s="1"/>
      <c r="H136" s="1"/>
      <c r="I136" s="1"/>
      <c r="J136" s="1"/>
      <c r="K136" s="195"/>
      <c r="L136" s="1"/>
      <c r="M136" s="1"/>
      <c r="N136" s="1"/>
      <c r="O136" s="1"/>
      <c r="P136" s="1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"/>
      <c r="B138" s="1"/>
      <c r="C138" s="196"/>
      <c r="D138" s="1"/>
      <c r="E138" s="195"/>
      <c r="F138" s="1"/>
      <c r="G138" s="1"/>
      <c r="H138" s="1"/>
      <c r="I138" s="1"/>
      <c r="J138" s="1"/>
      <c r="K138" s="195"/>
      <c r="L138" s="1"/>
      <c r="M138" s="1"/>
      <c r="N138" s="1"/>
      <c r="O138" s="1"/>
      <c r="P138" s="1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"/>
      <c r="B139" s="1"/>
      <c r="C139" s="1"/>
      <c r="D139" s="1"/>
      <c r="E139" s="195"/>
      <c r="F139" s="1"/>
      <c r="G139" s="1"/>
      <c r="H139" s="1"/>
      <c r="I139" s="1"/>
      <c r="J139" s="1"/>
      <c r="K139" s="195"/>
      <c r="L139" s="1"/>
      <c r="M139" s="1"/>
      <c r="N139" s="1"/>
      <c r="O139" s="1"/>
      <c r="P139" s="1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"/>
      <c r="B140" s="1"/>
      <c r="C140" s="196"/>
      <c r="D140" s="1"/>
      <c r="E140" s="195"/>
      <c r="F140" s="1"/>
      <c r="G140" s="1"/>
      <c r="H140" s="1"/>
      <c r="I140" s="1"/>
      <c r="J140" s="1"/>
      <c r="K140" s="195"/>
      <c r="L140" s="1"/>
      <c r="M140" s="1"/>
      <c r="N140" s="1"/>
      <c r="O140" s="1"/>
      <c r="P140" s="1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"/>
      <c r="B141" s="1"/>
      <c r="C141" s="1"/>
      <c r="D141" s="1"/>
      <c r="E141" s="195"/>
      <c r="F141" s="1"/>
      <c r="G141" s="1"/>
      <c r="H141" s="1"/>
      <c r="I141" s="1"/>
      <c r="J141" s="1"/>
      <c r="K141" s="195"/>
      <c r="L141" s="1"/>
      <c r="M141" s="1"/>
      <c r="N141" s="1"/>
      <c r="O141" s="1"/>
      <c r="P141" s="1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95"/>
      <c r="L142" s="1"/>
      <c r="M142" s="1"/>
      <c r="N142" s="1"/>
      <c r="O142" s="1"/>
      <c r="P142" s="1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95"/>
      <c r="L143" s="1"/>
      <c r="M143" s="1"/>
      <c r="N143" s="1"/>
      <c r="O143" s="1"/>
      <c r="P143" s="1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95"/>
      <c r="L144" s="1"/>
      <c r="M144" s="1"/>
      <c r="N144" s="1"/>
      <c r="O144" s="1"/>
      <c r="P144" s="1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95"/>
      <c r="L145" s="1"/>
      <c r="M145" s="1"/>
      <c r="N145" s="1"/>
      <c r="O145" s="1"/>
      <c r="P145" s="1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95"/>
      <c r="L147" s="1"/>
      <c r="M147" s="1"/>
      <c r="N147" s="1"/>
      <c r="O147" s="1"/>
      <c r="P147" s="1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"/>
      <c r="B148" s="196"/>
      <c r="C148" s="196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"/>
      <c r="B149" s="1"/>
      <c r="C149" s="196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95"/>
      <c r="B150" s="195"/>
      <c r="C150" s="197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95"/>
      <c r="B152" s="195"/>
      <c r="C152" s="197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95"/>
      <c r="B153" s="195"/>
      <c r="C153" s="197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95"/>
      <c r="B157" s="195"/>
      <c r="C157" s="197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95"/>
      <c r="B158" s="195"/>
      <c r="C158" s="197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95"/>
      <c r="B161" s="195"/>
      <c r="C161" s="197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95"/>
      <c r="B164" s="195"/>
      <c r="C164" s="197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95"/>
      <c r="B165" s="195"/>
      <c r="C165" s="197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95"/>
      <c r="B170" s="195"/>
      <c r="C170" s="197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95"/>
      <c r="B174" s="197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95"/>
      <c r="B176" s="195"/>
      <c r="C176" s="197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95"/>
      <c r="B179" s="195"/>
      <c r="C179" s="197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95"/>
      <c r="B181" s="197"/>
      <c r="C181" s="197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95"/>
      <c r="B187" s="195"/>
      <c r="C187" s="197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95"/>
      <c r="B188" s="195"/>
      <c r="C188" s="197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95"/>
      <c r="B189" s="195"/>
      <c r="C189" s="197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95"/>
      <c r="B190" s="195"/>
      <c r="C190" s="197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95"/>
      <c r="B191" s="195"/>
      <c r="C191" s="197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""Mzdy!ac1:ad200"")"),30.0)</f>
        <v>30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1595</v>
      </c>
      <c r="B4" s="201" t="s">
        <v>1596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IFERROR(__xludf.DUMMYFUNCTION("""COMPUTED_VALUE"""),"Výroba")</f>
        <v>Výroba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IFERROR(__xludf.DUMMYFUNCTION("""COMPUTED_VALUE"""),"Malešice")</f>
        <v>Malešice</v>
      </c>
      <c r="F28" s="201" t="str">
        <f>IFERROR(__xludf.DUMMYFUNCTION("""COMPUTED_VALUE"""),"Chodov")</f>
        <v>Chodov</v>
      </c>
      <c r="G28" s="201" t="str">
        <f>IFERROR(__xludf.DUMMYFUNCTION("""COMPUTED_VALUE"""),"Zličín")</f>
        <v>Zličín</v>
      </c>
      <c r="H28" s="201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 t="str">
        <f>IFERROR(__xludf.DUMMYFUNCTION("""COMPUTED_VALUE"""),"Malešice")</f>
        <v>Malešice</v>
      </c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IFERROR(__xludf.DUMMYFUNCTION("""COMPUTED_VALUE"""),"Břicháč Pavel")</f>
        <v>Břicháč Pavel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 t="str">
        <f>IFERROR(__xludf.DUMMYFUNCTION("""COMPUTED_VALUE"""),"Čerešňák Michal")</f>
        <v>Čerešňák Michal</v>
      </c>
      <c r="E127" s="201" t="str">
        <f>IFERROR(__xludf.DUMMYFUNCTION("""COMPUTED_VALUE"""),"Zličín")</f>
        <v>Zličín</v>
      </c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IFERROR(__xludf.DUMMYFUNCTION("""COMPUTED_VALUE"""),170.0)</f>
        <v>170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 t="str">
        <f>IFERROR(__xludf.DUMMYFUNCTION("""COMPUTED_VALUE"""),"Weindling Josef")</f>
        <v>Weindling Josef</v>
      </c>
      <c r="E128" s="201" t="str">
        <f>IFERROR(__xludf.DUMMYFUNCTION("""COMPUTED_VALUE"""),"Libuš")</f>
        <v>Libuš</v>
      </c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IFERROR(__xludf.DUMMYFUNCTION("""COMPUTED_VALUE"""),231.474)</f>
        <v>231.474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>Fux Vojtěch</v>
      </c>
      <c r="C129" s="201" t="b">
        <f>IFERROR(__xludf.DUMMYFUNCTION("""COMPUTED_VALUE"""),FALSE)</f>
        <v>0</v>
      </c>
      <c r="D129" s="201" t="str">
        <f>IFERROR(__xludf.DUMMYFUNCTION("""COMPUTED_VALUE"""),"Fux Vojtěch")</f>
        <v>Fux Vojtěch</v>
      </c>
      <c r="E129" s="201" t="str">
        <f>IFERROR(__xludf.DUMMYFUNCTION("""COMPUTED_VALUE"""),"Chodov")</f>
        <v>Chodov</v>
      </c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IFERROR(__xludf.DUMMYFUNCTION("""COMPUTED_VALUE"""),200.0)</f>
        <v>200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1597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1598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1599</v>
      </c>
      <c r="B3" s="1" t="s">
        <v>1600</v>
      </c>
      <c r="C3" s="1" t="s">
        <v>1601</v>
      </c>
      <c r="D3" s="1" t="s">
        <v>1602</v>
      </c>
      <c r="E3" s="1" t="s">
        <v>1602</v>
      </c>
      <c r="F3" s="1" t="s">
        <v>1600</v>
      </c>
      <c r="G3" s="195"/>
      <c r="H3" s="195"/>
    </row>
    <row r="4">
      <c r="A4" s="1" t="s">
        <v>1603</v>
      </c>
      <c r="B4" s="1" t="s">
        <v>1602</v>
      </c>
      <c r="C4" s="195"/>
      <c r="D4" s="1" t="s">
        <v>1601</v>
      </c>
      <c r="E4" s="195"/>
      <c r="F4" s="1" t="s">
        <v>1602</v>
      </c>
      <c r="G4" s="1" t="s">
        <v>1601</v>
      </c>
      <c r="H4" s="1" t="s">
        <v>1604</v>
      </c>
    </row>
    <row r="5">
      <c r="A5" s="1" t="s">
        <v>1095</v>
      </c>
      <c r="B5" s="1" t="s">
        <v>1605</v>
      </c>
      <c r="D5" s="195"/>
      <c r="E5" s="195"/>
    </row>
    <row r="6">
      <c r="A6" s="1" t="s">
        <v>1606</v>
      </c>
      <c r="B6" s="1" t="s">
        <v>1607</v>
      </c>
      <c r="C6" s="195"/>
      <c r="D6" s="1" t="s">
        <v>1607</v>
      </c>
      <c r="E6" s="195"/>
      <c r="F6" s="1" t="s">
        <v>1608</v>
      </c>
      <c r="G6" s="1" t="s">
        <v>1608</v>
      </c>
      <c r="H6" s="1" t="s">
        <v>1609</v>
      </c>
    </row>
    <row r="7">
      <c r="A7" s="1" t="s">
        <v>1503</v>
      </c>
      <c r="B7" s="1" t="s">
        <v>1610</v>
      </c>
      <c r="C7" s="1" t="s">
        <v>1610</v>
      </c>
      <c r="E7" s="195"/>
      <c r="F7" s="1" t="s">
        <v>1610</v>
      </c>
      <c r="G7" s="195"/>
      <c r="H7" s="195"/>
    </row>
    <row r="8">
      <c r="A8" s="1" t="s">
        <v>1611</v>
      </c>
      <c r="B8" s="1" t="s">
        <v>1612</v>
      </c>
      <c r="C8" s="195"/>
      <c r="D8" s="195"/>
      <c r="E8" s="1" t="s">
        <v>1613</v>
      </c>
      <c r="F8" s="195"/>
      <c r="G8" s="1" t="s">
        <v>1614</v>
      </c>
      <c r="H8" s="195"/>
    </row>
    <row r="9">
      <c r="A9" s="1" t="s">
        <v>438</v>
      </c>
      <c r="C9" s="1" t="s">
        <v>1602</v>
      </c>
      <c r="D9" s="195"/>
      <c r="E9" s="1" t="s">
        <v>1601</v>
      </c>
      <c r="F9" s="1" t="s">
        <v>1615</v>
      </c>
      <c r="G9" s="1" t="s">
        <v>1615</v>
      </c>
      <c r="H9" s="1" t="s">
        <v>1616</v>
      </c>
    </row>
    <row r="10">
      <c r="A10" s="1" t="s">
        <v>1617</v>
      </c>
      <c r="C10" s="1" t="s">
        <v>1607</v>
      </c>
      <c r="D10" s="195"/>
      <c r="E10" s="195"/>
      <c r="F10" s="195"/>
      <c r="H10" s="195"/>
    </row>
    <row r="11">
      <c r="A11" s="1" t="s">
        <v>1618</v>
      </c>
      <c r="C11" s="1" t="s">
        <v>1619</v>
      </c>
      <c r="D11" s="195"/>
      <c r="E11" s="195"/>
      <c r="F11" s="195"/>
    </row>
    <row r="12">
      <c r="A12" s="1" t="s">
        <v>1495</v>
      </c>
      <c r="D12" s="1" t="s">
        <v>1620</v>
      </c>
      <c r="E12" s="195"/>
      <c r="F12" s="195"/>
      <c r="G12" s="195"/>
      <c r="H12" s="195"/>
    </row>
    <row r="13">
      <c r="A13" s="1" t="s">
        <v>466</v>
      </c>
      <c r="D13" s="1" t="s">
        <v>1610</v>
      </c>
      <c r="E13" s="195"/>
      <c r="F13" s="1" t="s">
        <v>1610</v>
      </c>
      <c r="G13" s="195"/>
    </row>
    <row r="14">
      <c r="A14" s="1" t="s">
        <v>298</v>
      </c>
      <c r="E14" s="1" t="s">
        <v>1614</v>
      </c>
      <c r="F14" s="1" t="s">
        <v>1607</v>
      </c>
      <c r="G14" s="1" t="s">
        <v>1607</v>
      </c>
      <c r="H14" s="1" t="s">
        <v>1607</v>
      </c>
    </row>
    <row r="15">
      <c r="A15" s="1" t="s">
        <v>1493</v>
      </c>
      <c r="E15" s="1" t="s">
        <v>1619</v>
      </c>
      <c r="G15" s="1" t="s">
        <v>1619</v>
      </c>
      <c r="H15" s="195"/>
    </row>
    <row r="16">
      <c r="A16" s="1" t="s">
        <v>1621</v>
      </c>
      <c r="F16" s="1" t="s">
        <v>1607</v>
      </c>
      <c r="G16" s="195"/>
      <c r="H16" s="1" t="s">
        <v>1622</v>
      </c>
    </row>
    <row r="17">
      <c r="A17" s="1" t="s">
        <v>1623</v>
      </c>
      <c r="G17" s="1" t="s">
        <v>1600</v>
      </c>
      <c r="H17" s="1" t="s">
        <v>1600</v>
      </c>
    </row>
    <row r="18">
      <c r="A18" s="1" t="s">
        <v>1624</v>
      </c>
      <c r="G18" s="1" t="s">
        <v>1625</v>
      </c>
      <c r="H18" s="1" t="s">
        <v>1616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