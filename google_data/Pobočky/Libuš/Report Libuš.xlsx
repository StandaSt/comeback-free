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RestiaCSV!$A$1:$M$418</definedName>
  </definedNames>
  <calcPr/>
</workbook>
</file>

<file path=xl/sharedStrings.xml><?xml version="1.0" encoding="utf-8"?>
<sst xmlns="http://schemas.openxmlformats.org/spreadsheetml/2006/main" count="5489" uniqueCount="1608">
  <si>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</si>
  <si>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</si>
  <si>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</si>
  <si>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</si>
  <si>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</si>
  <si>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</si>
  <si>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</si>
  <si>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</si>
  <si>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</si>
  <si>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</si>
  <si>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</si>
  <si>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</si>
  <si>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</si>
  <si>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</si>
  <si>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</si>
  <si>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</si>
  <si>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</si>
  <si>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</si>
  <si>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</si>
  <si>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</si>
  <si>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</si>
  <si>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</si>
  <si>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</si>
  <si>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</si>
  <si>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</si>
  <si>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</si>
  <si>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</si>
  <si>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</si>
  <si>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</si>
  <si>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</si>
  <si>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</si>
  <si>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</si>
  <si>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</si>
  <si>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</si>
  <si>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</si>
  <si>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</si>
  <si>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</si>
  <si>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</si>
  <si>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</si>
  <si>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</si>
  <si>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</si>
  <si>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</si>
  <si>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</si>
  <si>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</si>
  <si>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</si>
  <si>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</si>
  <si>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</si>
  <si>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</si>
  <si>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</si>
  <si>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</si>
  <si>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</si>
  <si>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</si>
  <si>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</si>
  <si>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</si>
  <si>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</si>
  <si>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</si>
  <si>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</si>
  <si>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</si>
  <si>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</si>
  <si>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</si>
  <si>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</si>
  <si>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</si>
  <si>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</si>
  <si>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</si>
  <si>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</si>
  <si>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</si>
  <si>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</si>
  <si>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</si>
  <si>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</si>
  <si>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</si>
  <si>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</si>
  <si>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</si>
  <si>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</si>
  <si>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</si>
  <si>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</si>
  <si>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</si>
  <si>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</si>
  <si>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</si>
  <si>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</si>
  <si>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</si>
  <si>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</si>
  <si>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</si>
  <si>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</si>
  <si>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</si>
  <si>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</si>
  <si>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</si>
  <si>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</si>
  <si>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</si>
  <si>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</si>
  <si>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</si>
  <si>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</si>
  <si>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</si>
  <si>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</si>
  <si>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</si>
  <si>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</si>
  <si>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</si>
  <si>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</si>
  <si>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</si>
  <si>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</si>
  <si>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</si>
  <si>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</si>
  <si>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</si>
  <si>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</si>
  <si>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</si>
  <si>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</si>
  <si>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</si>
  <si>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</si>
  <si>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</si>
  <si>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</si>
  <si>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</si>
  <si>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</si>
  <si>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</si>
  <si>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</si>
  <si>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</si>
  <si>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</si>
  <si>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</si>
  <si>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</si>
  <si>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</si>
  <si>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</si>
  <si>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</si>
  <si>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</si>
  <si>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</si>
  <si>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</si>
  <si>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</si>
  <si>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</si>
  <si>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</si>
  <si>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</si>
  <si>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</si>
  <si>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</si>
  <si>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</si>
  <si>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</si>
  <si>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</si>
  <si>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</si>
  <si>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</si>
  <si>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</si>
  <si>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</si>
  <si>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</si>
  <si>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</si>
  <si>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</si>
  <si>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</si>
  <si>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</si>
  <si>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</si>
  <si>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</si>
  <si>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</si>
  <si>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</si>
  <si>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</si>
  <si>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</si>
  <si>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</si>
  <si>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</si>
  <si>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</si>
  <si>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</si>
  <si>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</si>
  <si>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</si>
  <si>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</si>
  <si>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</si>
  <si>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</si>
  <si>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</si>
  <si>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</si>
  <si>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</si>
  <si>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</si>
  <si>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</si>
  <si>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</si>
  <si>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</si>
  <si>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</si>
  <si>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</si>
  <si>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</si>
  <si>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</si>
  <si>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</si>
  <si>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</si>
  <si>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</si>
  <si>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</si>
  <si>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</si>
  <si>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</si>
  <si>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</si>
  <si>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</si>
  <si>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</si>
  <si>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</si>
  <si>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</si>
  <si>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</si>
  <si>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</si>
  <si>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</si>
  <si>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</si>
  <si>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</si>
  <si>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</si>
  <si>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</si>
  <si>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</si>
  <si>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</si>
  <si>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</si>
  <si>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</si>
  <si>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</si>
  <si>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</si>
  <si>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</si>
  <si>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</si>
  <si>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</si>
  <si>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</si>
  <si>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</si>
  <si>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</si>
  <si>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</si>
  <si>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</si>
  <si>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</si>
  <si>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</si>
  <si>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</si>
  <si>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</si>
  <si>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</si>
  <si>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</si>
  <si>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</si>
  <si>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</si>
  <si>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</si>
  <si>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</si>
  <si>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</si>
  <si>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</si>
  <si>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</si>
  <si>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</si>
  <si>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</si>
  <si>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</si>
  <si>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</si>
  <si>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</si>
  <si>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</si>
  <si>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</si>
  <si>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</si>
  <si>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</si>
  <si>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</si>
  <si>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</si>
  <si>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</si>
  <si>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</si>
  <si>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</si>
  <si>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</si>
  <si>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</si>
  <si>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</si>
  <si>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</si>
  <si>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</si>
  <si>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</si>
  <si>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</si>
  <si>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</si>
  <si>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</si>
  <si>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</si>
  <si>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</si>
  <si>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</si>
  <si>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</si>
  <si>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</si>
  <si>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</si>
  <si>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</si>
  <si>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</si>
  <si>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</si>
  <si>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</si>
  <si>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</si>
  <si>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</si>
  <si>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</si>
  <si>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</si>
  <si>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</si>
  <si>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</si>
  <si>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</si>
  <si>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</si>
  <si>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</si>
  <si>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</si>
  <si>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</si>
  <si>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</si>
  <si>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</si>
  <si>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</si>
  <si>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</si>
  <si>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</si>
  <si>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</si>
  <si>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</si>
  <si>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</si>
  <si>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</si>
  <si>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</si>
  <si>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</si>
  <si>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</si>
  <si>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</si>
  <si>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</si>
  <si>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</si>
  <si>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</si>
  <si>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</si>
  <si>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</si>
  <si>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</si>
  <si>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</si>
  <si>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</si>
  <si>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</si>
  <si>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</si>
  <si>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</si>
  <si>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</si>
  <si>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</si>
  <si>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</si>
  <si>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</si>
  <si>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</si>
  <si>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</si>
  <si>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</si>
  <si>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</si>
  <si>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</si>
  <si>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</si>
  <si>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</si>
  <si>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</si>
  <si>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</si>
  <si>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</si>
  <si>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</si>
  <si>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</si>
  <si>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</si>
  <si>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</si>
  <si>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</si>
  <si>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</si>
  <si>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</si>
  <si>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</si>
  <si>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</si>
  <si>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</si>
  <si>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</si>
  <si>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</si>
  <si>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</si>
  <si>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</si>
  <si>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</si>
  <si>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</si>
  <si>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</si>
  <si>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</si>
  <si>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</si>
  <si>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</si>
  <si>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</si>
  <si>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</si>
  <si>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</si>
  <si>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</si>
  <si>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</si>
  <si>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</si>
  <si>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</si>
  <si>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</si>
  <si>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</si>
  <si>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</si>
  <si>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</si>
  <si>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</si>
  <si>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</si>
  <si>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</si>
  <si>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</si>
  <si>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</si>
  <si>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</si>
  <si>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</si>
  <si>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</si>
  <si>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</si>
  <si>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</si>
  <si>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</si>
  <si>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</si>
  <si>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</si>
  <si>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</si>
  <si>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</si>
  <si>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</si>
  <si>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</si>
  <si>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</si>
  <si>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</si>
  <si>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</si>
  <si>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</si>
  <si>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</si>
  <si>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</si>
  <si>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</si>
  <si>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</si>
  <si>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</si>
  <si>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</si>
  <si>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</si>
  <si>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</si>
  <si>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</si>
  <si>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</si>
  <si>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</si>
  <si>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</si>
  <si>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</si>
  <si>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</si>
  <si>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</si>
  <si>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</si>
  <si>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</si>
  <si>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</si>
  <si>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</si>
  <si>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</si>
  <si>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</si>
  <si>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</si>
  <si>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</si>
  <si>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</si>
  <si>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</si>
  <si>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</si>
  <si>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</si>
  <si>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</si>
  <si>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</si>
  <si>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</si>
  <si>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</si>
  <si>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</si>
  <si>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</si>
  <si>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</si>
  <si>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</si>
  <si>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</si>
  <si>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</si>
  <si>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</si>
  <si>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</si>
  <si>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</si>
  <si>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</si>
  <si>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</si>
  <si>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</si>
  <si>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</si>
  <si>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</si>
  <si>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</si>
  <si>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</si>
  <si>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</si>
  <si>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</si>
  <si>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</si>
  <si>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</si>
  <si>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</si>
  <si>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</si>
  <si>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</si>
  <si>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</si>
  <si>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</si>
  <si>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</si>
  <si>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</si>
  <si>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</si>
  <si>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</si>
  <si>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</si>
  <si>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</si>
  <si>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</si>
  <si>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</si>
  <si>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</si>
  <si>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</si>
  <si>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</si>
  <si>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</si>
  <si>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</si>
  <si>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</si>
  <si>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</si>
  <si>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</si>
  <si>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</si>
  <si>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</si>
  <si>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</si>
  <si>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</si>
  <si>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</si>
  <si>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</si>
  <si>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</si>
  <si>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</si>
  <si>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</si>
  <si>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</si>
  <si>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</si>
  <si>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</si>
  <si>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</si>
  <si>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</si>
  <si>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</si>
  <si>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</si>
  <si>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</si>
  <si>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</si>
  <si>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</si>
  <si>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</si>
  <si>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</si>
  <si>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</si>
  <si>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</si>
  <si>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</si>
  <si>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</si>
  <si>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</si>
  <si>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</si>
  <si>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</si>
  <si>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</si>
  <si>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</si>
  <si>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</si>
  <si>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</si>
  <si>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</si>
  <si>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</si>
  <si>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</si>
  <si>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</si>
  <si>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</si>
  <si>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</si>
  <si>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</si>
  <si>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</si>
  <si>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</si>
  <si>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</si>
  <si>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</si>
  <si>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</si>
  <si>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</si>
  <si>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</si>
  <si>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</si>
  <si>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</si>
  <si>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</si>
  <si>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</si>
  <si>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</si>
  <si>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</si>
  <si>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</si>
  <si>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</si>
  <si>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</si>
  <si>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</si>
  <si>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</si>
  <si>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</si>
  <si>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</si>
  <si>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</si>
  <si>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</si>
  <si>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</si>
  <si>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</si>
  <si>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</si>
  <si>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</si>
  <si>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</si>
  <si>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</si>
  <si>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</si>
  <si>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</si>
  <si>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</si>
  <si>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</si>
  <si>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</si>
  <si>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</si>
  <si>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</si>
  <si>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</si>
  <si>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</si>
  <si>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</si>
  <si>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</si>
  <si>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</si>
  <si>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</si>
  <si>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</si>
  <si>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</si>
  <si>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</si>
  <si>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</si>
  <si>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</si>
  <si>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</si>
  <si>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</si>
  <si>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</si>
  <si>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</si>
  <si>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</si>
  <si>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</si>
  <si>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</si>
  <si>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</si>
  <si>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</si>
  <si>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</si>
  <si>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</si>
  <si>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</si>
  <si>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</si>
  <si>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</si>
  <si>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</si>
  <si>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</si>
  <si>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</si>
  <si>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</si>
  <si>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</si>
  <si>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</si>
  <si>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</si>
  <si>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</si>
  <si>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</si>
  <si>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</si>
  <si>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</si>
  <si>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</si>
  <si>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</si>
  <si>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</si>
  <si>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</si>
  <si>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</si>
  <si>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</si>
  <si>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</si>
  <si>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</si>
  <si>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</si>
  <si>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</si>
  <si>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</si>
  <si>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</si>
  <si>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</si>
  <si>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</si>
  <si>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</si>
  <si>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</si>
  <si>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</si>
  <si>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</si>
  <si>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</si>
  <si>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</si>
  <si>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</si>
  <si>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</si>
  <si>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</si>
  <si>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</si>
  <si>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</si>
  <si>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</si>
  <si>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</si>
  <si>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</si>
  <si>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</si>
  <si>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</si>
  <si>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</si>
  <si>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</si>
  <si>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</si>
  <si>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</si>
  <si>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</si>
  <si>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</si>
  <si>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</si>
  <si>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</si>
  <si>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</si>
  <si>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</si>
  <si>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</si>
  <si>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</si>
  <si>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</si>
  <si>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</si>
  <si>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</si>
  <si>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</si>
  <si>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</si>
  <si>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</si>
  <si>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</si>
  <si>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</si>
  <si>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</si>
  <si>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</si>
  <si>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</si>
  <si>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</si>
  <si>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</si>
  <si>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</si>
  <si>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</si>
  <si>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</si>
  <si>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</si>
  <si>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</si>
  <si>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</si>
  <si>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</si>
  <si>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</si>
  <si>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</si>
  <si>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</si>
  <si>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</si>
  <si>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</si>
  <si>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</si>
  <si>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</si>
  <si>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</si>
  <si>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</si>
  <si>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</si>
  <si>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</si>
  <si>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</si>
  <si>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</si>
  <si>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</si>
  <si>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</si>
  <si>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</si>
  <si>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</si>
  <si>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</si>
  <si>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</si>
  <si>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</si>
  <si>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</si>
  <si>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</si>
  <si>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</si>
  <si>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</si>
  <si>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</si>
  <si>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</si>
  <si>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</si>
  <si>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</si>
  <si>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</si>
  <si>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</si>
  <si>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</si>
  <si>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</si>
  <si>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</si>
  <si>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</si>
  <si>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</si>
  <si>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</si>
  <si>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</si>
  <si>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</si>
  <si>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</si>
  <si>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</si>
  <si>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</si>
  <si>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</si>
  <si>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</si>
  <si>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</si>
  <si>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</si>
  <si>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</si>
  <si>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</si>
  <si>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</si>
  <si>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</si>
  <si>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</si>
  <si>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</si>
  <si>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</si>
  <si>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</si>
  <si>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</si>
  <si>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</si>
  <si>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</si>
  <si>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</si>
  <si>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</si>
  <si>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</si>
  <si>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</si>
  <si>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</si>
  <si>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</si>
  <si>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</si>
  <si>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</si>
  <si>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</si>
  <si>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</si>
  <si>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</si>
  <si>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</si>
  <si>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</si>
  <si>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</si>
  <si>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</si>
  <si>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</si>
  <si>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</si>
  <si>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</si>
  <si>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</si>
  <si>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</si>
  <si>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</si>
  <si>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</si>
  <si>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</si>
  <si>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</si>
  <si>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</si>
  <si>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</si>
  <si>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</si>
  <si>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</si>
  <si>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</si>
  <si>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</si>
  <si>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</si>
  <si>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</si>
  <si>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</si>
  <si>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</si>
  <si>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</si>
  <si>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</si>
  <si>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</si>
  <si>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</si>
  <si>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</si>
  <si>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</si>
  <si>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</si>
  <si>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</si>
  <si>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</si>
  <si>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</si>
  <si>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</si>
  <si>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</si>
  <si>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</si>
  <si>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</si>
  <si>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</si>
  <si>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</si>
  <si>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</si>
  <si>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</si>
  <si>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</si>
  <si>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</si>
  <si>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</si>
  <si>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</si>
  <si>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</si>
  <si>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</si>
  <si>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</si>
  <si>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</si>
  <si>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</si>
  <si>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</si>
  <si>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</si>
  <si>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</si>
  <si>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</si>
  <si>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</si>
  <si>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</si>
  <si>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</si>
  <si>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</si>
  <si>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</si>
  <si>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</si>
  <si>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</si>
  <si>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</si>
  <si>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</si>
  <si>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</si>
  <si>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</si>
  <si>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</si>
  <si>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</si>
  <si>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</si>
  <si>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</si>
  <si>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</si>
  <si>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</si>
  <si>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</si>
  <si>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</si>
  <si>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</si>
  <si>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</si>
  <si>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</si>
  <si>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</si>
  <si>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</si>
  <si>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</si>
  <si>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</si>
  <si>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</si>
  <si>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</si>
  <si>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</si>
  <si>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</si>
  <si>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</si>
  <si>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</si>
  <si>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</si>
  <si>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</si>
  <si>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</si>
  <si>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</si>
  <si>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</si>
  <si>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</si>
  <si>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</si>
  <si>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</si>
  <si>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</si>
  <si>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</si>
  <si>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</si>
  <si>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</si>
  <si>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</si>
  <si>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</si>
  <si>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</si>
  <si>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</si>
  <si>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</si>
  <si>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</si>
  <si>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</si>
  <si>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</si>
  <si>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</si>
  <si>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</si>
  <si>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</si>
  <si>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</si>
  <si>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</si>
  <si>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</si>
  <si>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</si>
  <si>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</si>
  <si>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</si>
  <si>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</si>
  <si>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</si>
  <si>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</si>
  <si>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</si>
  <si>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</si>
  <si>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</si>
  <si>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</si>
  <si>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</si>
  <si>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</si>
  <si>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</si>
  <si>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</si>
  <si>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</si>
  <si>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</si>
  <si>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</si>
  <si>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</si>
  <si>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</si>
  <si>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</si>
  <si>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</si>
  <si>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</si>
  <si>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</si>
  <si>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</si>
  <si>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</si>
  <si>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</si>
  <si>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</si>
  <si>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</si>
  <si>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</si>
  <si>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</si>
  <si>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</si>
  <si>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</si>
  <si>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</si>
  <si>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</si>
  <si>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</si>
  <si>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</si>
  <si>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</si>
  <si>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</si>
  <si>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</si>
  <si>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</si>
  <si>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</si>
  <si>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</si>
  <si>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</si>
  <si>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</si>
  <si>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</si>
  <si>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</si>
  <si>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</si>
  <si>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</si>
  <si>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</si>
  <si>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</si>
  <si>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</si>
  <si>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</si>
  <si>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</si>
  <si>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</si>
  <si>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</si>
  <si>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</si>
  <si>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</si>
  <si>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</si>
  <si>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</si>
  <si>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</si>
  <si>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</si>
  <si>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</si>
  <si>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</si>
  <si>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</si>
  <si>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</si>
  <si>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</si>
  <si>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</si>
  <si>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</si>
  <si>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</si>
  <si>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</si>
  <si>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</si>
  <si>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</si>
  <si>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</si>
  <si>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</si>
  <si>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</si>
  <si>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</si>
  <si>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</si>
  <si>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</si>
  <si>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</si>
  <si>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</si>
  <si>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</si>
  <si>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</si>
  <si>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</si>
  <si>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</si>
  <si>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</si>
  <si>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</si>
  <si>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</si>
  <si>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</si>
  <si>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</si>
  <si>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</si>
  <si>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</si>
  <si>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</si>
  <si>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</si>
  <si>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</si>
  <si>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</si>
  <si>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</si>
  <si>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</si>
  <si>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</si>
  <si>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</si>
  <si>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</si>
  <si>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</si>
  <si>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</si>
  <si>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</si>
  <si>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</si>
  <si>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</si>
  <si>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</si>
  <si>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</si>
  <si>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</si>
  <si>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</si>
  <si>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</si>
  <si>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</si>
  <si>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</si>
  <si>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</si>
  <si>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</si>
  <si>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</si>
  <si>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</si>
  <si>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</si>
  <si>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</si>
  <si>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</si>
  <si>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</si>
  <si>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</si>
  <si>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</si>
  <si>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</si>
  <si>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</si>
  <si>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</si>
  <si>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</si>
  <si>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</si>
  <si>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</si>
  <si>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</si>
  <si>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</si>
  <si>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</si>
  <si>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</si>
  <si>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</si>
  <si>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</si>
  <si>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</si>
  <si>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</si>
  <si>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</si>
  <si>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</si>
  <si>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</si>
  <si>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</si>
  <si>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</si>
  <si>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</si>
  <si>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</si>
  <si>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</si>
  <si>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</si>
  <si>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</si>
  <si>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</si>
  <si>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</si>
  <si>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</si>
  <si>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</si>
  <si>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</si>
  <si>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</si>
  <si>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</si>
  <si>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</si>
  <si>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</si>
  <si>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</si>
  <si>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</si>
  <si>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</si>
  <si>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</si>
  <si>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</si>
  <si>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</si>
  <si>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</si>
  <si>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</si>
  <si>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</si>
  <si>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</si>
  <si>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</si>
  <si>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</si>
  <si>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</si>
  <si>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</si>
  <si>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</si>
  <si>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</si>
  <si>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</si>
  <si>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</si>
  <si>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</si>
  <si>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</si>
  <si>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</si>
  <si>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</si>
  <si>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</si>
  <si>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</si>
  <si>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</si>
  <si>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</si>
  <si>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</si>
  <si>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</si>
  <si>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</si>
  <si>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</si>
  <si>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</si>
  <si>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</si>
  <si>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</si>
  <si>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</si>
  <si>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</si>
  <si>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</si>
  <si>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</si>
  <si>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</si>
  <si>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</si>
  <si>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</si>
  <si>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</si>
  <si>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</si>
  <si>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</si>
  <si>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</si>
  <si>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</si>
  <si>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</si>
  <si>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</si>
  <si>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</si>
  <si>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</si>
  <si>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</si>
  <si>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</si>
  <si>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</si>
  <si>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</si>
  <si>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</si>
  <si>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</si>
  <si>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</si>
  <si>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</si>
  <si>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</si>
  <si>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</si>
  <si>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</si>
  <si>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</si>
  <si>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</si>
  <si>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</si>
  <si>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</si>
  <si>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</si>
  <si>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</si>
  <si>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</si>
  <si>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</si>
  <si>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</si>
  <si>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</si>
  <si>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</si>
  <si>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</si>
  <si>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</si>
  <si>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</si>
  <si>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</si>
  <si>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</si>
  <si>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</si>
  <si>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</si>
  <si>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</si>
  <si>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</si>
  <si>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</si>
  <si>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</si>
  <si>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</si>
  <si>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</si>
  <si>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</si>
  <si>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</si>
  <si>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</si>
  <si>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</si>
  <si>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</si>
  <si>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</si>
  <si>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</si>
  <si>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</si>
  <si>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</si>
  <si>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</si>
  <si>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</si>
  <si>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</si>
  <si>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</si>
  <si>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</si>
  <si>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</si>
  <si>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</si>
  <si>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</si>
  <si>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</si>
  <si>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</si>
  <si>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</si>
  <si>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</si>
  <si>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</si>
  <si>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</si>
  <si>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</si>
  <si>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</si>
  <si>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</si>
  <si>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</si>
  <si>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</si>
  <si>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</si>
  <si>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</si>
  <si>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</si>
  <si>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</si>
  <si>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</si>
  <si>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</si>
  <si>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</si>
  <si>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</si>
  <si>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</si>
  <si>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</si>
  <si>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</si>
  <si>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</si>
  <si>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</si>
  <si>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</si>
  <si>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</si>
  <si>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</si>
  <si>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</si>
  <si>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</si>
  <si>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</si>
  <si>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</si>
  <si>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</si>
  <si>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</si>
  <si>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</si>
  <si>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</si>
  <si>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</si>
  <si>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</si>
  <si>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</si>
  <si>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</si>
  <si>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</si>
  <si>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</si>
  <si>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</si>
  <si>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</si>
  <si>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</si>
  <si>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</si>
  <si>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</si>
  <si>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</si>
  <si>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</si>
  <si>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</si>
  <si>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</si>
  <si>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</si>
  <si>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</si>
  <si>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</si>
  <si>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</si>
  <si>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</si>
  <si>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</si>
  <si>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</si>
  <si>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</si>
  <si>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</si>
  <si>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</si>
  <si>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</si>
  <si>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</si>
  <si>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</si>
  <si>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</si>
  <si>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</si>
  <si>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</si>
  <si>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</si>
  <si>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</si>
  <si>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</si>
  <si>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</si>
  <si>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</si>
  <si>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</si>
  <si>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</si>
  <si>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</si>
  <si>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</si>
  <si>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</si>
  <si>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</si>
  <si>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</si>
  <si>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</si>
  <si>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</si>
  <si>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</si>
  <si>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</si>
  <si>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</si>
  <si>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</si>
  <si>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</si>
  <si>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</si>
  <si>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</si>
  <si>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</si>
  <si>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</si>
  <si>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</si>
  <si>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</si>
  <si>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</si>
  <si>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</si>
  <si>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</si>
  <si>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</si>
  <si>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</si>
  <si>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</si>
  <si>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</si>
  <si>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</si>
  <si>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</si>
  <si>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</si>
  <si>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</si>
  <si>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</si>
  <si>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</si>
  <si>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</si>
  <si>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</si>
  <si>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</si>
  <si>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</si>
  <si>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</si>
  <si>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</si>
  <si>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</si>
  <si>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</si>
  <si>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</si>
  <si>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</si>
  <si>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</si>
  <si>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</si>
  <si>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</si>
  <si>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</si>
  <si>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</si>
  <si>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</si>
  <si>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</si>
  <si>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</si>
  <si>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</si>
  <si>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</si>
  <si>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</si>
  <si>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</si>
  <si>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</si>
  <si>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</si>
  <si>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</si>
  <si>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</si>
  <si>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</si>
  <si>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</si>
  <si>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</si>
  <si>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</si>
  <si>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</si>
  <si>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</si>
  <si>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</si>
  <si>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</si>
  <si>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</si>
  <si>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</si>
  <si>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</si>
  <si>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</si>
  <si>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</si>
  <si>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</si>
  <si>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</si>
  <si>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</si>
  <si>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</si>
  <si>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</si>
  <si>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</si>
  <si>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</si>
  <si>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</si>
  <si>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</si>
  <si>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</si>
  <si>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</si>
  <si>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</si>
  <si>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</si>
  <si>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</si>
  <si>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</si>
  <si>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</si>
  <si>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</si>
  <si>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</si>
  <si>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</si>
  <si>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</si>
  <si>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</si>
  <si>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</si>
  <si>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</si>
  <si>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</si>
  <si>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</si>
  <si>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</si>
  <si>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</si>
  <si>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</si>
  <si>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</si>
  <si>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</si>
  <si>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</si>
  <si>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</si>
  <si>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</si>
  <si>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</si>
  <si>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</si>
  <si>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</si>
  <si>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</si>
  <si>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</si>
  <si>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</si>
  <si>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</si>
  <si>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</si>
  <si>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</si>
  <si>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</si>
  <si>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</si>
  <si>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</si>
  <si>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</si>
  <si>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</si>
  <si>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</si>
  <si>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</si>
  <si>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</si>
  <si>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</si>
  <si>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</si>
  <si>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</si>
  <si>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</si>
  <si>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</si>
  <si>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</si>
  <si>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</si>
  <si>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</si>
  <si>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</si>
  <si>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</si>
  <si>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</si>
  <si>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</si>
  <si>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</si>
  <si>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</si>
  <si>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</si>
  <si>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</si>
  <si>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</si>
  <si>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</si>
  <si>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</si>
  <si>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</si>
  <si>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</si>
  <si>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</si>
  <si>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</si>
  <si>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</si>
  <si>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</si>
  <si>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</si>
  <si>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</si>
  <si>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</si>
  <si>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</si>
  <si>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</si>
  <si>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</si>
  <si>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</si>
  <si>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</si>
  <si>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</si>
  <si>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</si>
  <si>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</si>
  <si>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</si>
  <si>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</si>
  <si>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</si>
  <si>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</si>
  <si>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</si>
  <si>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</si>
  <si>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</si>
  <si>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</si>
  <si>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</si>
  <si>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</si>
  <si>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</si>
  <si>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</si>
  <si>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</si>
  <si>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</si>
  <si>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</si>
  <si>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</si>
  <si>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</si>
  <si>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</si>
  <si>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</si>
  <si>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</si>
  <si>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</si>
  <si>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</si>
  <si>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</si>
  <si>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</si>
  <si>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</si>
  <si>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</si>
  <si>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</si>
  <si>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</si>
  <si>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</si>
  <si>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</si>
  <si>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</si>
  <si>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</si>
  <si>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</si>
  <si>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</si>
  <si>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</si>
  <si>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</si>
  <si>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</si>
  <si>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</si>
  <si>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</si>
  <si>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</si>
  <si>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</si>
  <si>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</si>
  <si>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</si>
  <si>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</si>
  <si>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</si>
  <si>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</si>
  <si>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</si>
  <si>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</si>
  <si>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</si>
  <si>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</si>
  <si>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</si>
  <si>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</si>
  <si>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</si>
  <si>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</si>
  <si>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</si>
  <si>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</si>
  <si>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</si>
  <si>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</si>
  <si>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</si>
  <si>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</si>
  <si>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</si>
  <si>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</si>
  <si>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</si>
  <si>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</si>
  <si>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</si>
  <si>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</si>
  <si>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</si>
  <si>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</si>
  <si>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</si>
  <si>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</si>
  <si>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</si>
  <si>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</si>
  <si>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</si>
  <si>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</si>
  <si>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</si>
  <si>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</si>
  <si>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</si>
  <si>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</si>
  <si>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</si>
  <si>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</si>
  <si>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</si>
  <si>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</si>
  <si>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</si>
  <si>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</si>
  <si>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</si>
  <si>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</si>
  <si>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</si>
  <si>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</si>
  <si>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</si>
  <si>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</si>
  <si>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</si>
  <si>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</si>
  <si>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</si>
  <si>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</si>
  <si>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</si>
  <si>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</si>
  <si>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</si>
  <si>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</si>
  <si>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</si>
  <si>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</si>
  <si>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</si>
  <si>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</si>
  <si>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</si>
  <si>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</si>
  <si>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</si>
  <si>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</si>
  <si>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</si>
  <si>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</si>
  <si>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</si>
  <si>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</si>
  <si>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</si>
  <si>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</si>
  <si>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</si>
  <si>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</si>
  <si>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</si>
  <si>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</si>
  <si>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</si>
  <si>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</si>
  <si>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</si>
  <si>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</si>
  <si>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</si>
  <si>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</si>
  <si>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</si>
  <si>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</si>
  <si>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</si>
  <si>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</si>
  <si>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</si>
  <si>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</si>
  <si>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</si>
  <si>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</si>
  <si>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</si>
  <si>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</si>
  <si>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</si>
  <si>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</si>
  <si>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</si>
  <si>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</si>
  <si>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</si>
  <si>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</si>
  <si>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</si>
  <si>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</si>
  <si>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</si>
  <si>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</si>
  <si>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</si>
  <si>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</si>
  <si>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</si>
  <si>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</si>
  <si>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</si>
  <si>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</si>
  <si>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</si>
  <si>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</si>
  <si>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</si>
  <si>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</si>
  <si>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</si>
  <si>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</si>
  <si>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</si>
  <si>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</si>
  <si>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</si>
  <si>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</si>
  <si>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</si>
  <si>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</si>
  <si>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</si>
  <si>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</si>
  <si>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</si>
  <si>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</si>
  <si>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</si>
  <si>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</si>
  <si>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</si>
  <si>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</si>
  <si>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</si>
  <si>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</si>
  <si>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</si>
  <si>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</si>
  <si>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</si>
  <si>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</si>
  <si>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</si>
  <si>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</si>
  <si>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</si>
  <si>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</si>
  <si>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</si>
  <si>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</si>
  <si>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</si>
  <si>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</si>
  <si>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</si>
  <si>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</si>
  <si>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</si>
  <si>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</si>
  <si>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</si>
  <si>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</si>
  <si>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</si>
  <si>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</si>
  <si>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</si>
  <si>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</si>
  <si>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</si>
  <si>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</si>
  <si>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</si>
  <si>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</si>
  <si>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</si>
  <si>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</si>
  <si>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</si>
  <si>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</si>
  <si>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</si>
  <si>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</si>
  <si>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</si>
  <si>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</si>
  <si>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</si>
  <si>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</si>
  <si>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</si>
  <si>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</si>
  <si>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</si>
  <si>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</si>
  <si>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</si>
  <si>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</si>
  <si>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</si>
  <si>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</si>
  <si>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</si>
  <si>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</si>
  <si>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</si>
  <si>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</si>
  <si>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</si>
  <si>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</si>
  <si>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</si>
  <si>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</si>
  <si>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</si>
  <si>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</si>
  <si>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</si>
  <si>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</si>
  <si>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</si>
  <si>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</si>
  <si>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</si>
  <si>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</si>
  <si>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</si>
  <si>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</si>
  <si>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</si>
  <si>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</si>
  <si>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</si>
  <si>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</si>
  <si>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</si>
  <si>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</si>
  <si>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</si>
  <si>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</si>
  <si>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</si>
  <si>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</si>
  <si>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</si>
  <si>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</si>
  <si>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</si>
  <si>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</si>
  <si>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</si>
  <si>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</si>
  <si>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</si>
  <si>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</si>
  <si>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</si>
  <si>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</si>
  <si>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</si>
  <si>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</si>
  <si>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</si>
  <si>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</si>
  <si>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</si>
  <si>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</si>
  <si>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</si>
  <si>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</si>
  <si>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</si>
  <si>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</si>
  <si>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</si>
  <si>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</si>
  <si>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</si>
  <si>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</si>
  <si>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</si>
  <si>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</si>
  <si>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</si>
  <si>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</si>
  <si>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</si>
  <si>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</si>
  <si>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</si>
  <si>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</si>
  <si>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</si>
  <si>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</si>
  <si>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</si>
  <si>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</si>
  <si>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</si>
  <si>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</si>
  <si>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</si>
  <si>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</si>
  <si>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</si>
  <si>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</si>
  <si>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</si>
  <si>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</si>
  <si>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</si>
  <si>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</si>
  <si>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</si>
  <si>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</si>
  <si>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</si>
  <si>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</si>
  <si>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</si>
  <si>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</si>
  <si>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Libuš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</si>
  <si>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</si>
  <si>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</si>
  <si>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</si>
  <si>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</si>
  <si>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</si>
  <si>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</si>
  <si>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</si>
  <si>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</si>
  <si>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</si>
  <si>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</si>
  <si>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</si>
  <si>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</si>
  <si>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</si>
  <si>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</si>
  <si>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</si>
  <si>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Bubník Martin</t>
  </si>
  <si>
    <t>Výdaje</t>
  </si>
  <si>
    <t>Eszenyiová Patrícia</t>
  </si>
  <si>
    <t>Coufal Jakub</t>
  </si>
  <si>
    <t>Počet zpožděných našich rozvozů +5 min</t>
  </si>
  <si>
    <t>Počet rozvozů</t>
  </si>
  <si>
    <t xml:space="preserve">Vlastní vůz </t>
  </si>
  <si>
    <t>počet výdajových dokadů</t>
  </si>
  <si>
    <t>Jurkovič Martin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</si>
  <si>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</si>
  <si>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</si>
  <si>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</si>
  <si>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</si>
  <si>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</si>
  <si>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8:30</t>
  </si>
  <si>
    <t>29:00</t>
  </si>
  <si>
    <t>Dušek Sam</t>
  </si>
  <si>
    <t>14:30</t>
  </si>
  <si>
    <t>7:00</t>
  </si>
  <si>
    <t>Prošek Václav</t>
  </si>
  <si>
    <t>12 min 49 s</t>
  </si>
  <si>
    <t>Vlož Souhrn mzdy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</si>
  <si>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</si>
  <si>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</si>
  <si>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</si>
  <si>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</si>
  <si>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10:00 - 17:00 (Instor)</t>
  </si>
  <si>
    <t>17:00 - 1:00 (Instor)</t>
  </si>
  <si>
    <t>10:00 - 2:00 (Instor)</t>
  </si>
  <si>
    <t>17:00 - 3:00 (Instor)</t>
  </si>
  <si>
    <t>17:00 - 0:00 (Instor)</t>
  </si>
  <si>
    <t>Nedvěd Dominik</t>
  </si>
  <si>
    <t>17:00 - 1:00 (Kurýr)</t>
  </si>
  <si>
    <t>13:00 - 20:00 (Kurýr)</t>
  </si>
  <si>
    <t>Pavel Břicháč</t>
  </si>
  <si>
    <t>11:00 - 1:00 (Kurýr)</t>
  </si>
  <si>
    <t>11:00 - 17:00 (Kurýr)</t>
  </si>
  <si>
    <t>11:00 - 19:00 (Kurýr)</t>
  </si>
  <si>
    <t>11:00 - 18:00 (Kurýr)</t>
  </si>
  <si>
    <t>19:00 - 0:00 (Instor)</t>
  </si>
  <si>
    <t>19:00 - 23:00 (Instor)</t>
  </si>
  <si>
    <t>Serin David</t>
  </si>
  <si>
    <t>17:00 - 0:00 (Kurýr)</t>
  </si>
  <si>
    <t>18:00 - 0:00 (Kurýr)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</si>
</sst>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sz val="22.0"/>
      <color theme="1"/>
      <name val="Arial"/>
    </font>
    <font>
      <b/>
      <sz val="11.0"/>
      <color rgb="FFEFEFEF"/>
      <name val="Arial"/>
    </font>
    <font>
      <sz val="14.0"/>
      <color rgb="FF000000"/>
      <name val="Arial"/>
    </font>
    <font>
      <color rgb="FFCCCCCC"/>
      <name val="Arial"/>
    </font>
    <font>
      <b/>
      <sz val="12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27BA0"/>
        <bgColor rgb="FFC27BA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4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18" fillId="9" fontId="2" numFmtId="0" xfId="0" applyAlignment="1" applyBorder="1" applyFont="1">
      <alignment horizontal="center" readingOrder="0" vertical="center"/>
    </xf>
    <xf borderId="17" fillId="0" fontId="6" numFmtId="0" xfId="0" applyBorder="1" applyFont="1"/>
    <xf borderId="3" fillId="11" fontId="15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6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7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6" fillId="0" fontId="6" numFmtId="0" xfId="0" applyBorder="1" applyFont="1"/>
    <xf borderId="24" fillId="0" fontId="6" numFmtId="0" xfId="0" applyBorder="1" applyFont="1"/>
    <xf borderId="12" fillId="0" fontId="6" numFmtId="0" xfId="0" applyBorder="1" applyFont="1"/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7" fillId="9" fontId="1" numFmtId="49" xfId="0" applyAlignment="1" applyBorder="1" applyFont="1" applyNumberFormat="1">
      <alignment horizontal="center" readingOrder="0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8" numFmtId="0" xfId="0" applyAlignment="1" applyFont="1">
      <alignment horizontal="center" readingOrder="0" shrinkToFit="0" vertical="center" wrapText="1"/>
    </xf>
    <xf borderId="0" fillId="9" fontId="19" numFmtId="0" xfId="0" applyAlignment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7" fillId="10" fontId="18" numFmtId="0" xfId="0" applyAlignment="1" applyBorder="1" applyFont="1">
      <alignment horizontal="center" shrinkToFit="0" wrapText="1"/>
    </xf>
    <xf borderId="27" fillId="10" fontId="14" numFmtId="0" xfId="0" applyAlignment="1" applyBorder="1" applyFont="1">
      <alignment horizontal="center" shrinkToFit="0" wrapText="1"/>
    </xf>
    <xf borderId="25" fillId="10" fontId="14" numFmtId="0" xfId="0" applyAlignment="1" applyBorder="1" applyFont="1">
      <alignment horizontal="center" shrinkToFit="0" wrapText="1"/>
    </xf>
    <xf borderId="27" fillId="13" fontId="18" numFmtId="0" xfId="0" applyAlignment="1" applyBorder="1" applyFill="1" applyFont="1">
      <alignment horizontal="center" shrinkToFit="0" wrapText="1"/>
    </xf>
    <xf borderId="27" fillId="13" fontId="18" numFmtId="166" xfId="0" applyAlignment="1" applyBorder="1" applyFont="1" applyNumberFormat="1">
      <alignment horizontal="center" shrinkToFit="0" wrapText="1"/>
    </xf>
    <xf borderId="27" fillId="13" fontId="2" numFmtId="0" xfId="0" applyAlignment="1" applyBorder="1" applyFont="1">
      <alignment horizontal="center"/>
    </xf>
    <xf borderId="25" fillId="13" fontId="18" numFmtId="0" xfId="0" applyAlignment="1" applyBorder="1" applyFont="1">
      <alignment horizontal="center" shrinkToFit="0" wrapText="1"/>
    </xf>
    <xf borderId="0" fillId="5" fontId="2" numFmtId="2" xfId="0" applyFont="1" applyNumberFormat="1"/>
    <xf borderId="21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9" fillId="10" fontId="18" numFmtId="0" xfId="0" applyAlignment="1" applyBorder="1" applyFont="1">
      <alignment horizontal="center" shrinkToFit="0" wrapText="1"/>
    </xf>
    <xf borderId="29" fillId="10" fontId="14" numFmtId="0" xfId="0" applyAlignment="1" applyBorder="1" applyFont="1">
      <alignment horizontal="center" shrinkToFit="0" wrapText="1"/>
    </xf>
    <xf borderId="30" fillId="10" fontId="18" numFmtId="0" xfId="0" applyAlignment="1" applyBorder="1" applyFont="1">
      <alignment horizontal="center" shrinkToFit="0" wrapText="1"/>
    </xf>
    <xf borderId="27" fillId="9" fontId="2" numFmtId="49" xfId="0" applyAlignment="1" applyBorder="1" applyFont="1" applyNumberFormat="1">
      <alignment horizontal="center" readingOrder="0" vertical="center"/>
    </xf>
    <xf borderId="27" fillId="12" fontId="17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32" fillId="0" fontId="6" numFmtId="0" xfId="0" applyBorder="1" applyFont="1"/>
    <xf borderId="33" fillId="15" fontId="18" numFmtId="0" xfId="0" applyAlignment="1" applyBorder="1" applyFill="1" applyFont="1">
      <alignment horizontal="center" shrinkToFit="0" wrapText="1"/>
    </xf>
    <xf borderId="25" fillId="16" fontId="2" numFmtId="0" xfId="0" applyAlignment="1" applyBorder="1" applyFill="1" applyFont="1">
      <alignment horizontal="center"/>
    </xf>
    <xf borderId="27" fillId="9" fontId="2" numFmtId="49" xfId="0" applyAlignment="1" applyBorder="1" applyFont="1" applyNumberFormat="1">
      <alignment horizontal="center" readingOrder="0"/>
    </xf>
    <xf borderId="34" fillId="10" fontId="14" numFmtId="0" xfId="0" applyAlignment="1" applyBorder="1" applyFont="1">
      <alignment horizontal="center" shrinkToFit="0" wrapText="1"/>
    </xf>
    <xf borderId="28" fillId="0" fontId="6" numFmtId="0" xfId="0" applyBorder="1" applyFont="1"/>
    <xf borderId="0" fillId="9" fontId="21" numFmtId="0" xfId="0" applyAlignment="1" applyFont="1">
      <alignment readingOrder="0"/>
    </xf>
    <xf borderId="35" fillId="16" fontId="2" numFmtId="0" xfId="0" applyAlignment="1" applyBorder="1" applyFont="1">
      <alignment horizontal="center"/>
    </xf>
    <xf borderId="33" fillId="0" fontId="6" numFmtId="0" xfId="0" applyBorder="1" applyFont="1"/>
    <xf borderId="27" fillId="13" fontId="2" numFmtId="10" xfId="0" applyAlignment="1" applyBorder="1" applyFont="1" applyNumberFormat="1">
      <alignment horizontal="center"/>
    </xf>
    <xf borderId="25" fillId="13" fontId="2" numFmtId="0" xfId="0" applyAlignment="1" applyBorder="1" applyFont="1">
      <alignment horizontal="center"/>
    </xf>
    <xf borderId="0" fillId="17" fontId="2" numFmtId="0" xfId="0" applyFill="1" applyFont="1"/>
    <xf borderId="0" fillId="2" fontId="22" numFmtId="2" xfId="0" applyAlignment="1" applyFont="1" applyNumberFormat="1">
      <alignment horizontal="center" vertical="center"/>
    </xf>
    <xf borderId="3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15" fillId="17" fontId="2" numFmtId="0" xfId="0" applyBorder="1" applyFont="1"/>
    <xf borderId="37" fillId="13" fontId="2" numFmtId="10" xfId="0" applyAlignment="1" applyBorder="1" applyFont="1" applyNumberFormat="1">
      <alignment horizontal="center"/>
    </xf>
    <xf borderId="38" fillId="13" fontId="2" numFmtId="10" xfId="0" applyAlignment="1" applyBorder="1" applyFont="1" applyNumberFormat="1">
      <alignment horizontal="center"/>
    </xf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3" numFmtId="168" xfId="0" applyAlignment="1" applyBorder="1" applyFont="1" applyNumberFormat="1">
      <alignment horizontal="center" readingOrder="0" shrinkToFit="0" vertical="center" wrapText="0"/>
    </xf>
    <xf borderId="2" fillId="19" fontId="24" numFmtId="0" xfId="0" applyAlignment="1" applyBorder="1" applyFill="1" applyFont="1">
      <alignment horizontal="center" readingOrder="0" shrinkToFit="0" vertical="center" wrapText="1"/>
    </xf>
    <xf borderId="4" fillId="5" fontId="25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6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39" fillId="5" fontId="10" numFmtId="0" xfId="0" applyAlignment="1" applyBorder="1" applyFont="1">
      <alignment horizontal="center" vertical="center"/>
    </xf>
    <xf borderId="38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0" fillId="5" fontId="14" numFmtId="0" xfId="0" applyAlignment="1" applyBorder="1" applyFont="1">
      <alignment horizontal="center" readingOrder="0" vertical="center"/>
    </xf>
    <xf borderId="3" fillId="5" fontId="15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0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8" numFmtId="0" xfId="0" applyAlignment="1" applyFont="1">
      <alignment horizontal="center" readingOrder="0" shrinkToFit="0" vertical="center" wrapText="1"/>
    </xf>
    <xf borderId="41" fillId="10" fontId="18" numFmtId="0" xfId="0" applyAlignment="1" applyBorder="1" applyFont="1">
      <alignment horizontal="center" shrinkToFit="0" vertical="center" wrapText="1"/>
    </xf>
    <xf borderId="42" fillId="10" fontId="18" numFmtId="0" xfId="0" applyAlignment="1" applyBorder="1" applyFont="1">
      <alignment horizontal="center" shrinkToFit="0" vertical="center" wrapText="1"/>
    </xf>
    <xf borderId="42" fillId="10" fontId="14" numFmtId="0" xfId="0" applyAlignment="1" applyBorder="1" applyFont="1">
      <alignment horizontal="center" shrinkToFit="0" vertical="center" wrapText="1"/>
    </xf>
    <xf borderId="43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4" fillId="13" fontId="18" numFmtId="0" xfId="0" applyAlignment="1" applyBorder="1" applyFont="1">
      <alignment horizontal="center" readingOrder="0" shrinkToFit="0" vertical="center" wrapText="1"/>
    </xf>
    <xf borderId="27" fillId="13" fontId="18" numFmtId="166" xfId="0" applyAlignment="1" applyBorder="1" applyFont="1" applyNumberFormat="1">
      <alignment horizontal="center" readingOrder="0" shrinkToFit="0" vertical="center" wrapText="1"/>
    </xf>
    <xf borderId="27" fillId="13" fontId="2" numFmtId="0" xfId="0" applyAlignment="1" applyBorder="1" applyFont="1">
      <alignment horizontal="center" readingOrder="0" vertical="center"/>
    </xf>
    <xf borderId="25" fillId="13" fontId="18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29" fillId="10" fontId="18" numFmtId="0" xfId="0" applyAlignment="1" applyBorder="1" applyFont="1">
      <alignment horizontal="center" shrinkToFit="0" vertical="center" wrapText="1"/>
    </xf>
    <xf borderId="29" fillId="10" fontId="14" numFmtId="0" xfId="0" applyAlignment="1" applyBorder="1" applyFont="1">
      <alignment horizontal="center" shrinkToFit="0" vertical="center" wrapText="1"/>
    </xf>
    <xf borderId="30" fillId="10" fontId="18" numFmtId="0" xfId="0" applyAlignment="1" applyBorder="1" applyFont="1">
      <alignment horizontal="center" shrinkToFit="0" vertical="center" wrapText="1"/>
    </xf>
    <xf borderId="44" fillId="15" fontId="18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29" fillId="10" fontId="14" numFmtId="169" xfId="0" applyAlignment="1" applyBorder="1" applyFont="1" applyNumberFormat="1">
      <alignment horizontal="center" shrinkToFit="0" vertical="center" wrapText="1"/>
    </xf>
    <xf borderId="30" fillId="10" fontId="18" numFmtId="169" xfId="0" applyAlignment="1" applyBorder="1" applyFont="1" applyNumberFormat="1">
      <alignment horizontal="center" shrinkToFit="0" vertical="center" wrapText="1"/>
    </xf>
    <xf borderId="47" fillId="20" fontId="2" numFmtId="0" xfId="0" applyAlignment="1" applyBorder="1" applyFon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Alignment="1" applyBorder="1" applyFont="1" applyNumberFormat="1">
      <alignment horizontal="center" vertical="center"/>
    </xf>
    <xf borderId="29" fillId="10" fontId="18" numFmtId="169" xfId="0" applyAlignment="1" applyBorder="1" applyFont="1" applyNumberFormat="1">
      <alignment horizontal="center" shrinkToFit="0" vertical="center" wrapText="1"/>
    </xf>
    <xf borderId="37" fillId="13" fontId="2" numFmtId="10" xfId="0" applyAlignment="1" applyBorder="1" applyFont="1" applyNumberFormat="1">
      <alignment horizontal="center" readingOrder="0" vertical="center"/>
    </xf>
    <xf borderId="38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1" numFmtId="0" xfId="0" applyFill="1" applyFont="1"/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6" numFmtId="0" xfId="0" applyAlignment="1" applyFont="1">
      <alignment vertical="bottom"/>
    </xf>
    <xf borderId="0" fillId="5" fontId="2" numFmtId="0" xfId="0" applyAlignment="1" applyFont="1">
      <alignment vertical="bottom"/>
    </xf>
    <xf borderId="19" fillId="22" fontId="27" numFmtId="0" xfId="0" applyAlignment="1" applyBorder="1" applyFill="1" applyFont="1">
      <alignment readingOrder="0" shrinkToFit="0" vertical="bottom" wrapText="1"/>
    </xf>
    <xf borderId="0" fillId="5" fontId="27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46205.0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SUMIFS(RestiaCSV!C:C, RestiaCSV!B:B, "&lt;&gt;canceled", RestiaCSV!B:B, "&lt;&gt;expired")</f>
        <v>0</v>
      </c>
      <c r="K2" s="22"/>
      <c r="L2" s="24" t="s">
        <v>1550</v>
      </c>
      <c r="M2" s="25">
        <f>SUMIFS(RestiaCSV!C:C, RestiaCSV!A:A, Report!L2, RestiaCSV!B:B, "&lt;&gt;canceled", RestiaCSV!B:B, "&lt;&gt;expired")</f>
        <v>0</v>
      </c>
    </row>
    <row r="3">
      <c r="A3" s="26"/>
      <c r="B3" s="27" t="str">
        <f>CHOOSE(WEEKDAY(D1), "Neděle", "Pondělí", "Úterý", "Středa", "Čtvrtek", "Pátek", "Sobota")</f>
        <v>Čtvrtek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48"/>
      <c r="J11" s="49">
        <f>M2+M3+M4+M5+M6+M13+M14+M15+M16+M17+M9+M11+M10-I2</f>
        <v>442</v>
      </c>
      <c r="K11" s="12"/>
      <c r="L11" s="50" t="s">
        <v>25</v>
      </c>
      <c r="M11" s="39"/>
    </row>
    <row r="12">
      <c r="A12" s="51">
        <f t="array" ref="A12">IF(ISBLANK(B12), 0, IF(ISNUMBER(MATCH(B12, HR!A:A, 0)), 0, IF(ISNUMBER(MATCH(B12, HR!B:B, 0)), INDEX(HR!V:V, MATCH(B12, HR!B:B, 0)) * (F12 * 24), 0)))</f>
        <v>2140.8</v>
      </c>
      <c r="B12" s="52" t="s">
        <v>1564</v>
      </c>
      <c r="C12" s="53" t="s">
        <v>45</v>
      </c>
      <c r="D12" s="53" t="s">
        <v>46</v>
      </c>
      <c r="E12" s="54"/>
      <c r="F12" s="55" t="str">
        <f t="shared" ref="F12:F14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08:00</v>
      </c>
      <c r="G12" s="37"/>
      <c r="I12" s="48"/>
      <c r="J12" s="37"/>
      <c r="K12" s="22"/>
      <c r="L12" s="56" t="s">
        <v>1565</v>
      </c>
      <c r="M12" s="20"/>
    </row>
    <row r="13">
      <c r="A13" s="51">
        <f t="array" ref="A13">IF(ISBLANK(B13), 0, IF(ISNUMBER(MATCH(B13, HR!A:A, 0)), 0, IF(ISNUMBER(MATCH(B13, HR!B:B, 0)), INDEX(HR!V:V, MATCH(B13, HR!B:B, 0)) * (F13 * 24), 0)))</f>
        <v>1751.442</v>
      </c>
      <c r="B13" s="52" t="s">
        <v>1566</v>
      </c>
      <c r="C13" s="53" t="s">
        <v>41</v>
      </c>
      <c r="D13" s="53" t="s">
        <v>45</v>
      </c>
      <c r="E13" s="54"/>
      <c r="F13" s="55" t="str">
        <f t="shared" si="1"/>
        <v>07:00</v>
      </c>
      <c r="G13" s="57"/>
      <c r="H13" s="58"/>
      <c r="I13" s="59"/>
      <c r="J13" s="37"/>
      <c r="K13" s="22"/>
      <c r="L13" s="24" t="s">
        <v>29</v>
      </c>
      <c r="M13" s="39"/>
    </row>
    <row r="14">
      <c r="A14" s="51">
        <f t="array" ref="A14">IF(ISBLANK(B14), 0, IF(ISNUMBER(MATCH(B14, HR!A:A, 0)), 0, IF(ISNUMBER(MATCH(B14, HR!B:B, 0)), INDEX(HR!V:V, MATCH(B14, HR!B:B, 0)) * (F14 * 24), 0)))</f>
        <v>1000.824</v>
      </c>
      <c r="B14" s="52" t="s">
        <v>1567</v>
      </c>
      <c r="C14" s="53" t="s">
        <v>1512</v>
      </c>
      <c r="D14" s="53" t="s">
        <v>49</v>
      </c>
      <c r="E14" s="54"/>
      <c r="F14" s="55" t="str">
        <f t="shared" si="1"/>
        <v>04:00</v>
      </c>
      <c r="G14" s="60"/>
      <c r="I14" s="22"/>
      <c r="J14" s="37"/>
      <c r="K14" s="22"/>
      <c r="L14" s="61" t="s">
        <v>30</v>
      </c>
      <c r="M14" s="39"/>
    </row>
    <row r="15">
      <c r="A15" s="51">
        <f t="array" ref="A15">IF(ISBLANK(B15), 0, IF(ISNUMBER(MATCH(B15, HR!A:A, 0)), 0, IF(ISNUMBER(MATCH(B15, HR!B:B, 0)), INDEX(HR!V:V, MATCH(B15, HR!B:B, 0)) * (F15 * 24), 0)))</f>
        <v>0</v>
      </c>
      <c r="B15" s="52"/>
      <c r="C15" s="62"/>
      <c r="D15" s="53"/>
      <c r="E15" s="54"/>
      <c r="F15" s="55" t="str">
        <f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TIMEVALUE(IF(ISBLANK(C14), "00:00", C14)) - TIMEVALUE(IF(ISBLANK(E15), "00:00", E15))), "hh:mm"))
</f>
        <v>0:00</v>
      </c>
      <c r="I15" s="22"/>
      <c r="J15" s="37"/>
      <c r="K15" s="22"/>
      <c r="L15" s="61" t="s">
        <v>31</v>
      </c>
      <c r="M15" s="39"/>
    </row>
    <row r="16">
      <c r="A16" s="51">
        <f t="array" ref="A16">IF(ISBLANK(B16), 0, IF(ISNUMBER(MATCH(B16, HR!A:A, 0)), 0, IF(ISNUMBER(MATCH(B16, HR!B:B, 0)), INDEX(HR!V:V, MATCH(B16, HR!B:B, 0)) * (F16 * 24), 0)))</f>
        <v>0</v>
      </c>
      <c r="B16" s="52"/>
      <c r="C16" s="53"/>
      <c r="D16" s="53"/>
      <c r="E16" s="54"/>
      <c r="F16" s="55" t="str">
        <f t="shared" ref="F16:F21" si="2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
</f>
        <v>0:00</v>
      </c>
      <c r="I16" s="22"/>
      <c r="J16" s="37"/>
      <c r="K16" s="22"/>
      <c r="L16" s="61" t="s">
        <v>32</v>
      </c>
      <c r="M16" s="39">
        <v>442.0</v>
      </c>
    </row>
    <row r="17">
      <c r="A17" s="51">
        <f t="array" ref="A17">IF(ISBLANK(B17), 0, IF(ISNUMBER(MATCH(B17, HR!A:A, 0)), 0, IF(ISNUMBER(MATCH(B17, HR!B:B, 0)), INDEX(HR!V:V, MATCH(B17, HR!B:B, 0)) * (F17 * 24), 0)))</f>
        <v>0</v>
      </c>
      <c r="B17" s="52"/>
      <c r="C17" s="53"/>
      <c r="D17" s="53"/>
      <c r="E17" s="54"/>
      <c r="F17" s="55" t="str">
        <f t="shared" si="2"/>
        <v>0:00</v>
      </c>
      <c r="G17" s="29"/>
      <c r="H17" s="29"/>
      <c r="I17" s="20"/>
      <c r="J17" s="19"/>
      <c r="K17" s="20"/>
      <c r="L17" s="63" t="s">
        <v>33</v>
      </c>
      <c r="M17" s="64">
        <f>sum(I25:I31)</f>
        <v>0</v>
      </c>
    </row>
    <row r="18" ht="21.75" customHeight="1">
      <c r="A18" s="51">
        <f t="array" ref="A18">IF(ISBLANK(B18), 0, IF(ISNUMBER(MATCH(B18, HR!A:A, 0)), 0, IF(ISNUMBER(MATCH(B18, HR!B:B, 0)), INDEX(HR!V:V, MATCH(B18, HR!B:B, 0)) * (F18 * 24), 0)))</f>
        <v>0</v>
      </c>
      <c r="B18" s="52"/>
      <c r="C18" s="53"/>
      <c r="D18" s="53"/>
      <c r="E18" s="54"/>
      <c r="F18" s="55" t="str">
        <f t="shared" si="2"/>
        <v>0:00</v>
      </c>
      <c r="G18" s="56" t="s">
        <v>16</v>
      </c>
      <c r="H18" s="29"/>
      <c r="I18" s="20"/>
      <c r="J18" s="65"/>
      <c r="M18" s="22"/>
    </row>
    <row r="19">
      <c r="A19" s="51">
        <f t="array" ref="A19">IF(ISBLANK(B19), 0, IF(ISNUMBER(MATCH(B19, HR!A:A, 0)), 0, IF(ISNUMBER(MATCH(B19, HR!B:B, 0)), INDEX(HR!V:V, MATCH(B19, HR!B:B, 0)) * (F19 * 24), 0)))</f>
        <v>0</v>
      </c>
      <c r="B19" s="52"/>
      <c r="C19" s="53"/>
      <c r="D19" s="53"/>
      <c r="E19" s="54"/>
      <c r="F19" s="55" t="str">
        <f t="shared" si="2"/>
        <v>0:00</v>
      </c>
      <c r="G19" s="66"/>
      <c r="I19" s="22"/>
      <c r="M19" s="22"/>
    </row>
    <row r="20">
      <c r="A20" s="51">
        <f t="array" ref="A20">IF(ISBLANK(B20), 0, IF(ISNUMBER(MATCH(B20, HR!A:A, 0)), 0, IF(ISNUMBER(MATCH(B20, HR!B:B, 0)), INDEX(HR!V:V, MATCH(B20, HR!B:B, 0)) * (F20 * 24), 0)))</f>
        <v>0</v>
      </c>
      <c r="B20" s="52"/>
      <c r="C20" s="53"/>
      <c r="D20" s="53"/>
      <c r="E20" s="54"/>
      <c r="F20" s="55" t="str">
        <f t="shared" si="2"/>
        <v>0:00</v>
      </c>
      <c r="I20" s="22"/>
      <c r="M20" s="22"/>
    </row>
    <row r="21" ht="23.25" customHeight="1">
      <c r="A21" s="51">
        <f t="array" ref="A21">IF(ISBLANK(B21), 0, IF(ISNUMBER(MATCH(B21, HR!A:A, 0)), 0, IF(ISNUMBER(MATCH(B21, HR!B:B, 0)), INDEX(HR!V:V, MATCH(B21, HR!B:B, 0)) * (F21 * 24), 0)))</f>
        <v>0</v>
      </c>
      <c r="B21" s="52"/>
      <c r="C21" s="53"/>
      <c r="D21" s="53"/>
      <c r="E21" s="54"/>
      <c r="F21" s="55" t="str">
        <f t="shared" si="2"/>
        <v>0:00</v>
      </c>
      <c r="G21" s="29"/>
      <c r="H21" s="29"/>
      <c r="I21" s="20"/>
      <c r="M21" s="22"/>
    </row>
    <row r="22">
      <c r="A22" s="67"/>
      <c r="B22" s="68"/>
      <c r="C22" s="29"/>
      <c r="D22" s="29"/>
      <c r="E22" s="29"/>
      <c r="F22" s="29"/>
      <c r="G22" s="29"/>
      <c r="H22" s="29"/>
      <c r="I22" s="20"/>
      <c r="J22" s="69" t="s">
        <v>34</v>
      </c>
      <c r="K22" s="69" t="s">
        <v>35</v>
      </c>
      <c r="L22" s="70" t="s">
        <v>1568</v>
      </c>
      <c r="M22" s="71" t="s">
        <v>37</v>
      </c>
    </row>
    <row r="23">
      <c r="A23" s="67"/>
      <c r="B23" s="40" t="s">
        <v>78</v>
      </c>
      <c r="I23" s="22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6"/>
      <c r="B24" s="44" t="s">
        <v>1559</v>
      </c>
      <c r="C24" s="45" t="s">
        <v>1560</v>
      </c>
      <c r="D24" s="45" t="s">
        <v>1561</v>
      </c>
      <c r="E24" s="45" t="s">
        <v>1562</v>
      </c>
      <c r="F24" s="77" t="s">
        <v>1563</v>
      </c>
      <c r="G24" s="77" t="s">
        <v>1569</v>
      </c>
      <c r="H24" s="77" t="s">
        <v>1570</v>
      </c>
      <c r="I24" s="46" t="s">
        <v>13</v>
      </c>
      <c r="J24" s="78" t="s">
        <v>1571</v>
      </c>
      <c r="K24" s="79" t="s">
        <v>1470</v>
      </c>
      <c r="L24" s="80" t="s">
        <v>1471</v>
      </c>
      <c r="M24" s="81" t="s">
        <v>1472</v>
      </c>
    </row>
    <row r="25">
      <c r="A25" s="51">
        <f t="array" ref="A25">IF(ISBLANK(B25), 0, IF(ISNUMBER(MATCH(B25, HR!A:A, 0)), 0, IF(ISNUMBER(MATCH(B25, HR!B:B, 0)), INDEX(HR!V:V, MATCH(B25, HR!B:B, 0)) * (F25 * 24), 0)))</f>
        <v>900</v>
      </c>
      <c r="B25" s="52" t="s">
        <v>1572</v>
      </c>
      <c r="C25" s="82" t="s">
        <v>63</v>
      </c>
      <c r="D25" s="82" t="s">
        <v>45</v>
      </c>
      <c r="E25" s="82"/>
      <c r="F25" s="83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06:00</v>
      </c>
      <c r="G25" s="84">
        <f>COUNTIF(RestiaCSV!E:E, B25)</f>
        <v>0</v>
      </c>
      <c r="H25" s="85" t="b">
        <v>1</v>
      </c>
      <c r="I25" s="86">
        <f>IF(H25,G25*40, 0)</f>
        <v>0</v>
      </c>
      <c r="J25" s="59"/>
      <c r="K25" s="87"/>
      <c r="L25" s="87"/>
      <c r="M25" s="88"/>
    </row>
    <row r="26">
      <c r="A26" s="51">
        <f t="array" ref="A26">IF(ISBLANK(B26), 0, IF(ISNUMBER(MATCH(B26, HR!A:A, 0)), 0, IF(ISNUMBER(MATCH(B26, HR!B:B, 0)), INDEX(HR!V:V, MATCH(B26, HR!B:B, 0)) * (F26 * 24), 0)))</f>
        <v>0</v>
      </c>
      <c r="B26" s="52"/>
      <c r="C26" s="82"/>
      <c r="D26" s="82"/>
      <c r="E26" s="82"/>
      <c r="F26" s="83" t="str">
        <f t="shared" si="3"/>
        <v>0:00</v>
      </c>
      <c r="G26" s="84">
        <f>COUNTIF(RestiaCSV!E:E, B26)</f>
        <v>0</v>
      </c>
      <c r="H26" s="85" t="b">
        <v>1</v>
      </c>
      <c r="I26" s="86">
        <f t="shared" ref="I26:I31" si="4">IF(H26,G26*45, 0)</f>
        <v>0</v>
      </c>
      <c r="J26" s="89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90">
        <f>COUNTIFS(RestiaCSV!M:M, "&gt;5",RestiaCSV!A:A, "&lt;&gt;wolt")</f>
        <v>0</v>
      </c>
    </row>
    <row r="27">
      <c r="A27" s="51">
        <f t="array" ref="A27">IF(ISBLANK(B27), 0, IF(ISNUMBER(MATCH(B27, HR!A:A, 0)), 0, IF(ISNUMBER(MATCH(B27, HR!B:B, 0)), INDEX(HR!V:V, MATCH(B27, HR!B:B, 0)) * (F27 * 24), 0)))</f>
        <v>0</v>
      </c>
      <c r="B27" s="52"/>
      <c r="C27" s="91"/>
      <c r="D27" s="91"/>
      <c r="E27" s="82"/>
      <c r="F27" s="83" t="str">
        <f t="shared" si="3"/>
        <v>0:00</v>
      </c>
      <c r="G27" s="84">
        <f>COUNTIF(RestiaCSV!E:E, B27)</f>
        <v>0</v>
      </c>
      <c r="H27" s="85" t="b">
        <v>0</v>
      </c>
      <c r="I27" s="86">
        <f t="shared" si="4"/>
        <v>0</v>
      </c>
      <c r="J27" s="92" t="s">
        <v>1573</v>
      </c>
      <c r="K27" s="93"/>
      <c r="L27" s="80" t="s">
        <v>1474</v>
      </c>
      <c r="M27" s="81" t="s">
        <v>1475</v>
      </c>
    </row>
    <row r="28" ht="24.0" customHeight="1">
      <c r="A28" s="51">
        <f t="array" ref="A28">IF(ISBLANK(B28), 0, IF(ISNUMBER(MATCH(B28, HR!A:A, 0)), 0, IF(ISNUMBER(MATCH(B28, HR!B:B, 0)), INDEX(HR!V:V, MATCH(B28, HR!B:B, 0)) * (F28 * 24), 0)))</f>
        <v>0</v>
      </c>
      <c r="B28" s="94"/>
      <c r="C28" s="82"/>
      <c r="D28" s="82"/>
      <c r="E28" s="82"/>
      <c r="F28" s="83" t="str">
        <f t="shared" si="3"/>
        <v>0:00</v>
      </c>
      <c r="G28" s="84">
        <f>COUNTIF(RestiaCSV!E:E, B28)</f>
        <v>0</v>
      </c>
      <c r="H28" s="85" t="b">
        <v>0</v>
      </c>
      <c r="I28" s="86">
        <f t="shared" si="4"/>
        <v>0</v>
      </c>
      <c r="J28" s="58"/>
      <c r="K28" s="59"/>
      <c r="L28" s="87"/>
      <c r="M28" s="88"/>
    </row>
    <row r="29">
      <c r="A29" s="51">
        <f t="array" ref="A29">IF(ISBLANK(B29), 0, IF(ISNUMBER(MATCH(B29, HR!A:A, 0)), 0, IF(ISNUMBER(MATCH(B29, HR!B:B, 0)), INDEX(HR!V:V, MATCH(B29, HR!B:B, 0)) * (F29 * 24), 0)))</f>
        <v>0</v>
      </c>
      <c r="B29" s="52"/>
      <c r="C29" s="82"/>
      <c r="D29" s="82"/>
      <c r="E29" s="82"/>
      <c r="F29" s="83" t="str">
        <f t="shared" si="3"/>
        <v>0:00</v>
      </c>
      <c r="G29" s="84">
        <f>COUNTIF(RestiaCSV!E:E, B29)</f>
        <v>0</v>
      </c>
      <c r="H29" s="85" t="b">
        <v>0</v>
      </c>
      <c r="I29" s="86">
        <f t="shared" si="4"/>
        <v>0</v>
      </c>
      <c r="J29" s="95">
        <f>COUNTIFS(RestiaCSV!M:M, "&gt;5", RestiaCSV!L:L, "&gt;5")</f>
        <v>0</v>
      </c>
      <c r="K29" s="96"/>
      <c r="L29" s="97" t="str">
        <f>L23/L26</f>
        <v>#DIV/0!</v>
      </c>
      <c r="M29" s="98">
        <f>COUNTIFS(RestiaCSV!L:L, "&gt;5", RestiaCSV!F:F, "delivery", RestiaCSV!E:E, "Wolt Kurýr")</f>
        <v>0</v>
      </c>
    </row>
    <row r="30">
      <c r="A30" s="51">
        <f t="array" ref="A30">IF(ISBLANK(B30), 0, IF(ISNUMBER(MATCH(B30, HR!A:A, 0)), 0, IF(ISNUMBER(MATCH(B30, HR!B:B, 0)), INDEX(HR!V:V, MATCH(B30, HR!B:B, 0)) * (F30 * 24), 0)))</f>
        <v>0</v>
      </c>
      <c r="B30" s="52"/>
      <c r="C30" s="82"/>
      <c r="D30" s="82"/>
      <c r="E30" s="82"/>
      <c r="F30" s="83" t="str">
        <f t="shared" si="3"/>
        <v>0:00</v>
      </c>
      <c r="G30" s="84">
        <f>COUNTIF(RestiaCSV!E:E, B30)</f>
        <v>0</v>
      </c>
      <c r="H30" s="85" t="b">
        <v>0</v>
      </c>
      <c r="I30" s="86">
        <f t="shared" si="4"/>
        <v>0</v>
      </c>
      <c r="J30" s="99"/>
      <c r="K30" s="99"/>
      <c r="L30" s="79" t="s">
        <v>1476</v>
      </c>
      <c r="M30" s="81" t="s">
        <v>1477</v>
      </c>
    </row>
    <row r="31">
      <c r="A31" s="51">
        <f t="array" ref="A31">IF(ISBLANK(B31), 0, IF(ISNUMBER(MATCH(B31, HR!A:A, 0)), 0, IF(ISNUMBER(MATCH(B31, HR!B:B, 0)), INDEX(HR!V:V, MATCH(B31, HR!B:B, 0)) * (F31 * 24), 0)))</f>
        <v>0</v>
      </c>
      <c r="B31" s="52"/>
      <c r="C31" s="82"/>
      <c r="D31" s="82"/>
      <c r="E31" s="82"/>
      <c r="F31" s="83" t="str">
        <f t="shared" si="3"/>
        <v>0:00</v>
      </c>
      <c r="G31" s="84">
        <f>COUNTIF(RestiaCSV!E:E, B31)</f>
        <v>0</v>
      </c>
      <c r="H31" s="85" t="b">
        <v>0</v>
      </c>
      <c r="I31" s="86">
        <f t="shared" si="4"/>
        <v>0</v>
      </c>
      <c r="J31" s="99"/>
      <c r="K31" s="99"/>
      <c r="L31" s="87"/>
      <c r="M31" s="88"/>
    </row>
    <row r="32">
      <c r="A32" s="100"/>
      <c r="B32" s="101" t="s">
        <v>90</v>
      </c>
      <c r="C32" s="102" t="s">
        <v>14</v>
      </c>
      <c r="D32" s="29"/>
      <c r="E32" s="29"/>
      <c r="F32" s="103"/>
      <c r="G32" s="104">
        <f>COUNTIFS(RestiaCSV!E:E, "wolt kurýr", RestiaCSV!A:A, "&lt;&gt;wolt")</f>
        <v>0</v>
      </c>
      <c r="H32" s="105" t="b">
        <v>1</v>
      </c>
      <c r="I32" s="106">
        <f>G32*127</f>
        <v>0</v>
      </c>
      <c r="J32" s="107"/>
      <c r="K32" s="107"/>
      <c r="L32" s="108" t="str">
        <f>100%-L29</f>
        <v>#DIV/0!</v>
      </c>
      <c r="M32" s="10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12:B21">
      <formula1>"Sova Martin,Ahurieva Viktoriia,Šebesta Tomáš,Coufal Jakub,Hegedüs Erik,Bubník Martin,Berdar Vasyl,Gorol Patrik,Hegedüs Gergö,Barvínková Eliška,Kubík Martin,Kopic Jakub,Prošek Václav,Millington Emmanuel,Kašpárek Jan,Remač Jiří"</formula1>
    </dataValidation>
    <dataValidation type="list" allowBlank="1" sqref="G11 G19">
      <formula1>"Bubník Martin,Eszenyiová Patrícia,Coufal Jakub"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Sam,Serin David,Břicháč Pavel,Weindling Josef,Kumar Jatinder"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Libuš</v>
      </c>
      <c r="C1" s="112">
        <v>46204.0</v>
      </c>
      <c r="D1" s="113" t="s">
        <v>1574</v>
      </c>
      <c r="E1" s="114">
        <v>46204.0</v>
      </c>
      <c r="F1" s="115" t="s">
        <v>28</v>
      </c>
      <c r="G1" s="14"/>
      <c r="H1" s="15"/>
      <c r="I1" s="115" t="s">
        <v>26</v>
      </c>
      <c r="J1" s="14"/>
      <c r="K1" s="15"/>
      <c r="L1" s="116" t="s">
        <v>1549</v>
      </c>
      <c r="M1" s="22"/>
      <c r="N1" s="116"/>
    </row>
    <row r="2" ht="19.5" customHeight="1">
      <c r="A2" s="110"/>
      <c r="B2" s="18"/>
      <c r="C2" s="19"/>
      <c r="D2" s="18"/>
      <c r="E2" s="20"/>
      <c r="F2" s="117">
        <v>0.26342478580568773</v>
      </c>
      <c r="H2" s="22"/>
      <c r="I2" s="118">
        <v>47291.99999999999</v>
      </c>
      <c r="K2" s="22"/>
      <c r="L2" s="119" t="s">
        <v>1550</v>
      </c>
      <c r="M2" s="120">
        <v>18234.00000000001</v>
      </c>
      <c r="N2" s="121"/>
    </row>
    <row r="3">
      <c r="A3" s="122"/>
      <c r="B3" s="123" t="str">
        <f>CHOOSE(WEEKDAY(C1), "Neděle", "Pondělí", "Úterý", "Středa", "Čtvrtek", "Pátek", "Sobota")</f>
        <v>Středa</v>
      </c>
      <c r="C3" s="28"/>
      <c r="D3" s="123" t="str">
        <f>CHOOSE(WEEKDAY(E1), "Neděle", "Pondělí", "Úterý", "Středa", "Čtvrtek", "Pátek", "Sobota")</f>
        <v>Středa</v>
      </c>
      <c r="E3" s="12"/>
      <c r="H3" s="22"/>
      <c r="K3" s="22"/>
      <c r="L3" s="124" t="s">
        <v>1551</v>
      </c>
      <c r="M3" s="125">
        <v>3329.0</v>
      </c>
      <c r="N3" s="121"/>
    </row>
    <row r="4">
      <c r="A4" s="122"/>
      <c r="B4" s="19"/>
      <c r="C4" s="29"/>
      <c r="D4" s="19"/>
      <c r="E4" s="20"/>
      <c r="F4" s="29"/>
      <c r="G4" s="29"/>
      <c r="H4" s="20"/>
      <c r="I4" s="29"/>
      <c r="J4" s="29"/>
      <c r="K4" s="20"/>
      <c r="L4" s="124" t="s">
        <v>1552</v>
      </c>
      <c r="M4" s="125">
        <v>8765.0</v>
      </c>
      <c r="N4" s="121"/>
    </row>
    <row r="5">
      <c r="A5" s="126"/>
      <c r="B5" s="127" t="s">
        <v>1575</v>
      </c>
      <c r="C5" s="28"/>
      <c r="D5" s="28"/>
      <c r="E5" s="12"/>
      <c r="F5" s="128" t="s">
        <v>1576</v>
      </c>
      <c r="G5" s="28"/>
      <c r="H5" s="28"/>
      <c r="I5" s="28"/>
      <c r="J5" s="28"/>
      <c r="K5" s="12"/>
      <c r="L5" s="129" t="s">
        <v>1554</v>
      </c>
      <c r="M5" s="125">
        <v>9515.0</v>
      </c>
      <c r="N5" s="121"/>
    </row>
    <row r="6">
      <c r="A6" s="126"/>
      <c r="B6" s="19"/>
      <c r="C6" s="29"/>
      <c r="D6" s="29"/>
      <c r="E6" s="20"/>
      <c r="F6" s="29"/>
      <c r="G6" s="29"/>
      <c r="H6" s="29"/>
      <c r="I6" s="29"/>
      <c r="J6" s="29"/>
      <c r="K6" s="20"/>
      <c r="L6" s="129" t="s">
        <v>1555</v>
      </c>
      <c r="M6" s="125">
        <v>0.0</v>
      </c>
      <c r="N6" s="121"/>
    </row>
    <row r="7">
      <c r="A7" s="130"/>
      <c r="B7" s="131">
        <f>TEXT(SUMPRODUCT((IFERROR(LEFT(D10:D30, FIND(":", D10:D30) - 1) * 60, 0) + IFERROR(MID(D10:D30, FIND(":", D10:D30) + 1, LEN(D10:D30) - FIND(":", D10:D30)), 0))), "[h]:mm")/60</f>
        <v>22.5</v>
      </c>
      <c r="C7" s="29"/>
      <c r="D7" s="29"/>
      <c r="E7" s="20"/>
      <c r="F7" s="132">
        <f>TEXT(SUMPRODUCT((IFERROR(LEFT(H10:H30, FIND(":", H10:H30) - 1) * 60, 0) + IFERROR(MID(H10:H30, FIND(":", H10:H30) + 1, LEN(H10:H30) - FIND(":", H10:H30)), 0))), "[h]:mm")/60</f>
        <v>14.5</v>
      </c>
      <c r="G7" s="14"/>
      <c r="H7" s="14"/>
      <c r="I7" s="14"/>
      <c r="J7" s="133"/>
      <c r="K7" s="133"/>
      <c r="L7" s="134" t="s">
        <v>1556</v>
      </c>
      <c r="M7" s="135">
        <v>898.0</v>
      </c>
      <c r="N7" s="121"/>
    </row>
    <row r="8">
      <c r="A8" s="136"/>
      <c r="B8" s="137" t="s">
        <v>1557</v>
      </c>
      <c r="C8" s="14"/>
      <c r="D8" s="14"/>
      <c r="E8" s="15"/>
      <c r="F8" s="138" t="s">
        <v>78</v>
      </c>
      <c r="G8" s="14"/>
      <c r="H8" s="14"/>
      <c r="I8" s="15"/>
      <c r="J8" s="139" t="s">
        <v>1558</v>
      </c>
      <c r="K8" s="12"/>
      <c r="L8" s="140" t="s">
        <v>25</v>
      </c>
      <c r="M8" s="15"/>
      <c r="N8" s="116"/>
    </row>
    <row r="9">
      <c r="A9" s="141"/>
      <c r="B9" s="142" t="s">
        <v>1559</v>
      </c>
      <c r="C9" s="143" t="s">
        <v>1577</v>
      </c>
      <c r="D9" s="143" t="s">
        <v>1563</v>
      </c>
      <c r="E9" s="144"/>
      <c r="F9" s="142" t="s">
        <v>1559</v>
      </c>
      <c r="G9" s="143" t="s">
        <v>1577</v>
      </c>
      <c r="H9" s="143" t="s">
        <v>1563</v>
      </c>
      <c r="I9" s="145" t="s">
        <v>1569</v>
      </c>
      <c r="J9" s="146">
        <v>2.1827872842550278E-11</v>
      </c>
      <c r="K9" s="12"/>
      <c r="L9" s="147" t="s">
        <v>23</v>
      </c>
      <c r="M9" s="125">
        <v>3569.0</v>
      </c>
      <c r="N9" s="121"/>
    </row>
    <row r="10" ht="18.75" customHeight="1">
      <c r="A10" s="148"/>
      <c r="B10" s="149" t="s">
        <v>1564</v>
      </c>
      <c r="C10" s="150">
        <v>1.0</v>
      </c>
      <c r="D10" s="150" t="s">
        <v>1578</v>
      </c>
      <c r="E10" s="151" t="s">
        <v>1579</v>
      </c>
      <c r="F10" s="149" t="s">
        <v>1580</v>
      </c>
      <c r="G10" s="150">
        <v>1.0</v>
      </c>
      <c r="H10" s="150" t="s">
        <v>1581</v>
      </c>
      <c r="I10" s="152">
        <v>17.0</v>
      </c>
      <c r="J10" s="37"/>
      <c r="K10" s="22"/>
      <c r="L10" s="147" t="s">
        <v>24</v>
      </c>
      <c r="M10" s="125">
        <v>0.0</v>
      </c>
      <c r="N10" s="121"/>
    </row>
    <row r="11" ht="18.75" customHeight="1">
      <c r="A11" s="148"/>
      <c r="B11" s="149" t="s">
        <v>1490</v>
      </c>
      <c r="C11" s="150">
        <v>1.0</v>
      </c>
      <c r="D11" s="150" t="s">
        <v>1582</v>
      </c>
      <c r="E11" s="151" t="s">
        <v>49</v>
      </c>
      <c r="F11" s="149"/>
      <c r="G11" s="150"/>
      <c r="H11" s="150"/>
      <c r="I11" s="152"/>
      <c r="J11" s="37"/>
      <c r="K11" s="22"/>
      <c r="L11" s="153" t="s">
        <v>25</v>
      </c>
      <c r="M11" s="154">
        <v>2516.0</v>
      </c>
      <c r="N11" s="121"/>
    </row>
    <row r="12" ht="18.75" customHeight="1">
      <c r="A12" s="148"/>
      <c r="B12" s="149" t="s">
        <v>1583</v>
      </c>
      <c r="C12" s="150">
        <v>1.0</v>
      </c>
      <c r="D12" s="150" t="s">
        <v>1582</v>
      </c>
      <c r="E12" s="151" t="s">
        <v>50</v>
      </c>
      <c r="F12" s="149"/>
      <c r="G12" s="150"/>
      <c r="H12" s="150"/>
      <c r="I12" s="152"/>
      <c r="J12" s="37"/>
      <c r="K12" s="22"/>
      <c r="L12" s="155" t="s">
        <v>1565</v>
      </c>
      <c r="M12" s="20"/>
      <c r="N12" s="116"/>
    </row>
    <row r="13" ht="18.75" customHeight="1">
      <c r="A13" s="148"/>
      <c r="B13" s="149"/>
      <c r="C13" s="150"/>
      <c r="D13" s="150"/>
      <c r="E13" s="151" t="s">
        <v>50</v>
      </c>
      <c r="F13" s="149"/>
      <c r="G13" s="150"/>
      <c r="H13" s="150"/>
      <c r="I13" s="152"/>
      <c r="J13" s="37"/>
      <c r="K13" s="22"/>
      <c r="L13" s="147" t="s">
        <v>29</v>
      </c>
      <c r="M13" s="125">
        <v>0.0</v>
      </c>
      <c r="N13" s="121"/>
    </row>
    <row r="14" ht="18.75" customHeight="1">
      <c r="A14" s="148"/>
      <c r="B14" s="149"/>
      <c r="C14" s="150"/>
      <c r="D14" s="150"/>
      <c r="E14" s="151" t="s">
        <v>1582</v>
      </c>
      <c r="F14" s="149"/>
      <c r="G14" s="150"/>
      <c r="H14" s="150"/>
      <c r="I14" s="152"/>
      <c r="J14" s="37"/>
      <c r="K14" s="22"/>
      <c r="L14" s="156" t="s">
        <v>30</v>
      </c>
      <c r="M14" s="125">
        <v>0.0</v>
      </c>
      <c r="N14" s="121"/>
    </row>
    <row r="15" ht="18.75" customHeight="1">
      <c r="A15" s="148"/>
      <c r="B15" s="149"/>
      <c r="C15" s="150"/>
      <c r="D15" s="150"/>
      <c r="E15" s="151" t="s">
        <v>1582</v>
      </c>
      <c r="F15" s="149"/>
      <c r="G15" s="150"/>
      <c r="H15" s="150"/>
      <c r="I15" s="152"/>
      <c r="J15" s="37"/>
      <c r="K15" s="22"/>
      <c r="L15" s="156" t="s">
        <v>31</v>
      </c>
      <c r="M15" s="125">
        <v>0.0</v>
      </c>
      <c r="N15" s="121"/>
    </row>
    <row r="16" ht="18.75" customHeight="1">
      <c r="A16" s="148"/>
      <c r="B16" s="149"/>
      <c r="C16" s="150"/>
      <c r="D16" s="150"/>
      <c r="E16" s="157"/>
      <c r="F16" s="149"/>
      <c r="G16" s="150"/>
      <c r="H16" s="150"/>
      <c r="I16" s="152"/>
      <c r="J16" s="37"/>
      <c r="K16" s="22"/>
      <c r="L16" s="156" t="s">
        <v>32</v>
      </c>
      <c r="M16" s="125">
        <v>684.0</v>
      </c>
      <c r="N16" s="121"/>
    </row>
    <row r="17" ht="18.75" customHeight="1">
      <c r="A17" s="148"/>
      <c r="B17" s="149"/>
      <c r="C17" s="150"/>
      <c r="D17" s="150"/>
      <c r="E17" s="157"/>
      <c r="F17" s="149"/>
      <c r="G17" s="150"/>
      <c r="H17" s="150"/>
      <c r="I17" s="152"/>
      <c r="J17" s="19"/>
      <c r="K17" s="20"/>
      <c r="L17" s="158" t="s">
        <v>33</v>
      </c>
      <c r="M17" s="159">
        <v>680.0</v>
      </c>
      <c r="N17" s="121"/>
    </row>
    <row r="18" ht="18.75" customHeight="1">
      <c r="A18" s="148"/>
      <c r="B18" s="149"/>
      <c r="C18" s="150"/>
      <c r="D18" s="150"/>
      <c r="E18" s="157"/>
      <c r="F18" s="149"/>
      <c r="G18" s="150"/>
      <c r="H18" s="150"/>
      <c r="I18" s="152"/>
      <c r="J18" s="160"/>
      <c r="K18" s="14"/>
      <c r="L18" s="14"/>
      <c r="M18" s="15"/>
      <c r="N18" s="161"/>
    </row>
    <row r="19" ht="18.75" customHeight="1">
      <c r="A19" s="148"/>
      <c r="B19" s="149"/>
      <c r="C19" s="150"/>
      <c r="D19" s="150"/>
      <c r="E19" s="157"/>
      <c r="F19" s="149"/>
      <c r="G19" s="150"/>
      <c r="H19" s="150"/>
      <c r="I19" s="152"/>
      <c r="J19" s="162" t="s">
        <v>34</v>
      </c>
      <c r="K19" s="163" t="s">
        <v>35</v>
      </c>
      <c r="L19" s="164" t="s">
        <v>1568</v>
      </c>
      <c r="M19" s="165" t="s">
        <v>37</v>
      </c>
      <c r="N19" s="166"/>
    </row>
    <row r="20" ht="18.75" customHeight="1">
      <c r="A20" s="148"/>
      <c r="B20" s="149"/>
      <c r="C20" s="150"/>
      <c r="D20" s="150"/>
      <c r="E20" s="157"/>
      <c r="F20" s="149"/>
      <c r="G20" s="150"/>
      <c r="H20" s="150"/>
      <c r="I20" s="152"/>
      <c r="J20" s="167"/>
      <c r="K20" s="87"/>
      <c r="L20" s="87"/>
      <c r="M20" s="88"/>
      <c r="N20" s="166"/>
    </row>
    <row r="21" ht="18.75" customHeight="1">
      <c r="A21" s="148"/>
      <c r="B21" s="149"/>
      <c r="C21" s="150"/>
      <c r="D21" s="150"/>
      <c r="E21" s="157"/>
      <c r="F21" s="149"/>
      <c r="G21" s="150"/>
      <c r="H21" s="150"/>
      <c r="I21" s="152"/>
      <c r="J21" s="168">
        <v>0.0</v>
      </c>
      <c r="K21" s="169">
        <v>0.0</v>
      </c>
      <c r="L21" s="170">
        <v>0.0</v>
      </c>
      <c r="M21" s="171" t="s">
        <v>1584</v>
      </c>
      <c r="N21" s="161"/>
    </row>
    <row r="22" ht="18.75" customHeight="1">
      <c r="A22" s="148"/>
      <c r="B22" s="149"/>
      <c r="C22" s="150"/>
      <c r="D22" s="150"/>
      <c r="E22" s="157"/>
      <c r="F22" s="149"/>
      <c r="G22" s="150"/>
      <c r="H22" s="150"/>
      <c r="I22" s="152"/>
      <c r="J22" s="172" t="s">
        <v>1571</v>
      </c>
      <c r="K22" s="173" t="s">
        <v>1470</v>
      </c>
      <c r="L22" s="174" t="s">
        <v>1471</v>
      </c>
      <c r="M22" s="175" t="s">
        <v>1472</v>
      </c>
      <c r="N22" s="161"/>
    </row>
    <row r="23" ht="18.75" customHeight="1">
      <c r="A23" s="148"/>
      <c r="B23" s="149"/>
      <c r="C23" s="150"/>
      <c r="D23" s="150"/>
      <c r="E23" s="157"/>
      <c r="F23" s="149"/>
      <c r="G23" s="150"/>
      <c r="H23" s="150"/>
      <c r="I23" s="152"/>
      <c r="J23" s="167"/>
      <c r="K23" s="87"/>
      <c r="L23" s="87"/>
      <c r="M23" s="88"/>
      <c r="N23" s="161"/>
    </row>
    <row r="24" ht="18.75" customHeight="1">
      <c r="A24" s="148"/>
      <c r="B24" s="149"/>
      <c r="C24" s="150"/>
      <c r="D24" s="150"/>
      <c r="E24" s="157"/>
      <c r="F24" s="149"/>
      <c r="G24" s="150"/>
      <c r="H24" s="150"/>
      <c r="I24" s="152"/>
      <c r="J24" s="176">
        <v>1.0</v>
      </c>
      <c r="K24" s="170">
        <v>118.0</v>
      </c>
      <c r="L24" s="170">
        <v>17.0</v>
      </c>
      <c r="M24" s="177">
        <v>0.0</v>
      </c>
      <c r="N24" s="161"/>
    </row>
    <row r="25" ht="18.75" customHeight="1">
      <c r="A25" s="148"/>
      <c r="B25" s="149"/>
      <c r="C25" s="150"/>
      <c r="D25" s="150"/>
      <c r="E25" s="157"/>
      <c r="F25" s="149"/>
      <c r="G25" s="150"/>
      <c r="H25" s="150"/>
      <c r="I25" s="152"/>
      <c r="J25" s="178" t="s">
        <v>1573</v>
      </c>
      <c r="K25" s="93"/>
      <c r="L25" s="179" t="s">
        <v>1474</v>
      </c>
      <c r="M25" s="180" t="s">
        <v>1475</v>
      </c>
      <c r="N25" s="161"/>
    </row>
    <row r="26" ht="21.75" customHeight="1">
      <c r="A26" s="148"/>
      <c r="B26" s="149"/>
      <c r="C26" s="150"/>
      <c r="D26" s="150"/>
      <c r="E26" s="157"/>
      <c r="F26" s="149"/>
      <c r="G26" s="150"/>
      <c r="H26" s="150"/>
      <c r="I26" s="152"/>
      <c r="J26" s="57"/>
      <c r="K26" s="59"/>
      <c r="L26" s="87"/>
      <c r="M26" s="88"/>
      <c r="N26" s="161"/>
    </row>
    <row r="27" ht="18.75" customHeight="1">
      <c r="A27" s="148"/>
      <c r="B27" s="149"/>
      <c r="C27" s="150"/>
      <c r="D27" s="150"/>
      <c r="E27" s="157"/>
      <c r="F27" s="149"/>
      <c r="G27" s="150"/>
      <c r="H27" s="150"/>
      <c r="I27" s="152"/>
      <c r="J27" s="181">
        <v>0.0</v>
      </c>
      <c r="K27" s="96"/>
      <c r="L27" s="182">
        <v>0.0</v>
      </c>
      <c r="M27" s="183">
        <v>0.0</v>
      </c>
      <c r="N27" s="161"/>
    </row>
    <row r="28" ht="18.75" customHeight="1">
      <c r="A28" s="148"/>
      <c r="B28" s="149"/>
      <c r="C28" s="150"/>
      <c r="D28" s="150"/>
      <c r="E28" s="157"/>
      <c r="F28" s="149"/>
      <c r="G28" s="150"/>
      <c r="H28" s="150"/>
      <c r="I28" s="152"/>
      <c r="J28" s="184"/>
      <c r="L28" s="185" t="s">
        <v>1476</v>
      </c>
      <c r="M28" s="180" t="s">
        <v>1477</v>
      </c>
      <c r="N28" s="161"/>
    </row>
    <row r="29" ht="18.75" customHeight="1">
      <c r="A29" s="148"/>
      <c r="B29" s="149"/>
      <c r="C29" s="150"/>
      <c r="D29" s="150"/>
      <c r="E29" s="157"/>
      <c r="F29" s="149"/>
      <c r="G29" s="150"/>
      <c r="H29" s="150"/>
      <c r="I29" s="152"/>
      <c r="J29" s="37"/>
      <c r="L29" s="87"/>
      <c r="M29" s="88"/>
      <c r="N29" s="161"/>
    </row>
    <row r="30" ht="18.75" customHeight="1">
      <c r="A30" s="148"/>
      <c r="B30" s="149"/>
      <c r="C30" s="150"/>
      <c r="D30" s="150"/>
      <c r="E30" s="157"/>
      <c r="F30" s="149"/>
      <c r="G30" s="150"/>
      <c r="H30" s="150"/>
      <c r="I30" s="152"/>
      <c r="J30" s="19"/>
      <c r="K30" s="29"/>
      <c r="L30" s="186">
        <v>1.0</v>
      </c>
      <c r="M30" s="187">
        <v>0.0</v>
      </c>
      <c r="N30" s="1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  <col customWidth="1" min="13" max="13" width="16.2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</row>
    <row r="2">
      <c r="A2" s="1"/>
      <c r="B2" s="1"/>
      <c r="C2" s="189"/>
      <c r="D2" s="1"/>
      <c r="E2" s="188"/>
      <c r="F2" s="1"/>
      <c r="G2" s="1"/>
      <c r="H2" s="1"/>
      <c r="I2" s="1"/>
      <c r="J2" s="1"/>
      <c r="K2" s="188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89"/>
      <c r="D3" s="1"/>
      <c r="E3" s="1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</row>
    <row r="5">
      <c r="A5" s="1"/>
      <c r="B5" s="1"/>
      <c r="C5" s="189"/>
      <c r="D5" s="1"/>
      <c r="E5" s="1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</row>
    <row r="6">
      <c r="A6" s="1"/>
      <c r="B6" s="1"/>
      <c r="C6" s="189"/>
      <c r="D6" s="1"/>
      <c r="E6" s="188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</row>
    <row r="7">
      <c r="A7" s="1"/>
      <c r="B7" s="1"/>
      <c r="C7" s="189"/>
      <c r="D7" s="1"/>
      <c r="E7" s="188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</row>
    <row r="8">
      <c r="A8" s="1"/>
      <c r="B8" s="1"/>
      <c r="C8" s="189"/>
      <c r="D8" s="1"/>
      <c r="E8" s="188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</row>
    <row r="9">
      <c r="A9" s="1"/>
      <c r="B9" s="1"/>
      <c r="C9" s="189"/>
      <c r="D9" s="1"/>
      <c r="E9" s="188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</row>
    <row r="10">
      <c r="A10" s="1"/>
      <c r="B10" s="189"/>
      <c r="C10" s="189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</row>
    <row r="11">
      <c r="A11" s="1"/>
      <c r="B11" s="1"/>
      <c r="C11" s="189"/>
      <c r="D11" s="1"/>
      <c r="E11" s="1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</row>
    <row r="12">
      <c r="A12" s="1"/>
      <c r="B12" s="1"/>
      <c r="C12" s="189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</row>
    <row r="13">
      <c r="A13" s="1"/>
      <c r="B13" s="1"/>
      <c r="C13" s="189"/>
      <c r="D13" s="1"/>
      <c r="E13" s="1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</row>
    <row r="14">
      <c r="A14" s="1"/>
      <c r="B14" s="1"/>
      <c r="C14" s="189"/>
      <c r="D14" s="1"/>
      <c r="E14" s="1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</row>
    <row r="15">
      <c r="A15" s="1"/>
      <c r="B15" s="1"/>
      <c r="C15" s="189"/>
      <c r="D15" s="1"/>
      <c r="E15" s="1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>
      <c r="A16" s="1"/>
      <c r="B16" s="189"/>
      <c r="C16" s="1"/>
      <c r="D16" s="1"/>
      <c r="E16" s="1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</row>
    <row r="18">
      <c r="A18" s="1"/>
      <c r="B18" s="1"/>
      <c r="C18" s="189"/>
      <c r="D18" s="1"/>
      <c r="E18" s="188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</row>
    <row r="19">
      <c r="A19" s="1"/>
      <c r="B19" s="1"/>
      <c r="C19" s="189"/>
      <c r="D19" s="1"/>
      <c r="E19" s="1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</row>
    <row r="20">
      <c r="A20" s="1"/>
      <c r="B20" s="1"/>
      <c r="C20" s="189"/>
      <c r="D20" s="1"/>
      <c r="E20" s="188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</row>
    <row r="21">
      <c r="A21" s="1"/>
      <c r="B21" s="1"/>
      <c r="C21" s="189"/>
      <c r="D21" s="1"/>
      <c r="E21" s="188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</row>
    <row r="22">
      <c r="A22" s="1"/>
      <c r="B22" s="1"/>
      <c r="C22" s="189"/>
      <c r="D22" s="1"/>
      <c r="E22" s="188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</row>
    <row r="23">
      <c r="A23" s="1"/>
      <c r="B23" s="1"/>
      <c r="C23" s="189"/>
      <c r="D23" s="1"/>
      <c r="E23" s="188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</row>
    <row r="24">
      <c r="A24" s="1"/>
      <c r="B24" s="1"/>
      <c r="C24" s="189"/>
      <c r="D24" s="1"/>
      <c r="E24" s="1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</row>
    <row r="25">
      <c r="A25" s="1"/>
      <c r="B25" s="1"/>
      <c r="C25" s="189"/>
      <c r="D25" s="1"/>
      <c r="E25" s="1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</row>
    <row r="26">
      <c r="A26" s="1"/>
      <c r="B26" s="1"/>
      <c r="C26" s="189"/>
      <c r="D26" s="1"/>
      <c r="E26" s="1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</row>
    <row r="27">
      <c r="A27" s="1"/>
      <c r="B27" s="1"/>
      <c r="C27" s="189"/>
      <c r="D27" s="1"/>
      <c r="E27" s="188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</row>
    <row r="28">
      <c r="A28" s="1"/>
      <c r="B28" s="189"/>
      <c r="C28" s="189"/>
      <c r="D28" s="1"/>
      <c r="E28" s="188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</row>
    <row r="29">
      <c r="A29" s="1"/>
      <c r="B29" s="1"/>
      <c r="C29" s="189"/>
      <c r="D29" s="1"/>
      <c r="E29" s="188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</row>
    <row r="30">
      <c r="A30" s="1"/>
      <c r="B30" s="189"/>
      <c r="C30" s="189"/>
      <c r="D30" s="1"/>
      <c r="E30" s="1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</row>
    <row r="31">
      <c r="A31" s="1"/>
      <c r="B31" s="1"/>
      <c r="C31" s="189"/>
      <c r="D31" s="1"/>
      <c r="E31" s="1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</row>
    <row r="32">
      <c r="A32" s="1"/>
      <c r="B32" s="189"/>
      <c r="C32" s="189"/>
      <c r="D32" s="1"/>
      <c r="E32" s="188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</row>
    <row r="33">
      <c r="A33" s="1"/>
      <c r="B33" s="1"/>
      <c r="C33" s="189"/>
      <c r="D33" s="1"/>
      <c r="E33" s="188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</row>
    <row r="34">
      <c r="A34" s="1"/>
      <c r="B34" s="189"/>
      <c r="C34" s="189"/>
      <c r="D34" s="1"/>
      <c r="E34" s="1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</row>
    <row r="35">
      <c r="A35" s="1"/>
      <c r="B35" s="1"/>
      <c r="C35" s="189"/>
      <c r="D35" s="1"/>
      <c r="E35" s="1"/>
      <c r="F35" s="1"/>
      <c r="G35" s="1"/>
      <c r="H35" s="1"/>
      <c r="I35" s="1"/>
      <c r="J35" s="1"/>
      <c r="K35" s="188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</row>
    <row r="36">
      <c r="A36" s="1"/>
      <c r="B36" s="1"/>
      <c r="C36" s="189"/>
      <c r="D36" s="1"/>
      <c r="E36" s="1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</row>
    <row r="37">
      <c r="A37" s="1"/>
      <c r="B37" s="189"/>
      <c r="C37" s="189"/>
      <c r="D37" s="1"/>
      <c r="E37" s="1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</row>
    <row r="38">
      <c r="A38" s="1"/>
      <c r="B38" s="1"/>
      <c r="C38" s="189"/>
      <c r="D38" s="1"/>
      <c r="E38" s="188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</row>
    <row r="39">
      <c r="A39" s="1"/>
      <c r="B39" s="1"/>
      <c r="C39" s="189"/>
      <c r="D39" s="1"/>
      <c r="E39" s="1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</row>
    <row r="40">
      <c r="A40" s="1"/>
      <c r="B40" s="1"/>
      <c r="C40" s="189"/>
      <c r="D40" s="1"/>
      <c r="E40" s="188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</row>
    <row r="41">
      <c r="A41" s="1"/>
      <c r="B41" s="1"/>
      <c r="C41" s="1"/>
      <c r="D41" s="1"/>
      <c r="E41" s="188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</row>
    <row r="42">
      <c r="A42" s="1"/>
      <c r="B42" s="1"/>
      <c r="C42" s="189"/>
      <c r="D42" s="1"/>
      <c r="E42" s="1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</row>
    <row r="43">
      <c r="A43" s="1"/>
      <c r="B43" s="1"/>
      <c r="C43" s="189"/>
      <c r="D43" s="1"/>
      <c r="E43" s="188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</row>
    <row r="44">
      <c r="A44" s="1"/>
      <c r="B44" s="1"/>
      <c r="C44" s="189"/>
      <c r="D44" s="1"/>
      <c r="E44" s="188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</row>
    <row r="45">
      <c r="A45" s="1"/>
      <c r="B45" s="1"/>
      <c r="C45" s="189"/>
      <c r="D45" s="1"/>
      <c r="E45" s="1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</row>
    <row r="46">
      <c r="A46" s="1"/>
      <c r="B46" s="1"/>
      <c r="C46" s="189"/>
      <c r="D46" s="1"/>
      <c r="E46" s="188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</row>
    <row r="47">
      <c r="A47" s="1"/>
      <c r="B47" s="1"/>
      <c r="C47" s="189"/>
      <c r="D47" s="1"/>
      <c r="E47" s="1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</row>
    <row r="48">
      <c r="A48" s="1"/>
      <c r="B48" s="1"/>
      <c r="C48" s="189"/>
      <c r="D48" s="1"/>
      <c r="E48" s="1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</row>
    <row r="50">
      <c r="A50" s="1"/>
      <c r="B50" s="1"/>
      <c r="C50" s="189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</row>
    <row r="51">
      <c r="A51" s="1"/>
      <c r="B51" s="1"/>
      <c r="C51" s="1"/>
      <c r="D51" s="1"/>
      <c r="E51" s="188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</row>
    <row r="52">
      <c r="A52" s="1"/>
      <c r="B52" s="1"/>
      <c r="C52" s="189"/>
      <c r="D52" s="1"/>
      <c r="E52" s="1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</row>
    <row r="53">
      <c r="A53" s="1"/>
      <c r="B53" s="1"/>
      <c r="C53" s="189"/>
      <c r="D53" s="1"/>
      <c r="E53" s="188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</row>
    <row r="54">
      <c r="A54" s="1"/>
      <c r="B54" s="189"/>
      <c r="C54" s="1"/>
      <c r="D54" s="1"/>
      <c r="E54" s="1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</row>
    <row r="55">
      <c r="A55" s="1"/>
      <c r="B55" s="1"/>
      <c r="C55" s="189"/>
      <c r="D55" s="1"/>
      <c r="E55" s="1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</row>
    <row r="56">
      <c r="A56" s="1"/>
      <c r="B56" s="1"/>
      <c r="C56" s="189"/>
      <c r="D56" s="1"/>
      <c r="E56" s="1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</row>
    <row r="57">
      <c r="A57" s="1"/>
      <c r="B57" s="189"/>
      <c r="C57" s="189"/>
      <c r="D57" s="1"/>
      <c r="E57" s="1"/>
      <c r="F57" s="1"/>
      <c r="G57" s="1"/>
      <c r="H57" s="1"/>
      <c r="I57" s="1"/>
      <c r="J57" s="1"/>
      <c r="K57" s="188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</row>
    <row r="58">
      <c r="A58" s="1"/>
      <c r="B58" s="1"/>
      <c r="C58" s="189"/>
      <c r="D58" s="1"/>
      <c r="E58" s="188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</row>
    <row r="59">
      <c r="A59" s="1"/>
      <c r="B59" s="1"/>
      <c r="C59" s="189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</row>
    <row r="60">
      <c r="A60" s="1"/>
      <c r="B60" s="1"/>
      <c r="C60" s="189"/>
      <c r="D60" s="1"/>
      <c r="E60" s="1"/>
      <c r="F60" s="1"/>
      <c r="G60" s="1"/>
      <c r="H60" s="1"/>
      <c r="I60" s="1"/>
      <c r="J60" s="1"/>
      <c r="K60" s="188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</row>
    <row r="61">
      <c r="A61" s="1"/>
      <c r="B61" s="1"/>
      <c r="C61" s="189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</row>
    <row r="62">
      <c r="A62" s="1"/>
      <c r="B62" s="189"/>
      <c r="C62" s="189"/>
      <c r="D62" s="1"/>
      <c r="E62" s="188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</row>
    <row r="63">
      <c r="A63" s="1"/>
      <c r="B63" s="1"/>
      <c r="C63" s="189"/>
      <c r="D63" s="1"/>
      <c r="E63" s="188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</row>
    <row r="64">
      <c r="A64" s="1"/>
      <c r="B64" s="189"/>
      <c r="C64" s="189"/>
      <c r="D64" s="1"/>
      <c r="E64" s="1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</row>
    <row r="65">
      <c r="A65" s="1"/>
      <c r="B65" s="1"/>
      <c r="C65" s="189"/>
      <c r="D65" s="1"/>
      <c r="E65" s="1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</row>
    <row r="66">
      <c r="A66" s="1"/>
      <c r="B66" s="1"/>
      <c r="C66" s="189"/>
      <c r="D66" s="1"/>
      <c r="E66" s="188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</row>
    <row r="67">
      <c r="A67" s="1"/>
      <c r="B67" s="1"/>
      <c r="C67" s="189"/>
      <c r="D67" s="1"/>
      <c r="E67" s="1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</row>
    <row r="68">
      <c r="A68" s="1"/>
      <c r="B68" s="189"/>
      <c r="C68" s="189"/>
      <c r="D68" s="1"/>
      <c r="E68" s="1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</row>
    <row r="69">
      <c r="A69" s="1"/>
      <c r="B69" s="1"/>
      <c r="C69" s="189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</row>
    <row r="70">
      <c r="A70" s="1"/>
      <c r="B70" s="1"/>
      <c r="C70" s="189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</row>
    <row r="71">
      <c r="A71" s="1"/>
      <c r="B71" s="1"/>
      <c r="C71" s="189"/>
      <c r="D71" s="1"/>
      <c r="E71" s="1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</row>
    <row r="72">
      <c r="A72" s="1"/>
      <c r="B72" s="1"/>
      <c r="C72" s="189"/>
      <c r="D72" s="1"/>
      <c r="E72" s="1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</row>
    <row r="73">
      <c r="A73" s="1"/>
      <c r="B73" s="189"/>
      <c r="C73" s="189"/>
      <c r="D73" s="1"/>
      <c r="E73" s="1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</row>
    <row r="74">
      <c r="A74" s="1"/>
      <c r="B74" s="1"/>
      <c r="C74" s="189"/>
      <c r="D74" s="1"/>
      <c r="E74" s="188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</row>
    <row r="76">
      <c r="A76" s="1"/>
      <c r="B76" s="1"/>
      <c r="C76" s="189"/>
      <c r="D76" s="1"/>
      <c r="E76" s="1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</row>
    <row r="77">
      <c r="A77" s="1"/>
      <c r="B77" s="1"/>
      <c r="C77" s="189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</row>
    <row r="78">
      <c r="A78" s="1"/>
      <c r="B78" s="1"/>
      <c r="C78" s="189"/>
      <c r="D78" s="1"/>
      <c r="E78" s="188"/>
      <c r="F78" s="1"/>
      <c r="G78" s="1"/>
      <c r="H78" s="1"/>
      <c r="I78" s="1"/>
      <c r="J78" s="1"/>
      <c r="K78" s="188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</row>
    <row r="80">
      <c r="A80" s="1"/>
      <c r="B80" s="1"/>
      <c r="C80" s="189"/>
      <c r="D80" s="1"/>
      <c r="E80" s="188"/>
      <c r="F80" s="1"/>
      <c r="G80" s="1"/>
      <c r="H80" s="1"/>
      <c r="I80" s="1"/>
      <c r="J80" s="1"/>
      <c r="K80" s="188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</row>
    <row r="81">
      <c r="A81" s="1"/>
      <c r="B81" s="1"/>
      <c r="C81" s="189"/>
      <c r="D81" s="1"/>
      <c r="E81" s="1"/>
      <c r="F81" s="1"/>
      <c r="G81" s="1"/>
      <c r="H81" s="1"/>
      <c r="I81" s="1"/>
      <c r="J81" s="1"/>
      <c r="K81" s="188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</row>
    <row r="82">
      <c r="A82" s="1"/>
      <c r="B82" s="1"/>
      <c r="C82" s="189"/>
      <c r="D82" s="1"/>
      <c r="E82" s="1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</row>
    <row r="83">
      <c r="A83" s="1"/>
      <c r="B83" s="1"/>
      <c r="C83" s="1"/>
      <c r="D83" s="1"/>
      <c r="E83" s="188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</row>
    <row r="84">
      <c r="A84" s="1"/>
      <c r="B84" s="1"/>
      <c r="C84" s="189"/>
      <c r="D84" s="1"/>
      <c r="E84" s="188"/>
      <c r="F84" s="1"/>
      <c r="G84" s="1"/>
      <c r="H84" s="1"/>
      <c r="I84" s="1"/>
      <c r="J84" s="1"/>
      <c r="K84" s="188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</row>
    <row r="85">
      <c r="A85" s="1"/>
      <c r="B85" s="1"/>
      <c r="C85" s="189"/>
      <c r="D85" s="1"/>
      <c r="E85" s="1"/>
      <c r="F85" s="1"/>
      <c r="G85" s="1"/>
      <c r="H85" s="1"/>
      <c r="I85" s="1"/>
      <c r="J85" s="1"/>
      <c r="K85" s="188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</row>
    <row r="86">
      <c r="A86" s="1"/>
      <c r="B86" s="1"/>
      <c r="C86" s="189"/>
      <c r="D86" s="1"/>
      <c r="E86" s="1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</row>
    <row r="87">
      <c r="A87" s="1"/>
      <c r="B87" s="1"/>
      <c r="C87" s="189"/>
      <c r="D87" s="1"/>
      <c r="E87" s="188"/>
      <c r="F87" s="1"/>
      <c r="G87" s="1"/>
      <c r="H87" s="1"/>
      <c r="I87" s="1"/>
      <c r="J87" s="1"/>
      <c r="K87" s="188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</row>
    <row r="88">
      <c r="A88" s="1"/>
      <c r="B88" s="1"/>
      <c r="C88" s="189"/>
      <c r="D88" s="1"/>
      <c r="E88" s="1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</row>
    <row r="89">
      <c r="A89" s="1"/>
      <c r="B89" s="1"/>
      <c r="C89" s="189"/>
      <c r="D89" s="1"/>
      <c r="E89" s="188"/>
      <c r="F89" s="1"/>
      <c r="G89" s="1"/>
      <c r="H89" s="1"/>
      <c r="I89" s="1"/>
      <c r="J89" s="1"/>
      <c r="K89" s="188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</row>
    <row r="90">
      <c r="A90" s="1"/>
      <c r="B90" s="1"/>
      <c r="C90" s="189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</row>
    <row r="91">
      <c r="A91" s="1"/>
      <c r="B91" s="1"/>
      <c r="C91" s="189"/>
      <c r="D91" s="1"/>
      <c r="E91" s="188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</row>
    <row r="92">
      <c r="A92" s="1"/>
      <c r="B92" s="1"/>
      <c r="C92" s="189"/>
      <c r="D92" s="1"/>
      <c r="E92" s="1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</row>
    <row r="93">
      <c r="A93" s="1"/>
      <c r="B93" s="1"/>
      <c r="C93" s="189"/>
      <c r="D93" s="1"/>
      <c r="E93" s="1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</row>
    <row r="95">
      <c r="A95" s="1"/>
      <c r="B95" s="1"/>
      <c r="C95" s="189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88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</row>
    <row r="99">
      <c r="A99" s="1"/>
      <c r="B99" s="1"/>
      <c r="C99" s="189"/>
      <c r="D99" s="1"/>
      <c r="E99" s="188"/>
      <c r="F99" s="1"/>
      <c r="G99" s="1"/>
      <c r="H99" s="1"/>
      <c r="I99" s="1"/>
      <c r="J99" s="1"/>
      <c r="K99" s="188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</row>
    <row r="100">
      <c r="A100" s="1"/>
      <c r="B100" s="1"/>
      <c r="C100" s="189"/>
      <c r="D100" s="1"/>
      <c r="E100" s="188"/>
      <c r="F100" s="1"/>
      <c r="G100" s="1"/>
      <c r="H100" s="1"/>
      <c r="I100" s="1"/>
      <c r="J100" s="1"/>
      <c r="K100" s="188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88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88"/>
      <c r="L102" s="1"/>
      <c r="M102" s="1"/>
      <c r="N102" s="1"/>
      <c r="O102" s="1"/>
      <c r="P102" s="1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</row>
    <row r="103">
      <c r="A103" s="1"/>
      <c r="B103" s="1"/>
      <c r="C103" s="1"/>
      <c r="D103" s="1"/>
      <c r="E103" s="188"/>
      <c r="F103" s="1"/>
      <c r="G103" s="1"/>
      <c r="H103" s="1"/>
      <c r="I103" s="1"/>
      <c r="J103" s="1"/>
      <c r="K103" s="188"/>
      <c r="L103" s="1"/>
      <c r="M103" s="1"/>
      <c r="N103" s="1"/>
      <c r="O103" s="1"/>
      <c r="P103" s="1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</row>
    <row r="104">
      <c r="A104" s="1"/>
      <c r="B104" s="1"/>
      <c r="C104" s="189"/>
      <c r="D104" s="1"/>
      <c r="E104" s="188"/>
      <c r="F104" s="1"/>
      <c r="G104" s="1"/>
      <c r="H104" s="1"/>
      <c r="I104" s="1"/>
      <c r="J104" s="1"/>
      <c r="K104" s="188"/>
      <c r="L104" s="1"/>
      <c r="M104" s="1"/>
      <c r="N104" s="1"/>
      <c r="O104" s="1"/>
      <c r="P104" s="1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</row>
    <row r="105">
      <c r="A105" s="1"/>
      <c r="B105" s="1"/>
      <c r="C105" s="189"/>
      <c r="D105" s="1"/>
      <c r="E105" s="1"/>
      <c r="F105" s="1"/>
      <c r="G105" s="1"/>
      <c r="H105" s="1"/>
      <c r="I105" s="1"/>
      <c r="J105" s="1"/>
      <c r="K105" s="188"/>
      <c r="L105" s="1"/>
      <c r="M105" s="1"/>
      <c r="N105" s="1"/>
      <c r="O105" s="1"/>
      <c r="P105" s="1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</row>
    <row r="106">
      <c r="A106" s="1"/>
      <c r="B106" s="1"/>
      <c r="C106" s="189"/>
      <c r="D106" s="1"/>
      <c r="E106" s="1"/>
      <c r="F106" s="1"/>
      <c r="G106" s="1"/>
      <c r="H106" s="1"/>
      <c r="I106" s="1"/>
      <c r="J106" s="1"/>
      <c r="K106" s="188"/>
      <c r="L106" s="1"/>
      <c r="M106" s="1"/>
      <c r="N106" s="1"/>
      <c r="O106" s="1"/>
      <c r="P106" s="1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</row>
    <row r="107">
      <c r="A107" s="1"/>
      <c r="B107" s="1"/>
      <c r="C107" s="1"/>
      <c r="D107" s="1"/>
      <c r="E107" s="188"/>
      <c r="F107" s="1"/>
      <c r="G107" s="1"/>
      <c r="H107" s="1"/>
      <c r="I107" s="1"/>
      <c r="J107" s="1"/>
      <c r="K107" s="188"/>
      <c r="L107" s="1"/>
      <c r="M107" s="1"/>
      <c r="N107" s="1"/>
      <c r="O107" s="1"/>
      <c r="P107" s="1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</row>
    <row r="108">
      <c r="A108" s="1"/>
      <c r="B108" s="1"/>
      <c r="C108" s="1"/>
      <c r="D108" s="1"/>
      <c r="E108" s="188"/>
      <c r="F108" s="1"/>
      <c r="G108" s="1"/>
      <c r="H108" s="1"/>
      <c r="I108" s="1"/>
      <c r="J108" s="1"/>
      <c r="K108" s="188"/>
      <c r="L108" s="1"/>
      <c r="M108" s="1"/>
      <c r="N108" s="1"/>
      <c r="O108" s="1"/>
      <c r="P108" s="1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88"/>
      <c r="L109" s="1"/>
      <c r="M109" s="1"/>
      <c r="N109" s="1"/>
      <c r="O109" s="1"/>
      <c r="P109" s="1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</row>
    <row r="110">
      <c r="A110" s="1"/>
      <c r="B110" s="1"/>
      <c r="C110" s="189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</row>
    <row r="111">
      <c r="A111" s="1"/>
      <c r="B111" s="1"/>
      <c r="C111" s="1"/>
      <c r="D111" s="1"/>
      <c r="E111" s="188"/>
      <c r="F111" s="1"/>
      <c r="G111" s="1"/>
      <c r="H111" s="1"/>
      <c r="I111" s="1"/>
      <c r="J111" s="1"/>
      <c r="K111" s="188"/>
      <c r="L111" s="1"/>
      <c r="M111" s="1"/>
      <c r="N111" s="1"/>
      <c r="O111" s="1"/>
      <c r="P111" s="1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</row>
    <row r="112">
      <c r="A112" s="1"/>
      <c r="B112" s="1"/>
      <c r="C112" s="1"/>
      <c r="D112" s="1"/>
      <c r="E112" s="188"/>
      <c r="F112" s="1"/>
      <c r="G112" s="1"/>
      <c r="H112" s="1"/>
      <c r="I112" s="1"/>
      <c r="J112" s="1"/>
      <c r="K112" s="188"/>
      <c r="L112" s="1"/>
      <c r="M112" s="1"/>
      <c r="N112" s="1"/>
      <c r="O112" s="1"/>
      <c r="P112" s="1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</row>
    <row r="113">
      <c r="A113" s="1"/>
      <c r="B113" s="189"/>
      <c r="C113" s="189"/>
      <c r="D113" s="1"/>
      <c r="E113" s="188"/>
      <c r="F113" s="1"/>
      <c r="G113" s="1"/>
      <c r="H113" s="1"/>
      <c r="I113" s="1"/>
      <c r="J113" s="1"/>
      <c r="K113" s="188"/>
      <c r="L113" s="1"/>
      <c r="M113" s="1"/>
      <c r="N113" s="1"/>
      <c r="O113" s="1"/>
      <c r="P113" s="1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</row>
    <row r="114">
      <c r="A114" s="1"/>
      <c r="B114" s="1"/>
      <c r="C114" s="189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88"/>
      <c r="L115" s="1"/>
      <c r="M115" s="1"/>
      <c r="N115" s="1"/>
      <c r="O115" s="1"/>
      <c r="P115" s="1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</row>
    <row r="116">
      <c r="A116" s="1"/>
      <c r="B116" s="1"/>
      <c r="C116" s="1"/>
      <c r="D116" s="1"/>
      <c r="E116" s="188"/>
      <c r="F116" s="1"/>
      <c r="G116" s="1"/>
      <c r="H116" s="1"/>
      <c r="I116" s="1"/>
      <c r="J116" s="1"/>
      <c r="K116" s="188"/>
      <c r="L116" s="1"/>
      <c r="M116" s="1"/>
      <c r="N116" s="1"/>
      <c r="O116" s="1"/>
      <c r="P116" s="1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88"/>
      <c r="L118" s="1"/>
      <c r="M118" s="1"/>
      <c r="N118" s="1"/>
      <c r="O118" s="1"/>
      <c r="P118" s="1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88"/>
      <c r="L119" s="1"/>
      <c r="M119" s="1"/>
      <c r="N119" s="1"/>
      <c r="O119" s="1"/>
      <c r="P119" s="1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</row>
    <row r="121">
      <c r="A121" s="188"/>
      <c r="B121" s="188"/>
      <c r="C121" s="190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</row>
    <row r="123">
      <c r="A123" s="188"/>
      <c r="B123" s="188"/>
      <c r="C123" s="190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</row>
    <row r="124">
      <c r="A124" s="188"/>
      <c r="B124" s="188"/>
      <c r="C124" s="190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</row>
    <row r="127">
      <c r="A127" s="188"/>
      <c r="B127" s="188"/>
      <c r="C127" s="190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</row>
    <row r="128">
      <c r="A128" s="188"/>
      <c r="B128" s="188"/>
      <c r="C128" s="190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</row>
    <row r="132">
      <c r="A132" s="188"/>
      <c r="B132" s="188"/>
      <c r="C132" s="190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</row>
    <row r="138">
      <c r="A138" s="188"/>
      <c r="B138" s="188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</row>
    <row r="150">
      <c r="A150" s="188"/>
      <c r="B150" s="188"/>
      <c r="C150" s="190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</row>
    <row r="161">
      <c r="A161" s="188"/>
      <c r="B161" s="188"/>
      <c r="C161" s="190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</row>
    <row r="164">
      <c r="A164" s="188"/>
      <c r="B164" s="188"/>
      <c r="C164" s="190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</row>
    <row r="179">
      <c r="A179" s="188"/>
      <c r="B179" s="188"/>
      <c r="C179" s="190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</row>
    <row r="187">
      <c r="A187" s="188"/>
      <c r="B187" s="188"/>
      <c r="C187" s="190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</row>
    <row r="202">
      <c r="A202" s="188"/>
      <c r="B202" s="188"/>
      <c r="C202" s="190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</row>
    <row r="224">
      <c r="A224" s="188"/>
      <c r="B224" s="188"/>
      <c r="C224" s="190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  <c r="AA256" s="188"/>
      <c r="AB256" s="188"/>
      <c r="AC256" s="188"/>
      <c r="AD256" s="188"/>
      <c r="AE256" s="188"/>
      <c r="AF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  <c r="AA328" s="188"/>
      <c r="AB328" s="188"/>
      <c r="AC328" s="188"/>
      <c r="AD328" s="188"/>
      <c r="AE328" s="188"/>
      <c r="AF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  <c r="AA348" s="188"/>
      <c r="AB348" s="188"/>
      <c r="AC348" s="188"/>
      <c r="AD348" s="188"/>
      <c r="AE348" s="188"/>
      <c r="AF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  <c r="AA349" s="188"/>
      <c r="AB349" s="188"/>
      <c r="AC349" s="188"/>
      <c r="AD349" s="188"/>
      <c r="AE349" s="188"/>
      <c r="AF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  <c r="AA350" s="188"/>
      <c r="AB350" s="188"/>
      <c r="AC350" s="188"/>
      <c r="AD350" s="188"/>
      <c r="AE350" s="188"/>
      <c r="AF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  <c r="AA353" s="188"/>
      <c r="AB353" s="188"/>
      <c r="AC353" s="188"/>
      <c r="AD353" s="188"/>
      <c r="AE353" s="188"/>
      <c r="AF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  <c r="AA361" s="188"/>
      <c r="AB361" s="188"/>
      <c r="AC361" s="188"/>
      <c r="AD361" s="188"/>
      <c r="AE361" s="188"/>
      <c r="AF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  <c r="AA371" s="188"/>
      <c r="AB371" s="188"/>
      <c r="AC371" s="188"/>
      <c r="AD371" s="188"/>
      <c r="AE371" s="188"/>
      <c r="AF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  <c r="AA375" s="188"/>
      <c r="AB375" s="188"/>
      <c r="AC375" s="188"/>
      <c r="AD375" s="188"/>
      <c r="AE375" s="188"/>
      <c r="AF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  <c r="AA377" s="188"/>
      <c r="AB377" s="188"/>
      <c r="AC377" s="188"/>
      <c r="AD377" s="188"/>
      <c r="AE377" s="188"/>
      <c r="AF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  <c r="AA383" s="188"/>
      <c r="AB383" s="188"/>
      <c r="AC383" s="188"/>
      <c r="AD383" s="188"/>
      <c r="AE383" s="188"/>
      <c r="AF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  <c r="AA384" s="188"/>
      <c r="AB384" s="188"/>
      <c r="AC384" s="188"/>
      <c r="AD384" s="188"/>
      <c r="AE384" s="188"/>
      <c r="AF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  <c r="AA387" s="188"/>
      <c r="AB387" s="188"/>
      <c r="AC387" s="188"/>
      <c r="AD387" s="188"/>
      <c r="AE387" s="188"/>
      <c r="AF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  <c r="AA388" s="188"/>
      <c r="AB388" s="188"/>
      <c r="AC388" s="188"/>
      <c r="AD388" s="188"/>
      <c r="AE388" s="188"/>
      <c r="AF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  <c r="AA390" s="188"/>
      <c r="AB390" s="188"/>
      <c r="AC390" s="188"/>
      <c r="AD390" s="188"/>
      <c r="AE390" s="188"/>
      <c r="AF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  <c r="AA400" s="188"/>
      <c r="AB400" s="188"/>
      <c r="AC400" s="188"/>
      <c r="AD400" s="188"/>
      <c r="AE400" s="188"/>
      <c r="AF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  <c r="AA401" s="188"/>
      <c r="AB401" s="188"/>
      <c r="AC401" s="188"/>
      <c r="AD401" s="188"/>
      <c r="AE401" s="188"/>
      <c r="AF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  <c r="AA404" s="188"/>
      <c r="AB404" s="188"/>
      <c r="AC404" s="188"/>
      <c r="AD404" s="188"/>
      <c r="AE404" s="188"/>
      <c r="AF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  <c r="AA405" s="188"/>
      <c r="AB405" s="188"/>
      <c r="AC405" s="188"/>
      <c r="AD405" s="188"/>
      <c r="AE405" s="188"/>
      <c r="AF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  <c r="AA408" s="188"/>
      <c r="AB408" s="188"/>
      <c r="AC408" s="188"/>
      <c r="AD408" s="188"/>
      <c r="AE408" s="188"/>
      <c r="AF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  <c r="AA411" s="188"/>
      <c r="AB411" s="188"/>
      <c r="AC411" s="188"/>
      <c r="AD411" s="188"/>
      <c r="AE411" s="188"/>
      <c r="AF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S416" s="188"/>
      <c r="T416" s="188"/>
      <c r="U416" s="188"/>
      <c r="V416" s="188"/>
      <c r="W416" s="188"/>
      <c r="X416" s="188"/>
      <c r="Y416" s="188"/>
      <c r="Z416" s="188"/>
      <c r="AB416" s="188"/>
      <c r="AC416" s="188"/>
      <c r="AD416" s="188"/>
      <c r="AE416" s="188"/>
      <c r="AF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O417" s="188"/>
      <c r="P417" s="188"/>
      <c r="Q417" s="188"/>
      <c r="S417" s="188"/>
      <c r="T417" s="188"/>
      <c r="U417" s="188"/>
      <c r="V417" s="188"/>
      <c r="W417" s="188"/>
      <c r="X417" s="188"/>
      <c r="Y417" s="188"/>
      <c r="Z417" s="188"/>
      <c r="AB417" s="188"/>
      <c r="AC417" s="188"/>
      <c r="AD417" s="188"/>
      <c r="AE417" s="188"/>
      <c r="AF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</row>
  </sheetData>
  <autoFilter ref="$A$1:$M$41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</cols>
  <sheetData>
    <row r="1">
      <c r="A1" s="6"/>
      <c r="C1" s="191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K1" s="6"/>
      <c r="L1" s="6"/>
      <c r="M1" s="6"/>
      <c r="N1" s="6"/>
      <c r="O1" s="6"/>
      <c r="P1" s="6"/>
      <c r="Q1" s="6"/>
      <c r="R1" s="6"/>
      <c r="T1" s="6"/>
      <c r="U1" s="6"/>
      <c r="V1" s="191">
        <f>IFERROR(__xludf.DUMMYFUNCTION("IMPORTRANGE(""1TpIiNTfR1pnpn85VWQTTdvQ2Xcr0GStmWJ2UvfKxG_A"", ""Mzdy!ac1:ad200"")"),31.0)</f>
        <v>31</v>
      </c>
      <c r="W1" s="192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>
      <c r="A2" s="6"/>
      <c r="B2" s="6" t="s">
        <v>1585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192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192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>
      <c r="A4" s="193" t="s">
        <v>1586</v>
      </c>
      <c r="B4" s="193" t="s">
        <v>1587</v>
      </c>
      <c r="C4" s="6" t="str">
        <f>IFERROR(__xludf.DUMMYFUNCTION("""COMPUTED_VALUE"""),"Manažer")</f>
        <v>Manažer</v>
      </c>
      <c r="D4" s="6" t="str">
        <f>IFERROR(__xludf.DUMMYFUNCTION("""COMPUTED_VALUE"""),"Instore")</f>
        <v>Instore</v>
      </c>
      <c r="E4" s="6" t="str">
        <f>IFERROR(__xludf.DUMMYFUNCTION("""COMPUTED_VALUE"""),"První domácí,          Pobočky max 4")</f>
        <v>První domácí,          Pobočky max 4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 t="str">
        <f>IFERROR(__xludf.DUMMYFUNCTION("""COMPUTED_VALUE"""),"Sp.hr. / h")</f>
        <v>Sp.hr. / h</v>
      </c>
      <c r="W4" s="192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>
      <c r="A5" s="6" t="str">
        <f>IF(AND(B5&lt;&gt;"", C5=TRUE, E5=Report!$B$1), B5, "")</f>
        <v/>
      </c>
      <c r="B5" s="194" t="str">
        <f>IF(OR(E5=Report!$B$1, F5=Report!$B$1, G5=Report!$B$1, H5=Report!$B$1), D5, "")</f>
        <v/>
      </c>
      <c r="C5" s="6" t="b">
        <f>IFERROR(__xludf.DUMMYFUNCTION("""COMPUTED_VALUE"""),TRUE)</f>
        <v>1</v>
      </c>
      <c r="D5" s="6" t="str">
        <f>IFERROR(__xludf.DUMMYFUNCTION("""COMPUTED_VALUE"""),"Nedbal Michal")</f>
        <v>Nedbal Michal</v>
      </c>
      <c r="E5" s="6" t="str">
        <f>IFERROR(__xludf.DUMMYFUNCTION("""COMPUTED_VALUE"""),"Zličín")</f>
        <v>Zličín</v>
      </c>
      <c r="F5" s="6" t="str">
        <f>IFERROR(__xludf.DUMMYFUNCTION("""COMPUTED_VALUE"""),"Malešice")</f>
        <v>Malešice</v>
      </c>
      <c r="G5" s="6" t="str">
        <f>IFERROR(__xludf.DUMMYFUNCTION("""COMPUTED_VALUE"""),"Prosek")</f>
        <v>Prosek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192">
        <f>IFERROR(__xludf.DUMMYFUNCTION("""COMPUTED_VALUE"""),432.3078)</f>
        <v>432.3078</v>
      </c>
      <c r="W5" s="192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>
      <c r="A6" s="6" t="str">
        <f>IF(AND(B6&lt;&gt;"", C6=TRUE, E6=Report!$B$1), B6, "")</f>
        <v/>
      </c>
      <c r="B6" s="194" t="str">
        <f>IF(OR(E6=Report!$B$1, F6=Report!$B$1, G6=Report!$B$1, H6=Report!$B$1), D6, "")</f>
        <v>Sova Martin</v>
      </c>
      <c r="C6" s="6" t="b">
        <f>IFERROR(__xludf.DUMMYFUNCTION("""COMPUTED_VALUE"""),TRUE)</f>
        <v>1</v>
      </c>
      <c r="D6" s="6" t="str">
        <f>IFERROR(__xludf.DUMMYFUNCTION("""COMPUTED_VALUE"""),"Sova Martin")</f>
        <v>Sova Martin</v>
      </c>
      <c r="E6" s="6" t="str">
        <f>IFERROR(__xludf.DUMMYFUNCTION("""COMPUTED_VALUE"""),"Chodov")</f>
        <v>Chodov</v>
      </c>
      <c r="F6" s="6" t="str">
        <f>IFERROR(__xludf.DUMMYFUNCTION("""COMPUTED_VALUE"""),"Libuš")</f>
        <v>Libuš</v>
      </c>
      <c r="G6" s="6" t="str">
        <f>IFERROR(__xludf.DUMMYFUNCTION("""COMPUTED_VALUE"""),"Výroba")</f>
        <v>Výroba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192">
        <f>IFERROR(__xludf.DUMMYFUNCTION("""COMPUTED_VALUE"""),432.3078)</f>
        <v>432.3078</v>
      </c>
      <c r="W6" s="192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>
      <c r="A7" s="6" t="str">
        <f>IF(AND(B7&lt;&gt;"", C7=TRUE, E7=Report!$B$1), B7, "")</f>
        <v/>
      </c>
      <c r="B7" s="194" t="str">
        <f>IF(OR(E7=Report!$B$1, F7=Report!$B$1, G7=Report!$B$1, H7=Report!$B$1), D7, "")</f>
        <v/>
      </c>
      <c r="C7" s="6" t="b">
        <f>IFERROR(__xludf.DUMMYFUNCTION("""COMPUTED_VALUE"""),TRUE)</f>
        <v>1</v>
      </c>
      <c r="D7" s="6" t="str">
        <f>IFERROR(__xludf.DUMMYFUNCTION("""COMPUTED_VALUE"""),"Paziak Viktoriia")</f>
        <v>Paziak Viktoriia</v>
      </c>
      <c r="E7" s="6" t="str">
        <f>IFERROR(__xludf.DUMMYFUNCTION("""COMPUTED_VALUE"""),"Výroba")</f>
        <v>Výroba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192">
        <f>IFERROR(__xludf.DUMMYFUNCTION("""COMPUTED_VALUE"""),341.19)</f>
        <v>341.19</v>
      </c>
      <c r="W7" s="192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>
      <c r="A8" s="6" t="str">
        <f>IF(AND(B8&lt;&gt;"", C8=TRUE, E8=Report!$B$1), B8, "")</f>
        <v/>
      </c>
      <c r="B8" s="194" t="str">
        <f>IF(OR(E8=Report!$B$1, F8=Report!$B$1, G8=Report!$B$1, H8=Report!$B$1), D8, "")</f>
        <v>Ahurieva Viktoriia</v>
      </c>
      <c r="C8" s="6" t="b">
        <f>IFERROR(__xludf.DUMMYFUNCTION("""COMPUTED_VALUE"""),FALSE)</f>
        <v>0</v>
      </c>
      <c r="D8" s="6" t="str">
        <f>IFERROR(__xludf.DUMMYFUNCTION("""COMPUTED_VALUE"""),"Ahurieva Viktoriia")</f>
        <v>Ahurieva Viktoriia</v>
      </c>
      <c r="E8" s="6" t="str">
        <f>IFERROR(__xludf.DUMMYFUNCTION("""COMPUTED_VALUE"""),"Libuš")</f>
        <v>Libuš</v>
      </c>
      <c r="F8" s="6" t="str">
        <f>IFERROR(__xludf.DUMMYFUNCTION("""COMPUTED_VALUE"""),"Malešice")</f>
        <v>Malešice</v>
      </c>
      <c r="G8" s="6" t="str">
        <f>IFERROR(__xludf.DUMMYFUNCTION("""COMPUTED_VALUE"""),"Výroba")</f>
        <v>Výroba</v>
      </c>
      <c r="H8" s="6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192">
        <f>IFERROR(__xludf.DUMMYFUNCTION("""COMPUTED_VALUE"""),432.3078)</f>
        <v>432.3078</v>
      </c>
      <c r="W8" s="192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>
      <c r="A9" s="6" t="str">
        <f>IF(AND(B9&lt;&gt;"", C9=TRUE, E9=Report!$B$1), B9, "")</f>
        <v/>
      </c>
      <c r="B9" s="194" t="str">
        <f>IF(OR(E9=Report!$B$1, F9=Report!$B$1, G9=Report!$B$1, H9=Report!$B$1), D9, "")</f>
        <v/>
      </c>
      <c r="C9" s="6" t="b">
        <f>IFERROR(__xludf.DUMMYFUNCTION("""COMPUTED_VALUE"""),TRUE)</f>
        <v>1</v>
      </c>
      <c r="D9" s="6" t="str">
        <f>IFERROR(__xludf.DUMMYFUNCTION("""COMPUTED_VALUE"""),"Pešová Hana")</f>
        <v>Pešová Hana</v>
      </c>
      <c r="E9" s="6" t="str">
        <f>IFERROR(__xludf.DUMMYFUNCTION("""COMPUTED_VALUE"""),"Chodov")</f>
        <v>Chodov</v>
      </c>
      <c r="F9" s="6" t="str">
        <f>IFERROR(__xludf.DUMMYFUNCTION("""COMPUTED_VALUE"""),"Prosek")</f>
        <v>Prosek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192">
        <f>IFERROR(__xludf.DUMMYFUNCTION("""COMPUTED_VALUE"""),341.19)</f>
        <v>341.19</v>
      </c>
      <c r="W9" s="192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>
      <c r="A10" s="6" t="str">
        <f>IF(AND(B10&lt;&gt;"", C10=TRUE, E10=Report!$B$1), B10, "")</f>
        <v/>
      </c>
      <c r="B10" s="194" t="str">
        <f>IF(OR(E10=Report!$B$1, F10=Report!$B$1, G10=Report!$B$1, H10=Report!$B$1), D10, "")</f>
        <v>Šebesta Tomáš</v>
      </c>
      <c r="C10" s="6" t="b">
        <f>IFERROR(__xludf.DUMMYFUNCTION("""COMPUTED_VALUE"""),TRUE)</f>
        <v>1</v>
      </c>
      <c r="D10" s="6" t="str">
        <f>IFERROR(__xludf.DUMMYFUNCTION("""COMPUTED_VALUE"""),"Šebesta Tomáš")</f>
        <v>Šebesta Tomáš</v>
      </c>
      <c r="E10" s="6" t="str">
        <f>IFERROR(__xludf.DUMMYFUNCTION("""COMPUTED_VALUE"""),"Prosek")</f>
        <v>Prosek</v>
      </c>
      <c r="F10" s="6" t="str">
        <f>IFERROR(__xludf.DUMMYFUNCTION("""COMPUTED_VALUE"""),"Libuš")</f>
        <v>Libuš</v>
      </c>
      <c r="G10" s="6" t="str">
        <f>IFERROR(__xludf.DUMMYFUNCTION("""COMPUTED_VALUE"""),"Malešice")</f>
        <v>Malešice</v>
      </c>
      <c r="H10" s="6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192">
        <f>IFERROR(__xludf.DUMMYFUNCTION("""COMPUTED_VALUE"""),432.3078)</f>
        <v>432.3078</v>
      </c>
      <c r="W10" s="192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>
      <c r="A11" s="6" t="str">
        <f>IF(AND(B11&lt;&gt;"", C11=TRUE, E11=Report!$B$1), B11, "")</f>
        <v/>
      </c>
      <c r="B11" s="194" t="str">
        <f>IF(OR(E11=Report!$B$1, F11=Report!$B$1, G11=Report!$B$1, H11=Report!$B$1), D11, "")</f>
        <v/>
      </c>
      <c r="C11" s="6" t="b">
        <f>IFERROR(__xludf.DUMMYFUNCTION("""COMPUTED_VALUE"""),FALSE)</f>
        <v>0</v>
      </c>
      <c r="D11" s="6" t="str">
        <f>IFERROR(__xludf.DUMMYFUNCTION("""COMPUTED_VALUE"""),"Hanakova Ayuna")</f>
        <v>Hanakova Ayuna</v>
      </c>
      <c r="E11" s="6" t="str">
        <f>IFERROR(__xludf.DUMMYFUNCTION("""COMPUTED_VALUE"""),"Zličín")</f>
        <v>Zličín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192">
        <f>IFERROR(__xludf.DUMMYFUNCTION("""COMPUTED_VALUE"""),295.698)</f>
        <v>295.698</v>
      </c>
      <c r="W11" s="192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>
      <c r="A12" s="6" t="str">
        <f>IF(AND(B12&lt;&gt;"", C12=TRUE, E12=Report!$B$1), B12, "")</f>
        <v/>
      </c>
      <c r="B12" s="194" t="str">
        <f>IF(OR(E12=Report!$B$1, F12=Report!$B$1, G12=Report!$B$1, H12=Report!$B$1), D12, "")</f>
        <v/>
      </c>
      <c r="C12" s="6" t="b">
        <f>IFERROR(__xludf.DUMMYFUNCTION("""COMPUTED_VALUE"""),FALSE)</f>
        <v>0</v>
      </c>
      <c r="D12" s="6" t="str">
        <f>IFERROR(__xludf.DUMMYFUNCTION("""COMPUTED_VALUE"""),"Vondráček Lukáš")</f>
        <v>Vondráček Lukáš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192">
        <f>IFERROR(__xludf.DUMMYFUNCTION("""COMPUTED_VALUE"""),0.0)</f>
        <v>0</v>
      </c>
      <c r="W12" s="192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>
      <c r="A13" s="6" t="str">
        <f>IF(AND(B13&lt;&gt;"", C13=TRUE, E13=Report!$B$1), B13, "")</f>
        <v/>
      </c>
      <c r="B13" s="194" t="str">
        <f>IF(OR(E13=Report!$B$1, F13=Report!$B$1, G13=Report!$B$1, H13=Report!$B$1), D13, "")</f>
        <v/>
      </c>
      <c r="C13" s="6" t="b">
        <f>IFERROR(__xludf.DUMMYFUNCTION("""COMPUTED_VALUE"""),TRUE)</f>
        <v>1</v>
      </c>
      <c r="D13" s="6" t="str">
        <f>IFERROR(__xludf.DUMMYFUNCTION("""COMPUTED_VALUE"""),"Veselý Ondřej")</f>
        <v>Veselý Ondřej</v>
      </c>
      <c r="E13" s="6" t="str">
        <f>IFERROR(__xludf.DUMMYFUNCTION("""COMPUTED_VALUE"""),"Zličín")</f>
        <v>Zličín</v>
      </c>
      <c r="F13" s="6" t="str">
        <f>IFERROR(__xludf.DUMMYFUNCTION("""COMPUTED_VALUE"""),"Malešice")</f>
        <v>Malešice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192">
        <f>IFERROR(__xludf.DUMMYFUNCTION("""COMPUTED_VALUE"""),341.19)</f>
        <v>341.19</v>
      </c>
      <c r="W13" s="192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>
      <c r="A14" s="6" t="str">
        <f>IF(AND(B14&lt;&gt;"", C14=TRUE, E14=Report!$B$1), B14, "")</f>
        <v/>
      </c>
      <c r="B14" s="194" t="str">
        <f>IF(OR(E14=Report!$B$1, F14=Report!$B$1, G14=Report!$B$1, H14=Report!$B$1), D14, "")</f>
        <v>Coufal Jakub</v>
      </c>
      <c r="C14" s="6" t="b">
        <f>IFERROR(__xludf.DUMMYFUNCTION("""COMPUTED_VALUE"""),FALSE)</f>
        <v>0</v>
      </c>
      <c r="D14" s="6" t="str">
        <f>IFERROR(__xludf.DUMMYFUNCTION("""COMPUTED_VALUE"""),"Coufal Jakub")</f>
        <v>Coufal Jakub</v>
      </c>
      <c r="E14" s="6" t="str">
        <f>IFERROR(__xludf.DUMMYFUNCTION("""COMPUTED_VALUE"""),"Libuš")</f>
        <v>Libuš</v>
      </c>
      <c r="F14" s="6" t="str">
        <f>IFERROR(__xludf.DUMMYFUNCTION("""COMPUTED_VALUE"""),"Malešice")</f>
        <v>Malešice</v>
      </c>
      <c r="G14" s="6" t="str">
        <f>IFERROR(__xludf.DUMMYFUNCTION("""COMPUTED_VALUE"""),"Prosek")</f>
        <v>Prosek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192">
        <f>IFERROR(__xludf.DUMMYFUNCTION("""COMPUTED_VALUE"""),250.20600000000002)</f>
        <v>250.206</v>
      </c>
      <c r="W14" s="192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>
      <c r="A15" s="6" t="str">
        <f>IF(AND(B15&lt;&gt;"", C15=TRUE, E15=Report!$B$1), B15, "")</f>
        <v/>
      </c>
      <c r="B15" s="194" t="str">
        <f>IF(OR(E15=Report!$B$1, F15=Report!$B$1, G15=Report!$B$1, H15=Report!$B$1), D15, "")</f>
        <v/>
      </c>
      <c r="C15" s="6" t="b">
        <f>IFERROR(__xludf.DUMMYFUNCTION("""COMPUTED_VALUE"""),TRUE)</f>
        <v>1</v>
      </c>
      <c r="D15" s="6" t="str">
        <f>IFERROR(__xludf.DUMMYFUNCTION("""COMPUTED_VALUE"""),"Kinkorová Petra")</f>
        <v>Kinkorová Petra</v>
      </c>
      <c r="E15" s="6" t="str">
        <f>IFERROR(__xludf.DUMMYFUNCTION("""COMPUTED_VALUE"""),"Malešice")</f>
        <v>Malešice</v>
      </c>
      <c r="F15" s="6" t="str">
        <f>IFERROR(__xludf.DUMMYFUNCTION("""COMPUTED_VALUE"""),"Bolevec")</f>
        <v>Bolevec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192">
        <f>IFERROR(__xludf.DUMMYFUNCTION("""COMPUTED_VALUE"""),341.19)</f>
        <v>341.19</v>
      </c>
      <c r="W15" s="192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>
      <c r="A16" s="6" t="str">
        <f>IF(AND(B16&lt;&gt;"", C16=TRUE, E16=Report!$B$1), B16, "")</f>
        <v/>
      </c>
      <c r="B16" s="194" t="str">
        <f>IF(OR(E16=Report!$B$1, F16=Report!$B$1, G16=Report!$B$1, H16=Report!$B$1), D16, "")</f>
        <v/>
      </c>
      <c r="C16" s="6" t="b">
        <f>IFERROR(__xludf.DUMMYFUNCTION("""COMPUTED_VALUE"""),TRUE)</f>
        <v>1</v>
      </c>
      <c r="D16" s="6" t="str">
        <f>IFERROR(__xludf.DUMMYFUNCTION("""COMPUTED_VALUE"""),"Nováková Adéla")</f>
        <v>Nováková Adéla</v>
      </c>
      <c r="E16" s="6" t="str">
        <f>IFERROR(__xludf.DUMMYFUNCTION("""COMPUTED_VALUE"""),"Prosek")</f>
        <v>Prosek</v>
      </c>
      <c r="F16" s="6" t="str">
        <f>IFERROR(__xludf.DUMMYFUNCTION("""COMPUTED_VALUE"""),"Malešice")</f>
        <v>Malešice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192">
        <f>IFERROR(__xludf.DUMMYFUNCTION("""COMPUTED_VALUE"""),341.19)</f>
        <v>341.19</v>
      </c>
      <c r="W16" s="192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>
      <c r="A17" s="6" t="str">
        <f>IF(AND(B17&lt;&gt;"", C17=TRUE, E17=Report!$B$1), B17, "")</f>
        <v/>
      </c>
      <c r="B17" s="194" t="str">
        <f>IF(OR(E17=Report!$B$1, F17=Report!$B$1, G17=Report!$B$1, H17=Report!$B$1), D17, "")</f>
        <v/>
      </c>
      <c r="C17" s="6" t="b">
        <f>IFERROR(__xludf.DUMMYFUNCTION("""COMPUTED_VALUE"""),FALSE)</f>
        <v>0</v>
      </c>
      <c r="D17" s="6" t="str">
        <f>IFERROR(__xludf.DUMMYFUNCTION("""COMPUTED_VALUE"""),"Pechová Barbora")</f>
        <v>Pechová Barbora</v>
      </c>
      <c r="E17" s="6" t="str">
        <f>IFERROR(__xludf.DUMMYFUNCTION("""COMPUTED_VALUE"""),"Zličín")</f>
        <v>Zličín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192">
        <f>IFERROR(__xludf.DUMMYFUNCTION("""COMPUTED_VALUE"""),267.6)</f>
        <v>267.6</v>
      </c>
      <c r="W17" s="192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>
      <c r="A18" s="6" t="str">
        <f>IF(AND(B18&lt;&gt;"", C18=TRUE, E18=Report!$B$1), B18, "")</f>
        <v/>
      </c>
      <c r="B18" s="194" t="str">
        <f>IF(OR(E18=Report!$B$1, F18=Report!$B$1, G18=Report!$B$1, H18=Report!$B$1), D18, "")</f>
        <v/>
      </c>
      <c r="C18" s="6" t="b">
        <f>IFERROR(__xludf.DUMMYFUNCTION("""COMPUTED_VALUE"""),FALSE)</f>
        <v>0</v>
      </c>
      <c r="D18" s="6" t="str">
        <f>IFERROR(__xludf.DUMMYFUNCTION("""COMPUTED_VALUE"""),"Pánková Vendula")</f>
        <v>Pánková Vendula</v>
      </c>
      <c r="E18" s="6" t="str">
        <f>IFERROR(__xludf.DUMMYFUNCTION("""COMPUTED_VALUE"""),"Zličín")</f>
        <v>Zličín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192">
        <f>IFERROR(__xludf.DUMMYFUNCTION("""COMPUTED_VALUE"""),267.6)</f>
        <v>267.6</v>
      </c>
      <c r="W18" s="192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>
      <c r="A19" s="6" t="str">
        <f>IF(AND(B19&lt;&gt;"", C19=TRUE, E19=Report!$B$1), B19, "")</f>
        <v>Hegedüs Erik</v>
      </c>
      <c r="B19" s="194" t="str">
        <f>IF(OR(E19=Report!$B$1, F19=Report!$B$1, G19=Report!$B$1, H19=Report!$B$1), D19, "")</f>
        <v>Hegedüs Erik</v>
      </c>
      <c r="C19" s="6" t="b">
        <f>IFERROR(__xludf.DUMMYFUNCTION("""COMPUTED_VALUE"""),TRUE)</f>
        <v>1</v>
      </c>
      <c r="D19" s="6" t="str">
        <f>IFERROR(__xludf.DUMMYFUNCTION("""COMPUTED_VALUE"""),"Hegedüs Erik")</f>
        <v>Hegedüs Erik</v>
      </c>
      <c r="E19" s="6" t="str">
        <f>IFERROR(__xludf.DUMMYFUNCTION("""COMPUTED_VALUE"""),"Libuš")</f>
        <v>Libuš</v>
      </c>
      <c r="F19" s="6" t="str">
        <f>IFERROR(__xludf.DUMMYFUNCTION("""COMPUTED_VALUE"""),"Chodov")</f>
        <v>Chodov</v>
      </c>
      <c r="G19" s="6" t="str">
        <f>IFERROR(__xludf.DUMMYFUNCTION("""COMPUTED_VALUE"""),"Malešice")</f>
        <v>Malešice</v>
      </c>
      <c r="H19" s="6" t="str">
        <f>IFERROR(__xludf.DUMMYFUNCTION("""COMPUTED_VALUE"""),"Zličín")</f>
        <v>Zličín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192">
        <f>IFERROR(__xludf.DUMMYFUNCTION("""COMPUTED_VALUE"""),432.3078)</f>
        <v>432.3078</v>
      </c>
      <c r="W19" s="192">
        <f>IFERROR(__xludf.DUMMYFUNCTION("""COMPUTED_VALUE"""),2789.082580645161)</f>
        <v>2789.082581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>
      <c r="A20" s="6" t="str">
        <f>IF(AND(B20&lt;&gt;"", C20=TRUE, E20=Report!$B$1), B20, "")</f>
        <v/>
      </c>
      <c r="B20" s="194" t="str">
        <f>IF(OR(E20=Report!$B$1, F20=Report!$B$1, G20=Report!$B$1, H20=Report!$B$1), D20, "")</f>
        <v/>
      </c>
      <c r="C20" s="6" t="b">
        <f>IFERROR(__xludf.DUMMYFUNCTION("""COMPUTED_VALUE"""),TRUE)</f>
        <v>1</v>
      </c>
      <c r="D20" s="6" t="str">
        <f>IFERROR(__xludf.DUMMYFUNCTION("""COMPUTED_VALUE"""),"Roth Stanislav ml.")</f>
        <v>Roth Stanislav ml.</v>
      </c>
      <c r="E20" s="6" t="str">
        <f>IFERROR(__xludf.DUMMYFUNCTION("""COMPUTED_VALUE"""),"Bolevec")</f>
        <v>Bolevec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192">
        <f>IFERROR(__xludf.DUMMYFUNCTION("""COMPUTED_VALUE"""),432.3078)</f>
        <v>432.3078</v>
      </c>
      <c r="W20" s="192">
        <f>IFERROR(__xludf.DUMMYFUNCTION("""COMPUTED_VALUE"""),2789.082580645161)</f>
        <v>2789.082581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>
      <c r="A21" s="6" t="str">
        <f>IF(AND(B21&lt;&gt;"", C21=TRUE, E21=Report!$B$1), B21, "")</f>
        <v/>
      </c>
      <c r="B21" s="194" t="str">
        <f>IF(OR(E21=Report!$B$1, F21=Report!$B$1, G21=Report!$B$1, H21=Report!$B$1), D21, "")</f>
        <v>Bubník Martin</v>
      </c>
      <c r="C21" s="6" t="b">
        <f>IFERROR(__xludf.DUMMYFUNCTION("""COMPUTED_VALUE"""),FALSE)</f>
        <v>0</v>
      </c>
      <c r="D21" s="6" t="str">
        <f>IFERROR(__xludf.DUMMYFUNCTION("""COMPUTED_VALUE"""),"Bubník Martin")</f>
        <v>Bubník Martin</v>
      </c>
      <c r="E21" s="6" t="str">
        <f>IFERROR(__xludf.DUMMYFUNCTION("""COMPUTED_VALUE"""),"Libuš")</f>
        <v>Libuš</v>
      </c>
      <c r="F21" s="6" t="str">
        <f>IFERROR(__xludf.DUMMYFUNCTION("""COMPUTED_VALUE"""),"Malešice")</f>
        <v>Malešice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192">
        <f>IFERROR(__xludf.DUMMYFUNCTION("""COMPUTED_VALUE"""),267.6)</f>
        <v>267.6</v>
      </c>
      <c r="W21" s="192">
        <f>IFERROR(__xludf.DUMMYFUNCTION("""COMPUTED_VALUE"""),0.0)</f>
        <v>0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>
      <c r="A22" s="6" t="str">
        <f>IF(AND(B22&lt;&gt;"", C22=TRUE, E22=Report!$B$1), B22, "")</f>
        <v/>
      </c>
      <c r="B22" s="194" t="str">
        <f>IF(OR(E22=Report!$B$1, F22=Report!$B$1, G22=Report!$B$1, H22=Report!$B$1), D22, "")</f>
        <v>Berdar Vasyl</v>
      </c>
      <c r="C22" s="6" t="b">
        <f>IFERROR(__xludf.DUMMYFUNCTION("""COMPUTED_VALUE"""),FALSE)</f>
        <v>0</v>
      </c>
      <c r="D22" s="6" t="str">
        <f>IFERROR(__xludf.DUMMYFUNCTION("""COMPUTED_VALUE"""),"Berdar Vasyl")</f>
        <v>Berdar Vasyl</v>
      </c>
      <c r="E22" s="6" t="str">
        <f>IFERROR(__xludf.DUMMYFUNCTION("""COMPUTED_VALUE"""),"Libuš")</f>
        <v>Libuš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192">
        <f>IFERROR(__xludf.DUMMYFUNCTION("""COMPUTED_VALUE"""),286.332)</f>
        <v>286.332</v>
      </c>
      <c r="W22" s="192">
        <f>IFERROR(__xludf.DUMMYFUNCTION("""COMPUTED_VALUE"""),0.0)</f>
        <v>0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>
      <c r="A23" s="6" t="str">
        <f>IF(AND(B23&lt;&gt;"", C23=TRUE, E23=Report!$B$1), B23, "")</f>
        <v/>
      </c>
      <c r="B23" s="194" t="str">
        <f>IF(OR(E23=Report!$B$1, F23=Report!$B$1, G23=Report!$B$1, H23=Report!$B$1), D23, "")</f>
        <v/>
      </c>
      <c r="C23" s="6" t="b">
        <f>IFERROR(__xludf.DUMMYFUNCTION("""COMPUTED_VALUE"""),FALSE)</f>
        <v>0</v>
      </c>
      <c r="D23" s="6" t="str">
        <f>IFERROR(__xludf.DUMMYFUNCTION("""COMPUTED_VALUE"""),"Yarushynskyi Vladyslav")</f>
        <v>Yarushynskyi Vladyslav</v>
      </c>
      <c r="E23" s="6" t="str">
        <f>IFERROR(__xludf.DUMMYFUNCTION("""COMPUTED_VALUE"""),"Malešice")</f>
        <v>Malešice</v>
      </c>
      <c r="F23" s="6" t="str">
        <f>IFERROR(__xludf.DUMMYFUNCTION("""COMPUTED_VALUE"""),"Chodov")</f>
        <v>Chodov</v>
      </c>
      <c r="G23" s="6" t="str">
        <f>IFERROR(__xludf.DUMMYFUNCTION("""COMPUTED_VALUE"""),"Zličín")</f>
        <v>Zličín</v>
      </c>
      <c r="H23" s="6" t="str">
        <f>IFERROR(__xludf.DUMMYFUNCTION("""COMPUTED_VALUE"""),"Prosek")</f>
        <v>Prosek</v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192">
        <f>IFERROR(__xludf.DUMMYFUNCTION("""COMPUTED_VALUE"""),267.6)</f>
        <v>267.6</v>
      </c>
      <c r="W23" s="192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>
      <c r="A24" s="6" t="str">
        <f>IF(AND(B24&lt;&gt;"", C24=TRUE, E24=Report!$B$1), B24, "")</f>
        <v/>
      </c>
      <c r="B24" s="194" t="str">
        <f>IF(OR(E24=Report!$B$1, F24=Report!$B$1, G24=Report!$B$1, H24=Report!$B$1), D24, "")</f>
        <v/>
      </c>
      <c r="C24" s="6" t="b">
        <f>IFERROR(__xludf.DUMMYFUNCTION("""COMPUTED_VALUE"""),FALSE)</f>
        <v>0</v>
      </c>
      <c r="D24" s="6" t="str">
        <f>IFERROR(__xludf.DUMMYFUNCTION("""COMPUTED_VALUE"""),"Židek Petr")</f>
        <v>Židek Petr</v>
      </c>
      <c r="E24" s="6" t="str">
        <f>IFERROR(__xludf.DUMMYFUNCTION("""COMPUTED_VALUE"""),"Chodov")</f>
        <v>Chodov</v>
      </c>
      <c r="F24" s="6" t="str">
        <f>IFERROR(__xludf.DUMMYFUNCTION("""COMPUTED_VALUE"""),"Malešice")</f>
        <v>Malešice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192">
        <f>IFERROR(__xludf.DUMMYFUNCTION("""COMPUTED_VALUE"""),250.20600000000002)</f>
        <v>250.206</v>
      </c>
      <c r="W24" s="192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>
      <c r="A25" s="6" t="str">
        <f>IF(AND(B25&lt;&gt;"", C25=TRUE, E25=Report!$B$1), B25, "")</f>
        <v/>
      </c>
      <c r="B25" s="194" t="str">
        <f>IF(OR(E25=Report!$B$1, F25=Report!$B$1, G25=Report!$B$1, H25=Report!$B$1), D25, "")</f>
        <v>Gorol Patrik</v>
      </c>
      <c r="C25" s="6" t="b">
        <f>IFERROR(__xludf.DUMMYFUNCTION("""COMPUTED_VALUE"""),FALSE)</f>
        <v>0</v>
      </c>
      <c r="D25" s="6" t="str">
        <f>IFERROR(__xludf.DUMMYFUNCTION("""COMPUTED_VALUE"""),"Gorol Patrik")</f>
        <v>Gorol Patrik</v>
      </c>
      <c r="E25" s="6" t="str">
        <f>IFERROR(__xludf.DUMMYFUNCTION("""COMPUTED_VALUE"""),"Malešice")</f>
        <v>Malešice</v>
      </c>
      <c r="F25" s="6" t="str">
        <f>IFERROR(__xludf.DUMMYFUNCTION("""COMPUTED_VALUE"""),"Libuš")</f>
        <v>Libuš</v>
      </c>
      <c r="G25" s="6" t="str">
        <f>IFERROR(__xludf.DUMMYFUNCTION("""COMPUTED_VALUE"""),"Prosek")</f>
        <v>Prosek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192">
        <f>IFERROR(__xludf.DUMMYFUNCTION("""COMPUTED_VALUE"""),231.474)</f>
        <v>231.474</v>
      </c>
      <c r="W25" s="192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>
      <c r="A26" s="6" t="str">
        <f>IF(AND(B26&lt;&gt;"", C26=TRUE, E26=Report!$B$1), B26, "")</f>
        <v/>
      </c>
      <c r="B26" s="194" t="str">
        <f>IF(OR(E26=Report!$B$1, F26=Report!$B$1, G26=Report!$B$1, H26=Report!$B$1), D26, "")</f>
        <v>Hegedüs Gergö</v>
      </c>
      <c r="C26" s="6" t="b">
        <f>IFERROR(__xludf.DUMMYFUNCTION("""COMPUTED_VALUE"""),FALSE)</f>
        <v>0</v>
      </c>
      <c r="D26" s="6" t="str">
        <f>IFERROR(__xludf.DUMMYFUNCTION("""COMPUTED_VALUE"""),"Hegedüs Gergö")</f>
        <v>Hegedüs Gergö</v>
      </c>
      <c r="E26" s="6" t="str">
        <f>IFERROR(__xludf.DUMMYFUNCTION("""COMPUTED_VALUE"""),"Libuš")</f>
        <v>Libuš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192">
        <f>IFERROR(__xludf.DUMMYFUNCTION("""COMPUTED_VALUE"""),214.08)</f>
        <v>214.08</v>
      </c>
      <c r="W26" s="192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>
      <c r="A27" s="6" t="str">
        <f>IF(AND(B27&lt;&gt;"", C27=TRUE, E27=Report!$B$1), B27, "")</f>
        <v/>
      </c>
      <c r="B27" s="194" t="str">
        <f>IF(OR(E27=Report!$B$1, F27=Report!$B$1, G27=Report!$B$1, H27=Report!$B$1), D27, "")</f>
        <v>Barvínková Eliška</v>
      </c>
      <c r="C27" s="6" t="b">
        <f>IFERROR(__xludf.DUMMYFUNCTION("""COMPUTED_VALUE"""),FALSE)</f>
        <v>0</v>
      </c>
      <c r="D27" s="6" t="str">
        <f>IFERROR(__xludf.DUMMYFUNCTION("""COMPUTED_VALUE"""),"Barvínková Eliška")</f>
        <v>Barvínková Eliška</v>
      </c>
      <c r="E27" s="6" t="str">
        <f>IFERROR(__xludf.DUMMYFUNCTION("""COMPUTED_VALUE"""),"Libuš")</f>
        <v>Libuš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192">
        <f>IFERROR(__xludf.DUMMYFUNCTION("""COMPUTED_VALUE"""),231.474)</f>
        <v>231.474</v>
      </c>
      <c r="W27" s="192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>
      <c r="A28" s="6" t="str">
        <f>IF(AND(B28&lt;&gt;"", C28=TRUE, E28=Report!$B$1), B28, "")</f>
        <v/>
      </c>
      <c r="B28" s="194" t="str">
        <f>IF(OR(E28=Report!$B$1, F28=Report!$B$1, G28=Report!$B$1, H28=Report!$B$1), D28, "")</f>
        <v/>
      </c>
      <c r="C28" s="6" t="b">
        <f>IFERROR(__xludf.DUMMYFUNCTION("""COMPUTED_VALUE"""),FALSE)</f>
        <v>0</v>
      </c>
      <c r="D28" s="6" t="str">
        <f>IFERROR(__xludf.DUMMYFUNCTION("""COMPUTED_VALUE"""),"Kursheva Diana")</f>
        <v>Kursheva Diana</v>
      </c>
      <c r="E28" s="6" t="str">
        <f>IFERROR(__xludf.DUMMYFUNCTION("""COMPUTED_VALUE"""),"Výroba")</f>
        <v>Výroba</v>
      </c>
      <c r="F28" s="6" t="str">
        <f>IFERROR(__xludf.DUMMYFUNCTION("""COMPUTED_VALUE"""),"Chodov")</f>
        <v>Chodov</v>
      </c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192">
        <f>IFERROR(__xludf.DUMMYFUNCTION("""COMPUTED_VALUE"""),250.20600000000002)</f>
        <v>250.206</v>
      </c>
      <c r="W28" s="192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>
      <c r="A29" s="6" t="str">
        <f>IF(AND(B29&lt;&gt;"", C29=TRUE, E29=Report!$B$1), B29, "")</f>
        <v/>
      </c>
      <c r="B29" s="194" t="str">
        <f>IF(OR(E29=Report!$B$1, F29=Report!$B$1, G29=Report!$B$1, H29=Report!$B$1), D29, "")</f>
        <v>Kubík Martin</v>
      </c>
      <c r="C29" s="6" t="b">
        <f>IFERROR(__xludf.DUMMYFUNCTION("""COMPUTED_VALUE"""),FALSE)</f>
        <v>0</v>
      </c>
      <c r="D29" s="6" t="str">
        <f>IFERROR(__xludf.DUMMYFUNCTION("""COMPUTED_VALUE"""),"Kubík Martin")</f>
        <v>Kubík Martin</v>
      </c>
      <c r="E29" s="6" t="str">
        <f>IFERROR(__xludf.DUMMYFUNCTION("""COMPUTED_VALUE"""),"Libuš")</f>
        <v>Libuš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192">
        <f>IFERROR(__xludf.DUMMYFUNCTION("""COMPUTED_VALUE"""),250.20600000000002)</f>
        <v>250.206</v>
      </c>
      <c r="W29" s="192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>
      <c r="A30" s="6" t="str">
        <f>IF(AND(B30&lt;&gt;"", C30=TRUE, E30=Report!$B$1), B30, "")</f>
        <v/>
      </c>
      <c r="B30" s="194" t="str">
        <f>IF(OR(E30=Report!$B$1, F30=Report!$B$1, G30=Report!$B$1, H30=Report!$B$1), D30, "")</f>
        <v/>
      </c>
      <c r="C30" s="6" t="b">
        <f>IFERROR(__xludf.DUMMYFUNCTION("""COMPUTED_VALUE"""),FALSE)</f>
        <v>0</v>
      </c>
      <c r="D30" s="6" t="str">
        <f>IFERROR(__xludf.DUMMYFUNCTION("""COMPUTED_VALUE"""),"Putna Jaroslav")</f>
        <v>Putna Jaroslav</v>
      </c>
      <c r="E30" s="6" t="str">
        <f>IFERROR(__xludf.DUMMYFUNCTION("""COMPUTED_VALUE"""),"Zličín")</f>
        <v>Zličín</v>
      </c>
      <c r="F30" s="6" t="str">
        <f>IFERROR(__xludf.DUMMYFUNCTION("""COMPUTED_VALUE"""),"Prosek")</f>
        <v>Prosek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192">
        <f>IFERROR(__xludf.DUMMYFUNCTION("""COMPUTED_VALUE"""),250.20600000000002)</f>
        <v>250.206</v>
      </c>
      <c r="W30" s="192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>
      <c r="A31" s="6" t="str">
        <f>IF(AND(B31&lt;&gt;"", C31=TRUE, E31=Report!$B$1), B31, "")</f>
        <v/>
      </c>
      <c r="B31" s="194" t="str">
        <f>IF(OR(E31=Report!$B$1, F31=Report!$B$1, G31=Report!$B$1, H31=Report!$B$1), D31, "")</f>
        <v>Kopic Jakub</v>
      </c>
      <c r="C31" s="6" t="b">
        <f>IFERROR(__xludf.DUMMYFUNCTION("""COMPUTED_VALUE"""),FALSE)</f>
        <v>0</v>
      </c>
      <c r="D31" s="6" t="str">
        <f>IFERROR(__xludf.DUMMYFUNCTION("""COMPUTED_VALUE"""),"Kopic Jakub")</f>
        <v>Kopic Jakub</v>
      </c>
      <c r="E31" s="6" t="str">
        <f>IFERROR(__xludf.DUMMYFUNCTION("""COMPUTED_VALUE"""),"Malešice")</f>
        <v>Malešice</v>
      </c>
      <c r="F31" s="6" t="str">
        <f>IFERROR(__xludf.DUMMYFUNCTION("""COMPUTED_VALUE"""),"Prosek")</f>
        <v>Prosek</v>
      </c>
      <c r="G31" s="6" t="str">
        <f>IFERROR(__xludf.DUMMYFUNCTION("""COMPUTED_VALUE"""),"Libuš")</f>
        <v>Libuš</v>
      </c>
      <c r="H31" s="6" t="str">
        <f>IFERROR(__xludf.DUMMYFUNCTION("""COMPUTED_VALUE"""),"Prosek")</f>
        <v>Prosek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192">
        <f>IFERROR(__xludf.DUMMYFUNCTION("""COMPUTED_VALUE"""),250.20600000000002)</f>
        <v>250.206</v>
      </c>
      <c r="W31" s="192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>
      <c r="A32" s="6" t="str">
        <f>IF(AND(B32&lt;&gt;"", C32=TRUE, E32=Report!$B$1), B32, "")</f>
        <v/>
      </c>
      <c r="B32" s="194" t="str">
        <f>IF(OR(E32=Report!$B$1, F32=Report!$B$1, G32=Report!$B$1, H32=Report!$B$1), D32, "")</f>
        <v/>
      </c>
      <c r="C32" s="6" t="b">
        <f>IFERROR(__xludf.DUMMYFUNCTION("""COMPUTED_VALUE"""),FALSE)</f>
        <v>0</v>
      </c>
      <c r="D32" s="6" t="str">
        <f>IFERROR(__xludf.DUMMYFUNCTION("""COMPUTED_VALUE"""),"Fáberová Kateřina")</f>
        <v>Fáberová Kateřina</v>
      </c>
      <c r="E32" s="6" t="str">
        <f>IFERROR(__xludf.DUMMYFUNCTION("""COMPUTED_VALUE"""),"Prosek")</f>
        <v>Prosek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192">
        <f>IFERROR(__xludf.DUMMYFUNCTION("""COMPUTED_VALUE"""),250.20600000000002)</f>
        <v>250.206</v>
      </c>
      <c r="W32" s="192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>
      <c r="A33" s="6" t="str">
        <f>IF(AND(B33&lt;&gt;"", C33=TRUE, E33=Report!$B$1), B33, "")</f>
        <v/>
      </c>
      <c r="B33" s="194" t="str">
        <f>IF(OR(E33=Report!$B$1, F33=Report!$B$1, G33=Report!$B$1, H33=Report!$B$1), D33, "")</f>
        <v/>
      </c>
      <c r="C33" s="6" t="b">
        <f>IFERROR(__xludf.DUMMYFUNCTION("""COMPUTED_VALUE"""),FALSE)</f>
        <v>0</v>
      </c>
      <c r="D33" s="6" t="str">
        <f>IFERROR(__xludf.DUMMYFUNCTION("""COMPUTED_VALUE"""),"Chlubnová Adéla")</f>
        <v>Chlubnová Adéla</v>
      </c>
      <c r="E33" s="6" t="str">
        <f>IFERROR(__xludf.DUMMYFUNCTION("""COMPUTED_VALUE"""),"Chodov")</f>
        <v>Chodov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192">
        <f>IFERROR(__xludf.DUMMYFUNCTION("""COMPUTED_VALUE"""),250.20600000000002)</f>
        <v>250.206</v>
      </c>
      <c r="W33" s="192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>
      <c r="A34" s="6" t="str">
        <f>IF(AND(B34&lt;&gt;"", C34=TRUE, E34=Report!$B$1), B34, "")</f>
        <v/>
      </c>
      <c r="B34" s="194" t="str">
        <f>IF(OR(E34=Report!$B$1, F34=Report!$B$1, G34=Report!$B$1, H34=Report!$B$1), D34, "")</f>
        <v>Prošek Václav</v>
      </c>
      <c r="C34" s="6" t="b">
        <f>IFERROR(__xludf.DUMMYFUNCTION("""COMPUTED_VALUE"""),FALSE)</f>
        <v>0</v>
      </c>
      <c r="D34" s="6" t="str">
        <f>IFERROR(__xludf.DUMMYFUNCTION("""COMPUTED_VALUE"""),"Prošek Václav")</f>
        <v>Prošek Václav</v>
      </c>
      <c r="E34" s="6" t="str">
        <f>IFERROR(__xludf.DUMMYFUNCTION("""COMPUTED_VALUE"""),"Libuš")</f>
        <v>Libuš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192">
        <f>IFERROR(__xludf.DUMMYFUNCTION("""COMPUTED_VALUE"""),250.20600000000002)</f>
        <v>250.206</v>
      </c>
      <c r="W34" s="192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>
      <c r="A35" s="6" t="str">
        <f>IF(AND(B35&lt;&gt;"", C35=TRUE, E35=Report!$B$1), B35, "")</f>
        <v/>
      </c>
      <c r="B35" s="194" t="str">
        <f>IF(OR(E35=Report!$B$1, F35=Report!$B$1, G35=Report!$B$1, H35=Report!$B$1), D35, "")</f>
        <v>Millington Emmanuel</v>
      </c>
      <c r="C35" s="6" t="b">
        <f>IFERROR(__xludf.DUMMYFUNCTION("""COMPUTED_VALUE"""),FALSE)</f>
        <v>0</v>
      </c>
      <c r="D35" s="6" t="str">
        <f>IFERROR(__xludf.DUMMYFUNCTION("""COMPUTED_VALUE"""),"Millington Emmanuel")</f>
        <v>Millington Emmanuel</v>
      </c>
      <c r="E35" s="6" t="str">
        <f>IFERROR(__xludf.DUMMYFUNCTION("""COMPUTED_VALUE"""),"Libuš")</f>
        <v>Libuš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192">
        <f>IFERROR(__xludf.DUMMYFUNCTION("""COMPUTED_VALUE"""),250.20600000000002)</f>
        <v>250.206</v>
      </c>
      <c r="W35" s="192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>
      <c r="A36" s="6" t="str">
        <f>IF(AND(B36&lt;&gt;"", C36=TRUE, E36=Report!$B$1), B36, "")</f>
        <v/>
      </c>
      <c r="B36" s="194" t="str">
        <f>IF(OR(E36=Report!$B$1, F36=Report!$B$1, G36=Report!$B$1, H36=Report!$B$1), D36, "")</f>
        <v>Kašpárek Jan</v>
      </c>
      <c r="C36" s="6" t="b">
        <f>IFERROR(__xludf.DUMMYFUNCTION("""COMPUTED_VALUE"""),FALSE)</f>
        <v>0</v>
      </c>
      <c r="D36" s="6" t="str">
        <f>IFERROR(__xludf.DUMMYFUNCTION("""COMPUTED_VALUE"""),"Kašpárek Jan")</f>
        <v>Kašpárek Jan</v>
      </c>
      <c r="E36" s="6" t="str">
        <f>IFERROR(__xludf.DUMMYFUNCTION("""COMPUTED_VALUE"""),"Libuš")</f>
        <v>Libuš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192">
        <f>IFERROR(__xludf.DUMMYFUNCTION("""COMPUTED_VALUE"""),250.20600000000002)</f>
        <v>250.206</v>
      </c>
      <c r="W36" s="192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>
      <c r="A37" s="6" t="str">
        <f>IF(AND(B37&lt;&gt;"", C37=TRUE, E37=Report!$B$1), B37, "")</f>
        <v/>
      </c>
      <c r="B37" s="194" t="str">
        <f>IF(OR(E37=Report!$B$1, F37=Report!$B$1, G37=Report!$B$1, H37=Report!$B$1), D37, "")</f>
        <v/>
      </c>
      <c r="C37" s="6" t="b">
        <f>IFERROR(__xludf.DUMMYFUNCTION("""COMPUTED_VALUE"""),FALSE)</f>
        <v>0</v>
      </c>
      <c r="D37" s="6" t="str">
        <f>IFERROR(__xludf.DUMMYFUNCTION("""COMPUTED_VALUE"""),"Koteliuk Maryna")</f>
        <v>Koteliuk Maryna</v>
      </c>
      <c r="E37" s="6" t="str">
        <f>IFERROR(__xludf.DUMMYFUNCTION("""COMPUTED_VALUE"""),"Výroba")</f>
        <v>Výroba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192">
        <f>IFERROR(__xludf.DUMMYFUNCTION("""COMPUTED_VALUE"""),250.20600000000002)</f>
        <v>250.206</v>
      </c>
      <c r="W37" s="192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>
      <c r="A38" s="6" t="str">
        <f>IF(AND(B38&lt;&gt;"", C38=TRUE, E38=Report!$B$1), B38, "")</f>
        <v/>
      </c>
      <c r="B38" s="194" t="str">
        <f>IF(OR(E38=Report!$B$1, F38=Report!$B$1, G38=Report!$B$1, H38=Report!$B$1), D38, "")</f>
        <v>Remač Jiří</v>
      </c>
      <c r="C38" s="6" t="b">
        <f>IFERROR(__xludf.DUMMYFUNCTION("""COMPUTED_VALUE"""),FALSE)</f>
        <v>0</v>
      </c>
      <c r="D38" s="6" t="str">
        <f>IFERROR(__xludf.DUMMYFUNCTION("""COMPUTED_VALUE"""),"Remač Jiří")</f>
        <v>Remač Jiří</v>
      </c>
      <c r="E38" s="6" t="str">
        <f>IFERROR(__xludf.DUMMYFUNCTION("""COMPUTED_VALUE"""),"Libuš")</f>
        <v>Libuš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192">
        <f>IFERROR(__xludf.DUMMYFUNCTION("""COMPUTED_VALUE"""),250.20600000000002)</f>
        <v>250.206</v>
      </c>
      <c r="W38" s="192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>
      <c r="A39" s="6" t="str">
        <f>IF(AND(B39&lt;&gt;"", C39=TRUE, E39=Report!$B$1), B39, "")</f>
        <v/>
      </c>
      <c r="B39" s="194" t="str">
        <f>IF(OR(E39=Report!$B$1, F39=Report!$B$1, G39=Report!$B$1, H39=Report!$B$1), D39, "")</f>
        <v/>
      </c>
      <c r="C39" s="6" t="b">
        <f>IFERROR(__xludf.DUMMYFUNCTION("""COMPUTED_VALUE"""),FALSE)</f>
        <v>0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192">
        <f>IFERROR(__xludf.DUMMYFUNCTION("""COMPUTED_VALUE"""),0.0)</f>
        <v>0</v>
      </c>
      <c r="W39" s="192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>
      <c r="A40" s="6" t="str">
        <f>IF(AND(B40&lt;&gt;"", C40=TRUE, E40=Report!$B$1), B40, "")</f>
        <v/>
      </c>
      <c r="B40" s="194" t="str">
        <f>IF(OR(E40=Report!$B$1, F40=Report!$B$1, G40=Report!$B$1, H40=Report!$B$1), D40, "")</f>
        <v/>
      </c>
      <c r="C40" s="6" t="b">
        <f>IFERROR(__xludf.DUMMYFUNCTION("""COMPUTED_VALUE"""),FALSE)</f>
        <v>0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192">
        <f>IFERROR(__xludf.DUMMYFUNCTION("""COMPUTED_VALUE"""),0.0)</f>
        <v>0</v>
      </c>
      <c r="W40" s="192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>
      <c r="A41" s="6" t="str">
        <f>IF(AND(B41&lt;&gt;"", C41=TRUE, E41=Report!$B$1), B41, "")</f>
        <v/>
      </c>
      <c r="B41" s="194" t="str">
        <f>IF(OR(E41=Report!$B$1, F41=Report!$B$1, G41=Report!$B$1, H41=Report!$B$1), D41, "")</f>
        <v/>
      </c>
      <c r="C41" s="6" t="b">
        <f>IFERROR(__xludf.DUMMYFUNCTION("""COMPUTED_VALUE"""),FALSE)</f>
        <v>0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192">
        <f>IFERROR(__xludf.DUMMYFUNCTION("""COMPUTED_VALUE"""),0.0)</f>
        <v>0</v>
      </c>
      <c r="W41" s="192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>
      <c r="A42" s="6" t="str">
        <f>IF(AND(B42&lt;&gt;"", C42=TRUE, E42=Report!$B$1), B42, "")</f>
        <v/>
      </c>
      <c r="B42" s="194" t="str">
        <f>IF(OR(E42=Report!$B$1, F42=Report!$B$1, G42=Report!$B$1, H42=Report!$B$1), D42, "")</f>
        <v/>
      </c>
      <c r="C42" s="6" t="b">
        <f>IFERROR(__xludf.DUMMYFUNCTION("""COMPUTED_VALUE"""),FALSE)</f>
        <v>0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192">
        <f>IFERROR(__xludf.DUMMYFUNCTION("""COMPUTED_VALUE"""),0.0)</f>
        <v>0</v>
      </c>
      <c r="W42" s="192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>
      <c r="A43" s="6" t="str">
        <f>IF(AND(B43&lt;&gt;"", C43=TRUE, E43=Report!$B$1), B43, "")</f>
        <v/>
      </c>
      <c r="B43" s="194" t="str">
        <f>IF(OR(E43=Report!$B$1, F43=Report!$B$1, G43=Report!$B$1, H43=Report!$B$1), D43, "")</f>
        <v/>
      </c>
      <c r="C43" s="6" t="b">
        <f>IFERROR(__xludf.DUMMYFUNCTION("""COMPUTED_VALUE"""),FALSE)</f>
        <v>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192">
        <f>IFERROR(__xludf.DUMMYFUNCTION("""COMPUTED_VALUE"""),0.0)</f>
        <v>0</v>
      </c>
      <c r="W43" s="192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>
      <c r="A44" s="6"/>
      <c r="B44" s="195" t="str">
        <f>IF(OR(E44=Report!$B$1, F44=Report!$B$1, G44=Report!$B$1, H44=Report!$B$1), D44, "")</f>
        <v/>
      </c>
      <c r="C44" s="6" t="b">
        <f>IFERROR(__xludf.DUMMYFUNCTION("""COMPUTED_VALUE"""),FALSE)</f>
        <v>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192">
        <f>IFERROR(__xludf.DUMMYFUNCTION("""COMPUTED_VALUE"""),0.0)</f>
        <v>0</v>
      </c>
      <c r="W44" s="192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>
      <c r="A45" s="6"/>
      <c r="B45" s="195" t="str">
        <f>IF(OR(E45=Report!$B$1, F45=Report!$B$1, G45=Report!$B$1, H45=Report!$B$1), D45, "")</f>
        <v/>
      </c>
      <c r="C45" s="6" t="b">
        <f>IFERROR(__xludf.DUMMYFUNCTION("""COMPUTED_VALUE"""),FALSE)</f>
        <v>0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192">
        <f>IFERROR(__xludf.DUMMYFUNCTION("""COMPUTED_VALUE"""),0.0)</f>
        <v>0</v>
      </c>
      <c r="W45" s="192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>
      <c r="A46" s="6"/>
      <c r="B46" s="195" t="str">
        <f>IF(OR(E46=Report!$B$1, F46=Report!$B$1, G46=Report!$B$1, H46=Report!$B$1), D46, "")</f>
        <v/>
      </c>
      <c r="C46" s="6" t="b">
        <f>IFERROR(__xludf.DUMMYFUNCTION("""COMPUTED_VALUE"""),FALSE)</f>
        <v>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192">
        <f>IFERROR(__xludf.DUMMYFUNCTION("""COMPUTED_VALUE"""),0.0)</f>
        <v>0</v>
      </c>
      <c r="W46" s="192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>
      <c r="A47" s="6"/>
      <c r="B47" s="195" t="str">
        <f>IF(OR(E47=Report!$B$1, F47=Report!$B$1, G47=Report!$B$1, H47=Report!$B$1), D47, "")</f>
        <v/>
      </c>
      <c r="C47" s="6" t="b">
        <f>IFERROR(__xludf.DUMMYFUNCTION("""COMPUTED_VALUE"""),FALSE)</f>
        <v>0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192">
        <f>IFERROR(__xludf.DUMMYFUNCTION("""COMPUTED_VALUE"""),0.0)</f>
        <v>0</v>
      </c>
      <c r="W47" s="192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>
      <c r="A48" s="6"/>
      <c r="B48" s="195" t="str">
        <f>IF(OR(E48=Report!$B$1, F48=Report!$B$1, G48=Report!$B$1, H48=Report!$B$1), D48, "")</f>
        <v/>
      </c>
      <c r="C48" s="6" t="b">
        <f>IFERROR(__xludf.DUMMYFUNCTION("""COMPUTED_VALUE"""),FALSE)</f>
        <v>0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192">
        <f>IFERROR(__xludf.DUMMYFUNCTION("""COMPUTED_VALUE"""),0.0)</f>
        <v>0</v>
      </c>
      <c r="W48" s="192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>
      <c r="A49" s="6"/>
      <c r="B49" s="195" t="str">
        <f>IF(OR(E49=Report!$B$1, F49=Report!$B$1, G49=Report!$B$1, H49=Report!$B$1), D49, "")</f>
        <v/>
      </c>
      <c r="C49" s="6" t="b">
        <f>IFERROR(__xludf.DUMMYFUNCTION("""COMPUTED_VALUE"""),FALSE)</f>
        <v>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192">
        <f>IFERROR(__xludf.DUMMYFUNCTION("""COMPUTED_VALUE"""),0.0)</f>
        <v>0</v>
      </c>
      <c r="W49" s="192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>
      <c r="A50" s="6"/>
      <c r="B50" s="195" t="str">
        <f>IF(OR(E50=Report!$B$1, F50=Report!$B$1, G50=Report!$B$1, H50=Report!$B$1), D50, "")</f>
        <v/>
      </c>
      <c r="C50" s="6" t="b">
        <f>IFERROR(__xludf.DUMMYFUNCTION("""COMPUTED_VALUE"""),FALSE)</f>
        <v>0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192">
        <f>IFERROR(__xludf.DUMMYFUNCTION("""COMPUTED_VALUE"""),0.0)</f>
        <v>0</v>
      </c>
      <c r="W50" s="192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>
      <c r="A51" s="6"/>
      <c r="B51" s="195" t="str">
        <f>IF(OR(E51=Report!$B$1, F51=Report!$B$1, G51=Report!$B$1, H51=Report!$B$1), D51, "")</f>
        <v/>
      </c>
      <c r="C51" s="6" t="b">
        <f>IFERROR(__xludf.DUMMYFUNCTION("""COMPUTED_VALUE"""),FALSE)</f>
        <v>0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192">
        <f>IFERROR(__xludf.DUMMYFUNCTION("""COMPUTED_VALUE"""),0.0)</f>
        <v>0</v>
      </c>
      <c r="W51" s="192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>
      <c r="A52" s="6"/>
      <c r="B52" s="195" t="str">
        <f>IF(OR(E52=Report!$B$1, F52=Report!$B$1, G52=Report!$B$1, H52=Report!$B$1), D52, "")</f>
        <v/>
      </c>
      <c r="C52" s="6" t="b">
        <f>IFERROR(__xludf.DUMMYFUNCTION("""COMPUTED_VALUE"""),FALSE)</f>
        <v>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192">
        <f>IFERROR(__xludf.DUMMYFUNCTION("""COMPUTED_VALUE"""),0.0)</f>
        <v>0</v>
      </c>
      <c r="W52" s="192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>
      <c r="A53" s="6"/>
      <c r="B53" s="195" t="str">
        <f>IF(OR(E53=Report!$B$1, F53=Report!$B$1, G53=Report!$B$1, H53=Report!$B$1), D53, "")</f>
        <v/>
      </c>
      <c r="C53" s="6" t="b">
        <f>IFERROR(__xludf.DUMMYFUNCTION("""COMPUTED_VALUE"""),FALSE)</f>
        <v>0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192">
        <f>IFERROR(__xludf.DUMMYFUNCTION("""COMPUTED_VALUE"""),0.0)</f>
        <v>0</v>
      </c>
      <c r="W53" s="192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>
      <c r="A54" s="6"/>
      <c r="B54" s="195" t="str">
        <f>IF(OR(E54=Report!$B$1, F54=Report!$B$1, G54=Report!$B$1, H54=Report!$B$1), D54, "")</f>
        <v/>
      </c>
      <c r="C54" s="6" t="b">
        <f>IFERROR(__xludf.DUMMYFUNCTION("""COMPUTED_VALUE"""),FALSE)</f>
        <v>0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192">
        <f>IFERROR(__xludf.DUMMYFUNCTION("""COMPUTED_VALUE"""),0.0)</f>
        <v>0</v>
      </c>
      <c r="W54" s="192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>
      <c r="A55" s="6"/>
      <c r="B55" s="195" t="str">
        <f>IF(OR(E55=Report!$B$1, F55=Report!$B$1, G55=Report!$B$1, H55=Report!$B$1), D55, "")</f>
        <v/>
      </c>
      <c r="C55" s="6" t="b">
        <f>IFERROR(__xludf.DUMMYFUNCTION("""COMPUTED_VALUE"""),FALSE)</f>
        <v>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192">
        <f>IFERROR(__xludf.DUMMYFUNCTION("""COMPUTED_VALUE"""),0.0)</f>
        <v>0</v>
      </c>
      <c r="W55" s="192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>
      <c r="A56" s="6"/>
      <c r="B56" s="195" t="str">
        <f>IF(OR(E56=Report!$B$1, F56=Report!$B$1, G56=Report!$B$1, H56=Report!$B$1), D56, "")</f>
        <v/>
      </c>
      <c r="C56" s="6" t="b">
        <f>IFERROR(__xludf.DUMMYFUNCTION("""COMPUTED_VALUE"""),FALSE)</f>
        <v>0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192">
        <f>IFERROR(__xludf.DUMMYFUNCTION("""COMPUTED_VALUE"""),250.20600000000002)</f>
        <v>250.206</v>
      </c>
      <c r="W56" s="192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>
      <c r="A57" s="6"/>
      <c r="B57" s="195" t="str">
        <f>IF(OR(E57=Report!$B$1, F57=Report!$B$1, G57=Report!$B$1, H57=Report!$B$1), D57, "")</f>
        <v/>
      </c>
      <c r="C57" s="6" t="b">
        <f>IFERROR(__xludf.DUMMYFUNCTION("""COMPUTED_VALUE"""),FALSE)</f>
        <v>0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192">
        <f>IFERROR(__xludf.DUMMYFUNCTION("""COMPUTED_VALUE"""),0.0)</f>
        <v>0</v>
      </c>
      <c r="W57" s="192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>
      <c r="A58" s="6"/>
      <c r="B58" s="195" t="str">
        <f>IF(OR(E58=Report!$B$1, F58=Report!$B$1, G58=Report!$B$1, H58=Report!$B$1), D58, "")</f>
        <v/>
      </c>
      <c r="C58" s="6"/>
      <c r="D58" s="6" t="str">
        <f>IFERROR(__xludf.DUMMYFUNCTION("""COMPUTED_VALUE"""),"End")</f>
        <v>End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192">
        <f>IFERROR(__xludf.DUMMYFUNCTION("""COMPUTED_VALUE"""),0.0)</f>
        <v>0</v>
      </c>
      <c r="W58" s="192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>
      <c r="A59" s="6"/>
      <c r="B59" s="195" t="str">
        <f>IF(OR(E59=Report!$B$1, F59=Report!$B$1, G59=Report!$B$1, H59=Report!$B$1), D59, "")</f>
        <v/>
      </c>
      <c r="C59" s="6"/>
      <c r="D59" s="6" t="str">
        <f>IFERROR(__xludf.DUMMYFUNCTION("""COMPUTED_VALUE"""),"Suma instor")</f>
        <v>Suma instor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192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>
      <c r="A60" s="6"/>
      <c r="B60" s="195" t="str">
        <f>IF(OR(E60=Report!$B$1, F60=Report!$B$1, G60=Report!$B$1, H60=Report!$B$1), D60, "")</f>
        <v/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192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>
      <c r="A61" s="6"/>
      <c r="B61" s="194" t="str">
        <f>IF(OR(E61=Report!$B$1, F61=Report!$B$1, G61=Report!$B$1, H61=Report!$B$1), D61, "")</f>
        <v/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192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>
      <c r="A62" s="6"/>
      <c r="B62" s="194" t="str">
        <f>IF(OR(E62=Report!$B$1, F62=Report!$B$1, G62=Report!$B$1, H62=Report!$B$1), D62, "")</f>
        <v/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192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>
      <c r="A63" s="6"/>
      <c r="B63" s="194" t="str">
        <f>IF(OR(E63=Report!$B$1, F63=Report!$B$1, G63=Report!$B$1, H63=Report!$B$1), D63, "")</f>
        <v/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192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>
      <c r="A64" s="6"/>
      <c r="B64" s="194" t="str">
        <f>IF(OR(E64=Report!$B$1, F64=Report!$B$1, G64=Report!$B$1, H64=Report!$B$1), D64, "")</f>
        <v/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192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>
      <c r="A65" s="6"/>
      <c r="B65" s="194" t="str">
        <f>IF(OR(E65=Report!$B$1, F65=Report!$B$1, G65=Report!$B$1, H65=Report!$B$1), D65, "")</f>
        <v/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192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>
      <c r="A66" s="6"/>
      <c r="B66" s="194" t="str">
        <f>IF(OR(E66=Report!$B$1, F66=Report!$B$1, G66=Report!$B$1, H66=Report!$B$1), D66, "")</f>
        <v/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192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>
      <c r="A67" s="6"/>
      <c r="B67" s="194" t="str">
        <f>IF(OR(E67=Report!$B$1, F67=Report!$B$1, G67=Report!$B$1, H67=Report!$B$1), D67, "")</f>
        <v/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192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>
      <c r="A68" s="6"/>
      <c r="B68" s="194" t="str">
        <f>IF(OR(E68=Report!$B$1, F68=Report!$B$1, G68=Report!$B$1, H68=Report!$B$1), D68, "")</f>
        <v/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192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>
      <c r="A69" s="6"/>
      <c r="B69" s="194" t="str">
        <f>IF(OR(E69=Report!$B$1, F69=Report!$B$1, G69=Report!$B$1, H69=Report!$B$1), D69, "")</f>
        <v/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192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>
      <c r="A70" s="6"/>
      <c r="B70" s="194" t="str">
        <f>IF(OR(E70=Report!$B$1, F70=Report!$B$1, G70=Report!$B$1, H70=Report!$B$1), D70, "")</f>
        <v/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192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>
      <c r="A71" s="6"/>
      <c r="B71" s="194" t="str">
        <f>IF(OR(E71=Report!$B$1, F71=Report!$B$1, G71=Report!$B$1, H71=Report!$B$1), D71, "")</f>
        <v/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192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>
      <c r="A72" s="6"/>
      <c r="B72" s="194" t="str">
        <f>IF(OR(E72=Report!$B$1, F72=Report!$B$1, G72=Report!$B$1, H72=Report!$B$1), D72, "")</f>
        <v/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192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>
      <c r="A73" s="6"/>
      <c r="B73" s="194" t="str">
        <f>IF(OR(E73=Report!$B$1, F73=Report!$B$1, G73=Report!$B$1, H73=Report!$B$1), D73, "")</f>
        <v/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192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>
      <c r="A74" s="6"/>
      <c r="B74" s="194" t="str">
        <f>IF(OR(E74=Report!$B$1, F74=Report!$B$1, G74=Report!$B$1, H74=Report!$B$1), D74, "")</f>
        <v/>
      </c>
      <c r="C74" s="6" t="str">
        <f>IFERROR(__xludf.DUMMYFUNCTION("""COMPUTED_VALUE"""),"Manažer")</f>
        <v>Manažer</v>
      </c>
      <c r="D74" s="6" t="str">
        <f>IFERROR(__xludf.DUMMYFUNCTION("""COMPUTED_VALUE"""),"Kurýr")</f>
        <v>Kurýr</v>
      </c>
      <c r="E74" s="6" t="str">
        <f>IFERROR(__xludf.DUMMYFUNCTION("""COMPUTED_VALUE"""),"První domácí,          Pobočky max 4    ")</f>
        <v>První domácí,          Pobočky max 4    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 t="str">
        <f>IFERROR(__xludf.DUMMYFUNCTION("""COMPUTED_VALUE"""),"Sp.hr. / h")</f>
        <v>Sp.hr. / h</v>
      </c>
      <c r="W74" s="192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>
      <c r="A75" s="6"/>
      <c r="B75" s="194" t="str">
        <f>IF(OR(E75=Report!$B$1, F75=Report!$B$1, G75=Report!$B$1, H75=Report!$B$1), D75, "")</f>
        <v>Jurkovič Martin</v>
      </c>
      <c r="C75" s="6" t="b">
        <f>IFERROR(__xludf.DUMMYFUNCTION("""COMPUTED_VALUE"""),FALSE)</f>
        <v>0</v>
      </c>
      <c r="D75" s="6" t="str">
        <f>IFERROR(__xludf.DUMMYFUNCTION("""COMPUTED_VALUE"""),"Jurkovič Martin")</f>
        <v>Jurkovič Martin</v>
      </c>
      <c r="E75" s="6" t="str">
        <f>IFERROR(__xludf.DUMMYFUNCTION("""COMPUTED_VALUE"""),"Libuš")</f>
        <v>Libuš</v>
      </c>
      <c r="F75" s="6" t="str">
        <f>IFERROR(__xludf.DUMMYFUNCTION("""COMPUTED_VALUE"""),"Chodov")</f>
        <v>Chodov</v>
      </c>
      <c r="G75" s="6" t="str">
        <f>IFERROR(__xludf.DUMMYFUNCTION("""COMPUTED_VALUE"""),"Malešice")</f>
        <v>Malešice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92">
        <f>IFERROR(__xludf.DUMMYFUNCTION("""COMPUTED_VALUE"""),150.0)</f>
        <v>150</v>
      </c>
      <c r="W75" s="192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>
      <c r="A76" s="6"/>
      <c r="B76" s="194" t="str">
        <f>IF(OR(E76=Report!$B$1, F76=Report!$B$1, G76=Report!$B$1, H76=Report!$B$1), D76, "")</f>
        <v/>
      </c>
      <c r="C76" s="6" t="b">
        <f>IFERROR(__xludf.DUMMYFUNCTION("""COMPUTED_VALUE"""),FALSE)</f>
        <v>0</v>
      </c>
      <c r="D76" s="6" t="str">
        <f>IFERROR(__xludf.DUMMYFUNCTION("""COMPUTED_VALUE"""),"Navrátil Ondřej")</f>
        <v>Navrátil Ondřej</v>
      </c>
      <c r="E76" s="6" t="str">
        <f>IFERROR(__xludf.DUMMYFUNCTION("""COMPUTED_VALUE"""),"Chodov")</f>
        <v>Chodov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92">
        <f>IFERROR(__xludf.DUMMYFUNCTION("""COMPUTED_VALUE"""),267.6)</f>
        <v>267.6</v>
      </c>
      <c r="W76" s="192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>
      <c r="A77" s="6"/>
      <c r="B77" s="194" t="str">
        <f>IF(OR(E77=Report!$B$1, F77=Report!$B$1, G77=Report!$B$1, H77=Report!$B$1), D77, "")</f>
        <v/>
      </c>
      <c r="C77" s="6" t="b">
        <f>IFERROR(__xludf.DUMMYFUNCTION("""COMPUTED_VALUE"""),FALSE)</f>
        <v>0</v>
      </c>
      <c r="D77" s="6" t="str">
        <f>IFERROR(__xludf.DUMMYFUNCTION("""COMPUTED_VALUE"""),"Němec Filip")</f>
        <v>Němec Filip</v>
      </c>
      <c r="E77" s="6" t="str">
        <f>IFERROR(__xludf.DUMMYFUNCTION("""COMPUTED_VALUE"""),"Zličín")</f>
        <v>Zličín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92">
        <f>IFERROR(__xludf.DUMMYFUNCTION("""COMPUTED_VALUE"""),231.474)</f>
        <v>231.474</v>
      </c>
      <c r="W77" s="192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>
      <c r="A78" s="6"/>
      <c r="B78" s="194" t="str">
        <f>IF(OR(E78=Report!$B$1, F78=Report!$B$1, G78=Report!$B$1, H78=Report!$B$1), D78, "")</f>
        <v/>
      </c>
      <c r="C78" s="6" t="b">
        <f>IFERROR(__xludf.DUMMYFUNCTION("""COMPUTED_VALUE"""),FALSE)</f>
        <v>0</v>
      </c>
      <c r="D78" s="6" t="str">
        <f>IFERROR(__xludf.DUMMYFUNCTION("""COMPUTED_VALUE"""),"Zimmer Jakub")</f>
        <v>Zimmer Jakub</v>
      </c>
      <c r="E78" s="6" t="str">
        <f>IFERROR(__xludf.DUMMYFUNCTION("""COMPUTED_VALUE"""),"Zličín")</f>
        <v>Zličín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92">
        <f>IFERROR(__xludf.DUMMYFUNCTION("""COMPUTED_VALUE"""),267.6)</f>
        <v>267.6</v>
      </c>
      <c r="W78" s="192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>
      <c r="A79" s="6"/>
      <c r="B79" s="194" t="str">
        <f>IF(OR(E79=Report!$B$1, F79=Report!$B$1, G79=Report!$B$1, H79=Report!$B$1), D79, "")</f>
        <v>Nekolný Vladimír</v>
      </c>
      <c r="C79" s="6" t="b">
        <f>IFERROR(__xludf.DUMMYFUNCTION("""COMPUTED_VALUE"""),FALSE)</f>
        <v>0</v>
      </c>
      <c r="D79" s="6" t="str">
        <f>IFERROR(__xludf.DUMMYFUNCTION("""COMPUTED_VALUE"""),"Nekolný Vladimír")</f>
        <v>Nekolný Vladimír</v>
      </c>
      <c r="E79" s="6" t="str">
        <f>IFERROR(__xludf.DUMMYFUNCTION("""COMPUTED_VALUE"""),"Chodov")</f>
        <v>Chodov</v>
      </c>
      <c r="F79" s="6" t="str">
        <f>IFERROR(__xludf.DUMMYFUNCTION("""COMPUTED_VALUE"""),"Libuš")</f>
        <v>Libuš</v>
      </c>
      <c r="G79" s="6" t="str">
        <f>IFERROR(__xludf.DUMMYFUNCTION("""COMPUTED_VALUE"""),"Zličín")</f>
        <v>Zličín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92">
        <f>IFERROR(__xludf.DUMMYFUNCTION("""COMPUTED_VALUE"""),231.474)</f>
        <v>231.474</v>
      </c>
      <c r="W79" s="192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>
      <c r="A80" s="6"/>
      <c r="B80" s="194" t="str">
        <f>IF(OR(E80=Report!$B$1, F80=Report!$B$1, G80=Report!$B$1, H80=Report!$B$1), D80, "")</f>
        <v>Hanibal Filip</v>
      </c>
      <c r="C80" s="6" t="b">
        <f>IFERROR(__xludf.DUMMYFUNCTION("""COMPUTED_VALUE"""),FALSE)</f>
        <v>0</v>
      </c>
      <c r="D80" s="6" t="str">
        <f>IFERROR(__xludf.DUMMYFUNCTION("""COMPUTED_VALUE"""),"Hanibal Filip")</f>
        <v>Hanibal Filip</v>
      </c>
      <c r="E80" s="6" t="str">
        <f>IFERROR(__xludf.DUMMYFUNCTION("""COMPUTED_VALUE"""),"Malešice")</f>
        <v>Malešice</v>
      </c>
      <c r="F80" s="6" t="str">
        <f>IFERROR(__xludf.DUMMYFUNCTION("""COMPUTED_VALUE"""),"Libuš")</f>
        <v>Libuš</v>
      </c>
      <c r="G80" s="6" t="str">
        <f>IFERROR(__xludf.DUMMYFUNCTION("""COMPUTED_VALUE"""),"Prosek")</f>
        <v>Prosek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92">
        <f>IFERROR(__xludf.DUMMYFUNCTION("""COMPUTED_VALUE"""),250.20600000000002)</f>
        <v>250.206</v>
      </c>
      <c r="W80" s="192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>
      <c r="A81" s="6"/>
      <c r="B81" s="194" t="str">
        <f>IF(OR(E81=Report!$B$1, F81=Report!$B$1, G81=Report!$B$1, H81=Report!$B$1), D81, "")</f>
        <v/>
      </c>
      <c r="C81" s="6" t="b">
        <f>IFERROR(__xludf.DUMMYFUNCTION("""COMPUTED_VALUE"""),FALSE)</f>
        <v>0</v>
      </c>
      <c r="D81" s="6" t="str">
        <f>IFERROR(__xludf.DUMMYFUNCTION("""COMPUTED_VALUE"""),"Novák Jakub")</f>
        <v>Novák Jakub</v>
      </c>
      <c r="E81" s="6" t="str">
        <f>IFERROR(__xludf.DUMMYFUNCTION("""COMPUTED_VALUE"""),"Zličín")</f>
        <v>Zličín</v>
      </c>
      <c r="F81" s="6" t="str">
        <f>IFERROR(__xludf.DUMMYFUNCTION("""COMPUTED_VALUE"""),"Malešice")</f>
        <v>Malešice</v>
      </c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92">
        <f>IFERROR(__xludf.DUMMYFUNCTION("""COMPUTED_VALUE"""),231.474)</f>
        <v>231.474</v>
      </c>
      <c r="W81" s="192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>
      <c r="A82" s="6"/>
      <c r="B82" s="194" t="str">
        <f>IF(OR(E82=Report!$B$1, F82=Report!$B$1, G82=Report!$B$1, H82=Report!$B$1), D82, "")</f>
        <v/>
      </c>
      <c r="C82" s="6" t="b">
        <f>IFERROR(__xludf.DUMMYFUNCTION("""COMPUTED_VALUE"""),FALSE)</f>
        <v>0</v>
      </c>
      <c r="D82" s="6" t="str">
        <f>IFERROR(__xludf.DUMMYFUNCTION("""COMPUTED_VALUE"""),"Černohorský Otakar")</f>
        <v>Černohorský Otakar</v>
      </c>
      <c r="E82" s="6" t="str">
        <f>IFERROR(__xludf.DUMMYFUNCTION("""COMPUTED_VALUE"""),"Zličín")</f>
        <v>Zličín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92">
        <f>IFERROR(__xludf.DUMMYFUNCTION("""COMPUTED_VALUE"""),231.474)</f>
        <v>231.474</v>
      </c>
      <c r="W82" s="192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>
      <c r="A83" s="6"/>
      <c r="B83" s="194" t="str">
        <f>IF(OR(E83=Report!$B$1, F83=Report!$B$1, G83=Report!$B$1, H83=Report!$B$1), D83, "")</f>
        <v>Nedvěd Dominik</v>
      </c>
      <c r="C83" s="6" t="b">
        <f>IFERROR(__xludf.DUMMYFUNCTION("""COMPUTED_VALUE"""),FALSE)</f>
        <v>0</v>
      </c>
      <c r="D83" s="6" t="str">
        <f>IFERROR(__xludf.DUMMYFUNCTION("""COMPUTED_VALUE"""),"Nedvěd Dominik")</f>
        <v>Nedvěd Dominik</v>
      </c>
      <c r="E83" s="6" t="str">
        <f>IFERROR(__xludf.DUMMYFUNCTION("""COMPUTED_VALUE"""),"Libuš")</f>
        <v>Libuš</v>
      </c>
      <c r="F83" s="6" t="str">
        <f>IFERROR(__xludf.DUMMYFUNCTION("""COMPUTED_VALUE"""),"Malešice")</f>
        <v>Malešice</v>
      </c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92">
        <f>IFERROR(__xludf.DUMMYFUNCTION("""COMPUTED_VALUE"""),231.474)</f>
        <v>231.474</v>
      </c>
      <c r="W83" s="192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>
      <c r="A84" s="6"/>
      <c r="B84" s="194" t="str">
        <f>IF(OR(E84=Report!$B$1, F84=Report!$B$1, G84=Report!$B$1, H84=Report!$B$1), D84, "")</f>
        <v>Lanský Zoltan</v>
      </c>
      <c r="C84" s="6" t="b">
        <f>IFERROR(__xludf.DUMMYFUNCTION("""COMPUTED_VALUE"""),FALSE)</f>
        <v>0</v>
      </c>
      <c r="D84" s="6" t="str">
        <f>IFERROR(__xludf.DUMMYFUNCTION("""COMPUTED_VALUE"""),"Lanský Zoltan")</f>
        <v>Lanský Zoltan</v>
      </c>
      <c r="E84" s="6" t="str">
        <f>IFERROR(__xludf.DUMMYFUNCTION("""COMPUTED_VALUE"""),"Chodov")</f>
        <v>Chodov</v>
      </c>
      <c r="F84" s="6" t="str">
        <f>IFERROR(__xludf.DUMMYFUNCTION("""COMPUTED_VALUE"""),"Libuš")</f>
        <v>Libuš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92">
        <f>IFERROR(__xludf.DUMMYFUNCTION("""COMPUTED_VALUE"""),250.20600000000002)</f>
        <v>250.206</v>
      </c>
      <c r="W84" s="192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>
      <c r="A85" s="6"/>
      <c r="B85" s="194" t="str">
        <f>IF(OR(E85=Report!$B$1, F85=Report!$B$1, G85=Report!$B$1, H85=Report!$B$1), D85, "")</f>
        <v/>
      </c>
      <c r="C85" s="6" t="b">
        <f>IFERROR(__xludf.DUMMYFUNCTION("""COMPUTED_VALUE"""),FALSE)</f>
        <v>0</v>
      </c>
      <c r="D85" s="6" t="str">
        <f>IFERROR(__xludf.DUMMYFUNCTION("""COMPUTED_VALUE"""),"Lowe Jana")</f>
        <v>Lowe Jana</v>
      </c>
      <c r="E85" s="6" t="str">
        <f>IFERROR(__xludf.DUMMYFUNCTION("""COMPUTED_VALUE"""),"Zličín")</f>
        <v>Zličín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92">
        <f>IFERROR(__xludf.DUMMYFUNCTION("""COMPUTED_VALUE"""),150.0)</f>
        <v>150</v>
      </c>
      <c r="W85" s="192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>
      <c r="A86" s="6"/>
      <c r="B86" s="194" t="str">
        <f>IF(OR(E86=Report!$B$1, F86=Report!$B$1, G86=Report!$B$1, H86=Report!$B$1), D86, "")</f>
        <v/>
      </c>
      <c r="C86" s="6" t="b">
        <f>IFERROR(__xludf.DUMMYFUNCTION("""COMPUTED_VALUE"""),FALSE)</f>
        <v>0</v>
      </c>
      <c r="D86" s="6" t="str">
        <f>IFERROR(__xludf.DUMMYFUNCTION("""COMPUTED_VALUE"""),"Hyský Aleš")</f>
        <v>Hyský Aleš</v>
      </c>
      <c r="E86" s="6" t="str">
        <f>IFERROR(__xludf.DUMMYFUNCTION("""COMPUTED_VALUE"""),"Chodov")</f>
        <v>Chodov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92">
        <f>IFERROR(__xludf.DUMMYFUNCTION("""COMPUTED_VALUE"""),231.474)</f>
        <v>231.474</v>
      </c>
      <c r="W86" s="192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>
      <c r="A87" s="6"/>
      <c r="B87" s="194" t="str">
        <f>IF(OR(E87=Report!$B$1, F87=Report!$B$1, G87=Report!$B$1, H87=Report!$B$1), D87, "")</f>
        <v>Lažek Jaroslav</v>
      </c>
      <c r="C87" s="6" t="b">
        <f>IFERROR(__xludf.DUMMYFUNCTION("""COMPUTED_VALUE"""),FALSE)</f>
        <v>0</v>
      </c>
      <c r="D87" s="6" t="str">
        <f>IFERROR(__xludf.DUMMYFUNCTION("""COMPUTED_VALUE"""),"Lažek Jaroslav")</f>
        <v>Lažek Jaroslav</v>
      </c>
      <c r="E87" s="6" t="str">
        <f>IFERROR(__xludf.DUMMYFUNCTION("""COMPUTED_VALUE"""),"Libuš")</f>
        <v>Libuš</v>
      </c>
      <c r="F87" s="6" t="str">
        <f>IFERROR(__xludf.DUMMYFUNCTION("""COMPUTED_VALUE"""),"Chodov")</f>
        <v>Chodov</v>
      </c>
      <c r="G87" s="6" t="str">
        <f>IFERROR(__xludf.DUMMYFUNCTION("""COMPUTED_VALUE"""),"Malešice")</f>
        <v>Malešice</v>
      </c>
      <c r="H87" s="6" t="str">
        <f>IFERROR(__xludf.DUMMYFUNCTION("""COMPUTED_VALUE"""),"Výroba")</f>
        <v>Výroba</v>
      </c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192">
        <f>IFERROR(__xludf.DUMMYFUNCTION("""COMPUTED_VALUE"""),170.0)</f>
        <v>170</v>
      </c>
      <c r="W87" s="192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>
      <c r="A88" s="6"/>
      <c r="B88" s="194" t="str">
        <f>IF(OR(E88=Report!$B$1, F88=Report!$B$1, G88=Report!$B$1, H88=Report!$B$1), D88, "")</f>
        <v/>
      </c>
      <c r="C88" s="6" t="b">
        <f>IFERROR(__xludf.DUMMYFUNCTION("""COMPUTED_VALUE"""),FALSE)</f>
        <v>0</v>
      </c>
      <c r="D88" s="6" t="str">
        <f>IFERROR(__xludf.DUMMYFUNCTION("""COMPUTED_VALUE"""),"Kormash Liubov")</f>
        <v>Kormash Liubov</v>
      </c>
      <c r="E88" s="6" t="str">
        <f>IFERROR(__xludf.DUMMYFUNCTION("""COMPUTED_VALUE"""),"Zličín")</f>
        <v>Zličín</v>
      </c>
      <c r="F88" s="6" t="str">
        <f>IFERROR(__xludf.DUMMYFUNCTION("""COMPUTED_VALUE"""),"Prosek")</f>
        <v>Prosek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192">
        <f>IFERROR(__xludf.DUMMYFUNCTION("""COMPUTED_VALUE"""),160.0)</f>
        <v>160</v>
      </c>
      <c r="W88" s="192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>
      <c r="A89" s="6"/>
      <c r="B89" s="194" t="str">
        <f>IF(OR(E89=Report!$B$1, F89=Report!$B$1, G89=Report!$B$1, H89=Report!$B$1), D89, "")</f>
        <v>Chlubna Tomáš</v>
      </c>
      <c r="C89" s="6" t="b">
        <f>IFERROR(__xludf.DUMMYFUNCTION("""COMPUTED_VALUE"""),FALSE)</f>
        <v>0</v>
      </c>
      <c r="D89" s="6" t="str">
        <f>IFERROR(__xludf.DUMMYFUNCTION("""COMPUTED_VALUE"""),"Chlubna Tomáš")</f>
        <v>Chlubna Tomáš</v>
      </c>
      <c r="E89" s="6" t="str">
        <f>IFERROR(__xludf.DUMMYFUNCTION("""COMPUTED_VALUE"""),"Chodov")</f>
        <v>Chodov</v>
      </c>
      <c r="F89" s="6" t="str">
        <f>IFERROR(__xludf.DUMMYFUNCTION("""COMPUTED_VALUE"""),"Libuš")</f>
        <v>Libuš</v>
      </c>
      <c r="G89" s="6" t="str">
        <f>IFERROR(__xludf.DUMMYFUNCTION("""COMPUTED_VALUE"""),"Výroba")</f>
        <v>Výroba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192">
        <f>IFERROR(__xludf.DUMMYFUNCTION("""COMPUTED_VALUE"""),250.20600000000002)</f>
        <v>250.206</v>
      </c>
      <c r="W89" s="192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>
      <c r="A90" s="6"/>
      <c r="B90" s="194" t="str">
        <f>IF(OR(E90=Report!$B$1, F90=Report!$B$1, G90=Report!$B$1, H90=Report!$B$1), D90, "")</f>
        <v/>
      </c>
      <c r="C90" s="6" t="b">
        <f>IFERROR(__xludf.DUMMYFUNCTION("""COMPUTED_VALUE"""),FALSE)</f>
        <v>0</v>
      </c>
      <c r="D90" s="6" t="str">
        <f>IFERROR(__xludf.DUMMYFUNCTION("""COMPUTED_VALUE"""),"Vychivskyi Volodymyr")</f>
        <v>Vychivskyi Volodymyr</v>
      </c>
      <c r="E90" s="6" t="str">
        <f>IFERROR(__xludf.DUMMYFUNCTION("""COMPUTED_VALUE"""),"Malešice")</f>
        <v>Malešice</v>
      </c>
      <c r="F90" s="6" t="str">
        <f>IFERROR(__xludf.DUMMYFUNCTION("""COMPUTED_VALUE"""),"Prosek")</f>
        <v>Prosek</v>
      </c>
      <c r="G90" s="6" t="str">
        <f>IFERROR(__xludf.DUMMYFUNCTION("""COMPUTED_VALUE"""),"Zličín")</f>
        <v>Zličín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192">
        <f>IFERROR(__xludf.DUMMYFUNCTION("""COMPUTED_VALUE"""),250.20600000000002)</f>
        <v>250.206</v>
      </c>
      <c r="W90" s="192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>
      <c r="A91" s="6"/>
      <c r="B91" s="194" t="str">
        <f>IF(OR(E91=Report!$B$1, F91=Report!$B$1, G91=Report!$B$1, H91=Report!$B$1), D91, "")</f>
        <v>Hřebík Martin</v>
      </c>
      <c r="C91" s="6" t="b">
        <f>IFERROR(__xludf.DUMMYFUNCTION("""COMPUTED_VALUE"""),FALSE)</f>
        <v>0</v>
      </c>
      <c r="D91" s="6" t="str">
        <f>IFERROR(__xludf.DUMMYFUNCTION("""COMPUTED_VALUE"""),"Hřebík Martin")</f>
        <v>Hřebík Martin</v>
      </c>
      <c r="E91" s="6" t="str">
        <f>IFERROR(__xludf.DUMMYFUNCTION("""COMPUTED_VALUE"""),"Výroba")</f>
        <v>Výroba</v>
      </c>
      <c r="F91" s="6" t="str">
        <f>IFERROR(__xludf.DUMMYFUNCTION("""COMPUTED_VALUE"""),"Chodov")</f>
        <v>Chodov</v>
      </c>
      <c r="G91" s="6" t="str">
        <f>IFERROR(__xludf.DUMMYFUNCTION("""COMPUTED_VALUE"""),"Prosek")</f>
        <v>Prosek</v>
      </c>
      <c r="H91" s="6" t="str">
        <f>IFERROR(__xludf.DUMMYFUNCTION("""COMPUTED_VALUE"""),"Libuš")</f>
        <v>Libuš</v>
      </c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192">
        <f>IFERROR(__xludf.DUMMYFUNCTION("""COMPUTED_VALUE"""),386.68199999999996)</f>
        <v>386.682</v>
      </c>
      <c r="W91" s="192">
        <f>IFERROR(__xludf.DUMMYFUNCTION("""COMPUTED_VALUE"""),2494.722580645161)</f>
        <v>2494.722581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>
      <c r="A92" s="6"/>
      <c r="B92" s="194" t="str">
        <f>IF(OR(E92=Report!$B$1, F92=Report!$B$1, G92=Report!$B$1, H92=Report!$B$1), D92, "")</f>
        <v>Eszenyiová Patrícia</v>
      </c>
      <c r="C92" s="6" t="b">
        <f>IFERROR(__xludf.DUMMYFUNCTION("""COMPUTED_VALUE"""),FALSE)</f>
        <v>0</v>
      </c>
      <c r="D92" s="6" t="str">
        <f>IFERROR(__xludf.DUMMYFUNCTION("""COMPUTED_VALUE"""),"Eszenyiová Patrícia")</f>
        <v>Eszenyiová Patrícia</v>
      </c>
      <c r="E92" s="6" t="str">
        <f>IFERROR(__xludf.DUMMYFUNCTION("""COMPUTED_VALUE"""),"Libuš")</f>
        <v>Libuš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192">
        <f>IFERROR(__xludf.DUMMYFUNCTION("""COMPUTED_VALUE"""),250.20600000000002)</f>
        <v>250.206</v>
      </c>
      <c r="W92" s="192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>
      <c r="A93" s="6"/>
      <c r="B93" s="194" t="str">
        <f>IF(OR(E93=Report!$B$1, F93=Report!$B$1, G93=Report!$B$1, H93=Report!$B$1), D93, "")</f>
        <v>Reischl Jan</v>
      </c>
      <c r="C93" s="6" t="b">
        <f>IFERROR(__xludf.DUMMYFUNCTION("""COMPUTED_VALUE"""),FALSE)</f>
        <v>0</v>
      </c>
      <c r="D93" s="6" t="str">
        <f>IFERROR(__xludf.DUMMYFUNCTION("""COMPUTED_VALUE"""),"Reischl Jan")</f>
        <v>Reischl Jan</v>
      </c>
      <c r="E93" s="6" t="str">
        <f>IFERROR(__xludf.DUMMYFUNCTION("""COMPUTED_VALUE"""),"Malešice")</f>
        <v>Malešice</v>
      </c>
      <c r="F93" s="6" t="str">
        <f>IFERROR(__xludf.DUMMYFUNCTION("""COMPUTED_VALUE"""),"Chodov")</f>
        <v>Chodov</v>
      </c>
      <c r="G93" s="6" t="str">
        <f>IFERROR(__xludf.DUMMYFUNCTION("""COMPUTED_VALUE"""),"Libuš")</f>
        <v>Libuš</v>
      </c>
      <c r="H93" s="6" t="str">
        <f>IFERROR(__xludf.DUMMYFUNCTION("""COMPUTED_VALUE"""),"Prosek")</f>
        <v>Prosek</v>
      </c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192">
        <f>IFERROR(__xludf.DUMMYFUNCTION("""COMPUTED_VALUE"""),214.08)</f>
        <v>214.08</v>
      </c>
      <c r="W93" s="192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>
      <c r="A94" s="6"/>
      <c r="B94" s="194" t="str">
        <f>IF(OR(E94=Report!$B$1, F94=Report!$B$1, G94=Report!$B$1, H94=Report!$B$1), D94, "")</f>
        <v/>
      </c>
      <c r="C94" s="6" t="b">
        <f>IFERROR(__xludf.DUMMYFUNCTION("""COMPUTED_VALUE"""),FALSE)</f>
        <v>0</v>
      </c>
      <c r="D94" s="6" t="str">
        <f>IFERROR(__xludf.DUMMYFUNCTION("""COMPUTED_VALUE"""),"Mikešová Adéla")</f>
        <v>Mikešová Adéla</v>
      </c>
      <c r="E94" s="6" t="str">
        <f>IFERROR(__xludf.DUMMYFUNCTION("""COMPUTED_VALUE"""),"Bolevec")</f>
        <v>Bolevec</v>
      </c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192">
        <f>IFERROR(__xludf.DUMMYFUNCTION("""COMPUTED_VALUE"""),214.08)</f>
        <v>214.08</v>
      </c>
      <c r="W94" s="192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>
      <c r="A95" s="6"/>
      <c r="B95" s="194" t="str">
        <f>IF(OR(E95=Report!$B$1, F95=Report!$B$1, G95=Report!$B$1, H95=Report!$B$1), D95, "")</f>
        <v/>
      </c>
      <c r="C95" s="6" t="b">
        <f>IFERROR(__xludf.DUMMYFUNCTION("""COMPUTED_VALUE"""),FALSE)</f>
        <v>0</v>
      </c>
      <c r="D95" s="6" t="str">
        <f>IFERROR(__xludf.DUMMYFUNCTION("""COMPUTED_VALUE"""),"Chyský David")</f>
        <v>Chyský David</v>
      </c>
      <c r="E95" s="6" t="str">
        <f>IFERROR(__xludf.DUMMYFUNCTION("""COMPUTED_VALUE"""),"Chodov")</f>
        <v>Chodov</v>
      </c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192">
        <f>IFERROR(__xludf.DUMMYFUNCTION("""COMPUTED_VALUE"""),231.474)</f>
        <v>231.474</v>
      </c>
      <c r="W95" s="192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>
      <c r="A96" s="6"/>
      <c r="B96" s="194" t="str">
        <f>IF(OR(E96=Report!$B$1, F96=Report!$B$1, G96=Report!$B$1, H96=Report!$B$1), D96, "")</f>
        <v>Kalina Filip</v>
      </c>
      <c r="C96" s="6" t="b">
        <f>IFERROR(__xludf.DUMMYFUNCTION("""COMPUTED_VALUE"""),FALSE)</f>
        <v>0</v>
      </c>
      <c r="D96" s="6" t="str">
        <f>IFERROR(__xludf.DUMMYFUNCTION("""COMPUTED_VALUE"""),"Kalina Filip")</f>
        <v>Kalina Filip</v>
      </c>
      <c r="E96" s="6" t="str">
        <f>IFERROR(__xludf.DUMMYFUNCTION("""COMPUTED_VALUE"""),"Malešice")</f>
        <v>Malešice</v>
      </c>
      <c r="F96" s="6" t="str">
        <f>IFERROR(__xludf.DUMMYFUNCTION("""COMPUTED_VALUE"""),"Libuš")</f>
        <v>Libuš</v>
      </c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192">
        <f>IFERROR(__xludf.DUMMYFUNCTION("""COMPUTED_VALUE"""),231.474)</f>
        <v>231.474</v>
      </c>
      <c r="W96" s="192">
        <f>IFERROR(__xludf.DUMMYFUNCTION("""COMPUTED_VALUE"""),0.0)</f>
        <v>0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>
      <c r="A97" s="6"/>
      <c r="B97" s="194" t="str">
        <f>IF(OR(E97=Report!$B$1, F97=Report!$B$1, G97=Report!$B$1, H97=Report!$B$1), D97, "")</f>
        <v/>
      </c>
      <c r="C97" s="6" t="b">
        <f>IFERROR(__xludf.DUMMYFUNCTION("""COMPUTED_VALUE"""),FALSE)</f>
        <v>0</v>
      </c>
      <c r="D97" s="6" t="str">
        <f>IFERROR(__xludf.DUMMYFUNCTION("""COMPUTED_VALUE"""),"Kaločai Rudolf")</f>
        <v>Kaločai Rudolf</v>
      </c>
      <c r="E97" s="6" t="str">
        <f>IFERROR(__xludf.DUMMYFUNCTION("""COMPUTED_VALUE"""),"Bolevec")</f>
        <v>Bolevec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192">
        <f>IFERROR(__xludf.DUMMYFUNCTION("""COMPUTED_VALUE"""),140.0)</f>
        <v>140</v>
      </c>
      <c r="W97" s="192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>
      <c r="A98" s="6"/>
      <c r="B98" s="194" t="str">
        <f>IF(OR(E98=Report!$B$1, F98=Report!$B$1, G98=Report!$B$1, H98=Report!$B$1), D98, "")</f>
        <v>Dušek Sam</v>
      </c>
      <c r="C98" s="6" t="b">
        <f>IFERROR(__xludf.DUMMYFUNCTION("""COMPUTED_VALUE"""),FALSE)</f>
        <v>0</v>
      </c>
      <c r="D98" s="6" t="str">
        <f>IFERROR(__xludf.DUMMYFUNCTION("""COMPUTED_VALUE"""),"Dušek Sam")</f>
        <v>Dušek Sam</v>
      </c>
      <c r="E98" s="6" t="str">
        <f>IFERROR(__xludf.DUMMYFUNCTION("""COMPUTED_VALUE"""),"Libuš")</f>
        <v>Libuš</v>
      </c>
      <c r="F98" s="6" t="str">
        <f>IFERROR(__xludf.DUMMYFUNCTION("""COMPUTED_VALUE"""),"Malešice")</f>
        <v>Malešice</v>
      </c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192">
        <f>IFERROR(__xludf.DUMMYFUNCTION("""COMPUTED_VALUE"""),250.20600000000002)</f>
        <v>250.206</v>
      </c>
      <c r="W98" s="192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>
      <c r="A99" s="6"/>
      <c r="B99" s="194" t="str">
        <f>IF(OR(E99=Report!$B$1, F99=Report!$B$1, G99=Report!$B$1, H99=Report!$B$1), D99, "")</f>
        <v/>
      </c>
      <c r="C99" s="6" t="b">
        <f>IFERROR(__xludf.DUMMYFUNCTION("""COMPUTED_VALUE"""),FALSE)</f>
        <v>0</v>
      </c>
      <c r="D99" s="6" t="str">
        <f>IFERROR(__xludf.DUMMYFUNCTION("""COMPUTED_VALUE"""),"Banga Adam")</f>
        <v>Banga Adam</v>
      </c>
      <c r="E99" s="6" t="str">
        <f>IFERROR(__xludf.DUMMYFUNCTION("""COMPUTED_VALUE"""),"Zličín")</f>
        <v>Zličín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192">
        <f>IFERROR(__xludf.DUMMYFUNCTION("""COMPUTED_VALUE"""),231.474)</f>
        <v>231.474</v>
      </c>
      <c r="W99" s="192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>
      <c r="A100" s="6"/>
      <c r="B100" s="194" t="str">
        <f>IF(OR(E100=Report!$B$1, F100=Report!$B$1, G100=Report!$B$1, H100=Report!$B$1), D100, "")</f>
        <v/>
      </c>
      <c r="C100" s="6" t="b">
        <f>IFERROR(__xludf.DUMMYFUNCTION("""COMPUTED_VALUE"""),FALSE)</f>
        <v>0</v>
      </c>
      <c r="D100" s="6" t="str">
        <f>IFERROR(__xludf.DUMMYFUNCTION("""COMPUTED_VALUE"""),"Vopatová Anna")</f>
        <v>Vopatová Anna</v>
      </c>
      <c r="E100" s="6" t="str">
        <f>IFERROR(__xludf.DUMMYFUNCTION("""COMPUTED_VALUE"""),"Bolevec")</f>
        <v>Bolevec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192">
        <f>IFERROR(__xludf.DUMMYFUNCTION("""COMPUTED_VALUE"""),214.08)</f>
        <v>214.08</v>
      </c>
      <c r="W100" s="192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>
      <c r="A101" s="6"/>
      <c r="B101" s="194" t="str">
        <f>IF(OR(E101=Report!$B$1, F101=Report!$B$1, G101=Report!$B$1, H101=Report!$B$1), D101, "")</f>
        <v/>
      </c>
      <c r="C101" s="6" t="b">
        <f>IFERROR(__xludf.DUMMYFUNCTION("""COMPUTED_VALUE"""),FALSE)</f>
        <v>0</v>
      </c>
      <c r="D101" s="6" t="str">
        <f>IFERROR(__xludf.DUMMYFUNCTION("""COMPUTED_VALUE"""),"Vopatová Šárka")</f>
        <v>Vopatová Šárka</v>
      </c>
      <c r="E101" s="6" t="str">
        <f>IFERROR(__xludf.DUMMYFUNCTION("""COMPUTED_VALUE"""),"Bolevec")</f>
        <v>Bolevec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192">
        <f>IFERROR(__xludf.DUMMYFUNCTION("""COMPUTED_VALUE"""),214.08)</f>
        <v>214.08</v>
      </c>
      <c r="W101" s="192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>
      <c r="A102" s="6"/>
      <c r="B102" s="194" t="str">
        <f>IF(OR(E102=Report!$B$1, F102=Report!$B$1, G102=Report!$B$1, H102=Report!$B$1), D102, "")</f>
        <v/>
      </c>
      <c r="C102" s="6" t="b">
        <f>IFERROR(__xludf.DUMMYFUNCTION("""COMPUTED_VALUE"""),FALSE)</f>
        <v>0</v>
      </c>
      <c r="D102" s="6" t="str">
        <f>IFERROR(__xludf.DUMMYFUNCTION("""COMPUTED_VALUE"""),"Richterová Monika")</f>
        <v>Richterová Monika</v>
      </c>
      <c r="E102" s="6" t="str">
        <f>IFERROR(__xludf.DUMMYFUNCTION("""COMPUTED_VALUE"""),"Malešice")</f>
        <v>Malešice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192">
        <f>IFERROR(__xludf.DUMMYFUNCTION("""COMPUTED_VALUE"""),214.08)</f>
        <v>214.08</v>
      </c>
      <c r="W102" s="192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>
      <c r="A103" s="6"/>
      <c r="B103" s="194" t="str">
        <f>IF(OR(E103=Report!$B$1, F103=Report!$B$1, G103=Report!$B$1, H103=Report!$B$1), D103, "")</f>
        <v>Serin David</v>
      </c>
      <c r="C103" s="6" t="b">
        <f>IFERROR(__xludf.DUMMYFUNCTION("""COMPUTED_VALUE"""),FALSE)</f>
        <v>0</v>
      </c>
      <c r="D103" s="6" t="str">
        <f>IFERROR(__xludf.DUMMYFUNCTION("""COMPUTED_VALUE"""),"Serin David")</f>
        <v>Serin David</v>
      </c>
      <c r="E103" s="6" t="str">
        <f>IFERROR(__xludf.DUMMYFUNCTION("""COMPUTED_VALUE"""),"Libuš")</f>
        <v>Libuš</v>
      </c>
      <c r="F103" s="6" t="str">
        <f>IFERROR(__xludf.DUMMYFUNCTION("""COMPUTED_VALUE"""),"Malešice")</f>
        <v>Malešice</v>
      </c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192">
        <f>IFERROR(__xludf.DUMMYFUNCTION("""COMPUTED_VALUE"""),250.20600000000002)</f>
        <v>250.206</v>
      </c>
      <c r="W103" s="192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>
      <c r="A104" s="6"/>
      <c r="B104" s="194" t="str">
        <f>IF(OR(E104=Report!$B$1, F104=Report!$B$1, G104=Report!$B$1, H104=Report!$B$1), D104, "")</f>
        <v/>
      </c>
      <c r="C104" s="6" t="b">
        <f>IFERROR(__xludf.DUMMYFUNCTION("""COMPUTED_VALUE"""),FALSE)</f>
        <v>0</v>
      </c>
      <c r="D104" s="6" t="str">
        <f>IFERROR(__xludf.DUMMYFUNCTION("""COMPUTED_VALUE"""),"Fabera Tomáš")</f>
        <v>Fabera Tomáš</v>
      </c>
      <c r="E104" s="6" t="str">
        <f>IFERROR(__xludf.DUMMYFUNCTION("""COMPUTED_VALUE"""),"Chodov")</f>
        <v>Chodov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192">
        <f>IFERROR(__xludf.DUMMYFUNCTION("""COMPUTED_VALUE"""),231.474)</f>
        <v>231.474</v>
      </c>
      <c r="W104" s="192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>
      <c r="A105" s="6"/>
      <c r="B105" s="194" t="str">
        <f>IF(OR(E105=Report!$B$1, F105=Report!$B$1, G105=Report!$B$1, H105=Report!$B$1), D105, "")</f>
        <v/>
      </c>
      <c r="C105" s="6" t="b">
        <f>IFERROR(__xludf.DUMMYFUNCTION("""COMPUTED_VALUE"""),FALSE)</f>
        <v>0</v>
      </c>
      <c r="D105" s="6" t="str">
        <f>IFERROR(__xludf.DUMMYFUNCTION("""COMPUTED_VALUE"""),"Hendrych Rostislav")</f>
        <v>Hendrych Rostislav</v>
      </c>
      <c r="E105" s="6" t="str">
        <f>IFERROR(__xludf.DUMMYFUNCTION("""COMPUTED_VALUE"""),"Malešice")</f>
        <v>Malešice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192">
        <f>IFERROR(__xludf.DUMMYFUNCTION("""COMPUTED_VALUE"""),250.20600000000002)</f>
        <v>250.206</v>
      </c>
      <c r="W105" s="192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>
      <c r="A106" s="6"/>
      <c r="B106" s="194" t="str">
        <f>IF(OR(E106=Report!$B$1, F106=Report!$B$1, G106=Report!$B$1, H106=Report!$B$1), D106, "")</f>
        <v/>
      </c>
      <c r="C106" s="6" t="b">
        <f>IFERROR(__xludf.DUMMYFUNCTION("""COMPUTED_VALUE"""),FALSE)</f>
        <v>0</v>
      </c>
      <c r="D106" s="6" t="str">
        <f>IFERROR(__xludf.DUMMYFUNCTION("""COMPUTED_VALUE"""),"Světlík František")</f>
        <v>Světlík František</v>
      </c>
      <c r="E106" s="6" t="str">
        <f>IFERROR(__xludf.DUMMYFUNCTION("""COMPUTED_VALUE"""),"Bolevec")</f>
        <v>Bolevec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192">
        <f>IFERROR(__xludf.DUMMYFUNCTION("""COMPUTED_VALUE"""),214.08)</f>
        <v>214.08</v>
      </c>
      <c r="W106" s="192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>
      <c r="A107" s="6"/>
      <c r="B107" s="194" t="str">
        <f>IF(OR(E107=Report!$B$1, F107=Report!$B$1, G107=Report!$B$1, H107=Report!$B$1), D107, "")</f>
        <v/>
      </c>
      <c r="C107" s="6" t="b">
        <f>IFERROR(__xludf.DUMMYFUNCTION("""COMPUTED_VALUE"""),FALSE)</f>
        <v>0</v>
      </c>
      <c r="D107" s="6" t="str">
        <f>IFERROR(__xludf.DUMMYFUNCTION("""COMPUTED_VALUE"""),"Ženíšek Lukáš")</f>
        <v>Ženíšek Lukáš</v>
      </c>
      <c r="E107" s="6" t="str">
        <f>IFERROR(__xludf.DUMMYFUNCTION("""COMPUTED_VALUE"""),"Bolevec")</f>
        <v>Bolevec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192">
        <f>IFERROR(__xludf.DUMMYFUNCTION("""COMPUTED_VALUE"""),214.08)</f>
        <v>214.08</v>
      </c>
      <c r="W107" s="192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>
      <c r="A108" s="6"/>
      <c r="B108" s="194" t="str">
        <f>IF(OR(E108=Report!$B$1, F108=Report!$B$1, G108=Report!$B$1, H108=Report!$B$1), D108, "")</f>
        <v/>
      </c>
      <c r="C108" s="6" t="b">
        <f>IFERROR(__xludf.DUMMYFUNCTION("""COMPUTED_VALUE"""),FALSE)</f>
        <v>0</v>
      </c>
      <c r="D108" s="6" t="str">
        <f>IFERROR(__xludf.DUMMYFUNCTION("""COMPUTED_VALUE"""),"Roth Stanislav st.")</f>
        <v>Roth Stanislav st.</v>
      </c>
      <c r="E108" s="6" t="str">
        <f>IFERROR(__xludf.DUMMYFUNCTION("""COMPUTED_VALUE"""),"Bolevec")</f>
        <v>Bolevec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192">
        <f>IFERROR(__xludf.DUMMYFUNCTION("""COMPUTED_VALUE"""),49506.0)</f>
        <v>49506</v>
      </c>
      <c r="W108" s="192">
        <f>IFERROR(__xludf.DUMMYFUNCTION("""COMPUTED_VALUE"""),1596.967741935484)</f>
        <v>1596.967742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>
      <c r="A109" s="6"/>
      <c r="B109" s="194" t="str">
        <f>IF(OR(E109=Report!$B$1, F109=Report!$B$1, G109=Report!$B$1, H109=Report!$B$1), D109, "")</f>
        <v/>
      </c>
      <c r="C109" s="6" t="b">
        <f>IFERROR(__xludf.DUMMYFUNCTION("""COMPUTED_VALUE"""),FALSE)</f>
        <v>0</v>
      </c>
      <c r="D109" s="6" t="str">
        <f>IFERROR(__xludf.DUMMYFUNCTION("""COMPUTED_VALUE"""),"Vaníková Anna")</f>
        <v>Vaníková Anna</v>
      </c>
      <c r="E109" s="6" t="str">
        <f>IFERROR(__xludf.DUMMYFUNCTION("""COMPUTED_VALUE"""),"Zličín")</f>
        <v>Zličín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192">
        <f>IFERROR(__xludf.DUMMYFUNCTION("""COMPUTED_VALUE"""),250.20600000000002)</f>
        <v>250.206</v>
      </c>
      <c r="W109" s="192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>
      <c r="A110" s="6"/>
      <c r="B110" s="194" t="str">
        <f>IF(OR(E110=Report!$B$1, F110=Report!$B$1, G110=Report!$B$1, H110=Report!$B$1), D110, "")</f>
        <v>Břicháč Pavel</v>
      </c>
      <c r="C110" s="6" t="b">
        <f>IFERROR(__xludf.DUMMYFUNCTION("""COMPUTED_VALUE"""),FALSE)</f>
        <v>0</v>
      </c>
      <c r="D110" s="6" t="str">
        <f>IFERROR(__xludf.DUMMYFUNCTION("""COMPUTED_VALUE"""),"Břicháč Pavel")</f>
        <v>Břicháč Pavel</v>
      </c>
      <c r="E110" s="6" t="str">
        <f>IFERROR(__xludf.DUMMYFUNCTION("""COMPUTED_VALUE"""),"Libuš")</f>
        <v>Libuš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192">
        <f>IFERROR(__xludf.DUMMYFUNCTION("""COMPUTED_VALUE"""),231.474)</f>
        <v>231.474</v>
      </c>
      <c r="W110" s="192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>
      <c r="A111" s="6"/>
      <c r="B111" s="194" t="str">
        <f>IF(OR(E111=Report!$B$1, F111=Report!$B$1, G111=Report!$B$1, H111=Report!$B$1), D111, "")</f>
        <v/>
      </c>
      <c r="C111" s="6" t="b">
        <f>IFERROR(__xludf.DUMMYFUNCTION("""COMPUTED_VALUE"""),FALSE)</f>
        <v>0</v>
      </c>
      <c r="D111" s="6" t="str">
        <f>IFERROR(__xludf.DUMMYFUNCTION("""COMPUTED_VALUE"""),"Čerešňák Michal")</f>
        <v>Čerešňák Michal</v>
      </c>
      <c r="E111" s="6" t="str">
        <f>IFERROR(__xludf.DUMMYFUNCTION("""COMPUTED_VALUE"""),"Zličín")</f>
        <v>Zličín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192">
        <f>IFERROR(__xludf.DUMMYFUNCTION("""COMPUTED_VALUE"""),170.0)</f>
        <v>170</v>
      </c>
      <c r="W111" s="192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>
      <c r="A112" s="6"/>
      <c r="B112" s="194" t="str">
        <f>IF(OR(E112=Report!$B$1, F112=Report!$B$1, G112=Report!$B$1, H112=Report!$B$1), D112, "")</f>
        <v>Weindling Josef</v>
      </c>
      <c r="C112" s="6" t="b">
        <f>IFERROR(__xludf.DUMMYFUNCTION("""COMPUTED_VALUE"""),FALSE)</f>
        <v>0</v>
      </c>
      <c r="D112" s="6" t="str">
        <f>IFERROR(__xludf.DUMMYFUNCTION("""COMPUTED_VALUE"""),"Weindling Josef")</f>
        <v>Weindling Josef</v>
      </c>
      <c r="E112" s="6" t="str">
        <f>IFERROR(__xludf.DUMMYFUNCTION("""COMPUTED_VALUE"""),"Libuš")</f>
        <v>Libuš</v>
      </c>
      <c r="F112" s="6" t="str">
        <f>IFERROR(__xludf.DUMMYFUNCTION("""COMPUTED_VALUE"""),"Malešice")</f>
        <v>Malešice</v>
      </c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192">
        <f>IFERROR(__xludf.DUMMYFUNCTION("""COMPUTED_VALUE"""),231.474)</f>
        <v>231.474</v>
      </c>
      <c r="W112" s="192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>
      <c r="A113" s="6"/>
      <c r="B113" s="194" t="str">
        <f>IF(OR(E113=Report!$B$1, F113=Report!$B$1, G113=Report!$B$1, H113=Report!$B$1), D113, "")</f>
        <v/>
      </c>
      <c r="C113" s="6" t="b">
        <f>IFERROR(__xludf.DUMMYFUNCTION("""COMPUTED_VALUE"""),FALSE)</f>
        <v>0</v>
      </c>
      <c r="D113" s="6" t="str">
        <f>IFERROR(__xludf.DUMMYFUNCTION("""COMPUTED_VALUE"""),"Fux Vojtěch")</f>
        <v>Fux Vojtěch</v>
      </c>
      <c r="E113" s="6" t="str">
        <f>IFERROR(__xludf.DUMMYFUNCTION("""COMPUTED_VALUE"""),"Chodov")</f>
        <v>Chodov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192">
        <f>IFERROR(__xludf.DUMMYFUNCTION("""COMPUTED_VALUE"""),200.0)</f>
        <v>200</v>
      </c>
      <c r="W113" s="192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>
      <c r="A114" s="6"/>
      <c r="B114" s="194" t="str">
        <f>IF(OR(E114=Report!$B$1, F114=Report!$B$1, G114=Report!$B$1, H114=Report!$B$1), D114, "")</f>
        <v>Kumar Jatinder</v>
      </c>
      <c r="C114" s="6" t="b">
        <f>IFERROR(__xludf.DUMMYFUNCTION("""COMPUTED_VALUE"""),FALSE)</f>
        <v>0</v>
      </c>
      <c r="D114" s="6" t="str">
        <f>IFERROR(__xludf.DUMMYFUNCTION("""COMPUTED_VALUE"""),"Kumar Jatinder")</f>
        <v>Kumar Jatinder</v>
      </c>
      <c r="E114" s="6" t="str">
        <f>IFERROR(__xludf.DUMMYFUNCTION("""COMPUTED_VALUE"""),"Libuš")</f>
        <v>Libuš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192">
        <f>IFERROR(__xludf.DUMMYFUNCTION("""COMPUTED_VALUE"""),231.474)</f>
        <v>231.474</v>
      </c>
      <c r="W114" s="192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>
      <c r="A115" s="6"/>
      <c r="B115" s="194" t="str">
        <f>IF(OR(E115=Report!$B$1, F115=Report!$B$1, G115=Report!$B$1, H115=Report!$B$1), D115, "")</f>
        <v/>
      </c>
      <c r="C115" s="6" t="b">
        <f>IFERROR(__xludf.DUMMYFUNCTION("""COMPUTED_VALUE"""),FALSE)</f>
        <v>0</v>
      </c>
      <c r="D115" s="6" t="str">
        <f>IFERROR(__xludf.DUMMYFUNCTION("""COMPUTED_VALUE"""),"Stehlíková Magdaléna")</f>
        <v>Stehlíková Magdaléna</v>
      </c>
      <c r="E115" s="6" t="str">
        <f>IFERROR(__xludf.DUMMYFUNCTION("""COMPUTED_VALUE"""),"Bolevec")</f>
        <v>Bolevec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192">
        <f>IFERROR(__xludf.DUMMYFUNCTION("""COMPUTED_VALUE"""),214.08)</f>
        <v>214.08</v>
      </c>
      <c r="W115" s="192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>
      <c r="A116" s="6"/>
      <c r="B116" s="194" t="str">
        <f>IF(OR(E116=Report!$B$1, F116=Report!$B$1, G116=Report!$B$1, H116=Report!$B$1), D116, "")</f>
        <v/>
      </c>
      <c r="C116" s="6" t="b">
        <f>IFERROR(__xludf.DUMMYFUNCTION("""COMPUTED_VALUE"""),FALSE)</f>
        <v>0</v>
      </c>
      <c r="D116" s="6" t="str">
        <f>IFERROR(__xludf.DUMMYFUNCTION("""COMPUTED_VALUE"""),"Dragoun Alfréd")</f>
        <v>Dragoun Alfréd</v>
      </c>
      <c r="E116" s="6" t="str">
        <f>IFERROR(__xludf.DUMMYFUNCTION("""COMPUTED_VALUE"""),"Zličín")</f>
        <v>Zličín</v>
      </c>
      <c r="F116" s="6" t="str">
        <f>IFERROR(__xludf.DUMMYFUNCTION("""COMPUTED_VALUE"""),"Malešice")</f>
        <v>Malešice</v>
      </c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192">
        <f>IFERROR(__xludf.DUMMYFUNCTION("""COMPUTED_VALUE"""),250.20600000000002)</f>
        <v>250.206</v>
      </c>
      <c r="W116" s="192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>
      <c r="A117" s="6"/>
      <c r="B117" s="194" t="str">
        <f>IF(OR(E117=Report!$B$1, F117=Report!$B$1, G117=Report!$B$1, H117=Report!$B$1), D117, "")</f>
        <v/>
      </c>
      <c r="C117" s="6" t="b">
        <f>IFERROR(__xludf.DUMMYFUNCTION("""COMPUTED_VALUE"""),FALSE)</f>
        <v>0</v>
      </c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192">
        <f>IFERROR(__xludf.DUMMYFUNCTION("""COMPUTED_VALUE"""),0.0)</f>
        <v>0</v>
      </c>
      <c r="W117" s="192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>
      <c r="A118" s="6"/>
      <c r="B118" s="194" t="str">
        <f>IF(OR(E118=Report!$B$1, F118=Report!$B$1, G118=Report!$B$1, H118=Report!$B$1), D118, "")</f>
        <v/>
      </c>
      <c r="C118" s="6" t="b">
        <f>IFERROR(__xludf.DUMMYFUNCTION("""COMPUTED_VALUE"""),FALSE)</f>
        <v>0</v>
      </c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192">
        <f>IFERROR(__xludf.DUMMYFUNCTION("""COMPUTED_VALUE"""),0.0)</f>
        <v>0</v>
      </c>
      <c r="W118" s="192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>
      <c r="A119" s="6"/>
      <c r="B119" s="194" t="str">
        <f>IF(OR(E119=Report!$B$1, F119=Report!$B$1, G119=Report!$B$1, H119=Report!$B$1), D119, "")</f>
        <v/>
      </c>
      <c r="C119" s="6" t="b">
        <f>IFERROR(__xludf.DUMMYFUNCTION("""COMPUTED_VALUE"""),FALSE)</f>
        <v>0</v>
      </c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192">
        <f>IFERROR(__xludf.DUMMYFUNCTION("""COMPUTED_VALUE"""),0.0)</f>
        <v>0</v>
      </c>
      <c r="W119" s="192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>
      <c r="A120" s="6"/>
      <c r="B120" s="194" t="str">
        <f>IF(OR(E120=Report!$B$1, F120=Report!$B$1, G120=Report!$B$1, H120=Report!$B$1), D120, "")</f>
        <v/>
      </c>
      <c r="C120" s="6" t="b">
        <f>IFERROR(__xludf.DUMMYFUNCTION("""COMPUTED_VALUE"""),FALSE)</f>
        <v>0</v>
      </c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192">
        <f>IFERROR(__xludf.DUMMYFUNCTION("""COMPUTED_VALUE"""),0.0)</f>
        <v>0</v>
      </c>
      <c r="W120" s="192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>
      <c r="A121" s="6"/>
      <c r="B121" s="194" t="str">
        <f>IF(OR(E121=Report!$B$1, F121=Report!$B$1, G121=Report!$B$1, H121=Report!$B$1), D121, "")</f>
        <v/>
      </c>
      <c r="C121" s="6" t="b">
        <f>IFERROR(__xludf.DUMMYFUNCTION("""COMPUTED_VALUE"""),FALSE)</f>
        <v>0</v>
      </c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192">
        <f>IFERROR(__xludf.DUMMYFUNCTION("""COMPUTED_VALUE"""),0.0)</f>
        <v>0</v>
      </c>
      <c r="W121" s="192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>
      <c r="A122" s="6"/>
      <c r="B122" s="194" t="str">
        <f>IF(OR(E122=Report!$B$1, F122=Report!$B$1, G122=Report!$B$1, H122=Report!$B$1), D122, "")</f>
        <v/>
      </c>
      <c r="C122" s="6" t="b">
        <f>IFERROR(__xludf.DUMMYFUNCTION("""COMPUTED_VALUE"""),FALSE)</f>
        <v>0</v>
      </c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192">
        <f>IFERROR(__xludf.DUMMYFUNCTION("""COMPUTED_VALUE"""),0.0)</f>
        <v>0</v>
      </c>
      <c r="W122" s="192">
        <f>IFERROR(__xludf.DUMMYFUNCTION("""COMPUTED_VALUE"""),0.0)</f>
        <v>0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>
      <c r="A123" s="6"/>
      <c r="B123" s="194" t="str">
        <f>IF(OR(E123=Report!$B$1, F123=Report!$B$1, G123=Report!$B$1, H123=Report!$B$1), D123, "")</f>
        <v/>
      </c>
      <c r="C123" s="6" t="b">
        <f>IFERROR(__xludf.DUMMYFUNCTION("""COMPUTED_VALUE"""),FALSE)</f>
        <v>0</v>
      </c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192">
        <f>IFERROR(__xludf.DUMMYFUNCTION("""COMPUTED_VALUE"""),0.0)</f>
        <v>0</v>
      </c>
      <c r="W123" s="192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>
      <c r="A124" s="6"/>
      <c r="B124" s="194" t="str">
        <f>IF(OR(E124=Report!$B$1, F124=Report!$B$1, G124=Report!$B$1, H124=Report!$B$1), D124, "")</f>
        <v/>
      </c>
      <c r="C124" s="6" t="b">
        <f>IFERROR(__xludf.DUMMYFUNCTION("""COMPUTED_VALUE"""),FALSE)</f>
        <v>0</v>
      </c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192">
        <f>IFERROR(__xludf.DUMMYFUNCTION("""COMPUTED_VALUE"""),0.0)</f>
        <v>0</v>
      </c>
      <c r="W124" s="192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>
      <c r="A125" s="6"/>
      <c r="B125" s="194" t="str">
        <f>IF(OR(E125=Report!$B$1, F125=Report!$B$1, G125=Report!$B$1, H125=Report!$B$1), D125, "")</f>
        <v/>
      </c>
      <c r="C125" s="6" t="b">
        <f>IFERROR(__xludf.DUMMYFUNCTION("""COMPUTED_VALUE"""),FALSE)</f>
        <v>0</v>
      </c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192">
        <f>IFERROR(__xludf.DUMMYFUNCTION("""COMPUTED_VALUE"""),0.0)</f>
        <v>0</v>
      </c>
      <c r="W125" s="192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>
      <c r="A126" s="6"/>
      <c r="B126" s="194" t="str">
        <f>IF(OR(E126=Report!$B$1, F126=Report!$B$1, G126=Report!$B$1, H126=Report!$B$1), D126, "")</f>
        <v/>
      </c>
      <c r="C126" s="6" t="b">
        <f>IFERROR(__xludf.DUMMYFUNCTION("""COMPUTED_VALUE"""),FALSE)</f>
        <v>0</v>
      </c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192">
        <f>IFERROR(__xludf.DUMMYFUNCTION("""COMPUTED_VALUE"""),0.0)</f>
        <v>0</v>
      </c>
      <c r="W126" s="192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>
      <c r="A127" s="6"/>
      <c r="B127" s="194" t="str">
        <f>IF(OR(E127=Report!$B$1, F127=Report!$B$1, G127=Report!$B$1, H127=Report!$B$1), D127, "")</f>
        <v/>
      </c>
      <c r="C127" s="6" t="b">
        <f>IFERROR(__xludf.DUMMYFUNCTION("""COMPUTED_VALUE"""),FALSE)</f>
        <v>0</v>
      </c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192">
        <f>IFERROR(__xludf.DUMMYFUNCTION("""COMPUTED_VALUE"""),0.0)</f>
        <v>0</v>
      </c>
      <c r="W127" s="192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>
      <c r="A128" s="6"/>
      <c r="B128" s="194" t="str">
        <f>IF(OR(E128=Report!$B$1, F128=Report!$B$1, G128=Report!$B$1, H128=Report!$B$1), D128, "")</f>
        <v/>
      </c>
      <c r="C128" s="6" t="b">
        <f>IFERROR(__xludf.DUMMYFUNCTION("""COMPUTED_VALUE"""),FALSE)</f>
        <v>0</v>
      </c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192">
        <f>IFERROR(__xludf.DUMMYFUNCTION("""COMPUTED_VALUE"""),0.0)</f>
        <v>0</v>
      </c>
      <c r="W128" s="192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>
      <c r="A129" s="6"/>
      <c r="B129" s="194" t="str">
        <f>IF(OR(E129=Report!$B$1, F129=Report!$B$1, G129=Report!$B$1, H129=Report!$B$1), D129, "")</f>
        <v/>
      </c>
      <c r="C129" s="6" t="b">
        <f>IFERROR(__xludf.DUMMYFUNCTION("""COMPUTED_VALUE"""),FALSE)</f>
        <v>0</v>
      </c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192">
        <f>IFERROR(__xludf.DUMMYFUNCTION("""COMPUTED_VALUE"""),0.0)</f>
        <v>0</v>
      </c>
      <c r="W129" s="192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>
      <c r="A130" s="6"/>
      <c r="B130" s="194" t="str">
        <f>IF(OR(E130=Report!$B$1, F130=Report!$B$1, G130=Report!$B$1, H130=Report!$B$1), D130, "")</f>
        <v/>
      </c>
      <c r="C130" s="6" t="b">
        <f>IFERROR(__xludf.DUMMYFUNCTION("""COMPUTED_VALUE"""),FALSE)</f>
        <v>0</v>
      </c>
      <c r="D130" s="6"/>
      <c r="E130" s="6" t="str">
        <f>IFERROR(__xludf.DUMMYFUNCTION("""COMPUTED_VALUE"""),"Chodov")</f>
        <v>Chodov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192">
        <f>IFERROR(__xludf.DUMMYFUNCTION("""COMPUTED_VALUE"""),231.474)</f>
        <v>231.474</v>
      </c>
      <c r="W130" s="192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>
      <c r="A131" s="6"/>
      <c r="B131" s="194" t="str">
        <f>IF(OR(E131=Report!$B$1, F131=Report!$B$1, G131=Report!$B$1, H131=Report!$B$1), D131, "")</f>
        <v/>
      </c>
      <c r="C131" s="6" t="b">
        <f>IFERROR(__xludf.DUMMYFUNCTION("""COMPUTED_VALUE"""),FALSE)</f>
        <v>0</v>
      </c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192">
        <f>IFERROR(__xludf.DUMMYFUNCTION("""COMPUTED_VALUE"""),0.0)</f>
        <v>0</v>
      </c>
      <c r="W131" s="192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>
      <c r="A132" s="6"/>
      <c r="B132" s="194" t="str">
        <f>IF(OR(E132=Report!$B$1, F132=Report!$B$1, G132=Report!$B$1, H132=Report!$B$1), D132, "")</f>
        <v/>
      </c>
      <c r="C132" s="6" t="b">
        <f>IFERROR(__xludf.DUMMYFUNCTION("""COMPUTED_VALUE"""),FALSE)</f>
        <v>0</v>
      </c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192">
        <f>IFERROR(__xludf.DUMMYFUNCTION("""COMPUTED_VALUE"""),0.0)</f>
        <v>0</v>
      </c>
      <c r="W132" s="192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>
      <c r="A133" s="6"/>
      <c r="B133" s="194" t="str">
        <f>IF(OR(E133=Report!$B$1, F133=Report!$B$1, G133=Report!$B$1, H133=Report!$B$1), D133, "")</f>
        <v/>
      </c>
      <c r="C133" s="6" t="b">
        <f>IFERROR(__xludf.DUMMYFUNCTION("""COMPUTED_VALUE"""),FALSE)</f>
        <v>0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192">
        <f>IFERROR(__xludf.DUMMYFUNCTION("""COMPUTED_VALUE"""),0.0)</f>
        <v>0</v>
      </c>
      <c r="W133" s="192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>
      <c r="A134" s="6"/>
      <c r="B134" s="194" t="str">
        <f>IF(OR(E134=Report!$B$1, F134=Report!$B$1, G134=Report!$B$1, H134=Report!$B$1), D134, "")</f>
        <v/>
      </c>
      <c r="C134" s="6" t="b">
        <f>IFERROR(__xludf.DUMMYFUNCTION("""COMPUTED_VALUE"""),FALSE)</f>
        <v>0</v>
      </c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192">
        <f>IFERROR(__xludf.DUMMYFUNCTION("""COMPUTED_VALUE"""),0.0)</f>
        <v>0</v>
      </c>
      <c r="W134" s="192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>
      <c r="A135" s="6"/>
      <c r="B135" s="194" t="str">
        <f>IF(OR(E135=Report!$B$1, F135=Report!$B$1, G135=Report!$B$1, H135=Report!$B$1), D135, "")</f>
        <v/>
      </c>
      <c r="C135" s="6" t="b">
        <f>IFERROR(__xludf.DUMMYFUNCTION("""COMPUTED_VALUE"""),FALSE)</f>
        <v>0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192">
        <f>IFERROR(__xludf.DUMMYFUNCTION("""COMPUTED_VALUE"""),0.0)</f>
        <v>0</v>
      </c>
      <c r="W135" s="192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>
      <c r="A136" s="6"/>
      <c r="B136" s="194" t="str">
        <f>IF(OR(E136=Report!$B$1, F136=Report!$B$1, G136=Report!$B$1, H136=Report!$B$1), D136, "")</f>
        <v/>
      </c>
      <c r="C136" s="6" t="b">
        <f>IFERROR(__xludf.DUMMYFUNCTION("""COMPUTED_VALUE"""),FALSE)</f>
        <v>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192">
        <f>IFERROR(__xludf.DUMMYFUNCTION("""COMPUTED_VALUE"""),0.0)</f>
        <v>0</v>
      </c>
      <c r="W136" s="192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>
      <c r="A137" s="6"/>
      <c r="B137" s="194" t="str">
        <f>IF(OR(E137=Report!$B$1, F137=Report!$B$1, G137=Report!$B$1, H137=Report!$B$1), D137, "")</f>
        <v/>
      </c>
      <c r="C137" s="6" t="b">
        <f>IFERROR(__xludf.DUMMYFUNCTION("""COMPUTED_VALUE"""),FALSE)</f>
        <v>0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192">
        <f>IFERROR(__xludf.DUMMYFUNCTION("""COMPUTED_VALUE"""),0.0)</f>
        <v>0</v>
      </c>
      <c r="W137" s="192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>
      <c r="A138" s="6"/>
      <c r="B138" s="194" t="str">
        <f>IF(OR(E138=Report!$B$1, F138=Report!$B$1, G138=Report!$B$1, H138=Report!$B$1), D138, "")</f>
        <v/>
      </c>
      <c r="C138" s="6" t="b">
        <f>IFERROR(__xludf.DUMMYFUNCTION("""COMPUTED_VALUE"""),FALSE)</f>
        <v>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192">
        <f>IFERROR(__xludf.DUMMYFUNCTION("""COMPUTED_VALUE"""),0.0)</f>
        <v>0</v>
      </c>
      <c r="W138" s="192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>
      <c r="A139" s="6"/>
      <c r="B139" s="194" t="str">
        <f>IF(OR(E139=Report!$B$1, F139=Report!$B$1, G139=Report!$B$1, H139=Report!$B$1), D139, "")</f>
        <v/>
      </c>
      <c r="C139" s="6" t="b">
        <f>IFERROR(__xludf.DUMMYFUNCTION("""COMPUTED_VALUE"""),FALSE)</f>
        <v>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192">
        <f>IFERROR(__xludf.DUMMYFUNCTION("""COMPUTED_VALUE"""),0.0)</f>
        <v>0</v>
      </c>
      <c r="W139" s="192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>
      <c r="A140" s="6"/>
      <c r="B140" s="194" t="str">
        <f>IF(OR(E140=Report!$B$1, F140=Report!$B$1, G140=Report!$B$1, H140=Report!$B$1), D140, "")</f>
        <v/>
      </c>
      <c r="C140" s="6" t="b">
        <f>IFERROR(__xludf.DUMMYFUNCTION("""COMPUTED_VALUE"""),FALSE)</f>
        <v>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192">
        <f>IFERROR(__xludf.DUMMYFUNCTION("""COMPUTED_VALUE"""),0.0)</f>
        <v>0</v>
      </c>
      <c r="W140" s="192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>
      <c r="A141" s="6"/>
      <c r="B141" s="194" t="str">
        <f>IF(OR(E141=Report!$B$1, F141=Report!$B$1, G141=Report!$B$1, H141=Report!$B$1), D141, "")</f>
        <v/>
      </c>
      <c r="C141" s="6" t="b">
        <f>IFERROR(__xludf.DUMMYFUNCTION("""COMPUTED_VALUE"""),FALSE)</f>
        <v>0</v>
      </c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192">
        <f>IFERROR(__xludf.DUMMYFUNCTION("""COMPUTED_VALUE"""),0.0)</f>
        <v>0</v>
      </c>
      <c r="W141" s="192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>
      <c r="A142" s="6"/>
      <c r="B142" s="194" t="str">
        <f>IF(OR(E142=Report!$B$1, F142=Report!$B$1, G142=Report!$B$1, H142=Report!$B$1), D142, "")</f>
        <v/>
      </c>
      <c r="C142" s="6" t="b">
        <f>IFERROR(__xludf.DUMMYFUNCTION("""COMPUTED_VALUE"""),FALSE)</f>
        <v>0</v>
      </c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192">
        <f>IFERROR(__xludf.DUMMYFUNCTION("""COMPUTED_VALUE"""),0.0)</f>
        <v>0</v>
      </c>
      <c r="W142" s="192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>
      <c r="A143" s="6"/>
      <c r="B143" s="194" t="str">
        <f>IF(OR(E143=Report!$B$1, F143=Report!$B$1, G143=Report!$B$1, H143=Report!$B$1), D143, "")</f>
        <v/>
      </c>
      <c r="C143" s="6" t="b">
        <f>IFERROR(__xludf.DUMMYFUNCTION("""COMPUTED_VALUE"""),FALSE)</f>
        <v>0</v>
      </c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192">
        <f>IFERROR(__xludf.DUMMYFUNCTION("""COMPUTED_VALUE"""),0.0)</f>
        <v>0</v>
      </c>
      <c r="W143" s="192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>
      <c r="A144" s="6"/>
      <c r="B144" s="194" t="str">
        <f>IF(OR(E144=Report!$B$1, F144=Report!$B$1, G144=Report!$B$1, H144=Report!$B$1), D144, "")</f>
        <v/>
      </c>
      <c r="C144" s="6" t="b">
        <f>IFERROR(__xludf.DUMMYFUNCTION("""COMPUTED_VALUE"""),FALSE)</f>
        <v>0</v>
      </c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192">
        <f>IFERROR(__xludf.DUMMYFUNCTION("""COMPUTED_VALUE"""),0.0)</f>
        <v>0</v>
      </c>
      <c r="W144" s="192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>
      <c r="A145" s="6"/>
      <c r="B145" s="194" t="str">
        <f>IF(OR(E145=Report!$B$1, F145=Report!$B$1, G145=Report!$B$1, H145=Report!$B$1), D145, "")</f>
        <v/>
      </c>
      <c r="C145" s="6" t="b">
        <f>IFERROR(__xludf.DUMMYFUNCTION("""COMPUTED_VALUE"""),FALSE)</f>
        <v>0</v>
      </c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192">
        <f>IFERROR(__xludf.DUMMYFUNCTION("""COMPUTED_VALUE"""),0.0)</f>
        <v>0</v>
      </c>
      <c r="W145" s="192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>
      <c r="A146" s="6"/>
      <c r="B146" s="194" t="str">
        <f>IF(OR(E146=Report!$B$1, F146=Report!$B$1, G146=Report!$B$1, H146=Report!$B$1), D146, "")</f>
        <v/>
      </c>
      <c r="C146" s="6" t="b">
        <f>IFERROR(__xludf.DUMMYFUNCTION("""COMPUTED_VALUE"""),FALSE)</f>
        <v>0</v>
      </c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192">
        <f>IFERROR(__xludf.DUMMYFUNCTION("""COMPUTED_VALUE"""),0.0)</f>
        <v>0</v>
      </c>
      <c r="W146" s="192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>
      <c r="A147" s="6"/>
      <c r="B147" s="194" t="str">
        <f>IF(OR(E147=Report!$B$1, F147=Report!$B$1, G147=Report!$B$1, H147=Report!$B$1), D147, "")</f>
        <v/>
      </c>
      <c r="C147" s="6" t="b">
        <f>IFERROR(__xludf.DUMMYFUNCTION("""COMPUTED_VALUE"""),FALSE)</f>
        <v>0</v>
      </c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192">
        <f>IFERROR(__xludf.DUMMYFUNCTION("""COMPUTED_VALUE"""),0.0)</f>
        <v>0</v>
      </c>
      <c r="W147" s="192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>
      <c r="A148" s="6"/>
      <c r="B148" s="194" t="str">
        <f>IF(OR(E148=Report!$B$1, F148=Report!$B$1, G148=Report!$B$1, H148=Report!$B$1), D148, "")</f>
        <v/>
      </c>
      <c r="C148" s="6" t="b">
        <f>IFERROR(__xludf.DUMMYFUNCTION("""COMPUTED_VALUE"""),FALSE)</f>
        <v>0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192">
        <f>IFERROR(__xludf.DUMMYFUNCTION("""COMPUTED_VALUE"""),0.0)</f>
        <v>0</v>
      </c>
      <c r="W148" s="192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>
      <c r="A149" s="6"/>
      <c r="B149" s="194" t="str">
        <f>IF(OR(E149=Report!$B$1, F149=Report!$B$1, G149=Report!$B$1, H149=Report!$B$1), D149, "")</f>
        <v/>
      </c>
      <c r="C149" s="6" t="b">
        <f>IFERROR(__xludf.DUMMYFUNCTION("""COMPUTED_VALUE"""),FALSE)</f>
        <v>0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192">
        <f>IFERROR(__xludf.DUMMYFUNCTION("""COMPUTED_VALUE"""),0.0)</f>
        <v>0</v>
      </c>
      <c r="W149" s="192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>
      <c r="A150" s="6"/>
      <c r="B150" s="194" t="str">
        <f>IF(OR(E150=Report!$B$1, F150=Report!$B$1, G150=Report!$B$1, H150=Report!$B$1), D150, "")</f>
        <v/>
      </c>
      <c r="C150" s="6" t="b">
        <f>IFERROR(__xludf.DUMMYFUNCTION("""COMPUTED_VALUE"""),FALSE)</f>
        <v>0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192">
        <f>IFERROR(__xludf.DUMMYFUNCTION("""COMPUTED_VALUE"""),0.0)</f>
        <v>0</v>
      </c>
      <c r="W150" s="192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>
      <c r="A151" s="6"/>
      <c r="B151" s="194" t="str">
        <f>IF(OR(E151=Report!$B$1, F151=Report!$B$1, G151=Report!$B$1, H151=Report!$B$1), D151, "")</f>
        <v/>
      </c>
      <c r="C151" s="6" t="b">
        <f>IFERROR(__xludf.DUMMYFUNCTION("""COMPUTED_VALUE"""),FALSE)</f>
        <v>0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192">
        <f>IFERROR(__xludf.DUMMYFUNCTION("""COMPUTED_VALUE"""),100.0)</f>
        <v>100</v>
      </c>
      <c r="W151" s="192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>
      <c r="A152" s="6"/>
      <c r="B152" s="194" t="str">
        <f>IF(OR(E152=Report!$B$1, F152=Report!$B$1, G152=Report!$B$1, H152=Report!$B$1), D152, "")</f>
        <v/>
      </c>
      <c r="C152" s="6" t="b">
        <f>IFERROR(__xludf.DUMMYFUNCTION("""COMPUTED_VALUE"""),FALSE)</f>
        <v>0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192">
        <f>IFERROR(__xludf.DUMMYFUNCTION("""COMPUTED_VALUE"""),100.0)</f>
        <v>100</v>
      </c>
      <c r="W152" s="192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>
      <c r="A153" s="6"/>
      <c r="B153" s="194" t="str">
        <f>IF(OR(E153=Report!$B$1, F153=Report!$B$1, G153=Report!$B$1, H153=Report!$B$1), D153, "")</f>
        <v/>
      </c>
      <c r="C153" s="6" t="b">
        <f>IFERROR(__xludf.DUMMYFUNCTION("""COMPUTED_VALUE"""),FALSE)</f>
        <v>0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192">
        <f>IFERROR(__xludf.DUMMYFUNCTION("""COMPUTED_VALUE"""),100.0)</f>
        <v>100</v>
      </c>
      <c r="W153" s="192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>
      <c r="A154" s="6"/>
      <c r="B154" s="194" t="str">
        <f>IF(OR(E154=Report!$B$1, F154=Report!$B$1, G154=Report!$B$1, H154=Report!$B$1), D154, "")</f>
        <v/>
      </c>
      <c r="C154" s="6" t="b">
        <f>IFERROR(__xludf.DUMMYFUNCTION("""COMPUTED_VALUE"""),FALSE)</f>
        <v>0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192">
        <f>IFERROR(__xludf.DUMMYFUNCTION("""COMPUTED_VALUE"""),100.0)</f>
        <v>100</v>
      </c>
      <c r="W154" s="192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>
      <c r="A155" s="6"/>
      <c r="B155" s="194" t="str">
        <f>IF(OR(E155=Report!$B$1, F155=Report!$B$1, G155=Report!$B$1, H155=Report!$B$1), D155, "")</f>
        <v/>
      </c>
      <c r="C155" s="6" t="b">
        <f>IFERROR(__xludf.DUMMYFUNCTION("""COMPUTED_VALUE"""),FALSE)</f>
        <v>0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192">
        <f>IFERROR(__xludf.DUMMYFUNCTION("""COMPUTED_VALUE"""),100.0)</f>
        <v>100</v>
      </c>
      <c r="W155" s="192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>
      <c r="A156" s="6"/>
      <c r="B156" s="194" t="str">
        <f>IF(OR(E156=Report!$B$1, F156=Report!$B$1, G156=Report!$B$1, H156=Report!$B$1), D156, "")</f>
        <v/>
      </c>
      <c r="C156" s="6" t="b">
        <f>IFERROR(__xludf.DUMMYFUNCTION("""COMPUTED_VALUE"""),FALSE)</f>
        <v>0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192">
        <f>IFERROR(__xludf.DUMMYFUNCTION("""COMPUTED_VALUE"""),100.0)</f>
        <v>100</v>
      </c>
      <c r="W156" s="192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>
      <c r="A157" s="6"/>
      <c r="B157" s="194" t="str">
        <f>IF(OR(E157=Report!$B$1, F157=Report!$B$1, G157=Report!$B$1, H157=Report!$B$1), D157, "")</f>
        <v/>
      </c>
      <c r="C157" s="6" t="b">
        <f>IFERROR(__xludf.DUMMYFUNCTION("""COMPUTED_VALUE"""),FALSE)</f>
        <v>0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192">
        <f>IFERROR(__xludf.DUMMYFUNCTION("""COMPUTED_VALUE"""),100.0)</f>
        <v>100</v>
      </c>
      <c r="W157" s="192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>
      <c r="A158" s="6"/>
      <c r="B158" s="194" t="str">
        <f>IF(OR(E158=Report!$B$1, F158=Report!$B$1, G158=Report!$B$1, H158=Report!$B$1), D158, "")</f>
        <v/>
      </c>
      <c r="C158" s="6" t="b">
        <f>IFERROR(__xludf.DUMMYFUNCTION("""COMPUTED_VALUE"""),FALSE)</f>
        <v>0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192">
        <f>IFERROR(__xludf.DUMMYFUNCTION("""COMPUTED_VALUE"""),100.0)</f>
        <v>100</v>
      </c>
      <c r="W158" s="192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>
      <c r="A159" s="6"/>
      <c r="B159" s="194" t="str">
        <f>IF(OR(E159=Report!$B$1, F159=Report!$B$1, G159=Report!$B$1, H159=Report!$B$1), D159, "")</f>
        <v/>
      </c>
      <c r="C159" s="6" t="b">
        <f>IFERROR(__xludf.DUMMYFUNCTION("""COMPUTED_VALUE"""),FALSE)</f>
        <v>0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192">
        <f>IFERROR(__xludf.DUMMYFUNCTION("""COMPUTED_VALUE"""),100.0)</f>
        <v>100</v>
      </c>
      <c r="W159" s="192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>
      <c r="A160" s="6"/>
      <c r="B160" s="194" t="str">
        <f>IF(OR(E160=Report!$B$1, F160=Report!$B$1, G160=Report!$B$1, H160=Report!$B$1), D160, "")</f>
        <v/>
      </c>
      <c r="C160" s="6" t="b">
        <f>IFERROR(__xludf.DUMMYFUNCTION("""COMPUTED_VALUE"""),FALSE)</f>
        <v>0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192">
        <f>IFERROR(__xludf.DUMMYFUNCTION("""COMPUTED_VALUE"""),100.0)</f>
        <v>100</v>
      </c>
      <c r="W160" s="192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>
      <c r="A161" s="6"/>
      <c r="B161" s="194" t="str">
        <f>IF(OR(E161=Report!$B$1, F161=Report!$B$1, G161=Report!$B$1, H161=Report!$B$1), D161, "")</f>
        <v/>
      </c>
      <c r="C161" s="6" t="b">
        <f>IFERROR(__xludf.DUMMYFUNCTION("""COMPUTED_VALUE"""),FALSE)</f>
        <v>0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192">
        <f>IFERROR(__xludf.DUMMYFUNCTION("""COMPUTED_VALUE"""),100.0)</f>
        <v>100</v>
      </c>
      <c r="W161" s="192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>
      <c r="A162" s="6"/>
      <c r="B162" s="194" t="str">
        <f>IF(OR(E162=Report!$B$1, F162=Report!$B$1, G162=Report!$B$1, H162=Report!$B$1), D162, "")</f>
        <v/>
      </c>
      <c r="C162" s="6" t="b">
        <f>IFERROR(__xludf.DUMMYFUNCTION("""COMPUTED_VALUE"""),FALSE)</f>
        <v>0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192">
        <f>IFERROR(__xludf.DUMMYFUNCTION("""COMPUTED_VALUE"""),100.0)</f>
        <v>100</v>
      </c>
      <c r="W162" s="192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>
      <c r="A163" s="6"/>
      <c r="B163" s="194" t="str">
        <f>IF(OR(E163=Report!$B$1, F163=Report!$B$1, G163=Report!$B$1, H163=Report!$B$1), D163, "")</f>
        <v/>
      </c>
      <c r="C163" s="6" t="b">
        <f>IFERROR(__xludf.DUMMYFUNCTION("""COMPUTED_VALUE"""),FALSE)</f>
        <v>0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192">
        <f>IFERROR(__xludf.DUMMYFUNCTION("""COMPUTED_VALUE"""),100.0)</f>
        <v>100</v>
      </c>
      <c r="W163" s="192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>
      <c r="A164" s="6"/>
      <c r="B164" s="194" t="str">
        <f>IF(OR(E164=Report!$B$1, F164=Report!$B$1, G164=Report!$B$1, H164=Report!$B$1), D164, "")</f>
        <v/>
      </c>
      <c r="C164" s="6" t="b">
        <f>IFERROR(__xludf.DUMMYFUNCTION("""COMPUTED_VALUE"""),FALSE)</f>
        <v>0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192">
        <f>IFERROR(__xludf.DUMMYFUNCTION("""COMPUTED_VALUE"""),100.0)</f>
        <v>100</v>
      </c>
      <c r="W164" s="192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>
      <c r="A165" s="6"/>
      <c r="B165" s="194" t="str">
        <f>IF(OR(E165=Report!$B$1, F165=Report!$B$1, G165=Report!$B$1, H165=Report!$B$1), D165, "")</f>
        <v/>
      </c>
      <c r="C165" s="6" t="b">
        <f>IFERROR(__xludf.DUMMYFUNCTION("""COMPUTED_VALUE"""),FALSE)</f>
        <v>0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192">
        <f>IFERROR(__xludf.DUMMYFUNCTION("""COMPUTED_VALUE"""),100.0)</f>
        <v>100</v>
      </c>
      <c r="W165" s="192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>
      <c r="A166" s="6"/>
      <c r="B166" s="194" t="str">
        <f>IF(OR(E166=Report!$B$1, F166=Report!$B$1, G166=Report!$B$1, H166=Report!$B$1), D166, "")</f>
        <v/>
      </c>
      <c r="C166" s="6" t="b">
        <f>IFERROR(__xludf.DUMMYFUNCTION("""COMPUTED_VALUE"""),FALSE)</f>
        <v>0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192">
        <f>IFERROR(__xludf.DUMMYFUNCTION("""COMPUTED_VALUE"""),100.0)</f>
        <v>100</v>
      </c>
      <c r="W166" s="192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>
      <c r="A167" s="6"/>
      <c r="B167" s="194" t="str">
        <f>IF(OR(E167=Report!$B$1, F167=Report!$B$1, G167=Report!$B$1, H167=Report!$B$1), D167, "")</f>
        <v/>
      </c>
      <c r="C167" s="6" t="b">
        <f>IFERROR(__xludf.DUMMYFUNCTION("""COMPUTED_VALUE"""),FALSE)</f>
        <v>0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192">
        <f>IFERROR(__xludf.DUMMYFUNCTION("""COMPUTED_VALUE"""),100.0)</f>
        <v>100</v>
      </c>
      <c r="W167" s="192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>
      <c r="A168" s="6"/>
      <c r="B168" s="194" t="str">
        <f>IF(OR(E168=Report!$B$1, F168=Report!$B$1, G168=Report!$B$1, H168=Report!$B$1), D168, "")</f>
        <v/>
      </c>
      <c r="C168" s="6" t="b">
        <f>IFERROR(__xludf.DUMMYFUNCTION("""COMPUTED_VALUE"""),FALSE)</f>
        <v>0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192">
        <f>IFERROR(__xludf.DUMMYFUNCTION("""COMPUTED_VALUE"""),100.0)</f>
        <v>100</v>
      </c>
      <c r="W168" s="192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>
      <c r="A169" s="6"/>
      <c r="B169" s="194" t="str">
        <f>IF(OR(E169=Report!$B$1, F169=Report!$B$1, G169=Report!$B$1, H169=Report!$B$1), D169, "")</f>
        <v/>
      </c>
      <c r="C169" s="6" t="b">
        <f>IFERROR(__xludf.DUMMYFUNCTION("""COMPUTED_VALUE"""),FALSE)</f>
        <v>0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192">
        <f>IFERROR(__xludf.DUMMYFUNCTION("""COMPUTED_VALUE"""),100.0)</f>
        <v>100</v>
      </c>
      <c r="W169" s="192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>
      <c r="A170" s="6"/>
      <c r="B170" s="194" t="str">
        <f>IF(OR(E170=Report!$B$1, F170=Report!$B$1, G170=Report!$B$1, H170=Report!$B$1), D170, "")</f>
        <v/>
      </c>
      <c r="C170" s="6" t="b">
        <f>IFERROR(__xludf.DUMMYFUNCTION("""COMPUTED_VALUE"""),FALSE)</f>
        <v>0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192">
        <f>IFERROR(__xludf.DUMMYFUNCTION("""COMPUTED_VALUE"""),100.0)</f>
        <v>100</v>
      </c>
      <c r="W170" s="192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>
      <c r="A171" s="6"/>
      <c r="B171" s="194" t="str">
        <f>IF(OR(E171=Report!$B$1, F171=Report!$B$1, G171=Report!$B$1, H171=Report!$B$1), D171, "")</f>
        <v/>
      </c>
      <c r="C171" s="6" t="b">
        <f>IFERROR(__xludf.DUMMYFUNCTION("""COMPUTED_VALUE"""),FALSE)</f>
        <v>0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192">
        <f>IFERROR(__xludf.DUMMYFUNCTION("""COMPUTED_VALUE"""),100.0)</f>
        <v>100</v>
      </c>
      <c r="W171" s="192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>
      <c r="A172" s="6"/>
      <c r="B172" s="194" t="str">
        <f>IF(OR(E172=Report!$B$1, F172=Report!$B$1, G172=Report!$B$1, H172=Report!$B$1), D172, "")</f>
        <v/>
      </c>
      <c r="C172" s="6" t="b">
        <f>IFERROR(__xludf.DUMMYFUNCTION("""COMPUTED_VALUE"""),FALSE)</f>
        <v>0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192">
        <f>IFERROR(__xludf.DUMMYFUNCTION("""COMPUTED_VALUE"""),100.0)</f>
        <v>100</v>
      </c>
      <c r="W172" s="192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>
      <c r="A173" s="6"/>
      <c r="B173" s="194" t="str">
        <f>IF(OR(E173=Report!$B$1, F173=Report!$B$1, G173=Report!$B$1, H173=Report!$B$1), D173, "")</f>
        <v/>
      </c>
      <c r="C173" s="6" t="b">
        <f>IFERROR(__xludf.DUMMYFUNCTION("""COMPUTED_VALUE"""),FALSE)</f>
        <v>0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192">
        <f>IFERROR(__xludf.DUMMYFUNCTION("""COMPUTED_VALUE"""),100.0)</f>
        <v>100</v>
      </c>
      <c r="W173" s="192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>
      <c r="A174" s="6"/>
      <c r="B174" s="194" t="str">
        <f>IF(OR(E174=Report!$B$1, F174=Report!$B$1, G174=Report!$B$1, H174=Report!$B$1), D174, "")</f>
        <v/>
      </c>
      <c r="C174" s="6" t="b">
        <f>IFERROR(__xludf.DUMMYFUNCTION("""COMPUTED_VALUE"""),FALSE)</f>
        <v>0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192">
        <f>IFERROR(__xludf.DUMMYFUNCTION("""COMPUTED_VALUE"""),100.0)</f>
        <v>100</v>
      </c>
      <c r="W174" s="192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>
      <c r="A175" s="6"/>
      <c r="B175" s="194" t="str">
        <f>IF(OR(E175=Report!$B$1, F175=Report!$B$1, G175=Report!$B$1, H175=Report!$B$1), D175, "")</f>
        <v/>
      </c>
      <c r="C175" s="6" t="b">
        <f>IFERROR(__xludf.DUMMYFUNCTION("""COMPUTED_VALUE"""),FALSE)</f>
        <v>0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192">
        <f>IFERROR(__xludf.DUMMYFUNCTION("""COMPUTED_VALUE"""),100.0)</f>
        <v>100</v>
      </c>
      <c r="W175" s="192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>
      <c r="A176" s="6"/>
      <c r="B176" s="194" t="str">
        <f>IF(OR(E176=Report!$B$1, F176=Report!$B$1, G176=Report!$B$1, H176=Report!$B$1), D176, "")</f>
        <v/>
      </c>
      <c r="C176" s="6" t="b">
        <f>IFERROR(__xludf.DUMMYFUNCTION("""COMPUTED_VALUE"""),FALSE)</f>
        <v>0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192">
        <f>IFERROR(__xludf.DUMMYFUNCTION("""COMPUTED_VALUE"""),100.0)</f>
        <v>100</v>
      </c>
      <c r="W176" s="192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>
      <c r="A177" s="6"/>
      <c r="B177" s="194" t="str">
        <f>IF(OR(E177=Report!$B$1, F177=Report!$B$1, G177=Report!$B$1, H177=Report!$B$1), D177, "")</f>
        <v/>
      </c>
      <c r="C177" s="6" t="b">
        <f>IFERROR(__xludf.DUMMYFUNCTION("""COMPUTED_VALUE"""),FALSE)</f>
        <v>0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192">
        <f>IFERROR(__xludf.DUMMYFUNCTION("""COMPUTED_VALUE"""),100.0)</f>
        <v>100</v>
      </c>
      <c r="W177" s="192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>
      <c r="A178" s="6"/>
      <c r="B178" s="194" t="str">
        <f>IF(OR(E178=Report!$B$1, F178=Report!$B$1, G178=Report!$B$1, H178=Report!$B$1), D178, "")</f>
        <v/>
      </c>
      <c r="C178" s="6" t="b">
        <f>IFERROR(__xludf.DUMMYFUNCTION("""COMPUTED_VALUE"""),FALSE)</f>
        <v>0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192">
        <f>IFERROR(__xludf.DUMMYFUNCTION("""COMPUTED_VALUE"""),100.0)</f>
        <v>100</v>
      </c>
      <c r="W178" s="192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>
      <c r="A179" s="6"/>
      <c r="B179" s="194" t="str">
        <f>IF(OR(E179=Report!$B$1, F179=Report!$B$1, G179=Report!$B$1, H179=Report!$B$1), D179, "")</f>
        <v/>
      </c>
      <c r="C179" s="6" t="b">
        <f>IFERROR(__xludf.DUMMYFUNCTION("""COMPUTED_VALUE"""),FALSE)</f>
        <v>0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192">
        <f>IFERROR(__xludf.DUMMYFUNCTION("""COMPUTED_VALUE"""),100.0)</f>
        <v>100</v>
      </c>
      <c r="W179" s="192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>
      <c r="A180" s="6"/>
      <c r="B180" s="6"/>
      <c r="C180" s="6" t="b">
        <f>IFERROR(__xludf.DUMMYFUNCTION("""COMPUTED_VALUE"""),FALSE)</f>
        <v>0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192">
        <f>IFERROR(__xludf.DUMMYFUNCTION("""COMPUTED_VALUE"""),100.0)</f>
        <v>100</v>
      </c>
      <c r="W180" s="192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>
      <c r="A181" s="6"/>
      <c r="B181" s="6"/>
      <c r="C181" s="6" t="b">
        <f>IFERROR(__xludf.DUMMYFUNCTION("""COMPUTED_VALUE"""),FALSE)</f>
        <v>0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192">
        <f>IFERROR(__xludf.DUMMYFUNCTION("""COMPUTED_VALUE"""),100.0)</f>
        <v>100</v>
      </c>
      <c r="W181" s="192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>
      <c r="A182" s="6"/>
      <c r="B182" s="6"/>
      <c r="C182" s="6" t="b">
        <f>IFERROR(__xludf.DUMMYFUNCTION("""COMPUTED_VALUE"""),FALSE)</f>
        <v>0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192">
        <f>IFERROR(__xludf.DUMMYFUNCTION("""COMPUTED_VALUE"""),100.0)</f>
        <v>100</v>
      </c>
      <c r="W182" s="192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192">
        <f>IFERROR(__xludf.DUMMYFUNCTION("""COMPUTED_VALUE"""),100.0)</f>
        <v>100</v>
      </c>
      <c r="W183" s="192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192">
        <f>IFERROR(__xludf.DUMMYFUNCTION("""COMPUTED_VALUE"""),100.0)</f>
        <v>100</v>
      </c>
      <c r="W184" s="192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192">
        <f>IFERROR(__xludf.DUMMYFUNCTION("""COMPUTED_VALUE"""),100.0)</f>
        <v>100</v>
      </c>
      <c r="W185" s="192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192">
        <f>IFERROR(__xludf.DUMMYFUNCTION("""COMPUTED_VALUE"""),100.0)</f>
        <v>100</v>
      </c>
      <c r="W186" s="192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192">
        <f>IFERROR(__xludf.DUMMYFUNCTION("""COMPUTED_VALUE"""),100.0)</f>
        <v>100</v>
      </c>
      <c r="W187" s="192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192">
        <f>IFERROR(__xludf.DUMMYFUNCTION("""COMPUTED_VALUE"""),100.0)</f>
        <v>100</v>
      </c>
      <c r="W188" s="192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192">
        <f>IFERROR(__xludf.DUMMYFUNCTION("""COMPUTED_VALUE"""),100.0)</f>
        <v>100</v>
      </c>
      <c r="W189" s="192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192">
        <f>IFERROR(__xludf.DUMMYFUNCTION("""COMPUTED_VALUE"""),100.0)</f>
        <v>100</v>
      </c>
      <c r="W190" s="192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192">
        <f>IFERROR(__xludf.DUMMYFUNCTION("""COMPUTED_VALUE"""),100.0)</f>
        <v>100</v>
      </c>
      <c r="W191" s="192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192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192">
        <f>IFERROR(__xludf.DUMMYFUNCTION("""COMPUTED_VALUE"""),0.0)</f>
        <v>0</v>
      </c>
      <c r="W193" s="192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192">
        <f>IFERROR(__xludf.DUMMYFUNCTION("""COMPUTED_VALUE"""),0.0)</f>
        <v>0</v>
      </c>
      <c r="W194" s="192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192">
        <f>IFERROR(__xludf.DUMMYFUNCTION("""COMPUTED_VALUE"""),0.0)</f>
        <v>0</v>
      </c>
      <c r="W195" s="192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192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192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192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192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192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192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192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192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192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192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192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192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192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192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192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192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192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192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192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192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192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192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192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192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192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192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192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192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192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192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192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192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192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192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192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192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192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192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192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192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192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192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192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192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192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192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192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192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192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192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192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192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192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192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192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192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192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192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192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192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192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192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192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192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192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192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192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192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192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192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192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192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192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192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192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192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192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192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192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192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192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192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192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192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192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192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192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192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192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192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192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192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192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192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192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192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192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192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192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192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192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192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192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192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192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192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192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192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192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192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192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192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192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192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192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192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192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192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192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192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192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192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192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192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192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192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192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192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192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192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192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192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192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19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192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192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192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192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192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192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192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192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192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192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192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192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192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192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192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192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192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192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192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192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192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192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192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192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192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192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192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192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192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192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192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192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192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192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192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19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192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19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19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19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19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19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19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19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19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19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192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192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192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192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192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192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192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192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192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192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192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192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192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192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192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192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192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192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192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192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192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192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192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192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192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192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192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192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192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192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192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192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192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192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192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192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192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192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192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192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192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192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192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192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192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192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192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192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192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192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192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192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192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192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192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192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192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192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192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192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192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192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192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192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192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192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192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192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192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192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192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192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192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192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192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192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192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192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192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192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192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192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192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192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192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192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192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192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192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192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192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192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192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192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192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192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192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192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192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192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192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192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192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192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192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192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192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192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192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192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192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192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192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192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192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192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192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192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192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192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192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192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192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192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192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192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192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192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192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192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192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192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192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192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192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192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192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192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192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192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192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192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192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192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192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192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192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192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192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192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192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192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192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192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192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192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192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192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192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192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192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192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192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192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192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192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192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192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192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192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192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192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192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192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192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192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192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192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192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192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192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192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192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192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192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192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192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192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192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192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192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192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192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192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192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192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192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192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192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192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192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192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192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192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192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192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192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192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192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192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192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192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192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192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192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192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192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192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192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192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192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192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192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192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192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192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192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192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192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192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192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192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192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192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192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192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192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192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192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192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192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192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192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192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192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192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192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192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192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192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192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192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192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192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192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192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192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192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192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192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192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192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192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192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192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192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192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192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192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192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192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192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192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192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192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192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192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192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192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192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192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192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192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192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192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192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192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192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192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192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192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192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192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192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192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192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192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192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192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192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192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192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192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192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192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192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192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192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192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192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192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192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192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192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192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192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192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192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192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192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192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192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192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192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192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192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192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192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192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192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192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192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192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192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192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192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192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192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192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192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192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192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192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192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192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192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192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192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192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192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192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192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192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192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192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192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192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192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192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192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192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192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192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192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192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192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192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192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192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192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192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192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192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192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192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192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192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192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192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192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192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192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192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192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192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192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192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192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192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192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192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192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192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192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192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192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192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192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192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192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192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192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192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192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192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192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192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192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192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192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192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192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192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192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192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192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192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192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192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192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192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192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192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192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192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192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192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192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192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192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192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192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192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192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192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192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192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192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192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192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192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192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192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192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192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192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192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192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192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192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192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192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192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192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192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192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192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192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192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192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192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192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192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192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192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192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192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192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192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192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192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192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192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192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192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192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192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192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192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192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192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192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192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192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192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192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192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192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192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192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192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192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192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192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192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192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192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192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192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192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192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192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192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192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192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192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192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192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192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192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192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192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192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192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192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192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192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192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192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192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192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192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192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192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192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192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192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192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192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192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192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192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192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192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192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192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192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192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192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192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192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192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192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192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192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192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192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192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192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192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192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192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192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192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192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192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192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192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192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192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192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192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192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192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192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192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192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192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192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192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192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192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192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192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192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192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192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192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192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192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192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192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192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192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192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192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192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192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192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192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192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192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192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192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192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192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192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192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192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192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192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192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192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192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192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192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192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192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192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192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192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192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192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192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192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192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192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192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192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192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192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192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192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192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192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6.5"/>
    <col customWidth="1" min="3" max="6" width="18.13"/>
    <col customWidth="1" min="7" max="7" width="17.75"/>
    <col customWidth="1" min="8" max="28" width="18.13"/>
  </cols>
  <sheetData>
    <row r="1">
      <c r="A1" s="196" t="s">
        <v>1588</v>
      </c>
      <c r="B1" s="14"/>
      <c r="C1" s="14"/>
      <c r="D1" s="14"/>
      <c r="E1" s="14"/>
      <c r="F1" s="14"/>
      <c r="G1" s="14"/>
      <c r="H1" s="15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</row>
    <row r="2">
      <c r="A2" s="1" t="s">
        <v>1589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</row>
    <row r="3">
      <c r="A3" s="1" t="s">
        <v>1490</v>
      </c>
      <c r="B3" s="1" t="s">
        <v>1590</v>
      </c>
      <c r="C3" s="1" t="s">
        <v>1591</v>
      </c>
      <c r="D3" s="188"/>
      <c r="E3" s="188"/>
      <c r="F3" s="1" t="s">
        <v>1592</v>
      </c>
      <c r="G3" s="1" t="s">
        <v>1593</v>
      </c>
      <c r="H3" s="1" t="s">
        <v>1594</v>
      </c>
    </row>
    <row r="4">
      <c r="A4" s="1" t="s">
        <v>1564</v>
      </c>
      <c r="B4" s="1" t="s">
        <v>1591</v>
      </c>
      <c r="C4" s="188"/>
      <c r="D4" s="188"/>
      <c r="E4" s="1" t="s">
        <v>1591</v>
      </c>
      <c r="F4" s="1" t="s">
        <v>1593</v>
      </c>
      <c r="G4" s="1" t="s">
        <v>1590</v>
      </c>
      <c r="H4" s="1" t="s">
        <v>1590</v>
      </c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/>
    </row>
    <row r="5">
      <c r="A5" s="1" t="s">
        <v>1595</v>
      </c>
      <c r="B5" s="1" t="s">
        <v>1596</v>
      </c>
      <c r="C5" s="188"/>
      <c r="D5" s="188"/>
      <c r="E5" s="188"/>
      <c r="F5" s="188"/>
      <c r="G5" s="188"/>
      <c r="H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/>
    </row>
    <row r="6">
      <c r="A6" s="1" t="s">
        <v>1531</v>
      </c>
      <c r="B6" s="1" t="s">
        <v>1597</v>
      </c>
      <c r="C6" s="188"/>
      <c r="D6" s="188"/>
      <c r="E6" s="188"/>
      <c r="F6" s="188"/>
      <c r="G6" s="188"/>
      <c r="H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/>
    </row>
    <row r="7">
      <c r="A7" s="1" t="s">
        <v>1566</v>
      </c>
      <c r="B7" s="188"/>
      <c r="C7" s="1" t="s">
        <v>1590</v>
      </c>
      <c r="D7" s="1" t="s">
        <v>1590</v>
      </c>
      <c r="E7" s="1" t="s">
        <v>1590</v>
      </c>
      <c r="F7" s="188"/>
      <c r="G7" s="188"/>
      <c r="H7" s="1" t="s">
        <v>1594</v>
      </c>
      <c r="I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/>
    </row>
    <row r="8">
      <c r="A8" s="1" t="s">
        <v>1598</v>
      </c>
      <c r="B8" s="188"/>
      <c r="C8" s="1" t="s">
        <v>1596</v>
      </c>
      <c r="D8" s="188"/>
      <c r="E8" s="188"/>
      <c r="F8" s="1" t="s">
        <v>1599</v>
      </c>
      <c r="G8" s="188"/>
      <c r="H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/>
    </row>
    <row r="9">
      <c r="A9" s="1" t="s">
        <v>1572</v>
      </c>
      <c r="B9" s="188"/>
      <c r="C9" s="1" t="s">
        <v>1600</v>
      </c>
      <c r="D9" s="1" t="s">
        <v>1601</v>
      </c>
      <c r="E9" s="1" t="s">
        <v>1600</v>
      </c>
      <c r="F9" s="188"/>
      <c r="G9" s="1" t="s">
        <v>1602</v>
      </c>
      <c r="H9" s="1" t="s">
        <v>1600</v>
      </c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/>
    </row>
    <row r="10">
      <c r="A10" s="1" t="s">
        <v>1479</v>
      </c>
      <c r="B10" s="188"/>
      <c r="C10" s="188"/>
      <c r="D10" s="1" t="s">
        <v>1591</v>
      </c>
      <c r="E10" s="188"/>
      <c r="F10" s="188"/>
      <c r="G10" s="1" t="s">
        <v>1593</v>
      </c>
      <c r="H10" s="188"/>
      <c r="I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/>
    </row>
    <row r="11">
      <c r="A11" s="1" t="s">
        <v>1567</v>
      </c>
      <c r="B11" s="188"/>
      <c r="C11" s="188"/>
      <c r="D11" s="1" t="s">
        <v>1603</v>
      </c>
      <c r="E11" s="1" t="s">
        <v>1604</v>
      </c>
      <c r="F11" s="188"/>
      <c r="G11" s="188"/>
      <c r="H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/>
    </row>
    <row r="12">
      <c r="A12" s="1" t="s">
        <v>1605</v>
      </c>
      <c r="B12" s="188"/>
      <c r="D12" s="188"/>
      <c r="E12" s="188"/>
      <c r="F12" s="1" t="s">
        <v>1606</v>
      </c>
      <c r="G12" s="1" t="s">
        <v>1607</v>
      </c>
      <c r="H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/>
    </row>
    <row r="13">
      <c r="A13" s="188"/>
      <c r="B13" s="188"/>
      <c r="D13" s="188"/>
      <c r="E13" s="188"/>
      <c r="F13" s="188"/>
      <c r="G13" s="188"/>
      <c r="H13" s="188"/>
      <c r="K13" s="188"/>
      <c r="L13" s="188"/>
      <c r="M13" s="188"/>
      <c r="N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/>
    </row>
    <row r="14">
      <c r="A14" s="188"/>
      <c r="B14" s="188"/>
      <c r="E14" s="188"/>
      <c r="F14" s="188"/>
      <c r="G14" s="188"/>
      <c r="H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/>
    </row>
    <row r="15">
      <c r="A15" s="188"/>
      <c r="F15" s="188"/>
      <c r="G15" s="188"/>
      <c r="H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/>
    </row>
    <row r="16">
      <c r="A16" s="188"/>
      <c r="F16" s="188"/>
      <c r="G16" s="188"/>
      <c r="H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/>
    </row>
    <row r="17">
      <c r="A17" s="188"/>
      <c r="G17" s="188"/>
      <c r="H17" s="188"/>
      <c r="K17" s="188"/>
      <c r="L17" s="188"/>
      <c r="M17" s="188"/>
      <c r="N17" s="188"/>
      <c r="O17" s="188"/>
      <c r="P17" s="188"/>
      <c r="Q17" s="188"/>
      <c r="T17" s="188"/>
      <c r="U17" s="188"/>
      <c r="V17" s="188"/>
      <c r="W17" s="188"/>
      <c r="X17" s="188"/>
      <c r="Y17" s="188"/>
      <c r="Z17" s="188"/>
      <c r="AB17" s="1"/>
    </row>
    <row r="18">
      <c r="K18" s="188"/>
      <c r="L18" s="188"/>
      <c r="M18" s="188"/>
      <c r="N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/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O19" s="188"/>
      <c r="P19" s="188"/>
      <c r="Q19" s="188"/>
      <c r="S19" s="188"/>
      <c r="T19" s="188"/>
      <c r="U19" s="188"/>
      <c r="V19" s="188"/>
      <c r="W19" s="188"/>
      <c r="X19" s="188"/>
      <c r="Y19" s="188"/>
      <c r="Z19" s="188"/>
      <c r="AB19" s="1"/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"/>
      <c r="AB20" s="1"/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0.0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/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T23" s="188"/>
      <c r="U23" s="188"/>
      <c r="V23" s="188"/>
      <c r="W23" s="188"/>
      <c r="X23" s="188"/>
      <c r="Y23" s="188"/>
      <c r="Z23" s="188"/>
      <c r="AB23" s="1"/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/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/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/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0.0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/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/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O30" s="188"/>
      <c r="P30" s="188"/>
      <c r="Q30" s="188"/>
      <c r="S30" s="188"/>
      <c r="T30" s="188"/>
      <c r="U30" s="188"/>
      <c r="V30" s="188"/>
      <c r="W30" s="188"/>
      <c r="X30" s="188"/>
      <c r="Y30" s="188"/>
      <c r="Z30" s="188"/>
      <c r="AB30" s="1">
        <v>0.0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/>
      <c r="AB31" s="1"/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T32" s="188"/>
      <c r="U32" s="188"/>
      <c r="V32" s="188"/>
      <c r="W32" s="188"/>
      <c r="X32" s="188"/>
      <c r="Y32" s="188"/>
      <c r="Z32" s="188"/>
      <c r="AB32" s="1"/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W33" s="188"/>
      <c r="X33" s="188"/>
      <c r="Y33" s="188"/>
      <c r="Z33" s="188"/>
      <c r="AB33" s="1"/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T34" s="188"/>
      <c r="U34" s="188"/>
      <c r="V34" s="188"/>
      <c r="W34" s="188"/>
      <c r="X34" s="188"/>
      <c r="Y34" s="188"/>
      <c r="Z34" s="188"/>
      <c r="AB34" s="1"/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/>
      <c r="AB35" s="1"/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W36" s="188"/>
      <c r="X36" s="188"/>
      <c r="Y36" s="188"/>
      <c r="Z36" s="188"/>
      <c r="AB36" s="1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Y37" s="188"/>
      <c r="Z37" s="188"/>
      <c r="AB37" s="1">
        <v>0.0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/>
      <c r="AB39" s="1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"/>
      <c r="AB40" s="1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"/>
      <c r="AB43" s="1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T44" s="188"/>
      <c r="U44" s="188"/>
      <c r="V44" s="188"/>
      <c r="W44" s="188"/>
      <c r="X44" s="188"/>
      <c r="Y44" s="188"/>
      <c r="Z44" s="188"/>
      <c r="AB44" s="1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O46" s="188"/>
      <c r="P46" s="188"/>
      <c r="Q46" s="188"/>
      <c r="S46" s="188"/>
      <c r="T46" s="188"/>
      <c r="U46" s="188"/>
      <c r="V46" s="188"/>
      <c r="W46" s="188"/>
      <c r="X46" s="188"/>
      <c r="Y46" s="188"/>
      <c r="Z46" s="188"/>
      <c r="AB46" s="1">
        <v>0.0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T47" s="188"/>
      <c r="U47" s="188"/>
      <c r="V47" s="188"/>
      <c r="W47" s="188"/>
      <c r="X47" s="188"/>
      <c r="Y47" s="188"/>
      <c r="Z47" s="188"/>
      <c r="AB47" s="1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0.0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/>
      <c r="AB49" s="1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T50" s="188"/>
      <c r="U50" s="188"/>
      <c r="V50" s="188"/>
      <c r="W50" s="188"/>
      <c r="X50" s="188"/>
      <c r="Y50" s="188"/>
      <c r="Z50" s="188"/>
      <c r="AB50" s="1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O52" s="188"/>
      <c r="P52" s="188"/>
      <c r="Q52" s="188"/>
      <c r="S52" s="188"/>
      <c r="T52" s="188"/>
      <c r="U52" s="188"/>
      <c r="V52" s="188"/>
      <c r="W52" s="188"/>
      <c r="X52" s="188"/>
      <c r="Y52" s="188"/>
      <c r="Z52" s="188"/>
      <c r="AB52" s="1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"/>
      <c r="AB53" s="1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0.0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T58" s="188"/>
      <c r="U58" s="188"/>
      <c r="V58" s="188"/>
      <c r="W58" s="188"/>
      <c r="X58" s="188"/>
      <c r="Y58" s="188"/>
      <c r="Z58" s="188"/>
      <c r="AB58" s="1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O59" s="188"/>
      <c r="P59" s="188"/>
      <c r="Q59" s="188"/>
      <c r="S59" s="188"/>
      <c r="T59" s="188"/>
      <c r="U59" s="188"/>
      <c r="V59" s="188"/>
      <c r="W59" s="188"/>
      <c r="X59" s="188"/>
      <c r="Y59" s="188"/>
      <c r="Z59" s="188"/>
      <c r="AB59" s="1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/>
      <c r="AB60" s="1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T61" s="188"/>
      <c r="U61" s="188"/>
      <c r="V61" s="188"/>
      <c r="W61" s="188"/>
      <c r="X61" s="188"/>
      <c r="Y61" s="188"/>
      <c r="Z61" s="188"/>
      <c r="AB61" s="1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O62" s="188"/>
      <c r="P62" s="188"/>
      <c r="Q62" s="188"/>
      <c r="S62" s="188"/>
      <c r="T62" s="188"/>
      <c r="U62" s="188"/>
      <c r="V62" s="188"/>
      <c r="W62" s="188"/>
      <c r="X62" s="188"/>
      <c r="Y62" s="188"/>
      <c r="Z62" s="188"/>
      <c r="AB62" s="1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"/>
      <c r="AB64" s="1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T67" s="188"/>
      <c r="U67" s="188"/>
      <c r="V67" s="188"/>
      <c r="W67" s="188"/>
      <c r="X67" s="188"/>
      <c r="Y67" s="188"/>
      <c r="Z67" s="188"/>
      <c r="AB67" s="1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"/>
      <c r="AB71" s="1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T78" s="188"/>
      <c r="U78" s="188"/>
      <c r="V78" s="188"/>
      <c r="W78" s="188"/>
      <c r="X78" s="188"/>
      <c r="Y78" s="188"/>
      <c r="Z78" s="188"/>
      <c r="AB78" s="1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O79" s="188"/>
      <c r="P79" s="188"/>
      <c r="Q79" s="188"/>
      <c r="S79" s="188"/>
      <c r="T79" s="188"/>
      <c r="U79" s="188"/>
      <c r="V79" s="188"/>
      <c r="W79" s="188"/>
      <c r="X79" s="188"/>
      <c r="Y79" s="188"/>
      <c r="Z79" s="188"/>
      <c r="AB79" s="1">
        <v>0.0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T80" s="188"/>
      <c r="U80" s="188"/>
      <c r="V80" s="188"/>
      <c r="W80" s="188"/>
      <c r="X80" s="188"/>
      <c r="Y80" s="188"/>
      <c r="Z80" s="188"/>
      <c r="AB80" s="1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0.0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T83" s="188"/>
      <c r="U83" s="188"/>
      <c r="V83" s="188"/>
      <c r="W83" s="188"/>
      <c r="X83" s="188"/>
      <c r="Y83" s="188"/>
      <c r="Z83" s="188"/>
      <c r="AB83" s="1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0.0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O86" s="188"/>
      <c r="P86" s="188"/>
      <c r="Q86" s="188"/>
      <c r="S86" s="188"/>
      <c r="T86" s="188"/>
      <c r="U86" s="188"/>
      <c r="V86" s="188"/>
      <c r="W86" s="188"/>
      <c r="X86" s="188"/>
      <c r="Y86" s="188"/>
      <c r="Z86" s="188"/>
      <c r="AB86" s="1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/>
      <c r="AB87" s="1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/>
      <c r="AB88" s="1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/>
      <c r="AB89" s="1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"/>
      <c r="AB90" s="1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O92" s="188"/>
      <c r="P92" s="188"/>
      <c r="Q92" s="188"/>
      <c r="S92" s="188"/>
      <c r="T92" s="188"/>
      <c r="U92" s="188"/>
      <c r="V92" s="188"/>
      <c r="W92" s="188"/>
      <c r="X92" s="188"/>
      <c r="Y92" s="188"/>
      <c r="Z92" s="188"/>
      <c r="AB92" s="1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"/>
      <c r="AB93" s="1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T96" s="188"/>
      <c r="U96" s="188"/>
      <c r="V96" s="188"/>
      <c r="W96" s="188"/>
      <c r="X96" s="188"/>
      <c r="Y96" s="188"/>
      <c r="Z96" s="188"/>
      <c r="AB96" s="1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O98" s="188"/>
      <c r="P98" s="188"/>
      <c r="Q98" s="188"/>
      <c r="S98" s="188"/>
      <c r="T98" s="188"/>
      <c r="U98" s="188"/>
      <c r="V98" s="188"/>
      <c r="W98" s="188"/>
      <c r="X98" s="188"/>
      <c r="Y98" s="188"/>
      <c r="Z98" s="188"/>
      <c r="AB98" s="1">
        <v>0.0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T99" s="188"/>
      <c r="U99" s="188"/>
      <c r="V99" s="188"/>
      <c r="W99" s="188"/>
      <c r="X99" s="188"/>
      <c r="Y99" s="188"/>
      <c r="Z99" s="188"/>
      <c r="AB99" s="1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/>
      <c r="AB102" s="1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"/>
      <c r="AB103" s="1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O104" s="188"/>
      <c r="P104" s="188"/>
      <c r="Q104" s="188"/>
      <c r="S104" s="188"/>
      <c r="T104" s="188"/>
      <c r="U104" s="188"/>
      <c r="V104" s="188"/>
      <c r="W104" s="188"/>
      <c r="X104" s="188"/>
      <c r="Y104" s="188"/>
      <c r="Z104" s="188"/>
      <c r="AB104" s="1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T105" s="188"/>
      <c r="U105" s="188"/>
      <c r="V105" s="188"/>
      <c r="W105" s="188"/>
      <c r="X105" s="188"/>
      <c r="Y105" s="188"/>
      <c r="Z105" s="188"/>
      <c r="AB105" s="1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"/>
      <c r="AB106" s="1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O107" s="188"/>
      <c r="P107" s="188"/>
      <c r="Q107" s="188"/>
      <c r="S107" s="188"/>
      <c r="T107" s="188"/>
      <c r="U107" s="188"/>
      <c r="V107" s="188"/>
      <c r="W107" s="188"/>
      <c r="X107" s="188"/>
      <c r="Y107" s="188"/>
      <c r="Z107" s="188"/>
      <c r="AB107" s="1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/>
      <c r="AB108" s="1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0.0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O110" s="188"/>
      <c r="P110" s="188"/>
      <c r="Q110" s="188"/>
      <c r="S110" s="188"/>
      <c r="T110" s="188"/>
      <c r="U110" s="188"/>
      <c r="V110" s="188"/>
      <c r="W110" s="188"/>
      <c r="X110" s="188"/>
      <c r="Y110" s="188"/>
      <c r="Z110" s="188"/>
      <c r="AB110" s="1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/>
      <c r="AB111" s="1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/>
      <c r="AB112" s="1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"/>
      <c r="AB113" s="1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T114" s="188"/>
      <c r="U114" s="188"/>
      <c r="V114" s="188"/>
      <c r="W114" s="188"/>
      <c r="X114" s="188"/>
      <c r="Y114" s="188"/>
      <c r="Z114" s="188"/>
      <c r="AB114" s="1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"/>
      <c r="AB115" s="1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O117" s="188"/>
      <c r="P117" s="188"/>
      <c r="Q117" s="188"/>
      <c r="S117" s="188"/>
      <c r="T117" s="188"/>
      <c r="U117" s="188"/>
      <c r="V117" s="188"/>
      <c r="W117" s="188"/>
      <c r="X117" s="188"/>
      <c r="Y117" s="188"/>
      <c r="Z117" s="188"/>
      <c r="AB117" s="1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"/>
      <c r="AB118" s="1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/>
      <c r="AB120" s="1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T123" s="188"/>
      <c r="U123" s="188"/>
      <c r="V123" s="188"/>
      <c r="W123" s="188"/>
      <c r="X123" s="188"/>
      <c r="Y123" s="188"/>
      <c r="Z123" s="188"/>
      <c r="AB123" s="1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"/>
      <c r="AB124" s="1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0.0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"/>
      <c r="AB129" s="1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T131" s="188"/>
      <c r="U131" s="188"/>
      <c r="V131" s="188"/>
      <c r="W131" s="188"/>
      <c r="X131" s="188"/>
      <c r="Y131" s="188"/>
      <c r="Z131" s="188"/>
      <c r="AB131" s="1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0.0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T138" s="188"/>
      <c r="U138" s="188"/>
      <c r="V138" s="188"/>
      <c r="W138" s="188"/>
      <c r="X138" s="188"/>
      <c r="Y138" s="188"/>
      <c r="Z138" s="188"/>
      <c r="AB138" s="1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O141" s="188"/>
      <c r="P141" s="188"/>
      <c r="Q141" s="188"/>
      <c r="S141" s="188"/>
      <c r="T141" s="188"/>
      <c r="U141" s="188"/>
      <c r="V141" s="188"/>
      <c r="W141" s="188"/>
      <c r="X141" s="188"/>
      <c r="Y141" s="188"/>
      <c r="Z141" s="188"/>
      <c r="AB141" s="1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"/>
      <c r="AB142" s="1"/>
    </row>
  </sheetData>
  <mergeCells count="1">
    <mergeCell ref="A1:H1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