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<sst xmlns="http://schemas.openxmlformats.org/spreadsheetml/2006/main" count="5489" uniqueCount="1608">
  <si>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</si>
  <si>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</si>
  <si>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</si>
  <si>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</si>
  <si>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</si>
  <si>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</si>
  <si>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</si>
  <si>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</si>
  <si>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</si>
  <si>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</si>
  <si>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</si>
  <si>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</si>
  <si>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</si>
  <si>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</si>
  <si>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</si>
  <si>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</si>
  <si>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</si>
  <si>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</si>
  <si>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</si>
  <si>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</si>
  <si>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</si>
  <si>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</si>
  <si>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</si>
  <si>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</si>
  <si>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</si>
  <si>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</si>
  <si>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</si>
  <si>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</si>
  <si>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</si>
  <si>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</si>
  <si>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</si>
  <si>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</si>
  <si>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</si>
  <si>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</si>
  <si>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</si>
  <si>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</si>
  <si>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</si>
  <si>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</si>
  <si>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</si>
  <si>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</si>
  <si>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</si>
  <si>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</si>
  <si>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</si>
  <si>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</si>
  <si>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</si>
  <si>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</si>
  <si>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</si>
  <si>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</si>
  <si>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</si>
  <si>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</si>
  <si>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</si>
  <si>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</si>
  <si>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</si>
  <si>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</si>
  <si>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</si>
  <si>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</si>
  <si>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</si>
  <si>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</si>
  <si>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</si>
  <si>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</si>
  <si>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</si>
  <si>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</si>
  <si>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</si>
  <si>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</si>
  <si>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</si>
  <si>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</si>
  <si>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</si>
  <si>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</si>
  <si>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</si>
  <si>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</si>
  <si>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</si>
  <si>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</si>
  <si>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</si>
  <si>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</si>
  <si>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</si>
  <si>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</si>
  <si>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</si>
  <si>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</si>
  <si>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</si>
  <si>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</si>
  <si>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</si>
  <si>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</si>
  <si>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</si>
  <si>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</si>
  <si>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</si>
  <si>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</si>
  <si>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</si>
  <si>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</si>
  <si>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</si>
  <si>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</si>
  <si>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</si>
  <si>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</si>
  <si>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</si>
  <si>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</si>
  <si>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</si>
  <si>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</si>
  <si>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</si>
  <si>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</si>
  <si>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</si>
  <si>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</si>
  <si>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</si>
  <si>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</si>
  <si>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</si>
  <si>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</si>
  <si>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</si>
  <si>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</si>
  <si>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</si>
  <si>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</si>
  <si>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</si>
  <si>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</si>
  <si>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</si>
  <si>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</si>
  <si>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</si>
  <si>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</si>
  <si>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</si>
  <si>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</si>
  <si>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</si>
  <si>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</si>
  <si>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</si>
  <si>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</si>
  <si>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</si>
  <si>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</si>
  <si>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</si>
  <si>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</si>
  <si>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</si>
  <si>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</si>
  <si>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</si>
  <si>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</si>
  <si>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</si>
  <si>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</si>
  <si>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</si>
  <si>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</si>
  <si>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</si>
  <si>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</si>
  <si>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</si>
  <si>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</si>
  <si>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</si>
  <si>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</si>
  <si>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</si>
  <si>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</si>
  <si>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</si>
  <si>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</si>
  <si>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</si>
  <si>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</si>
  <si>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</si>
  <si>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</si>
  <si>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</si>
  <si>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</si>
  <si>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</si>
  <si>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</si>
  <si>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</si>
  <si>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</si>
  <si>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</si>
  <si>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</si>
  <si>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</si>
  <si>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</si>
  <si>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</si>
  <si>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</si>
  <si>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</si>
  <si>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</si>
  <si>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</si>
  <si>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</si>
  <si>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</si>
  <si>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</si>
  <si>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</si>
  <si>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</si>
  <si>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</si>
  <si>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</si>
  <si>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</si>
  <si>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</si>
  <si>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</si>
  <si>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</si>
  <si>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</si>
  <si>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</si>
  <si>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</si>
  <si>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</si>
  <si>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</si>
  <si>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</si>
  <si>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</si>
  <si>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</si>
  <si>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</si>
  <si>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</si>
  <si>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</si>
  <si>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</si>
  <si>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</si>
  <si>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</si>
  <si>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</si>
  <si>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</si>
  <si>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</si>
  <si>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</si>
  <si>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</si>
  <si>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</si>
  <si>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</si>
  <si>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</si>
  <si>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</si>
  <si>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</si>
  <si>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</si>
  <si>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</si>
  <si>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</si>
  <si>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</si>
  <si>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</si>
  <si>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</si>
  <si>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</si>
  <si>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</si>
  <si>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</si>
  <si>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</si>
  <si>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</si>
  <si>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</si>
  <si>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</si>
  <si>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</si>
  <si>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</si>
  <si>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</si>
  <si>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</si>
  <si>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</si>
  <si>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</si>
  <si>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</si>
  <si>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</si>
  <si>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</si>
  <si>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</si>
  <si>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</si>
  <si>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</si>
  <si>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</si>
  <si>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</si>
  <si>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</si>
  <si>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</si>
  <si>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</si>
  <si>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</si>
  <si>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</si>
  <si>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</si>
  <si>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</si>
  <si>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</si>
  <si>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</si>
  <si>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</si>
  <si>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</si>
  <si>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</si>
  <si>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</si>
  <si>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</si>
  <si>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</si>
  <si>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</si>
  <si>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</si>
  <si>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</si>
  <si>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</si>
  <si>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</si>
  <si>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</si>
  <si>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</si>
  <si>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</si>
  <si>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</si>
  <si>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</si>
  <si>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</si>
  <si>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</si>
  <si>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</si>
  <si>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</si>
  <si>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</si>
  <si>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</si>
  <si>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</si>
  <si>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</si>
  <si>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</si>
  <si>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</si>
  <si>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</si>
  <si>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</si>
  <si>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</si>
  <si>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</si>
  <si>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</si>
  <si>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</si>
  <si>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</si>
  <si>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</si>
  <si>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</si>
  <si>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</si>
  <si>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</si>
  <si>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</si>
  <si>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</si>
  <si>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</si>
  <si>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</si>
  <si>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</si>
  <si>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</si>
  <si>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</si>
  <si>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</si>
  <si>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</si>
  <si>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</si>
  <si>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</si>
  <si>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</si>
  <si>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</si>
  <si>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</si>
  <si>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</si>
  <si>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</si>
  <si>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</si>
  <si>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</si>
  <si>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</si>
  <si>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</si>
  <si>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</si>
  <si>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</si>
  <si>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</si>
  <si>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</si>
  <si>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</si>
  <si>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</si>
  <si>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</si>
  <si>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</si>
  <si>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</si>
  <si>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</si>
  <si>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</si>
  <si>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</si>
  <si>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</si>
  <si>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</si>
  <si>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</si>
  <si>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</si>
  <si>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</si>
  <si>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</si>
  <si>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</si>
  <si>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</si>
  <si>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</si>
  <si>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</si>
  <si>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</si>
  <si>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</si>
  <si>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</si>
  <si>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</si>
  <si>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</si>
  <si>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</si>
  <si>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</si>
  <si>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</si>
  <si>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</si>
  <si>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</si>
  <si>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</si>
  <si>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</si>
  <si>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</si>
  <si>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</si>
  <si>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</si>
  <si>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</si>
  <si>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</si>
  <si>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</si>
  <si>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</si>
  <si>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</si>
  <si>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</si>
  <si>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</si>
  <si>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</si>
  <si>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</si>
  <si>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</si>
  <si>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</si>
  <si>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</si>
  <si>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</si>
  <si>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</si>
  <si>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</si>
  <si>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</si>
  <si>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</si>
  <si>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</si>
  <si>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</si>
  <si>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</si>
  <si>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</si>
  <si>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</si>
  <si>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</si>
  <si>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</si>
  <si>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</si>
  <si>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</si>
  <si>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</si>
  <si>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</si>
  <si>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</si>
  <si>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</si>
  <si>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</si>
  <si>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</si>
  <si>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</si>
  <si>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</si>
  <si>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</si>
  <si>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</si>
  <si>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</si>
  <si>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</si>
  <si>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</si>
  <si>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</si>
  <si>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</si>
  <si>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</si>
  <si>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</si>
  <si>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</si>
  <si>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</si>
  <si>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</si>
  <si>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</si>
  <si>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</si>
  <si>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</si>
  <si>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</si>
  <si>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</si>
  <si>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</si>
  <si>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</si>
  <si>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</si>
  <si>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</si>
  <si>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</si>
  <si>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</si>
  <si>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</si>
  <si>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</si>
  <si>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</si>
  <si>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</si>
  <si>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</si>
  <si>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</si>
  <si>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</si>
  <si>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</si>
  <si>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</si>
  <si>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</si>
  <si>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</si>
  <si>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</si>
  <si>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</si>
  <si>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</si>
  <si>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</si>
  <si>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</si>
  <si>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</si>
  <si>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</si>
  <si>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</si>
  <si>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</si>
  <si>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</si>
  <si>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</si>
  <si>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</si>
  <si>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</si>
  <si>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</si>
  <si>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</si>
  <si>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</si>
  <si>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</si>
  <si>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</si>
  <si>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</si>
  <si>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</si>
  <si>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</si>
  <si>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</si>
  <si>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</si>
  <si>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</si>
  <si>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</si>
  <si>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</si>
  <si>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</si>
  <si>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</si>
  <si>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</si>
  <si>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</si>
  <si>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</si>
  <si>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</si>
  <si>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</si>
  <si>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</si>
  <si>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</si>
  <si>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</si>
  <si>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</si>
  <si>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</si>
  <si>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</si>
  <si>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</si>
  <si>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</si>
  <si>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</si>
  <si>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</si>
  <si>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</si>
  <si>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</si>
  <si>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</si>
  <si>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</si>
  <si>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</si>
  <si>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</si>
  <si>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</si>
  <si>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</si>
  <si>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</si>
  <si>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</si>
  <si>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</si>
  <si>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</si>
  <si>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</si>
  <si>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</si>
  <si>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</si>
  <si>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</si>
  <si>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</si>
  <si>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</si>
  <si>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</si>
  <si>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</si>
  <si>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</si>
  <si>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</si>
  <si>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</si>
  <si>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</si>
  <si>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</si>
  <si>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</si>
  <si>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</si>
  <si>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</si>
  <si>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</si>
  <si>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</si>
  <si>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</si>
  <si>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</si>
  <si>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</si>
  <si>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</si>
  <si>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</si>
  <si>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</si>
  <si>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</si>
  <si>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</si>
  <si>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</si>
  <si>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</si>
  <si>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</si>
  <si>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</si>
  <si>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</si>
  <si>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</si>
  <si>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</si>
  <si>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</si>
  <si>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</si>
  <si>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</si>
  <si>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</si>
  <si>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</si>
  <si>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</si>
  <si>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</si>
  <si>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</si>
  <si>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</si>
  <si>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</si>
  <si>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</si>
  <si>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</si>
  <si>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</si>
  <si>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</si>
  <si>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</si>
  <si>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</si>
  <si>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</si>
  <si>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</si>
  <si>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</si>
  <si>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</si>
  <si>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</si>
  <si>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</si>
  <si>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</si>
  <si>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</si>
  <si>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</si>
  <si>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</si>
  <si>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</si>
  <si>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</si>
  <si>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</si>
  <si>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</si>
  <si>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</si>
  <si>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</si>
  <si>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</si>
  <si>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</si>
  <si>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</si>
  <si>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</si>
  <si>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</si>
  <si>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</si>
  <si>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</si>
  <si>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</si>
  <si>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</si>
  <si>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</si>
  <si>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</si>
  <si>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</si>
  <si>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</si>
  <si>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</si>
  <si>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</si>
  <si>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</si>
  <si>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</si>
  <si>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</si>
  <si>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</si>
  <si>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</si>
  <si>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</si>
  <si>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</si>
  <si>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</si>
  <si>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</si>
  <si>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</si>
  <si>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</si>
  <si>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</si>
  <si>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</si>
  <si>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</si>
  <si>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</si>
  <si>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</si>
  <si>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</si>
  <si>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</si>
  <si>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</si>
  <si>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</si>
  <si>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</si>
  <si>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</si>
  <si>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</si>
  <si>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</si>
  <si>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</si>
  <si>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</si>
  <si>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</si>
  <si>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</si>
  <si>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</si>
  <si>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</si>
  <si>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</si>
  <si>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</si>
  <si>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</si>
  <si>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</si>
  <si>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</si>
  <si>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</si>
  <si>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</si>
  <si>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</si>
  <si>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</si>
  <si>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</si>
  <si>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</si>
  <si>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</si>
  <si>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</si>
  <si>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</si>
  <si>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</si>
  <si>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</si>
  <si>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</si>
  <si>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</si>
  <si>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</si>
  <si>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</si>
  <si>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</si>
  <si>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</si>
  <si>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</si>
  <si>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</si>
  <si>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</si>
  <si>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</si>
  <si>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</si>
  <si>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</si>
  <si>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</si>
  <si>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</si>
  <si>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</si>
  <si>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</si>
  <si>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</si>
  <si>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</si>
  <si>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</si>
  <si>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</si>
  <si>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</si>
  <si>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</si>
  <si>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</si>
  <si>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</si>
  <si>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</si>
  <si>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</si>
  <si>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</si>
  <si>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</si>
  <si>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</si>
  <si>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</si>
  <si>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</si>
  <si>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</si>
  <si>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</si>
  <si>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</si>
  <si>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</si>
  <si>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</si>
  <si>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</si>
  <si>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</si>
  <si>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</si>
  <si>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</si>
  <si>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</si>
  <si>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</si>
  <si>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</si>
  <si>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</si>
  <si>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</si>
  <si>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</si>
  <si>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</si>
  <si>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</si>
  <si>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</si>
  <si>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</si>
  <si>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</si>
  <si>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</si>
  <si>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</si>
  <si>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</si>
  <si>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</si>
  <si>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</si>
  <si>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</si>
  <si>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</si>
  <si>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</si>
  <si>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</si>
  <si>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</si>
  <si>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</si>
  <si>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</si>
  <si>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</si>
  <si>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</si>
  <si>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</si>
  <si>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</si>
  <si>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</si>
  <si>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</si>
  <si>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</si>
  <si>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</si>
  <si>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</si>
  <si>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</si>
  <si>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</si>
  <si>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</si>
  <si>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</si>
  <si>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</si>
  <si>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</si>
  <si>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</si>
  <si>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</si>
  <si>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</si>
  <si>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</si>
  <si>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</si>
  <si>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</si>
  <si>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</si>
  <si>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</si>
  <si>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</si>
  <si>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</si>
  <si>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</si>
  <si>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</si>
  <si>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</si>
  <si>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</si>
  <si>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</si>
  <si>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</si>
  <si>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</si>
  <si>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</si>
  <si>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</si>
  <si>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</si>
  <si>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</si>
  <si>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</si>
  <si>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</si>
  <si>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</si>
  <si>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</si>
  <si>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</si>
  <si>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</si>
  <si>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</si>
  <si>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</si>
  <si>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</si>
  <si>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</si>
  <si>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</si>
  <si>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</si>
  <si>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</si>
  <si>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</si>
  <si>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</si>
  <si>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</si>
  <si>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</si>
  <si>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</si>
  <si>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</si>
  <si>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</si>
  <si>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</si>
  <si>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</si>
  <si>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</si>
  <si>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</si>
  <si>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</si>
  <si>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</si>
  <si>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</si>
  <si>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</si>
  <si>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</si>
  <si>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</si>
  <si>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</si>
  <si>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</si>
  <si>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</si>
  <si>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</si>
  <si>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</si>
  <si>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</si>
  <si>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</si>
  <si>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</si>
  <si>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</si>
  <si>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</si>
  <si>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</si>
  <si>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</si>
  <si>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</si>
  <si>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</si>
  <si>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</si>
  <si>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</si>
  <si>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</si>
  <si>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</si>
  <si>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</si>
  <si>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</si>
  <si>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</si>
  <si>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</si>
  <si>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</si>
  <si>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</si>
  <si>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</si>
  <si>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</si>
  <si>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</si>
  <si>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</si>
  <si>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</si>
  <si>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</si>
  <si>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</si>
  <si>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</si>
  <si>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</si>
  <si>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</si>
  <si>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</si>
  <si>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</si>
  <si>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</si>
  <si>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</si>
  <si>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</si>
  <si>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</si>
  <si>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</si>
  <si>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</si>
  <si>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</si>
  <si>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</si>
  <si>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</si>
  <si>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</si>
  <si>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</si>
  <si>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</si>
  <si>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</si>
  <si>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</si>
  <si>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</si>
  <si>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</si>
  <si>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</si>
  <si>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</si>
  <si>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</si>
  <si>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</si>
  <si>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</si>
  <si>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</si>
  <si>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</si>
  <si>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</si>
  <si>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</si>
  <si>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</si>
  <si>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</si>
  <si>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</si>
  <si>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</si>
  <si>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</si>
  <si>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</si>
  <si>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</si>
  <si>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</si>
  <si>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</si>
  <si>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</si>
  <si>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</si>
  <si>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</si>
  <si>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</si>
  <si>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</si>
  <si>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</si>
  <si>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</si>
  <si>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</si>
  <si>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</si>
  <si>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</si>
  <si>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</si>
  <si>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</si>
  <si>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</si>
  <si>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</si>
  <si>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</si>
  <si>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</si>
  <si>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</si>
  <si>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</si>
  <si>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</si>
  <si>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</si>
  <si>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</si>
  <si>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</si>
  <si>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</si>
  <si>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</si>
  <si>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</si>
  <si>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</si>
  <si>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</si>
  <si>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</si>
  <si>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</si>
  <si>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</si>
  <si>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</si>
  <si>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</si>
  <si>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</si>
  <si>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</si>
  <si>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</si>
  <si>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</si>
  <si>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</si>
  <si>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</si>
  <si>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</si>
  <si>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</si>
  <si>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</si>
  <si>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</si>
  <si>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</si>
  <si>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</si>
  <si>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</si>
  <si>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</si>
  <si>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</si>
  <si>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</si>
  <si>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</si>
  <si>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</si>
  <si>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</si>
  <si>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</si>
  <si>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</si>
  <si>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</si>
  <si>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</si>
  <si>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</si>
  <si>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</si>
  <si>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</si>
  <si>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</si>
  <si>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</si>
  <si>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</si>
  <si>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</si>
  <si>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</si>
  <si>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</si>
  <si>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</si>
  <si>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</si>
  <si>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</si>
  <si>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</si>
  <si>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</si>
  <si>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</si>
  <si>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</si>
  <si>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</si>
  <si>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</si>
  <si>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</si>
  <si>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</si>
  <si>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</si>
  <si>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</si>
  <si>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</si>
  <si>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</si>
  <si>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</si>
  <si>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</si>
  <si>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</si>
  <si>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</si>
  <si>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</si>
  <si>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</si>
  <si>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</si>
  <si>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</si>
  <si>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</si>
  <si>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</si>
  <si>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</si>
  <si>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</si>
  <si>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</si>
  <si>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</si>
  <si>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</si>
  <si>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</si>
  <si>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</si>
  <si>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</si>
  <si>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</si>
  <si>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</si>
  <si>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</si>
  <si>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</si>
  <si>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</si>
  <si>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</si>
  <si>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</si>
  <si>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</si>
  <si>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</si>
  <si>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</si>
  <si>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</si>
  <si>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</si>
  <si>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</si>
  <si>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</si>
  <si>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</si>
  <si>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</si>
  <si>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</si>
  <si>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</si>
  <si>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</si>
  <si>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</si>
  <si>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</si>
  <si>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</si>
  <si>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</si>
  <si>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</si>
  <si>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</si>
  <si>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</si>
  <si>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</si>
  <si>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</si>
  <si>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</si>
  <si>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</si>
  <si>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</si>
  <si>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</si>
  <si>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</si>
  <si>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</si>
  <si>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</si>
  <si>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</si>
  <si>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</si>
  <si>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</si>
  <si>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</si>
  <si>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</si>
  <si>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</si>
  <si>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</si>
  <si>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</si>
  <si>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</si>
  <si>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</si>
  <si>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</si>
  <si>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</si>
  <si>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</si>
  <si>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</si>
  <si>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</si>
  <si>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</si>
  <si>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</si>
  <si>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</si>
  <si>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</si>
  <si>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</si>
  <si>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</si>
  <si>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</si>
  <si>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</si>
  <si>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</si>
  <si>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</si>
  <si>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</si>
  <si>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</si>
  <si>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</si>
  <si>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</si>
  <si>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</si>
  <si>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</si>
  <si>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</si>
  <si>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</si>
  <si>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</si>
  <si>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</si>
  <si>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</si>
  <si>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</si>
  <si>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</si>
  <si>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</si>
  <si>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</si>
  <si>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</si>
  <si>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</si>
  <si>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</si>
  <si>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</si>
  <si>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</si>
  <si>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</si>
  <si>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</si>
  <si>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</si>
  <si>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</si>
  <si>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</si>
  <si>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</si>
  <si>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</si>
  <si>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</si>
  <si>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</si>
  <si>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</si>
  <si>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</si>
  <si>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</si>
  <si>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</si>
  <si>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</si>
  <si>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</si>
  <si>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</si>
  <si>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</si>
  <si>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</si>
  <si>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</si>
  <si>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</si>
  <si>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</si>
  <si>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</si>
  <si>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</si>
  <si>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</si>
  <si>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</si>
  <si>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</si>
  <si>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</si>
  <si>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</si>
  <si>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</si>
  <si>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</si>
  <si>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</si>
  <si>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</si>
  <si>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</si>
  <si>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</si>
  <si>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</si>
  <si>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</si>
  <si>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</si>
  <si>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</si>
  <si>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</si>
  <si>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</si>
  <si>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</si>
  <si>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</si>
  <si>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</si>
  <si>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</si>
  <si>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</si>
  <si>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</si>
  <si>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</si>
  <si>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</si>
  <si>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</si>
  <si>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</si>
  <si>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</si>
  <si>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</si>
  <si>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</si>
  <si>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</si>
  <si>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</si>
  <si>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</si>
  <si>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</si>
  <si>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</si>
  <si>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</si>
  <si>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</si>
  <si>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</si>
  <si>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</si>
  <si>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</si>
  <si>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</si>
  <si>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</si>
  <si>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</si>
  <si>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</si>
  <si>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</si>
  <si>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</si>
  <si>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</si>
  <si>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</si>
  <si>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</si>
  <si>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</si>
  <si>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</si>
  <si>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</si>
  <si>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</si>
  <si>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</si>
  <si>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</si>
  <si>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</si>
  <si>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</si>
  <si>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</si>
  <si>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</si>
  <si>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</si>
  <si>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</si>
  <si>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</si>
  <si>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</si>
  <si>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</si>
  <si>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</si>
  <si>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</si>
  <si>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</si>
  <si>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</si>
  <si>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</si>
  <si>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</si>
  <si>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</si>
  <si>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</si>
  <si>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</si>
  <si>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</si>
  <si>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</si>
  <si>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</si>
  <si>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</si>
  <si>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</si>
  <si>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</si>
  <si>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</si>
  <si>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</si>
  <si>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</si>
  <si>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</si>
  <si>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</si>
  <si>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</si>
  <si>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</si>
  <si>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</si>
  <si>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</si>
  <si>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</si>
  <si>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</si>
  <si>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</si>
  <si>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</si>
  <si>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</si>
  <si>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</si>
  <si>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</si>
  <si>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</si>
  <si>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</si>
  <si>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</si>
  <si>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</si>
  <si>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</si>
  <si>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</si>
  <si>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</si>
  <si>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</si>
  <si>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</si>
  <si>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</si>
  <si>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</si>
  <si>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</si>
  <si>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</si>
  <si>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</si>
  <si>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</si>
  <si>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</si>
  <si>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</si>
  <si>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</si>
  <si>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</si>
  <si>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</si>
  <si>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</si>
  <si>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</si>
  <si>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</si>
  <si>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</si>
  <si>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</si>
  <si>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</si>
  <si>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</si>
  <si>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</si>
  <si>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</si>
  <si>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</si>
  <si>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</si>
  <si>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</si>
  <si>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</si>
  <si>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</si>
  <si>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</si>
  <si>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</si>
  <si>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</si>
  <si>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</si>
  <si>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</si>
  <si>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</si>
  <si>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</si>
  <si>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</si>
  <si>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</si>
  <si>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</si>
  <si>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</si>
  <si>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</si>
  <si>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</si>
  <si>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</si>
  <si>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</si>
  <si>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</si>
  <si>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</si>
  <si>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</si>
  <si>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</si>
  <si>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</si>
  <si>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</si>
  <si>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</si>
  <si>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</si>
  <si>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</si>
  <si>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</si>
  <si>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</si>
  <si>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</si>
  <si>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</si>
  <si>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</si>
  <si>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</si>
  <si>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</si>
  <si>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</si>
  <si>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</si>
  <si>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</si>
  <si>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</si>
  <si>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</si>
  <si>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</si>
  <si>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</si>
  <si>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</si>
  <si>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</si>
  <si>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</si>
  <si>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</si>
  <si>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</si>
  <si>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</si>
  <si>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</si>
  <si>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</si>
  <si>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</si>
  <si>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</si>
  <si>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</si>
  <si>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</si>
  <si>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</si>
  <si>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</si>
  <si>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</si>
  <si>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</si>
  <si>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</si>
  <si>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</si>
  <si>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</si>
  <si>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</si>
  <si>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</si>
  <si>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</si>
  <si>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</si>
  <si>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</si>
  <si>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</si>
  <si>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</si>
  <si>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</si>
  <si>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</si>
  <si>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</si>
  <si>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</si>
  <si>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</si>
  <si>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</si>
  <si>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</si>
  <si>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</si>
  <si>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</si>
  <si>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</si>
  <si>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</si>
  <si>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</si>
  <si>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</si>
  <si>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</si>
  <si>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</si>
  <si>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</si>
  <si>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</si>
  <si>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</si>
  <si>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</si>
  <si>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</si>
  <si>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</si>
  <si>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</si>
  <si>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</si>
  <si>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</si>
  <si>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</si>
  <si>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</si>
  <si>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</si>
  <si>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</si>
  <si>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</si>
  <si>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</si>
  <si>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</si>
  <si>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</si>
  <si>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</si>
  <si>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</si>
  <si>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</si>
  <si>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</si>
  <si>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</si>
  <si>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</si>
  <si>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</si>
  <si>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</si>
  <si>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</si>
  <si>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</si>
  <si>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</si>
  <si>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</si>
  <si>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</si>
  <si>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</si>
  <si>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</si>
  <si>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</si>
  <si>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</si>
  <si>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</si>
  <si>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</si>
  <si>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</si>
  <si>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</si>
  <si>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</si>
  <si>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</si>
  <si>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</si>
  <si>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</si>
  <si>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</si>
  <si>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</si>
  <si>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</si>
  <si>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</si>
  <si>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</si>
  <si>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</si>
  <si>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</si>
  <si>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</si>
  <si>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</si>
  <si>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</si>
  <si>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</si>
  <si>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</si>
  <si>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</si>
  <si>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</si>
  <si>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</si>
  <si>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</si>
  <si>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</si>
  <si>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</si>
  <si>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</si>
  <si>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</si>
  <si>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</si>
  <si>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</si>
  <si>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</si>
  <si>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</si>
  <si>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</si>
  <si>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</si>
  <si>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</si>
  <si>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</si>
  <si>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</si>
  <si>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</si>
  <si>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</si>
  <si>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</si>
  <si>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</si>
  <si>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</si>
  <si>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</si>
  <si>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</si>
  <si>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</si>
  <si>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</si>
  <si>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</si>
  <si>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</si>
  <si>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</si>
  <si>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</si>
  <si>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</si>
  <si>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</si>
  <si>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</si>
  <si>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</si>
  <si>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</si>
  <si>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</si>
  <si>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</si>
  <si>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</si>
  <si>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</si>
  <si>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</si>
  <si>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</si>
  <si>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</si>
  <si>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</si>
  <si>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</si>
  <si>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</si>
  <si>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</si>
  <si>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</si>
  <si>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</si>
  <si>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</si>
  <si>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</si>
  <si>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</si>
  <si>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</si>
  <si>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</si>
  <si>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</si>
  <si>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</si>
  <si>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</si>
  <si>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</si>
  <si>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</si>
  <si>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</si>
  <si>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</si>
  <si>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</si>
  <si>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</si>
  <si>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</si>
  <si>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</si>
  <si>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</si>
  <si>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</si>
  <si>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</si>
  <si>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</si>
  <si>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</si>
  <si>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</si>
  <si>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</si>
  <si>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</si>
  <si>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</si>
  <si>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</si>
  <si>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</si>
  <si>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</si>
  <si>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</si>
  <si>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</si>
  <si>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</si>
  <si>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</si>
  <si>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</si>
  <si>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</si>
  <si>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</si>
  <si>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</si>
  <si>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</si>
  <si>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</si>
  <si>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</si>
  <si>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</si>
  <si>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</si>
  <si>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</si>
  <si>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</si>
  <si>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</si>
  <si>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</si>
  <si>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</si>
  <si>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</si>
  <si>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</si>
  <si>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</si>
  <si>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</si>
  <si>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</si>
  <si>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</si>
  <si>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</si>
  <si>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</si>
  <si>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</si>
  <si>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</si>
  <si>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</si>
  <si>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</si>
  <si>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</si>
  <si>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</si>
  <si>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</si>
  <si>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</si>
  <si>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</si>
  <si>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</si>
  <si>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</si>
  <si>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</si>
  <si>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</si>
  <si>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</si>
  <si>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</si>
  <si>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</si>
  <si>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</si>
  <si>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</si>
  <si>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</si>
  <si>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</si>
  <si>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</si>
  <si>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</si>
  <si>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</si>
  <si>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</si>
  <si>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</si>
  <si>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</si>
  <si>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</si>
  <si>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</si>
  <si>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</si>
  <si>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</si>
  <si>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</si>
  <si>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</si>
  <si>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</si>
  <si>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</si>
  <si>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</si>
  <si>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</si>
  <si>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</si>
  <si>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</si>
  <si>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</si>
  <si>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</si>
  <si>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</si>
  <si>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</si>
  <si>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</si>
  <si>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</si>
  <si>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</si>
  <si>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</si>
  <si>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</si>
  <si>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</si>
  <si>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</si>
  <si>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</si>
  <si>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</si>
  <si>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</si>
  <si>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</si>
  <si>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</si>
  <si>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</si>
  <si>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</si>
  <si>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</si>
  <si>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</si>
  <si>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</si>
  <si>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</si>
  <si>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</si>
  <si>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</si>
  <si>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</si>
  <si>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</si>
  <si>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</si>
  <si>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</si>
  <si>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</si>
  <si>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</si>
  <si>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</si>
  <si>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</si>
  <si>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</si>
  <si>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</si>
  <si>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</si>
  <si>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</si>
  <si>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</si>
  <si>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</si>
  <si>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</si>
  <si>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</si>
  <si>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</si>
  <si>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</si>
  <si>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</si>
  <si>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</si>
  <si>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</si>
  <si>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</si>
  <si>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</si>
  <si>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</si>
  <si>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</si>
  <si>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</si>
  <si>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</si>
  <si>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</si>
  <si>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</si>
  <si>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</si>
  <si>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</si>
  <si>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</si>
  <si>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</si>
  <si>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</si>
  <si>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</si>
  <si>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</si>
  <si>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</si>
  <si>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</si>
  <si>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</si>
  <si>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</si>
  <si>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</si>
  <si>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</si>
  <si>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</si>
  <si>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</si>
  <si>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</si>
  <si>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</si>
  <si>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</si>
  <si>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</si>
  <si>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</si>
  <si>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</si>
  <si>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</si>
  <si>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</si>
  <si>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</si>
  <si>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</si>
  <si>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</si>
  <si>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</si>
  <si>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</si>
  <si>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</si>
  <si>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</si>
  <si>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</si>
  <si>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</si>
  <si>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</si>
  <si>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</si>
  <si>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</si>
  <si>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</si>
  <si>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</si>
  <si>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</si>
  <si>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</si>
  <si>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</si>
  <si>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</si>
  <si>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</si>
  <si>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</si>
  <si>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</si>
  <si>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</si>
  <si>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</si>
  <si>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</si>
  <si>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</si>
  <si>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</si>
  <si>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</si>
  <si>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</si>
  <si>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</si>
  <si>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</si>
  <si>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</si>
  <si>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</si>
  <si>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</si>
  <si>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</si>
  <si>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</si>
  <si>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</si>
  <si>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</si>
  <si>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</si>
  <si>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</si>
  <si>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</si>
  <si>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</si>
  <si>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</si>
  <si>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</si>
  <si>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</si>
  <si>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</si>
  <si>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</si>
  <si>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</si>
  <si>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</si>
  <si>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</si>
  <si>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</si>
  <si>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</si>
  <si>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</si>
  <si>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</si>
  <si>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</si>
  <si>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</si>
  <si>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</si>
  <si>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</si>
  <si>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</si>
  <si>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</si>
  <si>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</si>
  <si>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</si>
  <si>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</si>
  <si>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</si>
  <si>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</si>
  <si>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</si>
  <si>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</si>
  <si>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</si>
  <si>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</si>
  <si>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</si>
  <si>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</si>
  <si>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</si>
  <si>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</si>
  <si>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</si>
  <si>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</si>
  <si>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</si>
  <si>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</si>
  <si>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</si>
  <si>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</si>
  <si>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</si>
  <si>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</si>
  <si>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</si>
  <si>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</si>
  <si>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</si>
  <si>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</si>
  <si>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</si>
  <si>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</si>
  <si>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</si>
  <si>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</si>
  <si>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</si>
  <si>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</si>
  <si>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</si>
  <si>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</si>
  <si>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</si>
  <si>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</si>
  <si>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</si>
  <si>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</si>
  <si>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</si>
  <si>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</si>
  <si>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</si>
  <si>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</si>
  <si>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</si>
  <si>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</si>
  <si>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</si>
  <si>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</si>
  <si>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</si>
  <si>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</si>
  <si>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</si>
  <si>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</si>
  <si>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</si>
  <si>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</si>
  <si>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</si>
  <si>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</si>
  <si>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Bubník Martin</t>
  </si>
  <si>
    <t>Výdaje</t>
  </si>
  <si>
    <t>Eszenyiová Patrícia</t>
  </si>
  <si>
    <t>Coufal Jakub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</si>
  <si>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</si>
  <si>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</si>
  <si>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</si>
  <si>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</si>
  <si>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</si>
  <si>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</si>
  <si>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</si>
  <si>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</si>
  <si>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</si>
  <si>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</si>
  <si>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Kopic Jakub</t>
  </si>
  <si>
    <t>13:30</t>
  </si>
  <si>
    <t>29:00</t>
  </si>
  <si>
    <t>Dušek Sam</t>
  </si>
  <si>
    <t>2:30</t>
  </si>
  <si>
    <t>7:00</t>
  </si>
  <si>
    <t>13 min 31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</si>
  <si>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</si>
  <si>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</si>
  <si>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</si>
  <si>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</si>
  <si>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</si>
  <si>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</si>
  <si>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</si>
  <si>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</si>
  <si>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</si>
  <si>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</si>
  <si>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Nedvěd Dominik</t>
  </si>
  <si>
    <t>17:00 - 1:00 (Kurýr)</t>
  </si>
  <si>
    <t>13:00 - 20:00 (Kurýr)</t>
  </si>
  <si>
    <t>Pavel Břicháč</t>
  </si>
  <si>
    <t>11:00 - 1:00 (Kurýr)</t>
  </si>
  <si>
    <t>11:00 - 17:00 (Kurýr)</t>
  </si>
  <si>
    <t>11:00 - 19:00 (Kurýr)</t>
  </si>
  <si>
    <t>11:00 - 18:00 (Kurýr)</t>
  </si>
  <si>
    <t>19:00 - 0:00 (Instor)</t>
  </si>
  <si>
    <t>19:00 - 23:00 (Instor)</t>
  </si>
  <si>
    <t>Serin David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</si>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</sst>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sz val="14.0"/>
      <color rgb="FF000000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0" fillId="9" fontId="21" numFmtId="0" xfId="0" applyAlignment="1" applyFont="1">
      <alignment readingOrder="0"/>
    </xf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46191.0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Čtvrtek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2140.8</v>
      </c>
      <c r="B12" s="52" t="s">
        <v>1564</v>
      </c>
      <c r="C12" s="53" t="s">
        <v>45</v>
      </c>
      <c r="D12" s="53" t="s">
        <v>46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08:00</v>
      </c>
      <c r="G12" s="37"/>
      <c r="I12" s="48"/>
      <c r="J12" s="37"/>
      <c r="K12" s="22"/>
      <c r="L12" s="56" t="s">
        <v>1565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1751.442</v>
      </c>
      <c r="B13" s="52" t="s">
        <v>1566</v>
      </c>
      <c r="C13" s="53" t="s">
        <v>41</v>
      </c>
      <c r="D13" s="53" t="s">
        <v>45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1000.824</v>
      </c>
      <c r="B14" s="52" t="s">
        <v>1567</v>
      </c>
      <c r="C14" s="53" t="s">
        <v>1512</v>
      </c>
      <c r="D14" s="53" t="s">
        <v>49</v>
      </c>
      <c r="E14" s="54"/>
      <c r="F14" s="55" t="str">
        <f t="shared" si="1"/>
        <v>04:00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1568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1569</v>
      </c>
      <c r="H24" s="77" t="s">
        <v>1570</v>
      </c>
      <c r="I24" s="46" t="s">
        <v>13</v>
      </c>
      <c r="J24" s="78" t="s">
        <v>1571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900</v>
      </c>
      <c r="B25" s="52" t="s">
        <v>1572</v>
      </c>
      <c r="C25" s="82" t="s">
        <v>63</v>
      </c>
      <c r="D25" s="82" t="s">
        <v>45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1</v>
      </c>
      <c r="I25" s="86">
        <f t="shared" ref="I25:I31" si="4">IF(H25,G25*45,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2"/>
      <c r="D26" s="82"/>
      <c r="E26" s="82"/>
      <c r="F26" s="83" t="str">
        <f t="shared" si="3"/>
        <v>0:00</v>
      </c>
      <c r="G26" s="84">
        <f>COUNTIF(RestiaCSV!E:E, B26)</f>
        <v>0</v>
      </c>
      <c r="H26" s="85" t="b">
        <v>1</v>
      </c>
      <c r="I26" s="86">
        <f t="shared" si="4"/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1573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94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9"/>
      <c r="K30" s="99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9"/>
      <c r="K31" s="99"/>
      <c r="L31" s="87"/>
      <c r="M31" s="88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"Bubník Martin,Eszenyiová Patrícia,Coufal Jakub"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Jakub,Prošek Václav"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Josef,Kumar Jatinder"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46183.0</v>
      </c>
      <c r="D1" s="113" t="s">
        <v>1574</v>
      </c>
      <c r="E1" s="114">
        <v>46183.0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0.39063808704470737</v>
      </c>
      <c r="H2" s="22"/>
      <c r="I2" s="118">
        <v>35103.8</v>
      </c>
      <c r="K2" s="22"/>
      <c r="L2" s="119" t="s">
        <v>1550</v>
      </c>
      <c r="M2" s="120">
        <v>9366.8</v>
      </c>
      <c r="N2" s="121"/>
    </row>
    <row r="3">
      <c r="A3" s="122"/>
      <c r="B3" s="123" t="str">
        <f>CHOOSE(WEEKDAY(C1), "Neděle", "Pondělí", "Úterý", "Středa", "Čtvrtek", "Pátek", "Sobota")</f>
        <v>Středa</v>
      </c>
      <c r="C3" s="28"/>
      <c r="D3" s="123" t="str">
        <f>CHOOSE(WEEKDAY(E1), "Neděle", "Pondělí", "Úterý", "Středa", "Čtvrtek", "Pátek", "Sobota")</f>
        <v>Středa</v>
      </c>
      <c r="E3" s="12"/>
      <c r="H3" s="22"/>
      <c r="K3" s="22"/>
      <c r="L3" s="124" t="s">
        <v>1551</v>
      </c>
      <c r="M3" s="125">
        <v>3100.0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10700.0</v>
      </c>
      <c r="N4" s="121"/>
    </row>
    <row r="5">
      <c r="A5" s="126"/>
      <c r="B5" s="127" t="s">
        <v>1575</v>
      </c>
      <c r="C5" s="28"/>
      <c r="D5" s="28"/>
      <c r="E5" s="12"/>
      <c r="F5" s="128" t="s">
        <v>1576</v>
      </c>
      <c r="G5" s="28"/>
      <c r="H5" s="28"/>
      <c r="I5" s="28"/>
      <c r="J5" s="28"/>
      <c r="K5" s="12"/>
      <c r="L5" s="129" t="s">
        <v>1554</v>
      </c>
      <c r="M5" s="125">
        <v>7691.0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1137.0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29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16</v>
      </c>
      <c r="G7" s="14"/>
      <c r="H7" s="14"/>
      <c r="I7" s="14"/>
      <c r="J7" s="133"/>
      <c r="K7" s="133"/>
      <c r="L7" s="134" t="s">
        <v>1556</v>
      </c>
      <c r="M7" s="135">
        <v>1218.0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1577</v>
      </c>
      <c r="D9" s="143" t="s">
        <v>1563</v>
      </c>
      <c r="E9" s="144"/>
      <c r="F9" s="142" t="s">
        <v>1559</v>
      </c>
      <c r="G9" s="143" t="s">
        <v>1577</v>
      </c>
      <c r="H9" s="143" t="s">
        <v>1563</v>
      </c>
      <c r="I9" s="145" t="s">
        <v>1569</v>
      </c>
      <c r="J9" s="146">
        <v>1445.0</v>
      </c>
      <c r="K9" s="12"/>
      <c r="L9" s="147" t="s">
        <v>23</v>
      </c>
      <c r="M9" s="125">
        <v>457.0</v>
      </c>
      <c r="N9" s="121"/>
    </row>
    <row r="10" ht="18.75" customHeight="1">
      <c r="A10" s="148"/>
      <c r="B10" s="149" t="s">
        <v>1578</v>
      </c>
      <c r="C10" s="150">
        <v>1.0</v>
      </c>
      <c r="D10" s="150" t="s">
        <v>1579</v>
      </c>
      <c r="E10" s="151" t="s">
        <v>1580</v>
      </c>
      <c r="F10" s="149" t="s">
        <v>1581</v>
      </c>
      <c r="G10" s="150">
        <v>1.0</v>
      </c>
      <c r="H10" s="150" t="s">
        <v>1501</v>
      </c>
      <c r="I10" s="152">
        <v>16.0</v>
      </c>
      <c r="J10" s="37"/>
      <c r="K10" s="22"/>
      <c r="L10" s="147" t="s">
        <v>24</v>
      </c>
      <c r="M10" s="125">
        <v>0.0</v>
      </c>
      <c r="N10" s="121"/>
    </row>
    <row r="11" ht="18.75" customHeight="1">
      <c r="A11" s="148"/>
      <c r="B11" s="149" t="s">
        <v>1567</v>
      </c>
      <c r="C11" s="150">
        <v>1.0</v>
      </c>
      <c r="D11" s="150" t="s">
        <v>1582</v>
      </c>
      <c r="E11" s="151" t="s">
        <v>49</v>
      </c>
      <c r="F11" s="149"/>
      <c r="G11" s="150"/>
      <c r="H11" s="150"/>
      <c r="I11" s="152"/>
      <c r="J11" s="37"/>
      <c r="K11" s="22"/>
      <c r="L11" s="153" t="s">
        <v>25</v>
      </c>
      <c r="M11" s="154">
        <v>3004.0</v>
      </c>
      <c r="N11" s="121"/>
    </row>
    <row r="12" ht="18.75" customHeight="1">
      <c r="A12" s="148"/>
      <c r="B12" s="149" t="s">
        <v>1490</v>
      </c>
      <c r="C12" s="150">
        <v>1.0</v>
      </c>
      <c r="D12" s="150" t="s">
        <v>50</v>
      </c>
      <c r="E12" s="151" t="s">
        <v>50</v>
      </c>
      <c r="F12" s="149"/>
      <c r="G12" s="150"/>
      <c r="H12" s="150"/>
      <c r="I12" s="152"/>
      <c r="J12" s="37"/>
      <c r="K12" s="22"/>
      <c r="L12" s="155" t="s">
        <v>1565</v>
      </c>
      <c r="M12" s="20"/>
      <c r="N12" s="116"/>
    </row>
    <row r="13" ht="18.75" customHeight="1">
      <c r="A13" s="148"/>
      <c r="B13" s="149"/>
      <c r="C13" s="150"/>
      <c r="D13" s="150"/>
      <c r="E13" s="151" t="s">
        <v>50</v>
      </c>
      <c r="F13" s="149"/>
      <c r="G13" s="150"/>
      <c r="H13" s="150"/>
      <c r="I13" s="152"/>
      <c r="J13" s="37"/>
      <c r="K13" s="22"/>
      <c r="L13" s="147" t="s">
        <v>29</v>
      </c>
      <c r="M13" s="125">
        <v>0.0</v>
      </c>
      <c r="N13" s="121"/>
    </row>
    <row r="14" ht="18.75" customHeight="1">
      <c r="A14" s="148"/>
      <c r="B14" s="149"/>
      <c r="C14" s="150"/>
      <c r="D14" s="150"/>
      <c r="E14" s="151" t="s">
        <v>1583</v>
      </c>
      <c r="F14" s="149"/>
      <c r="G14" s="150"/>
      <c r="H14" s="150"/>
      <c r="I14" s="152"/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/>
      <c r="C15" s="150"/>
      <c r="D15" s="150"/>
      <c r="E15" s="151" t="s">
        <v>1583</v>
      </c>
      <c r="F15" s="149"/>
      <c r="G15" s="150"/>
      <c r="H15" s="150"/>
      <c r="I15" s="152"/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/>
      <c r="C16" s="150"/>
      <c r="D16" s="150"/>
      <c r="E16" s="157"/>
      <c r="F16" s="149"/>
      <c r="G16" s="150"/>
      <c r="H16" s="150"/>
      <c r="I16" s="152"/>
      <c r="J16" s="37"/>
      <c r="K16" s="22"/>
      <c r="L16" s="156" t="s">
        <v>32</v>
      </c>
      <c r="M16" s="125">
        <v>373.0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9"/>
      <c r="K17" s="20"/>
      <c r="L17" s="158" t="s">
        <v>33</v>
      </c>
      <c r="M17" s="159">
        <v>720.0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1568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7"/>
      <c r="L20" s="87"/>
      <c r="M20" s="88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0.0</v>
      </c>
      <c r="K21" s="169">
        <v>0.0</v>
      </c>
      <c r="L21" s="170">
        <v>1.0</v>
      </c>
      <c r="M21" s="171" t="s">
        <v>1584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1571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8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1.0</v>
      </c>
      <c r="K24" s="170">
        <v>95.0</v>
      </c>
      <c r="L24" s="170">
        <v>21.0</v>
      </c>
      <c r="M24" s="177">
        <v>1.0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1573</v>
      </c>
      <c r="K25" s="93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7"/>
      <c r="M26" s="8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0.0</v>
      </c>
      <c r="K27" s="96"/>
      <c r="L27" s="182">
        <v>0.047619047619047616</v>
      </c>
      <c r="M27" s="183">
        <v>1.0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7"/>
      <c r="M29" s="8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0.9523809523809523</v>
      </c>
      <c r="M30" s="187">
        <v>0.047619047619047616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88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/>
      <c r="B104" s="1"/>
      <c r="C104" s="189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/>
      <c r="B105" s="1"/>
      <c r="C105" s="189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/>
      <c r="B112" s="1"/>
      <c r="C112" s="1"/>
      <c r="D112" s="1"/>
      <c r="E112" s="188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88"/>
      <c r="B113" s="190"/>
      <c r="C113" s="190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88"/>
      <c r="B121" s="188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88"/>
      <c r="B123" s="188"/>
      <c r="C123" s="190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""Mzdy!ac1:ad200"")"),30.0)</f>
        <v>30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1585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1586</v>
      </c>
      <c r="B4" s="193" t="s">
        <v>1587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IFERROR(__xludf.DUMMYFUNCTION("""COMPUTED_VALUE"""),0.0)</f>
        <v>0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IFERROR(__xludf.DUMMYFUNCTION("""COMPUTED_VALUE"""),0.0)</f>
        <v>0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IFERROR(__xludf.DUMMYFUNCTION("""COMPUTED_VALUE"""),"Malešice")</f>
        <v>Malešice</v>
      </c>
      <c r="F28" s="6" t="str">
        <f>IFERROR(__xludf.DUMMYFUNCTION("""COMPUTED_VALUE"""),"Chodov")</f>
        <v>Chodov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IFERROR(__xludf.DUMMYFUNCTION("""COMPUTED_VALUE"""),0.0)</f>
        <v>0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 t="str">
        <f>IFERROR(__xludf.DUMMYFUNCTION("""COMPUTED_VALUE"""),"Malešice")</f>
        <v>Malešice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>Prošek Václav</v>
      </c>
      <c r="C42" s="6" t="b">
        <f>IFERROR(__xludf.DUMMYFUNCTION("""COMPUTED_VALUE"""),FALSE)</f>
        <v>0</v>
      </c>
      <c r="D42" s="6" t="str">
        <f>IFERROR(__xludf.DUMMYFUNCTION("""COMPUTED_VALUE"""),"Prošek Václav")</f>
        <v>Prošek Václav</v>
      </c>
      <c r="E42" s="6" t="str">
        <f>IFERROR(__xludf.DUMMYFUNCTION("""COMPUTED_VALUE"""),"Libuš")</f>
        <v>Libuš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IFERROR(__xludf.DUMMYFUNCTION("""COMPUTED_VALUE"""),250.20600000000002)</f>
        <v>250.206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 t="str">
        <f>IFERROR(__xludf.DUMMYFUNCTION("""COMPUTED_VALUE"""),"Malešice")</f>
        <v>Malešice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IFERROR(__xludf.DUMMYFUNCTION("""COMPUTED_VALUE"""),250.20600000000002)</f>
        <v>250.206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Břicháč Pavel</v>
      </c>
      <c r="C126" s="6" t="b">
        <f>IFERROR(__xludf.DUMMYFUNCTION("""COMPUTED_VALUE"""),FALSE)</f>
        <v>0</v>
      </c>
      <c r="D126" s="6" t="str">
        <f>IFERROR(__xludf.DUMMYFUNCTION("""COMPUTED_VALUE"""),"Břicháč Pavel")</f>
        <v>Břicháč Pavel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 t="str">
        <f>IFERROR(__xludf.DUMMYFUNCTION("""COMPUTED_VALUE"""),"Čerešňák Michal")</f>
        <v>Čerešňák Michal</v>
      </c>
      <c r="E127" s="6" t="str">
        <f>IFERROR(__xludf.DUMMYFUNCTION("""COMPUTED_VALUE"""),"Zličín")</f>
        <v>Zličín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IFERROR(__xludf.DUMMYFUNCTION("""COMPUTED_VALUE"""),170.0)</f>
        <v>170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>Weindling Josef</v>
      </c>
      <c r="C128" s="6" t="b">
        <f>IFERROR(__xludf.DUMMYFUNCTION("""COMPUTED_VALUE"""),FALSE)</f>
        <v>0</v>
      </c>
      <c r="D128" s="6" t="str">
        <f>IFERROR(__xludf.DUMMYFUNCTION("""COMPUTED_VALUE"""),"Weindling Josef")</f>
        <v>Weindling Josef</v>
      </c>
      <c r="E128" s="6" t="str">
        <f>IFERROR(__xludf.DUMMYFUNCTION("""COMPUTED_VALUE"""),"Libuš")</f>
        <v>Libuš</v>
      </c>
      <c r="F128" s="6" t="str">
        <f>IFERROR(__xludf.DUMMYFUNCTION("""COMPUTED_VALUE"""),"Malešice")</f>
        <v>Malešice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IFERROR(__xludf.DUMMYFUNCTION("""COMPUTED_VALUE"""),231.474)</f>
        <v>231.474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 t="str">
        <f>IFERROR(__xludf.DUMMYFUNCTION("""COMPUTED_VALUE"""),"Fux Vojtěch")</f>
        <v>Fux Vojtěch</v>
      </c>
      <c r="E129" s="6" t="str">
        <f>IFERROR(__xludf.DUMMYFUNCTION("""COMPUTED_VALUE"""),"Chodov")</f>
        <v>Chodov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IFERROR(__xludf.DUMMYFUNCTION("""COMPUTED_VALUE"""),200.0)</f>
        <v>200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>Kumar Jatinder</v>
      </c>
      <c r="C130" s="6" t="b">
        <f>IFERROR(__xludf.DUMMYFUNCTION("""COMPUTED_VALUE"""),FALSE)</f>
        <v>0</v>
      </c>
      <c r="D130" s="6" t="str">
        <f>IFERROR(__xludf.DUMMYFUNCTION("""COMPUTED_VALUE"""),"Kumar Jatinder")</f>
        <v>Kumar Jatinder</v>
      </c>
      <c r="E130" s="6" t="str">
        <f>IFERROR(__xludf.DUMMYFUNCTION("""COMPUTED_VALUE"""),"Libuš")</f>
        <v>Libuš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IFERROR(__xludf.DUMMYFUNCTION("""COMPUTED_VALUE"""),231.474)</f>
        <v>231.474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 t="str">
        <f>IFERROR(__xludf.DUMMYFUNCTION("""COMPUTED_VALUE"""),"Stehlíková Magdaléna")</f>
        <v>Stehlíková Magdaléna</v>
      </c>
      <c r="E131" s="6" t="str">
        <f>IFERROR(__xludf.DUMMYFUNCTION("""COMPUTED_VALUE"""),"Bolevec")</f>
        <v>Bolevec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192">
        <f>IFERROR(__xludf.DUMMYFUNCTION("""COMPUTED_VALUE"""),214.08)</f>
        <v>214.08</v>
      </c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 t="str">
        <f>IFERROR(__xludf.DUMMYFUNCTION("""COMPUTED_VALUE"""),"Dragoun Alfréd")</f>
        <v>Dragoun Alfréd</v>
      </c>
      <c r="E132" s="6" t="str">
        <f>IFERROR(__xludf.DUMMYFUNCTION("""COMPUTED_VALUE"""),"Zličín")</f>
        <v>Zličín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IFERROR(__xludf.DUMMYFUNCTION("""COMPUTED_VALUE"""),250.20600000000002)</f>
        <v>250.206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1588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1589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1590</v>
      </c>
      <c r="C3" s="1" t="s">
        <v>1591</v>
      </c>
      <c r="D3" s="188"/>
      <c r="E3" s="188"/>
      <c r="F3" s="1" t="s">
        <v>1592</v>
      </c>
      <c r="G3" s="1" t="s">
        <v>1593</v>
      </c>
      <c r="H3" s="1" t="s">
        <v>1594</v>
      </c>
    </row>
    <row r="4">
      <c r="A4" s="1" t="s">
        <v>1564</v>
      </c>
      <c r="B4" s="1" t="s">
        <v>1591</v>
      </c>
      <c r="C4" s="188"/>
      <c r="D4" s="188"/>
      <c r="E4" s="1" t="s">
        <v>1591</v>
      </c>
      <c r="F4" s="1" t="s">
        <v>1593</v>
      </c>
      <c r="G4" s="1" t="s">
        <v>1590</v>
      </c>
      <c r="H4" s="1" t="s">
        <v>1590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1595</v>
      </c>
      <c r="B5" s="1" t="s">
        <v>1596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1597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1566</v>
      </c>
      <c r="B7" s="188"/>
      <c r="C7" s="1" t="s">
        <v>1590</v>
      </c>
      <c r="D7" s="1" t="s">
        <v>1590</v>
      </c>
      <c r="E7" s="1" t="s">
        <v>1590</v>
      </c>
      <c r="F7" s="188"/>
      <c r="G7" s="188"/>
      <c r="H7" s="1" t="s">
        <v>1594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1598</v>
      </c>
      <c r="B8" s="188"/>
      <c r="C8" s="1" t="s">
        <v>1596</v>
      </c>
      <c r="D8" s="188"/>
      <c r="E8" s="188"/>
      <c r="F8" s="1" t="s">
        <v>1599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1572</v>
      </c>
      <c r="B9" s="188"/>
      <c r="C9" s="1" t="s">
        <v>1600</v>
      </c>
      <c r="D9" s="1" t="s">
        <v>1601</v>
      </c>
      <c r="E9" s="1" t="s">
        <v>1600</v>
      </c>
      <c r="F9" s="188"/>
      <c r="G9" s="1" t="s">
        <v>1602</v>
      </c>
      <c r="H9" s="1" t="s">
        <v>1600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1591</v>
      </c>
      <c r="E10" s="188"/>
      <c r="F10" s="188"/>
      <c r="G10" s="1" t="s">
        <v>1593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1567</v>
      </c>
      <c r="B11" s="188"/>
      <c r="C11" s="188"/>
      <c r="D11" s="1" t="s">
        <v>1603</v>
      </c>
      <c r="E11" s="1" t="s">
        <v>1604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1605</v>
      </c>
      <c r="B12" s="188"/>
      <c r="D12" s="188"/>
      <c r="E12" s="188"/>
      <c r="F12" s="1" t="s">
        <v>1606</v>
      </c>
      <c r="G12" s="1" t="s">
        <v>1607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