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<sst xmlns="http://schemas.openxmlformats.org/spreadsheetml/2006/main" count="6992" uniqueCount="2134">
  <si>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</si>
  <si>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</si>
  <si>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</si>
  <si>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</si>
  <si>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</si>
  <si>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</si>
  <si>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</si>
  <si>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</si>
  <si>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</si>
  <si>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</si>
  <si>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</si>
  <si>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</si>
  <si>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</si>
  <si>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</si>
  <si>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</si>
  <si>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</si>
  <si>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</si>
  <si>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</si>
  <si>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</si>
  <si>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</si>
  <si>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</si>
  <si>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</si>
  <si>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</si>
  <si>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</si>
  <si>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</si>
  <si>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</si>
  <si>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</si>
  <si>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</si>
  <si>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</si>
  <si>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</si>
  <si>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</si>
  <si>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</si>
  <si>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</si>
  <si>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</si>
  <si>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</si>
  <si>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</si>
  <si>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</si>
  <si>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</si>
  <si>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</si>
  <si>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</si>
  <si>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</si>
  <si>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</si>
  <si>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</si>
  <si>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</si>
  <si>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</si>
  <si>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</si>
  <si>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</si>
  <si>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</si>
  <si>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</si>
  <si>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</si>
  <si>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</si>
  <si>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</si>
  <si>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</si>
  <si>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</si>
  <si>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</si>
  <si>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</si>
  <si>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</si>
  <si>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</si>
  <si>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</si>
  <si>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</si>
  <si>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</si>
  <si>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</si>
  <si>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</si>
  <si>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</si>
  <si>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</si>
  <si>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</si>
  <si>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</si>
  <si>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</si>
  <si>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</si>
  <si>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</si>
  <si>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</si>
  <si>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</si>
  <si>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</si>
  <si>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</si>
  <si>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</si>
  <si>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</si>
  <si>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</si>
  <si>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</si>
  <si>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</si>
  <si>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</si>
  <si>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</si>
  <si>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</si>
  <si>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</si>
  <si>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</si>
  <si>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</si>
  <si>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</si>
  <si>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</si>
  <si>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</si>
  <si>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</si>
  <si>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</si>
  <si>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</si>
  <si>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</si>
  <si>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</si>
  <si>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</si>
  <si>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</si>
  <si>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</si>
  <si>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</si>
  <si>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</si>
  <si>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</si>
  <si>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</si>
  <si>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</si>
  <si>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</si>
  <si>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</si>
  <si>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</si>
  <si>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</si>
  <si>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</si>
  <si>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</si>
  <si>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</si>
  <si>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</si>
  <si>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</si>
  <si>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</si>
  <si>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</si>
  <si>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</si>
  <si>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</si>
  <si>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</si>
  <si>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</si>
  <si>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</si>
  <si>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</si>
  <si>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</si>
  <si>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</si>
  <si>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</si>
  <si>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</si>
  <si>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</si>
  <si>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</si>
  <si>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</si>
  <si>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</si>
  <si>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</si>
  <si>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</si>
  <si>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</si>
  <si>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</si>
  <si>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</si>
  <si>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</si>
  <si>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</si>
  <si>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</si>
  <si>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</si>
  <si>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</si>
  <si>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</si>
  <si>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</si>
  <si>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</si>
  <si>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</si>
  <si>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</si>
  <si>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</si>
  <si>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</si>
  <si>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</si>
  <si>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</si>
  <si>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</si>
  <si>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</si>
  <si>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</si>
  <si>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</si>
  <si>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</si>
  <si>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</si>
  <si>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</si>
  <si>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</si>
  <si>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</si>
  <si>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</si>
  <si>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</si>
  <si>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</si>
  <si>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</si>
  <si>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</si>
  <si>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</si>
  <si>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</si>
  <si>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</si>
  <si>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</si>
  <si>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</si>
  <si>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</si>
  <si>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</si>
  <si>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</si>
  <si>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</si>
  <si>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</si>
  <si>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</si>
  <si>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</si>
  <si>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</si>
  <si>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</si>
  <si>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</si>
  <si>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</si>
  <si>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</si>
  <si>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</si>
  <si>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</si>
  <si>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</si>
  <si>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</si>
  <si>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</si>
  <si>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</si>
  <si>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</si>
  <si>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</si>
  <si>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</si>
  <si>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</si>
  <si>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</si>
  <si>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</si>
  <si>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</si>
  <si>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</si>
  <si>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</si>
  <si>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</si>
  <si>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</si>
  <si>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</si>
  <si>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</si>
  <si>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</si>
  <si>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</si>
  <si>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</si>
  <si>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</si>
  <si>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</si>
  <si>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</si>
  <si>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</si>
  <si>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</si>
  <si>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</si>
  <si>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</si>
  <si>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</si>
  <si>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</si>
  <si>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</si>
  <si>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</si>
  <si>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</si>
  <si>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</si>
  <si>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</si>
  <si>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</si>
  <si>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</si>
  <si>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</si>
  <si>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</si>
  <si>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</si>
  <si>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</si>
  <si>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</si>
  <si>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</si>
  <si>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</si>
  <si>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</si>
  <si>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</si>
  <si>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</si>
  <si>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</si>
  <si>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</si>
  <si>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</si>
  <si>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</si>
  <si>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</si>
  <si>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</si>
  <si>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</si>
  <si>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</si>
  <si>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</si>
  <si>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</si>
  <si>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</si>
  <si>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</si>
  <si>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</si>
  <si>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</si>
  <si>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</si>
  <si>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</si>
  <si>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</si>
  <si>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</si>
  <si>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</si>
  <si>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</si>
  <si>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</si>
  <si>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</si>
  <si>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</si>
  <si>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</si>
  <si>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</si>
  <si>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</si>
  <si>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</si>
  <si>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</si>
  <si>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</si>
  <si>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</si>
  <si>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</si>
  <si>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</si>
  <si>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</si>
  <si>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</si>
  <si>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</si>
  <si>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</si>
  <si>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</si>
  <si>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</si>
  <si>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</si>
  <si>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</si>
  <si>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</si>
  <si>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</si>
  <si>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</si>
  <si>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</si>
  <si>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</si>
  <si>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</si>
  <si>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</si>
  <si>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</si>
  <si>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</si>
  <si>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</si>
  <si>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</si>
  <si>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</si>
  <si>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</si>
  <si>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</si>
  <si>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</si>
  <si>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</si>
  <si>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</si>
  <si>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</si>
  <si>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</si>
  <si>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</si>
  <si>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</si>
  <si>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</si>
  <si>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</si>
  <si>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</si>
  <si>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</si>
  <si>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</si>
  <si>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</si>
  <si>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</si>
  <si>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</si>
  <si>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</si>
  <si>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</si>
  <si>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</si>
  <si>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</si>
  <si>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</si>
  <si>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</si>
  <si>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</si>
  <si>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</si>
  <si>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</si>
  <si>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</si>
  <si>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</si>
  <si>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</si>
  <si>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</si>
  <si>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</si>
  <si>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</si>
  <si>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</si>
  <si>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</si>
  <si>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</si>
  <si>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</si>
  <si>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</si>
  <si>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</si>
  <si>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</si>
  <si>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</si>
  <si>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</si>
  <si>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</si>
  <si>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</si>
  <si>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</si>
  <si>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</si>
  <si>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</si>
  <si>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</si>
  <si>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</si>
  <si>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</si>
  <si>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</si>
  <si>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</si>
  <si>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</si>
  <si>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</si>
  <si>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</si>
  <si>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</si>
  <si>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</si>
  <si>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</si>
  <si>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</si>
  <si>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</si>
  <si>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</si>
  <si>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</si>
  <si>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</si>
  <si>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</si>
  <si>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</si>
  <si>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</si>
  <si>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</si>
  <si>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</si>
  <si>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</si>
  <si>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</si>
  <si>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</si>
  <si>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</si>
  <si>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</si>
  <si>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</si>
  <si>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</si>
  <si>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</si>
  <si>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</si>
  <si>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</si>
  <si>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</si>
  <si>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</si>
  <si>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</si>
  <si>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</si>
  <si>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</si>
  <si>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</si>
  <si>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</si>
  <si>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</si>
  <si>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</si>
  <si>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</si>
  <si>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</si>
  <si>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</si>
  <si>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</si>
  <si>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</si>
  <si>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</si>
  <si>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</si>
  <si>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</si>
  <si>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</si>
  <si>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</si>
  <si>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</si>
  <si>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</si>
  <si>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</si>
  <si>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</si>
  <si>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</si>
  <si>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</si>
  <si>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</si>
  <si>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</si>
  <si>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</si>
  <si>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</si>
  <si>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</si>
  <si>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</si>
  <si>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</si>
  <si>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</si>
  <si>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</si>
  <si>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</si>
  <si>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</si>
  <si>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</si>
  <si>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</si>
  <si>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</si>
  <si>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</si>
  <si>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</si>
  <si>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</si>
  <si>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</si>
  <si>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</si>
  <si>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</si>
  <si>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</si>
  <si>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</si>
  <si>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</si>
  <si>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</si>
  <si>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</si>
  <si>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</si>
  <si>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</si>
  <si>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</si>
  <si>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</si>
  <si>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</si>
  <si>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</si>
  <si>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</si>
  <si>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</si>
  <si>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</si>
  <si>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</si>
  <si>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</si>
  <si>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</si>
  <si>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</si>
  <si>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</si>
  <si>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</si>
  <si>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</si>
  <si>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</si>
  <si>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</si>
  <si>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</si>
  <si>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</si>
  <si>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</si>
  <si>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</si>
  <si>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</si>
  <si>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</si>
  <si>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</si>
  <si>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</si>
  <si>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</si>
  <si>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</si>
  <si>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</si>
  <si>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</si>
  <si>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</si>
  <si>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</si>
  <si>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</si>
  <si>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</si>
  <si>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</si>
  <si>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</si>
  <si>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</si>
  <si>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</si>
  <si>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</si>
  <si>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</si>
  <si>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</si>
  <si>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</si>
  <si>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</si>
  <si>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</si>
  <si>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</si>
  <si>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</si>
  <si>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</si>
  <si>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</si>
  <si>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</si>
  <si>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</si>
  <si>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</si>
  <si>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</si>
  <si>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</si>
  <si>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</si>
  <si>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</si>
  <si>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</si>
  <si>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</si>
  <si>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</si>
  <si>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</si>
  <si>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</si>
  <si>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</si>
  <si>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</si>
  <si>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</si>
  <si>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</si>
  <si>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</si>
  <si>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</si>
  <si>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</si>
  <si>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</si>
  <si>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</si>
  <si>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</si>
  <si>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</si>
  <si>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</si>
  <si>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</si>
  <si>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</si>
  <si>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</si>
  <si>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</si>
  <si>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</si>
  <si>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</si>
  <si>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</si>
  <si>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</si>
  <si>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</si>
  <si>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</si>
  <si>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</si>
  <si>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</si>
  <si>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</si>
  <si>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</si>
  <si>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</si>
  <si>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</si>
  <si>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</si>
  <si>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</si>
  <si>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</si>
  <si>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</si>
  <si>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</si>
  <si>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</si>
  <si>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</si>
  <si>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</si>
  <si>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</si>
  <si>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</si>
  <si>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</si>
  <si>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</si>
  <si>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</si>
  <si>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</si>
  <si>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</si>
  <si>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</si>
  <si>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</si>
  <si>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</si>
  <si>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</si>
  <si>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</si>
  <si>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</si>
  <si>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</si>
  <si>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</si>
  <si>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</si>
  <si>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</si>
  <si>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</si>
  <si>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</si>
  <si>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</si>
  <si>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</si>
  <si>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</si>
  <si>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</si>
  <si>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</si>
  <si>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</si>
  <si>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</si>
  <si>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</si>
  <si>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</si>
  <si>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</si>
  <si>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</si>
  <si>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</si>
  <si>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</si>
  <si>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</si>
  <si>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</si>
  <si>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</si>
  <si>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</si>
  <si>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</si>
  <si>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</si>
  <si>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</si>
  <si>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</si>
  <si>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</si>
  <si>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</si>
  <si>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</si>
  <si>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</si>
  <si>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</si>
  <si>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</si>
  <si>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</si>
  <si>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</si>
  <si>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</si>
  <si>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</si>
  <si>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</si>
  <si>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</si>
  <si>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</si>
  <si>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</si>
  <si>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</si>
  <si>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</si>
  <si>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</si>
  <si>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</si>
  <si>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</si>
  <si>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</si>
  <si>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</si>
  <si>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</si>
  <si>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</si>
  <si>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</si>
  <si>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</si>
  <si>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</si>
  <si>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</si>
  <si>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</si>
  <si>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</si>
  <si>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</si>
  <si>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</si>
  <si>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</si>
  <si>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</si>
  <si>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</si>
  <si>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</si>
  <si>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</si>
  <si>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</si>
  <si>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</si>
  <si>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</si>
  <si>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</si>
  <si>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</si>
  <si>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</si>
  <si>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</si>
  <si>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</si>
  <si>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</si>
  <si>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</si>
  <si>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</si>
  <si>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</si>
  <si>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</si>
  <si>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</si>
  <si>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</si>
  <si>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</si>
  <si>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</si>
  <si>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</si>
  <si>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</si>
  <si>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</si>
  <si>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</si>
  <si>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</si>
  <si>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</si>
  <si>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</si>
  <si>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</si>
  <si>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</si>
  <si>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</si>
  <si>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</si>
  <si>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</si>
  <si>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</si>
  <si>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</si>
  <si>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</si>
  <si>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</si>
  <si>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</si>
  <si>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</si>
  <si>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</si>
  <si>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</si>
  <si>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</si>
  <si>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</si>
  <si>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</si>
  <si>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</si>
  <si>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</si>
  <si>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</si>
  <si>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</si>
  <si>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</si>
  <si>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</si>
  <si>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</si>
  <si>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</si>
  <si>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</si>
  <si>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</si>
  <si>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</si>
  <si>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</si>
  <si>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</si>
  <si>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</si>
  <si>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</si>
  <si>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</si>
  <si>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</si>
  <si>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</si>
  <si>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</si>
  <si>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</si>
  <si>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</si>
  <si>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</si>
  <si>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</si>
  <si>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</si>
  <si>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</si>
  <si>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</si>
  <si>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</si>
  <si>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</si>
  <si>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</si>
  <si>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</si>
  <si>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</si>
  <si>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</si>
  <si>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</si>
  <si>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</si>
  <si>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</si>
  <si>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</si>
  <si>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</si>
  <si>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</si>
  <si>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</si>
  <si>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</si>
  <si>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</si>
  <si>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</si>
  <si>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</si>
  <si>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</si>
  <si>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</si>
  <si>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</si>
  <si>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</si>
  <si>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</si>
  <si>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</si>
  <si>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</si>
  <si>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</si>
  <si>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</si>
  <si>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</si>
  <si>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</si>
  <si>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</si>
  <si>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</si>
  <si>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</si>
  <si>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</si>
  <si>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</si>
  <si>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</si>
  <si>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</si>
  <si>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</si>
  <si>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</si>
  <si>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</si>
  <si>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</si>
  <si>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</si>
  <si>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</si>
  <si>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</si>
  <si>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</si>
  <si>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</si>
  <si>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</si>
  <si>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</si>
  <si>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</si>
  <si>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</si>
  <si>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</si>
  <si>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</si>
  <si>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</si>
  <si>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</si>
  <si>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</si>
  <si>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</si>
  <si>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</si>
  <si>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</si>
  <si>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</si>
  <si>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</si>
  <si>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</si>
  <si>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</si>
  <si>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</si>
  <si>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</si>
  <si>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</si>
  <si>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</si>
  <si>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</si>
  <si>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</si>
  <si>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</si>
  <si>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</si>
  <si>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</si>
  <si>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</si>
  <si>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</si>
  <si>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</si>
  <si>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</si>
  <si>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</si>
  <si>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</si>
  <si>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</si>
  <si>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</si>
  <si>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</si>
  <si>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</si>
  <si>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</si>
  <si>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</si>
  <si>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</si>
  <si>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</si>
  <si>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</si>
  <si>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</si>
  <si>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</si>
  <si>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</si>
  <si>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</si>
  <si>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</si>
  <si>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</si>
  <si>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</si>
  <si>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</si>
  <si>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</si>
  <si>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</si>
  <si>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</si>
  <si>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</si>
  <si>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</si>
  <si>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</si>
  <si>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</si>
  <si>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</si>
  <si>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</si>
  <si>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</si>
  <si>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</si>
  <si>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</si>
  <si>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</si>
  <si>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</si>
  <si>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</si>
  <si>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</si>
  <si>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</si>
  <si>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</si>
  <si>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</si>
  <si>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</si>
  <si>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</si>
  <si>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</si>
  <si>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</si>
  <si>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</si>
  <si>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</si>
  <si>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</si>
  <si>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</si>
  <si>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</si>
  <si>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</si>
  <si>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</si>
  <si>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</si>
  <si>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</si>
  <si>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</si>
  <si>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</si>
  <si>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</si>
  <si>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</si>
  <si>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</si>
  <si>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</si>
  <si>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</si>
  <si>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</si>
  <si>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</si>
  <si>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</si>
  <si>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</si>
  <si>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</si>
  <si>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</si>
  <si>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</si>
  <si>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</si>
  <si>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</si>
  <si>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</si>
  <si>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</si>
  <si>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</si>
  <si>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</si>
  <si>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</si>
  <si>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</si>
  <si>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</si>
  <si>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</si>
  <si>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</si>
  <si>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</si>
  <si>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</si>
  <si>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</si>
  <si>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</si>
  <si>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</si>
  <si>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</si>
  <si>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</si>
  <si>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</si>
  <si>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</si>
  <si>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</si>
  <si>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</si>
  <si>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</si>
  <si>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</si>
  <si>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</si>
  <si>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</si>
  <si>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</si>
  <si>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</si>
  <si>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</si>
  <si>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</si>
  <si>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</si>
  <si>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</si>
  <si>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</si>
  <si>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</si>
  <si>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</si>
  <si>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</si>
  <si>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</si>
  <si>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</si>
  <si>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</si>
  <si>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</si>
  <si>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</si>
  <si>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</si>
  <si>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</si>
  <si>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</si>
  <si>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</si>
  <si>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</si>
  <si>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</si>
  <si>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</si>
  <si>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</si>
  <si>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</si>
  <si>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</si>
  <si>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</si>
  <si>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</si>
  <si>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</si>
  <si>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</si>
  <si>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</si>
  <si>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</si>
  <si>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</si>
  <si>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</si>
  <si>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</si>
  <si>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</si>
  <si>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</si>
  <si>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</si>
  <si>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</si>
  <si>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</si>
  <si>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</si>
  <si>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</si>
  <si>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</si>
  <si>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</si>
  <si>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</si>
  <si>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</si>
  <si>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</si>
  <si>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</si>
  <si>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</si>
  <si>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</si>
  <si>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</si>
  <si>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</si>
  <si>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</si>
  <si>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</si>
  <si>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</si>
  <si>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</si>
  <si>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</si>
  <si>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</si>
  <si>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</si>
  <si>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</si>
  <si>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</si>
  <si>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</si>
  <si>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</si>
  <si>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</si>
  <si>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</si>
  <si>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</si>
  <si>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</si>
  <si>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</si>
  <si>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</si>
  <si>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</si>
  <si>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</si>
  <si>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</si>
  <si>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</si>
  <si>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</si>
  <si>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</si>
  <si>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</si>
  <si>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</si>
  <si>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</si>
  <si>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</si>
  <si>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</si>
  <si>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</si>
  <si>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</si>
  <si>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</si>
  <si>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</si>
  <si>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</si>
  <si>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</si>
  <si>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</si>
  <si>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</si>
  <si>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</si>
  <si>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</si>
  <si>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</si>
  <si>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</si>
  <si>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</si>
  <si>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</si>
  <si>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</si>
  <si>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</si>
  <si>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</si>
  <si>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</si>
  <si>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</si>
  <si>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</si>
  <si>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</si>
  <si>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</si>
  <si>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</si>
  <si>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</si>
  <si>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</si>
  <si>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</si>
  <si>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</si>
  <si>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</si>
  <si>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</si>
  <si>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</si>
  <si>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</si>
  <si>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</si>
  <si>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</si>
  <si>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</si>
  <si>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</si>
  <si>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</si>
  <si>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</si>
  <si>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</si>
  <si>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</si>
  <si>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</si>
  <si>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</si>
  <si>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</si>
  <si>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</si>
  <si>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</si>
  <si>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</si>
  <si>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</si>
  <si>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</si>
  <si>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</si>
  <si>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</si>
  <si>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</si>
  <si>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</si>
  <si>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</si>
  <si>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</si>
  <si>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</si>
  <si>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</si>
  <si>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</si>
  <si>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</si>
  <si>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</si>
  <si>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</si>
  <si>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</si>
  <si>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</si>
  <si>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</si>
  <si>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</si>
  <si>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</si>
  <si>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</si>
  <si>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</si>
  <si>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</si>
  <si>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</si>
  <si>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</si>
  <si>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</si>
  <si>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</si>
  <si>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</si>
  <si>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</si>
  <si>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</si>
  <si>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</si>
  <si>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</si>
  <si>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</si>
  <si>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</si>
  <si>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</si>
  <si>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</si>
  <si>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</si>
  <si>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</si>
  <si>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</si>
  <si>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</si>
  <si>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</si>
  <si>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</si>
  <si>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</si>
  <si>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</si>
  <si>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</si>
  <si>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</si>
  <si>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</si>
  <si>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</si>
  <si>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</si>
  <si>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</si>
  <si>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</si>
  <si>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</si>
  <si>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</si>
  <si>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</si>
  <si>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</si>
  <si>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</si>
  <si>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</si>
  <si>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</si>
  <si>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</si>
  <si>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</si>
  <si>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</si>
  <si>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</si>
  <si>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</si>
  <si>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</si>
  <si>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</si>
  <si>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</si>
  <si>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</si>
  <si>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</si>
  <si>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</si>
  <si>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</si>
  <si>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</si>
  <si>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</si>
  <si>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</si>
  <si>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</si>
  <si>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</si>
  <si>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</si>
  <si>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</si>
  <si>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</si>
  <si>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</si>
  <si>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</si>
  <si>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</si>
  <si>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</si>
  <si>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</si>
  <si>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</si>
  <si>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</si>
  <si>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</si>
  <si>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</si>
  <si>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</si>
  <si>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</si>
  <si>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</si>
  <si>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</si>
  <si>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</si>
  <si>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</si>
  <si>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</si>
  <si>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</si>
  <si>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</si>
  <si>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</si>
  <si>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</si>
  <si>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</si>
  <si>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</si>
  <si>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</si>
  <si>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</si>
  <si>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</si>
  <si>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</si>
  <si>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</si>
  <si>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</si>
  <si>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</si>
  <si>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</si>
  <si>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</si>
  <si>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</si>
  <si>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</si>
  <si>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</si>
  <si>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</si>
  <si>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</si>
  <si>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</si>
  <si>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</si>
  <si>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</si>
  <si>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</si>
  <si>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</si>
  <si>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</si>
  <si>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</si>
  <si>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</si>
  <si>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</si>
  <si>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</si>
  <si>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</si>
  <si>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</si>
  <si>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</si>
  <si>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</si>
  <si>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</si>
  <si>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</si>
  <si>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</si>
  <si>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</si>
  <si>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</si>
  <si>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</si>
  <si>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</si>
  <si>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</si>
  <si>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</si>
  <si>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</si>
  <si>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</si>
  <si>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</si>
  <si>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</si>
  <si>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</si>
  <si>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</si>
  <si>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</si>
  <si>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</si>
  <si>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</si>
  <si>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</si>
  <si>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</si>
  <si>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</si>
  <si>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</si>
  <si>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</si>
  <si>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</si>
  <si>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</si>
  <si>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</si>
  <si>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</si>
  <si>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</si>
  <si>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</si>
  <si>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</si>
  <si>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</si>
  <si>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</si>
  <si>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</si>
  <si>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</si>
  <si>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</si>
  <si>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</si>
  <si>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</si>
  <si>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</si>
  <si>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</si>
  <si>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</si>
  <si>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</si>
  <si>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</si>
  <si>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</si>
  <si>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</si>
  <si>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</si>
  <si>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</si>
  <si>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</si>
  <si>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</si>
  <si>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</si>
  <si>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</si>
  <si>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</si>
  <si>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</si>
  <si>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</si>
  <si>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</si>
  <si>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</si>
  <si>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</si>
  <si>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</si>
  <si>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</si>
  <si>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</si>
  <si>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</si>
  <si>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</si>
  <si>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</si>
  <si>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</si>
  <si>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</si>
  <si>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</si>
  <si>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</si>
  <si>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</si>
  <si>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</si>
  <si>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</si>
  <si>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</si>
  <si>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</si>
  <si>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</si>
  <si>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</si>
  <si>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</si>
  <si>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</si>
  <si>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</si>
  <si>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</si>
  <si>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</si>
  <si>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</si>
  <si>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</si>
  <si>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</si>
  <si>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</si>
  <si>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</si>
  <si>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</si>
  <si>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</si>
  <si>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</si>
  <si>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</si>
  <si>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</si>
  <si>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</si>
  <si>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</si>
  <si>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</si>
  <si>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</si>
  <si>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</si>
  <si>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</si>
  <si>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</si>
  <si>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</si>
  <si>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</si>
  <si>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</si>
  <si>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</si>
  <si>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</si>
  <si>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</si>
  <si>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</si>
  <si>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</si>
  <si>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</si>
  <si>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</si>
  <si>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</si>
  <si>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</si>
  <si>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</si>
  <si>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</si>
  <si>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</si>
  <si>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</si>
  <si>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</si>
  <si>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</si>
  <si>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</si>
  <si>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</si>
  <si>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</si>
  <si>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</si>
  <si>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</si>
  <si>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</si>
  <si>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</si>
  <si>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</si>
  <si>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</si>
  <si>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</si>
  <si>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</si>
  <si>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</si>
  <si>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</si>
  <si>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</si>
  <si>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</si>
  <si>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</si>
  <si>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</si>
  <si>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</si>
  <si>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</si>
  <si>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</si>
  <si>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</si>
  <si>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</si>
  <si>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</si>
  <si>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</si>
  <si>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</si>
  <si>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</si>
  <si>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</si>
  <si>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</si>
  <si>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</si>
  <si>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</si>
  <si>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</si>
  <si>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</si>
  <si>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</si>
  <si>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</si>
  <si>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</si>
  <si>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</si>
  <si>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</si>
  <si>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</si>
  <si>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</si>
  <si>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</si>
  <si>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</si>
  <si>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</si>
  <si>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</si>
  <si>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</si>
  <si>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</si>
  <si>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</si>
  <si>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</si>
  <si>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</si>
  <si>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</si>
  <si>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</si>
  <si>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</si>
  <si>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</si>
  <si>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</si>
  <si>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</si>
  <si>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</si>
  <si>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</si>
  <si>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</si>
  <si>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</si>
  <si>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</si>
  <si>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</si>
  <si>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</si>
  <si>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</si>
  <si>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</si>
  <si>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</si>
  <si>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</si>
  <si>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</si>
  <si>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</si>
  <si>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</si>
  <si>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</si>
  <si>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</si>
  <si>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</si>
  <si>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</si>
  <si>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</si>
  <si>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</si>
  <si>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</si>
  <si>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</si>
  <si>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</si>
  <si>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</si>
  <si>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</si>
  <si>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</si>
  <si>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</si>
  <si>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</si>
  <si>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</si>
  <si>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</si>
  <si>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</si>
  <si>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</si>
  <si>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</si>
  <si>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</si>
  <si>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</si>
  <si>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</si>
  <si>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</si>
  <si>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</si>
  <si>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</si>
  <si>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</si>
  <si>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</si>
  <si>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</si>
  <si>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</si>
  <si>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</si>
  <si>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</si>
  <si>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</si>
  <si>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</si>
  <si>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</si>
  <si>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</si>
  <si>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</si>
  <si>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</si>
  <si>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</si>
  <si>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</si>
  <si>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</si>
  <si>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</si>
  <si>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</si>
  <si>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</si>
  <si>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</si>
  <si>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</si>
  <si>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</si>
  <si>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</si>
  <si>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</si>
  <si>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</si>
  <si>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</si>
  <si>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</si>
  <si>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</si>
  <si>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</si>
  <si>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</si>
  <si>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</si>
  <si>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</si>
  <si>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</si>
  <si>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</si>
  <si>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</si>
  <si>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</si>
  <si>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</si>
  <si>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</si>
  <si>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</si>
  <si>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</si>
  <si>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</si>
  <si>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</si>
  <si>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</si>
  <si>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</si>
  <si>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</si>
  <si>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</si>
  <si>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</si>
  <si>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</si>
  <si>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</si>
  <si>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</si>
  <si>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</si>
  <si>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</si>
  <si>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</si>
  <si>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</si>
  <si>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</si>
  <si>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</si>
  <si>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</si>
  <si>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</si>
  <si>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</si>
  <si>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</si>
  <si>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</si>
  <si>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</si>
  <si>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</si>
  <si>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</si>
  <si>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</si>
  <si>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</si>
  <si>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</si>
  <si>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</si>
  <si>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</si>
  <si>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</si>
  <si>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</si>
  <si>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</si>
  <si>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</si>
  <si>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</si>
  <si>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</si>
  <si>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</si>
  <si>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</si>
  <si>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</si>
  <si>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</si>
  <si>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</si>
  <si>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</si>
  <si>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</si>
  <si>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</si>
  <si>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</si>
  <si>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</si>
  <si>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</si>
  <si>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</si>
  <si>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</si>
  <si>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</si>
  <si>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</si>
  <si>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</si>
  <si>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</si>
  <si>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</si>
  <si>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</si>
  <si>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</si>
  <si>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</si>
  <si>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</si>
  <si>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</si>
  <si>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</si>
  <si>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</si>
  <si>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</si>
  <si>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</si>
  <si>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</si>
  <si>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</si>
  <si>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</si>
  <si>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</si>
  <si>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</si>
  <si>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</si>
  <si>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</si>
  <si>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</si>
  <si>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</si>
  <si>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</si>
  <si>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</si>
  <si>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</si>
  <si>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</si>
  <si>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</si>
  <si>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</si>
  <si>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</si>
  <si>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</si>
  <si>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</si>
  <si>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</si>
  <si>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</si>
  <si>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</si>
  <si>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</si>
  <si>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</si>
  <si>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</si>
  <si>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</si>
  <si>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</si>
  <si>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</si>
  <si>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</si>
  <si>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</si>
  <si>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</si>
  <si>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</si>
  <si>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</si>
  <si>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</si>
  <si>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</si>
  <si>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</si>
  <si>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</si>
  <si>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</si>
  <si>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</si>
  <si>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</si>
  <si>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</si>
  <si>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</si>
  <si>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</si>
  <si>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</si>
  <si>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</si>
  <si>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</si>
  <si>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</si>
  <si>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</si>
  <si>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</si>
  <si>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</si>
  <si>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</si>
  <si>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</si>
  <si>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</si>
  <si>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</si>
  <si>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</si>
  <si>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</si>
  <si>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</si>
  <si>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</si>
  <si>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</si>
  <si>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</si>
  <si>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</si>
  <si>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</si>
  <si>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</si>
  <si>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</si>
  <si>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</si>
  <si>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</si>
  <si>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</si>
  <si>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</si>
  <si>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</si>
  <si>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</si>
  <si>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</si>
  <si>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</si>
  <si>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</si>
  <si>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</si>
  <si>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</si>
  <si>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</si>
  <si>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</si>
  <si>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</si>
  <si>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</si>
  <si>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</si>
  <si>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</si>
  <si>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</si>
  <si>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</si>
  <si>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</si>
  <si>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</si>
  <si>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</si>
  <si>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</si>
  <si>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</si>
  <si>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</si>
  <si>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</si>
  <si>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</si>
  <si>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</si>
  <si>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</si>
  <si>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</si>
  <si>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</si>
  <si>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</si>
  <si>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</si>
  <si>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</si>
  <si>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</si>
  <si>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</si>
  <si>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</si>
  <si>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</si>
  <si>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</si>
  <si>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</si>
  <si>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</si>
  <si>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</si>
  <si>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</si>
  <si>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</si>
  <si>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</si>
  <si>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</si>
  <si>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</si>
  <si>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</si>
  <si>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</si>
  <si>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</si>
  <si>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</si>
  <si>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</si>
  <si>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</si>
  <si>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</si>
  <si>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</si>
  <si>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</si>
  <si>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</si>
  <si>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</si>
  <si>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</si>
  <si>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</si>
  <si>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</si>
  <si>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</si>
  <si>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</si>
  <si>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</si>
  <si>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</si>
  <si>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</si>
  <si>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</si>
  <si>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</si>
  <si>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</si>
  <si>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</si>
  <si>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</si>
  <si>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</si>
  <si>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</si>
  <si>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</si>
  <si>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</si>
  <si>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</si>
  <si>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</si>
  <si>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</si>
  <si>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</si>
  <si>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</si>
  <si>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</si>
  <si>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</si>
  <si>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</si>
  <si>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</si>
  <si>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</si>
  <si>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</si>
  <si>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</si>
  <si>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</si>
  <si>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</si>
  <si>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</si>
  <si>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</si>
  <si>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</si>
  <si>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</si>
  <si>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</si>
  <si>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</si>
  <si>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</si>
  <si>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</si>
  <si>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</si>
  <si>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</si>
  <si>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</si>
  <si>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</si>
  <si>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</si>
  <si>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</si>
  <si>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</si>
  <si>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</si>
  <si>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</si>
  <si>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</si>
  <si>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</si>
  <si>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</si>
  <si>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</si>
  <si>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</si>
  <si>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</si>
  <si>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</si>
  <si>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</si>
  <si>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</si>
  <si>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</si>
  <si>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</si>
  <si>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</si>
  <si>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</si>
  <si>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</si>
  <si>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</si>
  <si>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</si>
  <si>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</si>
  <si>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</si>
  <si>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</si>
  <si>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</si>
  <si>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</si>
  <si>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</si>
  <si>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</si>
  <si>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</si>
  <si>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</si>
  <si>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</si>
  <si>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</si>
  <si>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</si>
  <si>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</si>
  <si>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</si>
  <si>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</si>
  <si>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</si>
  <si>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</si>
  <si>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Bubník Martin</t>
  </si>
  <si>
    <t>Počet zpožděných našich rozvozů +5 min</t>
  </si>
  <si>
    <t>Počet rozvozů</t>
  </si>
  <si>
    <t xml:space="preserve">Vlastní vůz </t>
  </si>
  <si>
    <t>počet výdajových dokadů</t>
  </si>
  <si>
    <t>Serin David</t>
  </si>
  <si>
    <t>Dušek Sam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</si>
  <si>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</si>
  <si>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</si>
  <si>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</si>
  <si>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</si>
  <si>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</si>
  <si>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</si>
  <si>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8:30</t>
  </si>
  <si>
    <t>29:00</t>
  </si>
  <si>
    <t>14:30</t>
  </si>
  <si>
    <t>Kopic Jakub</t>
  </si>
  <si>
    <t>7:00</t>
  </si>
  <si>
    <t>Weindling Josef</t>
  </si>
  <si>
    <t>14 min 01 s</t>
  </si>
  <si>
    <t>Název profilu</t>
  </si>
  <si>
    <t>Položky</t>
  </si>
  <si>
    <t>Varshesh</t>
  </si>
  <si>
    <t>2026-06-06T02:33:59.593+02:00</t>
  </si>
  <si>
    <t>2026-06-06T02:43:44.240+02:00</t>
  </si>
  <si>
    <t>Pizza Comeback Libuš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</si>
  <si>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základ","posId":"ZRB32","price":0,"isExtra":true},{"id":"118","note":"","count":1,"label":"BBQ Meteor 32cm","posId":"118","price":24900,"isExtra":false},{"id":"K0000","note":"","count":1,"label":"Balné","posId":"K0000","price":1500,"isExtra":true}]</t>
  </si>
  <si>
    <t>Reischl Jan</t>
  </si>
  <si>
    <t>2026-06-06T02:20:49.547+02:00</t>
  </si>
  <si>
    <t>2026-06-06T02:28:19.082+02:00</t>
  </si>
  <si>
    <t>[{"id":"M200","note":"","count":1,"label":"Veggie menu Comeback","posId":"M200","price":34900,"isExtra":false},{"id":"K0000","note":"","count":1,"label":"Balné","posId":"K0000","price":3000,"isExtra":true},{"id":"Y121","note":"","count":1,"label":"Comeback","posId":"Y121","price":0,"isExtra":true},{"id":"ZRS32","note":"","count":1,"label":"Smetanový základ","posId":"ZRS32","price":0,"isExtra":true},{"id":"P103","note":"","count":1,"label":"pečené brambory","posId":"P103","price":0,"isExtra":true},{"id":"N124","note":"","count":1,"label":"Pepsi 1l","posId":"N124","price":0,"isExtra":true}]</t>
  </si>
  <si>
    <t>Andrey</t>
  </si>
  <si>
    <t>2026-06-06T02:18:35.532+02:00</t>
  </si>
  <si>
    <t>2026-06-06T02:24:57.133+02:00</t>
  </si>
  <si>
    <t>[{"id":"111","note":"","count":1,"label":"Quattro Formaggi 40cm","posId":"111","price":30900,"isExtra":false},{"id":"K0000","note":"","count":1,"label":"Balné","posId":"K0000","price":2000,"isExtra":true}]</t>
  </si>
  <si>
    <t>2026-06-06T02:12:32.242+02:00</t>
  </si>
  <si>
    <t>2026-06-06T02:19:32.849+02:00</t>
  </si>
  <si>
    <t>[{"id":"55199471","note":"","size":"Quattro Formaggi 40cm","count":2,"label":"Quattro Formaggi 40cm","posId":"111","price":30900,"isExtra":false},{"id":"55199557","note":"","count":2,"label":"Balné","posId":"K0000","price":2000,"isExtra":true},{"id":"57405742","note":"","size":"Pepsi 1l","count":1,"label":"Pepsi 1l","posId":"N124","price":5900,"isExtra":false}]</t>
  </si>
  <si>
    <t>2026-06-06T01:59:03.918+02:00</t>
  </si>
  <si>
    <t>2026-06-06T02:06:36.487+02:00</t>
  </si>
  <si>
    <t>2026-06-06T02:19:15.413+02:00</t>
  </si>
  <si>
    <t>2026-06-06T02:00:05.447+02:00</t>
  </si>
  <si>
    <t>Adaptee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</si>
  <si>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8dc41ad9-a5c2-444f-9989-27a8aa38dce4","note":"","count":1,"label":"Bez jalapenos","posId":"X102","price":0,"KDSTags":["redhighlight"],"isExtra":true}]</t>
  </si>
  <si>
    <t>2026-06-06T01:53:12.192+02:00</t>
  </si>
  <si>
    <t>2026-06-06T02:00:07.861+02:00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</si>
  <si>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</si>
  <si>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2026-06-06T01:29:51.695+02:00</t>
  </si>
  <si>
    <t>2026-06-06T01:35:53.376+02:00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</si>
  <si>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</si>
  <si>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2026-06-06T01:10:06.677+02:00</t>
  </si>
  <si>
    <t>2026-06-06T01:18:42.324+02:00</t>
  </si>
  <si>
    <t>[{"id":"55199472","note":"","size":"Hot &amp; Spicy 40cm 🌶️🌶️","count":2,"label":"Hot &amp; Spicy 40cm 🌶️🌶️","posId":"110","price":30900,"isExtra":false},{"id":"55199557","note":"","count":2,"label":"Balné","posId":"K0000","price":2000,"isExtra":true},{"id":"59555723","note":"","count":2,"label":"BBQ základ","posId":"ZRB40","price":0,"isExtra":true}]</t>
  </si>
  <si>
    <t>2026-06-06T01:01:50.483+02:00</t>
  </si>
  <si>
    <t>2026-06-06T01:15:31.878+02:00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</si>
  <si>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32cm","posId":"123","price":24900,"isExtra":false},{"id":"55199562","note":"","count":1,"label":"Balné","posId":"K0000","price":1500,"isExtra":true},{"id":"55199654","note":"","count":1,"label":"Špenát s česnekem","posId":"B107","price":2500,"KDSTags":["greenhighlight"],"isExtra":true},{"id":"55199668","note":"","count":1,"label":"Slanina","posId":"B108","price":3000,"KDSTags":["greenhighlight"],"isExtra":true},{"id":"57405742","note":"","size":"Pepsi 1l","count":1,"label":"Pepsi 1l","posId":"N124","price":5900,"isExtra":false}]</t>
  </si>
  <si>
    <t>2026-06-06T00:41:46.029+02:00</t>
  </si>
  <si>
    <t>2026-06-06T00:50:01.949+02:00</t>
  </si>
  <si>
    <t>[{"id":"59589456","note":"","size":"Quattro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</si>
  <si>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2026-06-06T00:40:03.662+02:00</t>
  </si>
  <si>
    <t>2026-06-06T00:48:29.572+02:00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</si>
  <si>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</si>
  <si>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2026-06-06T00:39:43.604+02:00</t>
  </si>
  <si>
    <t>2026-06-06T00:47:33.635+02:00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</si>
  <si>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1l","posId":"N126","price":5900,"isExtra":false}]</t>
  </si>
  <si>
    <t>2026-06-06T00:39:39.803+02:00</t>
  </si>
  <si>
    <t>2026-06-06T00:45:20.051+02:00</t>
  </si>
  <si>
    <t>[{"id":"c8f41becd43979fe4250d2db","count":1,"label":"Hot &amp; Spicy 32cm 🌶️🌶️","posId":"122","price":24900,"isExtra":false},{"id":"ed2821f5147c44e417ef0b42","count":1,"label":"Balné","posId":"K0000","price":1500,"isExtra":true}]</t>
  </si>
  <si>
    <t>2026-06-06T00:19:21.913+02:00</t>
  </si>
  <si>
    <t>2026-06-06T00:26:49.759+02:00</t>
  </si>
  <si>
    <t>[{"id":"55199497","note":"","size":"Quattro Formaggi 18cm","count":1,"label":"Quattro Formaggi 18cm","posId":"135","price":11900,"isExtra":false},{"id":"55199538","note":"","count":1,"label":"Balné","posId":"K0000","price":1000,"isExtra":true},{"id":"55199505","note":"","size":"Hawai 18cm","count":1,"label":"Hawai 18cm","posId":"126","price":11900,"isExtra":false},{"id":"55199538","note":"","count":1,"label":"Balné","posId":"K0000","price":1000,"isExtra":true},{"id":"57293715","note":"","size":"Opočno karamel","count":1,"label":"Opočno karamel","posId":"D112","price":12900,"isExtra":false},{"id":"57405744","note":"","size":"Mirinda 1l","count":1,"label":"Mirinda 1l","posId":"N126","price":5900,"isExtra":false}]</t>
  </si>
  <si>
    <t>2026-06-06T00:18:21.945+02:00</t>
  </si>
  <si>
    <t>2026-06-06T00:25:09.477+02:00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</si>
  <si>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</si>
  <si>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2026-06-06T00:13:21.938+02:00</t>
  </si>
  <si>
    <t>2026-06-06T00:21:02.855+02:00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</si>
  <si>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</si>
  <si>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2026-06-06T00:09:22.177+02:00</t>
  </si>
  <si>
    <t>2026-06-06T00:19:40.778+02:00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</si>
  <si>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55199659","note":"","count":1,"label":"Mozzarella","posId":"B113","price":3000,"KDSTags":["greenhighlight"],"isExtra":true},{"id":"55199685","note":"","count":1,"label":"Párek","posId":"B110","price":3000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</si>
  <si>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2026-06-06T00:06:40.950+02:00</t>
  </si>
  <si>
    <t>2026-06-06T00:14:06.840+02:00</t>
  </si>
  <si>
    <t>2026-06-05T23:49:40.876+02:00</t>
  </si>
  <si>
    <t>2026-06-05T23:57:46.422+02:00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</si>
  <si>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</si>
  <si>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2026-06-05T23:30:00.574+02:00</t>
  </si>
  <si>
    <t>2026-06-05T23:36:46.829+02:00</t>
  </si>
  <si>
    <t>[{"id":"59589455","note":"","size":"Margherita 32cm","count":1,"label":"Margherita 32cm","posId":"112","price":20900,"isExtra":false},{"id":"55199562","note":"","count":1,"label":"Balné","posId":"K0000","price":1500,"isExtra":true},{"id":"59592261","note":"","count":1,"label":"USA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bylinky","posId":"A121","price":5700,"isExtra":true},{"id":"57405738","note":"","size":"Aquilla zelený čaj/citron 0,5l","count":1,"label":"Aquilla zelený čaj/citron","posId":"N121","price":4900,"isExtra":false}]</t>
  </si>
  <si>
    <t>2026-06-05T23:14:04.025+02:00</t>
  </si>
  <si>
    <t>2026-06-05T23:22:10.332+02:00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</si>
  <si>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</si>
  <si>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2026-06-05T23:10:37.506+02:00</t>
  </si>
  <si>
    <t>2026-06-05T23:18:53.429+02:00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</si>
  <si>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základ","posId":"ZBR32","price":0,"isExtra":true},{"id":"59589456","note":"","size":"Quattro Formaggi 32cm","count":1,"label":"Quattro Formaggi 32cm","posId":"123","price":24900,"isExtra":false},{"id":"55199562","note":"","count":1,"label":"Balné","posId":"K0000","price":1500,"isExtra":true},{"id":"55199668","note":"","count":1,"label":"Slanina","posId":"B108","price":3000,"KDSTags":["greenhighlight"],"isExtra":true}]</t>
  </si>
  <si>
    <t>2026-06-05T23:01:19.112+02:00</t>
  </si>
  <si>
    <t>2026-06-05T23:07:13.260+02:00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</si>
  <si>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🌶️🌶️","posId":"108","price":30900,"isExtra":false},{"id":"55199557","note":"","count":1,"label":"Balné","posId":"K0000","price":2000,"isExtra":true},{"id":"57405742","note":"","size":"Pepsi 1l","count":1,"label":"Pepsi 1l","posId":"N124","price":5900,"isExtra":false}]</t>
  </si>
  <si>
    <t>2026-06-05T22:59:17.026+02:00</t>
  </si>
  <si>
    <t>2026-06-05T23:05:54.401+02:00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</si>
  <si>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</si>
  <si>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2026-06-05T22:57:48.811+02:00</t>
  </si>
  <si>
    <t>2026-06-05T23:05:06.730+02:00</t>
  </si>
  <si>
    <t>[{"id":"c282153f9e3afce968db7f16","count":1,"label":"Quattro Formaggi 40cm","posId":"111","price":30900,"isExtra":false},{"id":"c71f71bd04444e93fe083c01","count":1,"label":"Balné","posId":"K0000","price":2000,"isExtra":true},{"id":"d52edd9e0f5cc26976bc6fce","count":1,"label":"Capricciosa 40cm","posId":"101","price":30900,"isExtra":false},{"id":"c71f71bd04444e93fe083c01","count":1,"label":"Balné","posId":"K0000","price":2000,"isExtra":true}]</t>
  </si>
  <si>
    <t>2026-06-05T22:52:15.322+02:00</t>
  </si>
  <si>
    <t>2026-06-05T22:58:55.352+02:00</t>
  </si>
  <si>
    <t>[{"id":"a0605005773056fb46785f92","count":1,"label":"BBQ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základ","posId":"ZBR40","price":0,"isExtra":true},{"id":"6d30c23536beeaabedce6a33","count":1,"label":"Kukuřice","posId":"C115","price":3500,"KDSTags":["greenhighlight"],"isExtra":true}]</t>
  </si>
  <si>
    <t>2026-06-05T22:45:17.466+02:00</t>
  </si>
  <si>
    <t>2026-06-05T22:52:59.422+02:00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</si>
  <si>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55199668","note":"","count":1,"label":"Slanina","posId":"B108","price":3000,"KDSTags":["greenhighlight"],"isExtra":true},{"id":"55199675","note":"","count":1,"label":"Kuře","posId":"B114","price":3000,"KDSTags":["greenhighlight"],"isExtra":true}]</t>
  </si>
  <si>
    <t>2026-06-05T22:41:40.903+02:00</t>
  </si>
  <si>
    <t>2026-06-05T22:51:42.631+02:00</t>
  </si>
  <si>
    <t>[{"id":"d5f548ecefcfc95cc5941e55","count":3,"label":"Comeback 40cm 🌶️","posId":"109","price":30900,"isExtra":false},{"id":"c71f71bd04444e93fe083c01","count":3,"label":"Balné","posId":"K0000","price":2000,"isExtra":true}]</t>
  </si>
  <si>
    <t>2026-06-05T22:41:38.335+02:00</t>
  </si>
  <si>
    <t>2026-06-05T22:48:40.263+02:00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</si>
  <si>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základ","posId":"ZRS40","price":0,"isExtra":true}]</t>
  </si>
  <si>
    <t>2026-06-05T22:39:38.287+02:00</t>
  </si>
  <si>
    <t>2026-06-05T22:46:49.115+02:00</t>
  </si>
  <si>
    <t>[{"id":"0059d438ccf2cf48c245a059","count":1,"label":"Spicy menu Comeback","posId":"M100","price":34900,"isExtra":false},{"id":"48b98a74f25fd3fe9562dfd2","count":1,"label":"Balné","posId":"K0000","price":3000,"isExtra":true},{"id":"c33743cf2588ee7be4b9c58e","count":1,"label":"BBQ Meteor","posId":"Y118","price":0,"isExtra":true},{"id":"59839d6b839f5e8fe6d29556","count":1,"label":"BBQ základ","posId":"ZRB32","price":0,"isExtra":true},{"id":"4d20acafa95763f3c432c8f6","count":1,"label":"spicy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</si>
  <si>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2026-06-05T22:38:18.383+02:00</t>
  </si>
  <si>
    <t>2026-06-05T22:45:16.055+02:00</t>
  </si>
  <si>
    <t>Ručně zadané obj.</t>
  </si>
  <si>
    <t>[{"id":"5YGHveHwYFJ53FvByaMaq","count":1,"label":"Quattro Formaggi 40cm","posId":"111","price":30900,"isExtra":false,"creatorId":"u0RNoSC2lQwgF5-OiKFio","isPackging":0,"actualLabel":"Quattro Formaggi 40cm"},{"id":"GtkxIY8m7ME9N7fLIL1mf","count":1,"label":"Pepperoni 40cm 🌶️🌶️","posId":"108","price":30900,"isExtra":false,"creatorId":"lizUy3Pk3feRtq-yMcoQV","isPackging":0,"actualLabel":"Pepperoni 40cm 🌶️🌶️"}]</t>
  </si>
  <si>
    <t>2026-06-05T22:34:35.190+02:00</t>
  </si>
  <si>
    <t>2026-06-05T22:36:26.620+02:00</t>
  </si>
  <si>
    <t>[{"id":"d52edd9e0f5cc26976bc6fce","count":1,"label":"Capricciosa 40cm","posId":"101","price":30900,"isExtra":false},{"id":"c71f71bd04444e93fe083c01","count":1,"label":"Balné","posId":"K0000","price":2000,"isExtra":true}]</t>
  </si>
  <si>
    <t>2026-06-05T22:22:29.923+02:00</t>
  </si>
  <si>
    <t>2026-06-05T22:32:51.094+02:00</t>
  </si>
  <si>
    <t>[{"id":"d5f548ecefcfc95cc5941e55","count":1,"label":"Comeback 40cm 🌶️","posId":"109","price":30900,"isExtra":false},{"id":"c71f71bd04444e93fe083c01","count":1,"label":"Balné","posId":"K0000","price":2000,"isExtra":true},{"id":"0d95a3384b070d9133ab82f7","count":2,"label":"Česnekový dip","posId":"P106","price":2000,"isExtra":false},{"id":"ed2821f5147c44e417ef0b42","count":2,"label":"Balné","posId":"K0000","price":1500,"isExtra":true}]</t>
  </si>
  <si>
    <t>2026-06-05T22:19:59.842+02:00</t>
  </si>
  <si>
    <t>2026-06-05T22:32:49.291+02:00</t>
  </si>
  <si>
    <t>[{"id":"b9e54539031b67f4afafa5bc","count":1,"label":"pečené brambory","posId":"P103","price":6900,"isExtra":false},{"id":"ed2821f5147c44e417ef0b42","count":1,"label":"Balné","posId":"K0000","price":1500,"isExtra":true},{"id":"d0043b053c4bd7c6fd8359d7","count":1,"label":"Comeback 32cm 🌶️","posId":"121","price":24900,"isExtra":false},{"id":"ed2821f5147c44e417ef0b42","count":1,"label":"Balné","posId":"K0000","price":1500,"isExtra":true},{"id":"84e4b48cb1bf1b04bc7feb09","count":1,"label":"Smetanový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</si>
  <si>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2026-06-05T22:14:15.354+02:00</t>
  </si>
  <si>
    <t>2026-06-05T22:31:04.845+02:00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</si>
  <si>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kuliček","posId":"X116","price":0,"KDSTags":["redhighlight"],"isExtra":true},{"id":"55199512","note":"","size":"Masové kuličky","count":1,"label":"masové kuličky","posId":"P102","price":9900,"isExtra":false},{"id":"55199562","note":"","count":1,"label":"Balné","posId":"K0000","price":1500,"isExtra":true},{"id":"57405746","note":"","size":"Poděbradská malinovka 0,5l","count":5,"label":"Poděbradská malinovka 0,5l","posId":"N129","price":4900,"isExtra":false}]</t>
  </si>
  <si>
    <t>Whu Chien</t>
  </si>
  <si>
    <t>2026-06-05T22:13:40.740+02:00</t>
  </si>
  <si>
    <t>2026-06-05T22:27:31.454+02:00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</si>
  <si>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základ","posId":"ZRB32","price":0,"isExtra":true},{"id":"B115","note":"","count":1,"label":"Kukuřice","posId":"B115","price":2500,"KDSTags":["greenhighlight"],"isExtra":true}]</t>
  </si>
  <si>
    <t>2026-06-05T22:12:02.902+02:00</t>
  </si>
  <si>
    <t>2026-06-05T22:18:31.334+02:00</t>
  </si>
  <si>
    <t>[{"id":"03dae282-4cd4-4fa2-9169-2178ea3ed325","note":"","count":1,"label":"Quattro Formaggi 40cm","posId":"111","price":30900,"isExtra":false},{"id":"d3eb4d53-930f-46c7-bd43-afdbaaac1bcf","note":"","count":1,"label":"masové kuličky","posId":"P102","price":9900,"isExtra":false},{"id":"3a8b6a85-3b5c-4ee4-be2d-261ab8731d6e","note":"","count":1,"label":"Česnekový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</si>
  <si>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2026-06-05T22:05:34.508+02:00</t>
  </si>
  <si>
    <t>2026-06-05T22:14:32.357+02:00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</si>
  <si>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</si>
  <si>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2026-06-05T21:54:39.552+02:00</t>
  </si>
  <si>
    <t>2026-06-05T22:15:03.081+02:00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</si>
  <si>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</si>
  <si>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2026-06-05T21:54:16.253+02:00</t>
  </si>
  <si>
    <t>2026-06-05T22:12:27.266+02:00</t>
  </si>
  <si>
    <t>[{"id":"d881435059a1470cdfda68d0","count":1,"label":"Pepsi zero sugar 1l","posId":"N125","price":5900,"isExtra":false},{"id":"1d215296a99939a8f5b4c23d","count":1,"label":"Pepperoni 32cm 🌶️🌶️","posId":"120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🌶️","posId":"121","price":24900,"isExtra":false},{"id":"ed2821f5147c44e417ef0b42","count":1,"label":"Balné","posId":"K0000","price":1500,"isExtra":true},{"id":"84e4b48cb1bf1b04bc7feb09","count":1,"label":"Smetanový základ","posId":"ZRS32","price":0,"isExtra":true},{"id":"987bfd69b1586254c4704730","count":1,"label":"Žampiony","posId":"B105","price":2500,"KDSTags":["greenhighlight"],"isExtra":true}]</t>
  </si>
  <si>
    <t>2026-06-05T21:49:15.122+02:00</t>
  </si>
  <si>
    <t>2026-06-05T21:55:31.941+02:00</t>
  </si>
  <si>
    <t>[{"id":"55199475","note":"","size":"BBQ Texas 40cm","count":1,"label":"BBQ Texas 40cm","posId":"107","price":30900,"isExtra":false},{"id":"55199557","note":"","count":1,"label":"Balné","posId":"K0000","price":2000,"isExtra":true}]</t>
  </si>
  <si>
    <t>Tijani</t>
  </si>
  <si>
    <t>2026-06-05T21:45:22.410+02:00</t>
  </si>
  <si>
    <t>2026-06-05T21:53:10.895+02:00</t>
  </si>
  <si>
    <t>[{"id":"P107","note":"","count":1,"label":"Jalapeňos dip","posId":"P107","price":2000,"isExtra":false},{"id":"K0000","note":"","count":1,"label":"Balné","posId":"K0000","price":1500,"isExtra":true},{"id":"122","note":"","count":1,"label":"Hot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</si>
  <si>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2026-06-05T21:41:41.742+02:00</t>
  </si>
  <si>
    <t>2026-06-05T21:51:39.918+02:00</t>
  </si>
  <si>
    <t>[{"id":"0d95a3384b070d9133ab82f7","count":1,"label":"Česnekový dip","posId":"P106","price":2000,"isExtra":false},{"id":"ed2821f5147c44e417ef0b42","count":1,"label":"Balné","posId":"K0000","price":1500,"isExtra":true},{"id":"68137595352b3c34d4f8bd42","count":1,"label":"Aquilla černý čaj a broskev","posId":"N120","price":4900,"isExtra":false},{"id":"9259131a4eb3cd567a85680a","count":1,"label":"Buchtičky se šodó","posId":"D12","price":7900,"isExtra":false},{"id":"ed2821f5147c44e417ef0b42","count":1,"label":"Balné","posId":"K0000","price":1500,"isExtra":true},{"id":"c061cc0f701dc2e4cbeba65a","count":1,"label":"Zeleninová 40cm","posId":"103","price":30900,"isExtra":false},{"id":"c71f71bd04444e93fe083c01","count":1,"label":"Balné","posId":"K0000","price":2000,"isExtra":true}]</t>
  </si>
  <si>
    <t>2026-06-05T21:40:54.329+02:00</t>
  </si>
  <si>
    <t>2026-06-05T21:51:18.676+02:00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</si>
  <si>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,{"id":"55199648","note":"","count":1,"label":"Kukuřice","posId":"B115","price":2500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</si>
  <si>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2026-06-05T21:38:52.682+02:00</t>
  </si>
  <si>
    <t>2026-06-05T21:48:16.982+02:00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</si>
  <si>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bylinky","posId":"A122","price":6500,"isExtra":true},{"id":"57405742","note":"","size":"Pepsi 1l","count":2,"label":"Pepsi 1l","posId":"N124","price":5900,"isExtra":false}]</t>
  </si>
  <si>
    <t>2026-06-05T21:36:03.571+02:00</t>
  </si>
  <si>
    <t>2026-06-05T21:44:44.048+02:00</t>
  </si>
  <si>
    <t>2026-06-05T22:02:41.645+02:00</t>
  </si>
  <si>
    <t>2026-06-05T21:36:03.710+02:00</t>
  </si>
  <si>
    <t>[{"id":"80cdc162-f69f-4138-b690-77917e93790e","note":"","count":1,"label":"SPICY MENU COMEBACK","posId":"","price":34900,"isExtra":false},{"id":"3f194dc7-a3fd-4752-9d87-89aa5a29b1fa","note":"","count":1,"label":"Špenát &amp; kuře","posId":"Y116","price":0,"isExtra":true},{"id":"741f56e1-4be0-4a48-9425-3dc6aa7f97c3","note":"","count":1,"label":"Italské těsto","posId":"15","price":0,"isExtra":true},{"id":"8caf43fd-6a2c-427b-858a-17f37d37c439","note":"","count":1,"label":"spicy wings 🌶️","posId":"P101","price":0,"isExtra":true},{"id":"6d353d21-23a9-486f-ba26-59ad1938ed47","note":"","count":1,"label":"BIRGO grapefruit 0,5l","posId":"N131","price":0,"isExtra":true}]</t>
  </si>
  <si>
    <t>2026-06-05T21:30:04.446+02:00</t>
  </si>
  <si>
    <t>2026-06-05T21:40:17.059+02:00</t>
  </si>
  <si>
    <t>[{"id":"1af1801661c2c765e82d99ad","count":1,"label":"Jablečno-skořicové rolls","posId":"18","price":8900,"isExtra":false},{"id":"ed2821f5147c44e417ef0b42","count":1,"label":"Balné","posId":"K0000","price":1500,"isExtra":true},{"id":"5da54c811e390b27a3160955","count":1,"label":"Baby špenát &amp; kuře 18cm","posId":"128","price":11900,"isExtra":false},{"id":"2e7ea11ae7ec33bacee46408","count":1,"label":"Balné","posId":"K0000","price":1000,"isExtra":true},{"id":"4b2d9cf21d451de96cd85e8f","count":1,"label":"Rajčatový základ","posId":"ZSR18","price":0,"isExtra":true},{"id":"b81e501c3bc4e8173dde4771","count":1,"label":"Quattro Formaggi 18cm","posId":"135","price":11900,"isExtra":false},{"id":"2e7ea11ae7ec33bacee46408","count":1,"label":"Balné","posId":"K0000","price":1000,"isExtra":true}]</t>
  </si>
  <si>
    <t>2026-06-05T21:29:13.249+02:00</t>
  </si>
  <si>
    <t>2026-06-05T21:37:33.188+02:00</t>
  </si>
  <si>
    <t>[{"id":"59589464","note":"olivy, kukuřice, houby jen na jednu půlku","size":"Capricciosa 32cm","count":1,"label":"Capricciosa 32cm","posId":"113","price":24900,"isExtra":false},{"id":"55199562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</si>
  <si>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2026-06-05T21:27:11.963+02:00</t>
  </si>
  <si>
    <t>2026-06-05T21:29:32.689+02:00</t>
  </si>
  <si>
    <t>[{"id":"YhNzva_nxVXihkBVp6pb_","count":1,"label":"Pepsi 1l","posId":"N124","price":5900,"isExtra":false,"creatorId":"cWtwpjGltaKy4HWjb_OQy","isPackging":0,"actualLabel":"Pepsi 1l"}]</t>
  </si>
  <si>
    <t>2026-06-05T21:26:07.694+02:00</t>
  </si>
  <si>
    <t>2026-06-05T21:32:06.693+02:00</t>
  </si>
  <si>
    <t>[{"id":"S2KCJaQ9FrnGd4277ymVD","count":1,"label":"Capricciosa 32cm","posId":"113","price":24900,"isExtra":false,"creatorId":"q0qld7kzKYa5bV-X_Z-g5","isPackging":0,"actualLabel":"Capricciosa 32cm"},{"id":"HV-bOMCLaCPq0QqWqMINE","count":1,"label":"Aquilla zelený čaj/citron","posId":"N121","price":4900,"isExtra":false,"creatorId":"ahaym6FrKi43y4cOyDnf6","isPackging":0,"actualLabel":"Aquilla zelený čaj/citron 0,5l"},{"id":"ogqmreHt5xxIcPe1DEbX3","count":1,"label":"Pepperoni 18cm 🌶️🌶️","posId":"132","price":11900,"isExtra":false,"creatorId":"m-FpsYmehDPlXGIojD4h1","isPackging":0,"actualLabel":"Pepperoni 18cm 🌶️🌶️"},{"id":"extra_20230331101812_50","count":1,"label":"Olivy","posId":"A112","price":1500,"isExtra":true,"mainItemId":"ogqmreHt5xxIcPe1DEbX3"},{"id":"HV-bOMCLaCPq0QqWqMINE","count":1,"label":"Aquilla zelený čaj/citron","posId":"N121","price":4900,"isExtra":false,"creatorId":"pvSKKRdJxrz6sxmCalTm3","isPackging":0,"actualLabel":"Aquilla zelený čaj/citron 0,5l"}]</t>
  </si>
  <si>
    <t>2026-06-05T21:25:53.255+02:00</t>
  </si>
  <si>
    <t>2026-06-05T21:34:44.780+02:00</t>
  </si>
  <si>
    <t>[{"id":"59589463","note":"","size":"Hawai 32cm","count":1,"label":"Hawai 32cm","posId":"114","price":24900,"isExtra":false},{"id":"55199562","note":"","count":1,"label":"Balné","posId":"K0000","price":1500,"isExtra":true}]</t>
  </si>
  <si>
    <t>2026-06-05T21:21:03.321+02:00</t>
  </si>
  <si>
    <t>2026-06-05T21:29:28.277+02:00</t>
  </si>
  <si>
    <t>[{"id":"a4efa812-1470-4ea2-a19d-39843abed3be","note":"","count":1,"label":"Comeback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32cm","posId":"116","price":24900,"isExtra":false},{"id":"7bf5fb6e-17f1-4e62-b7d1-e31d7c483eb9","note":"","count":1,"label":"Cibule","posId":"B103","price":2500,"KDSTags":["greenhighlight"],"isExtra":true}]</t>
  </si>
  <si>
    <t>2026-06-05T21:18:26.384+02:00</t>
  </si>
  <si>
    <t>2026-06-05T21:25:04.995+02:00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</si>
  <si>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</si>
  <si>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Bogdan</t>
  </si>
  <si>
    <t>2026-06-05T21:14:40.404+02:00</t>
  </si>
  <si>
    <t>2026-06-05T21:24:10.110+02:00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</si>
  <si>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základ","posId":"ZRB40","price":0,"isExtra":true},{"id":"C105","note":"","count":1,"label":"Žampiony","posId":"C105","price":3500,"KDSTags":["greenhighlight"],"isExtra":true}]</t>
  </si>
  <si>
    <t>2026-06-05T21:13:03.087+02:00</t>
  </si>
  <si>
    <t>2026-06-05T21:20:58.094+02:00</t>
  </si>
  <si>
    <t>[{"id":"0b867b16-3995-4b4a-9deb-1c0d8cecf8d6","note":"","count":1,"label":"Pepperoni 32cm 🌶️🌶️","posId":"120","price":24900,"isExtra":false}]</t>
  </si>
  <si>
    <t>2026-06-05T21:12:22.794+02:00</t>
  </si>
  <si>
    <t>2026-06-05T21:20:57.466+02:00</t>
  </si>
  <si>
    <t>[{"id":"0d95a3384b070d9133ab82f7","count":1,"label":"Česnekový dip","posId":"P106","price":2000,"isExtra":false},{"id":"ed2821f5147c44e417ef0b42","count":1,"label":"Balné","posId":"K0000","price":1500,"isExtra":true},{"id":"39b4dba259045cb10a80740d","count":1,"label":"Quattro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bylinky","posId":"A121","price":5700,"isExtra":true},{"id":"63345f6ebe03a711ce9d952e","count":1,"label":"Slanina","posId":"B108","price":3000,"KDSTags":["greenhighlight"],"isExtra":true}]</t>
  </si>
  <si>
    <t>2026-06-05T21:11:11.933+02:00</t>
  </si>
  <si>
    <t>2026-06-05T21:20:00.704+02:00</t>
  </si>
  <si>
    <t>[{"id":"55199473","note":"","size":"Comeback 40cm 🌶️","count":1,"label":"Comeback 40cm 🌶️","posId":"109","price":30900,"isExtra":false},{"id":"55199557","note":"","count":1,"label":"Balné","posId":"K0000","price":2000,"isExtra":true}]</t>
  </si>
  <si>
    <t>2026-06-05T21:07:03.649+02:00</t>
  </si>
  <si>
    <t>2026-06-05T21:15:44.263+02:00</t>
  </si>
  <si>
    <t>2026-06-05T21:25:44.481+02:00</t>
  </si>
  <si>
    <t>2026-06-05T21:07:03.858+02:00</t>
  </si>
  <si>
    <t>[{"id":"4d0fe7ad-c88a-4a73-8015-c60680489cf8","note":"","count":1,"label":"Baby Špenát &amp; kuře 32cm","posId":"116","price":24900,"isExtra":false},{"id":"0ea52415-fdb3-497f-b216-7fd5802f2e0f","note":"","count":1,"label":"Quattro Formaggi 32cm","posId":"123","price":24900,"isExtra":false}]</t>
  </si>
  <si>
    <t>2026-06-05T21:06:04.191+02:00</t>
  </si>
  <si>
    <t>2026-06-05T21:14:12.791+02:00</t>
  </si>
  <si>
    <t>2026-06-05T21:31:36.948+02:00</t>
  </si>
  <si>
    <t>2026-06-05T21:06:04.640+02:00</t>
  </si>
  <si>
    <t>[{"id":"4d0fe7ad-c88a-4a73-8015-c60680489cf8","note":"","count":1,"label":"Baby Špenát &amp; kuře 32cm","posId":"116","price":24900,"isExtra":false},{"id":"e12521cc-9391-4513-be27-f090014536cf","note":"","count":1,"label":"BBQ Texas 32 cm","posId":"143","price":24900,"isExtra":false},{"id":"3a8b6a85-3b5c-4ee4-be2d-261ab8731d6e","note":"","count":1,"label":"Česnekový dip","posId":"P106","price":2000,"isExtra":false},{"id":"0b867b16-3995-4b4a-9deb-1c0d8cecf8d6","note":"","count":1,"label":"Pepperoni 32cm 🌶️🌶️","posId":"120","price":24900,"isExtra":false}]</t>
  </si>
  <si>
    <t>2026-06-05T21:04:21.920+02:00</t>
  </si>
  <si>
    <t>2026-06-05T21:16:18.730+02:00</t>
  </si>
  <si>
    <t>[{"id":"9259131a4eb3cd567a85680a","count":1,"label":"Buchtičky se šodó","posId":"D12","price":7900,"isExtra":false},{"id":"ed2821f5147c44e417ef0b42","count":1,"label":"Balné","posId":"K0000","price":1500,"isExtra":true},{"id":"b81e501c3bc4e8173dde4771","count":1,"label":"Quattro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18cm","posId":"135","price":11900,"isExtra":false},{"id":"2e7ea11ae7ec33bacee46408","count":1,"label":"Balné","posId":"K0000","price":1000,"isExtra":true}]</t>
  </si>
  <si>
    <t>2026-06-05T21:01:50.174+02:00</t>
  </si>
  <si>
    <t>2026-06-05T21:10:14.278+02:00</t>
  </si>
  <si>
    <t>[{"id":"71a763e559139e5b5e188a91","count":1,"label":"Pepperoni 40cm 🌶️🌶️","posId":"108","price":30900,"isExtra":false},{"id":"c71f71bd04444e93fe083c01","count":1,"label":"Balné","posId":"K0000","price":2000,"isExtra":true},{"id":"284143256f41c905feeed114","count":1,"label":"Capricciosa 32cm","posId":"113","price":24900,"isExtra":false},{"id":"ed2821f5147c44e417ef0b42","count":1,"label":"Balné","posId":"K0000","price":1500,"isExtra":true}]</t>
  </si>
  <si>
    <t>2026-06-05T21:01:22.273+02:00</t>
  </si>
  <si>
    <t>2026-06-05T21:08:13.133+02:00</t>
  </si>
  <si>
    <t>[{"id":"100","note":"","count":1,"label":"Margherita 40cm","posId":"100","price":26900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113","note":"","count":1,"label":"Mozzarella","posId":"C113","price":4000,"KDSTags":["greenhighlight"],"isExtra":true}]</t>
  </si>
  <si>
    <t>2026-06-05T20:54:03.206+02:00</t>
  </si>
  <si>
    <t>2026-06-05T21:00:23.617+02:00</t>
  </si>
  <si>
    <t>2026-06-05T21:04:34.205+02:00</t>
  </si>
  <si>
    <t>2026-06-05T20:54:03.335+02:00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</si>
  <si>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</si>
  <si>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2026-06-05T20:51:03.875+02:00</t>
  </si>
  <si>
    <t>2026-06-05T20:57:42.438+02:00</t>
  </si>
  <si>
    <t>[{"id":"d63e9120-8ffe-444c-ba51-6c942a13f4fc","note":"","count":1,"label":"Margherita 40cm","posId":"100","price":26900,"isExtra":false}]</t>
  </si>
  <si>
    <t>2026-06-05T20:48:13.138+02:00</t>
  </si>
  <si>
    <t>2026-06-05T20:56:14.804+02:00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</si>
  <si>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těsto","posId":"17","price":1000,"isExtra":true},{"id":"57405744","note":"","size":"Mirinda 1l","count":1,"label":"Mirinda 1l","posId":"N126","price":5900,"isExtra":false}]</t>
  </si>
  <si>
    <t>Olga</t>
  </si>
  <si>
    <t>2026-06-05T20:43:54.432+02:00</t>
  </si>
  <si>
    <t>2026-06-05T20:53:41.142+02:00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</si>
  <si>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základ","posId":"ZSR40","price":0,"isExtra":true},{"id":"109","note":"","count":1,"label":"Comeback 40cm 🌶️","posId":"109","price":30900,"isExtra":false},{"id":"K0000","note":"","count":1,"label":"Balné","posId":"K0000","price":2000,"isExtra":true}]</t>
  </si>
  <si>
    <t>2026-06-05T20:41:07.151+02:00</t>
  </si>
  <si>
    <t>2026-06-05T20:46:53.761+02:00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</si>
  <si>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</si>
  <si>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2026-06-05T20:30:51.860+02:00</t>
  </si>
  <si>
    <t>2026-06-05T20:37:16.843+02:00</t>
  </si>
  <si>
    <t>[{"id":"d0043b053c4bd7c6fd8359d7","count":1,"label":"Comeback 32cm 🌶️","posId":"121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</si>
  <si>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2026-06-05T20:21:30.586+02:00</t>
  </si>
  <si>
    <t>2026-06-05T20:33:57.583+02:00</t>
  </si>
  <si>
    <t>2026-06-05T20:17:43.642+02:00</t>
  </si>
  <si>
    <t>2026-06-05T20:33:55.648+02:00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</si>
  <si>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</si>
  <si>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2026-06-05T20:05:00.646+02:00</t>
  </si>
  <si>
    <t>2026-06-05T20:12:51.754+02:00</t>
  </si>
  <si>
    <t>[{"id":"2a04aa175f0516f5bc3594b6","count":1,"label":"Baby špenát &amp; kuře 40cm","posId":"104","price":30900,"isExtra":false},{"id":"c71f71bd04444e93fe083c01","count":1,"label":"Balné","posId":"K0000","price":2000,"isExtra":true},{"id":"de45f52562511b175959ae85","count":1,"label":"Pepperoni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</si>
  <si>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2026-06-05T20:03:33.117+02:00</t>
  </si>
  <si>
    <t>2026-06-05T20:11:45.226+02:00</t>
  </si>
  <si>
    <t>[{"id":"59589463","note":"","size":"Hawai 32cm","count":1,"label":"Hawai 32cm","posId":"114","price":24900,"isExtra":false},{"id":"55199562","note":"","count":1,"label":"Balné","posId":"K0000","price":1500,"isExtra":true},{"id":"59592261","note":"","count":1,"label":"USA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bylinky","posId":"A121","price":5700,"isExtra":true},{"id":"55199631","note":"","count":1,"label":"Ananas","posId":"B100","price":2500,"KDSTags":["greenhighlight"],"isExtra":true},{"id":"59589458","note":"","size":"Comeback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bylinky","posId":"A121","price":5700,"isExtra":true},{"id":"59589456","note":"","size":"Quattro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těsto","posId":"17","price":1000,"isExtra":true},{"id":"55199615","note":"","count":1,"label":"Olivy","posId":"B112","price":2500,"KDSTags":["greenhighlight"],"isExtra":true}]</t>
  </si>
  <si>
    <t>2026-06-05T19:58:03.772+02:00</t>
  </si>
  <si>
    <t>2026-06-05T20:04:41.562+02:00</t>
  </si>
  <si>
    <t>2026-06-05T20:15:12.703+02:00</t>
  </si>
  <si>
    <t>2026-06-05T19:58:04.054+02:00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</si>
  <si>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základ","posId":"57c816b2-3e3f-46c2-b126-b09910d79cb0","price":0,"isExtra":true}]</t>
  </si>
  <si>
    <t>2026-06-05T19:50:18.308+02:00</t>
  </si>
  <si>
    <t>2026-06-05T20:00:59.430+02:00</t>
  </si>
  <si>
    <t>[{"id":"55199506","note":"","size":"Capricciosa 18cm","count":1,"label":"Capricciosa 18cm","posId":"125","price":11900,"isExtra":false},{"id":"55199538","note":"","count":1,"label":"Balné","posId":"K0000","price":1000,"isExtra":true},{"id":"55199590","note":"","count":1,"label":"Bez žampionů","posId":"X105","price":0,"KDSTags":["redhighlight"],"isExtra":true},{"id":"55199609","note":"","count":1,"label":"Bez oliv","posId":"X112","price":0,"KDSTags":["redhighlight"],"isExtra":true},{"id":"55199497","note":"","size":"Quattro Formaggi 18cm","count":1,"label":"Quattro Formaggi 18cm","posId":"135","price":11900,"isExtra":false},{"id":"55199538","note":"","count":1,"label":"Balné","posId":"K0000","price":1000,"isExtra":true},{"id":"55199501","note":"","size":"BBQ Texas 18cm","count":1,"label":"BBQ Texas 18cm","posId":"131","price":11900,"isExtra":false},{"id":"55199538","note":"","count":1,"label":"Balné","posId":"K0000","price":1000,"isExtra":true},{"id":"55199617","note":"","count":1,"label":"Bez papriky","posId":"X111","price":0,"KDSTags":["redhighlight"],"isExtra":true},{"id":"55199512","note":"","size":"Masové kuličky","count":1,"label":"masové kuličky","posId":"P102","price":9900,"isExtra":false},{"id":"55199562","note":"","count":1,"label":"Balné","posId":"K0000","price":1500,"isExtra":true},{"id":"55199511","note":"","size":"Spicy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🌶️","posId":"P101","price":11900,"isExtra":false},{"id":"55199562","note":"","count":1,"label":"Balné","posId":"K0000","price":1500,"isExtra":true},{"id":"57293717","note":"","size":"Opočno vanilková","count":1,"label":"Opočno vanilková","posId":"D108","price":12900,"isExtra":false}]</t>
  </si>
  <si>
    <t>2026-06-05T19:46:03.943+02:00</t>
  </si>
  <si>
    <t>2026-06-05T19:59:06.332+02:00</t>
  </si>
  <si>
    <t>2026-06-05T20:17:01.494+02:00</t>
  </si>
  <si>
    <t>2026-06-05T19:46:04.114+02:00</t>
  </si>
  <si>
    <t>[{"id":"ee394832-8137-440a-84b7-b9e0df42a9ab","note":"","count":1,"label":"Hawai 32cm","posId":"114","price":24900,"isExtra":false},{"id":"cf590a42-3894-4cb1-9be7-6da354b8453d","note":"","count":1,"label":"Olivy","posId":"B112","price":2500,"KDSTags":["greenhighlight"],"isExtra":true},{"id":"0b867b16-3995-4b4a-9deb-1c0d8cecf8d6","note":"","count":1,"label":"Pepperoni 32cm 🌶️🌶️","posId":"120","price":24900,"isExtra":false},{"id":"2be8bd8d-b8cf-456a-a9f3-1ae18c5726f9","note":"","count":1,"label":"okraj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7bf5fb6e-17f1-4e62-b7d1-e31d7c483eb9","note":"","count":1,"label":"Cibule","posId":"B103","price":2500,"KDSTags":["greenhighlight"],"isExtra":true},{"id":"e7501e4e-7b75-458f-8655-4ba5ba9c5990","note":"","count":1,"label":"Jalapeňos dip","posId":"P107","price":2000,"isExtra":false},{"id":"4cd25cb7-e092-43a0-ab38-89c50a7e6a77","note":"","count":1,"label":"Pepperoni 18cm 🌶️🌶️","posId":"132","price":11900,"isExtra":false},{"id":"ede9e72e-2d68-47c4-ac43-66acb7a92f67","note":"","count":1,"label":"Cibule","posId":"A103","price":1500,"isExtra":true}]</t>
  </si>
  <si>
    <t>2026-06-05T19:45:53.044+02:00</t>
  </si>
  <si>
    <t>2026-06-05T19:56:41.834+02:00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</si>
  <si>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</si>
  <si>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2026-06-05T19:44:03.648+02:00</t>
  </si>
  <si>
    <t>2026-06-05T19:55:19.475+02:00</t>
  </si>
  <si>
    <t>[{"id":"7bd52058-f7b0-4320-9d6c-79598e7d9b5f","note":"","count":1,"label":"Hawai 18cm","posId":"126","price":11900,"isExtra":false},{"id":"211d85d0-839e-41d0-89e3-ea177ad7489e","note":"","count":1,"label":"Česnekový dip","posId":"P106","price":2000,"isExtra":false},{"id":"a4efa812-1470-4ea2-a19d-39843abed3be","note":"","count":1,"label":"Comeback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</si>
  <si>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2026-06-05T19:36:34.921+02:00</t>
  </si>
  <si>
    <t>2026-06-05T19:52:43.796+02:00</t>
  </si>
  <si>
    <t>[{"id":"55199515","note":"","size":"Pepperoni Rolls 🌶️","count":1,"label":"Pepperoni Rolls 🌶️","posId":"P100","price":8900,"isExtra":false},{"id":"55199562","note":"","count":1,"label":"Balné","posId":"K0000","price":1500,"isExtra":true},{"id":"55199518","note":"","size":"Jalapenos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</si>
  <si>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2026-06-05T19:22:59.790+02:00</t>
  </si>
  <si>
    <t>2026-06-05T19:31:40.996+02:00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</si>
  <si>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</si>
  <si>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2026-06-05T19:20:04.397+02:00</t>
  </si>
  <si>
    <t>2026-06-05T19:29:49.684+02:00</t>
  </si>
  <si>
    <t>2026-06-05T19:35:00.880+02:00</t>
  </si>
  <si>
    <t>2026-06-05T19:20:04.509+02:00</t>
  </si>
  <si>
    <t>[{"id":"0ea52415-fdb3-497f-b216-7fd5802f2e0f","note":"","count":1,"label":"Quattro Formaggi 32cm","posId":"123","price":24900,"isExtra":false}]</t>
  </si>
  <si>
    <t>2026-06-05T19:19:10.088+02:00</t>
  </si>
  <si>
    <t>2026-06-05T19:29:49.311+02:00</t>
  </si>
  <si>
    <t>2026-06-05T19:43:02.807+02:00</t>
  </si>
  <si>
    <t>2026-06-05T19:19:10.781+02:00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</si>
  <si>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bylinky","posId":"A122","price":6500,"isExtra":true}]</t>
  </si>
  <si>
    <t>2026-06-05T19:14:04.184+02:00</t>
  </si>
  <si>
    <t>2026-06-05T19:27:47.720+02:00</t>
  </si>
  <si>
    <t>2026-06-05T19:36:54.075+02:00</t>
  </si>
  <si>
    <t>2026-06-05T19:14:04.367+02:00</t>
  </si>
  <si>
    <t>[{"id":"1da47ebe-2592-435a-b854-8cbe80b56263","note":"","count":1,"label":"Hawai 32 cm","posId":"138","price":24900,"isExtra":false},{"id":"f2ca88ba-7288-4f05-a925-149da2e2137e","note":"","count":1,"label":"okraj hotdog, bbq omáčka","posId":"A119","price":5700,"isExtra":true},{"id":"b6658da4-b777-42a2-94b6-5ce20ff49587","note":"","count":1,"label":"Pepperoni 32 cm","posId":"144","price":24900,"isExtra":false},{"id":"2be8bd8d-b8cf-456a-a9f3-1ae18c5726f9","note":"","count":1,"label":"okraj mozzarella, bbq omáčka","posId":"A123","price":5700,"isExtra":true},{"id":"85dc195f-7d7b-4fb5-b41d-eb1c9c76b3a3","note":"","count":1,"label":"Hot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bylinky","posId":"A121","price":5700,"isExtra":true},{"id":"d3eb4d53-930f-46c7-bd43-afdbaaac1bcf","note":"","count":1,"label":"masové kuličky","posId":"P102","price":9900,"isExtra":false},{"id":"e7501e4e-7b75-458f-8655-4ba5ba9c5990","note":"","count":1,"label":"Jalapeňos dip","posId":"P107","price":2000,"isExtra":false},{"id":"de56def4-8429-46ca-bf08-8c8eba684591","note":"","count":1,"label":"BBQ dip","posId":"P105","price":2000,"isExtra":false}]</t>
  </si>
  <si>
    <t>2026-06-05T19:13:03.344+02:00</t>
  </si>
  <si>
    <t>2026-06-05T19:25:09.288+02:00</t>
  </si>
  <si>
    <t>[{"id":"1fae666b-4102-4ed0-b317-2a07b21ae279","note":"","count":1,"label":"Hot &amp; Spicy 40cm 🌶️🌶️","posId":"110","price":30900,"isExtra":false},{"id":"76e7f756-6fd7-4b70-ac43-1127dd630173","note":"","count":1,"label":"Sweet passion 32 cm","posId":"29","price":20900,"isExtra":false}]</t>
  </si>
  <si>
    <t>2026-06-05T19:12:57.620+02:00</t>
  </si>
  <si>
    <t>2026-06-05T19:20:36.656+02:00</t>
  </si>
  <si>
    <t>[{"id":"GgFxWsVrDTHtwOEvP84Ga","count":1,"label":"Comeback 32cm 🌶️","posId":"121","price":24900,"isExtra":false,"creatorId":"49WQIrr-VevUxwQsG9Sdp","isPackging":0,"actualLabel":"Comeback 32cm 🌶️"}]</t>
  </si>
  <si>
    <t>2026-06-05T19:08:43.454+02:00</t>
  </si>
  <si>
    <t>2026-06-05T19:20:05.272+02:00</t>
  </si>
  <si>
    <t>[{"id":"2a04aa175f0516f5bc3594b6","count":1,"label":"Baby špenát &amp; kuře 40cm","posId":"104","price":30900,"isExtra":false},{"id":"c71f71bd04444e93fe083c01","count":1,"label":"Balné","posId":"K0000","price":2000,"isExtra":true},{"id":"1ed1ad9866010ae50d5c6383","count":1,"label":"okraj hotdog, hořčice","posId":"A118","price":6500,"isExtra":true},{"id":"e87d4afc91a5d6f85d1820ed","count":1,"label":"Žampiony","posId":"C105","price":3500,"KDSTags":["greenhighlight"],"isExtra":true},{"id":"f9b6d4880d4fe21f259f1a27","count":1,"label":"Cibule","posId":"C103","price":3500,"KDSTags":["greenhighlight"],"isExtra":true}]</t>
  </si>
  <si>
    <t>2026-06-05T19:06:11.952+02:00</t>
  </si>
  <si>
    <t>2026-06-05T19:13:19.222+02:00</t>
  </si>
  <si>
    <t>[{"id":"slIXfu3mjSW-0V2k39Ukz","count":1,"label":"Hawai 32cm","posId":"114","price":24900,"isExtra":false,"creatorId":"UEo7QQmpCYuk3_pVG1y4e","isPackging":0,"actualLabel":"Hawai 32cm"},{"id":"RjnzJvFGQ7bViwxWS8fAW","count":1,"label":"Bez ananasu","posId":"X100","price":0,"KDSTags":["redhighlight"],"isExtra":true,"mainItemId":"slIXfu3mjSW-0V2k39Ukz"}]</t>
  </si>
  <si>
    <t>2026-06-05T19:06:03.233+02:00</t>
  </si>
  <si>
    <t>2026-06-05T19:17:46.298+02:00</t>
  </si>
  <si>
    <t>2026-06-05T19:50:50.696+02:00</t>
  </si>
  <si>
    <t>2026-06-05T19:06:03.619+02:00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</si>
  <si>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základ","posId":"f61b7339-3b20-4583-b2b8-12e48de2876d","price":0,"isExtra":true},{"id":"3a8b6a85-3b5c-4ee4-be2d-261ab8731d6e","note":"","count":2,"label":"Česnekový dip","posId":"P106","price":2000,"isExtra":false},{"id":"e7501e4e-7b75-458f-8655-4ba5ba9c5990","note":"","count":1,"label":"Jalapeňos dip","posId":"P107","price":2000,"isExtra":false},{"id":"c1383a56-9eef-4159-8de6-52ba98917da4","note":"","count":1,"label":"Pepperoni Rolls 🌶️","posId":"P100","price":8900,"isExtra":false}]</t>
  </si>
  <si>
    <t>2026-06-05T19:04:04.392+02:00</t>
  </si>
  <si>
    <t>2026-06-05T19:15:45.252+02:00</t>
  </si>
  <si>
    <t>2026-06-05T19:43:10.275+02:00</t>
  </si>
  <si>
    <t>2026-06-05T19:04:04.767+02:00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</si>
  <si>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bylinky","posId":"A122","price":6500,"isExtra":true},{"id":"076ed74a-9e28-4a30-9b7c-06e6adbd9e27","note":"","count":1,"label":"Margherita 18cm","posId":"124","price":11900,"isExtra":false}]</t>
  </si>
  <si>
    <t>2026-06-05T18:58:03.730+02:00</t>
  </si>
  <si>
    <t>2026-06-05T19:07:51.713+02:00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</si>
  <si>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bylinky","posId":"A121","price":5700,"isExtra":true}]</t>
  </si>
  <si>
    <t>2026-06-05T18:56:18.738+02:00</t>
  </si>
  <si>
    <t>2026-06-05T19:06:07.555+02:00</t>
  </si>
  <si>
    <t>[{"id":"nC1KrtOLd8xTukBNuBdBj","count":1,"label":"Capricciosa 40cm","posId":"101","price":30900,"isExtra":false,"creatorId":"aKFAviFg_eBdEDfyXcvpM","isPackging":0,"actualLabel":"Capricciosa 40cm"}]</t>
  </si>
  <si>
    <t>2026-06-05T18:55:12.495+02:00</t>
  </si>
  <si>
    <t>2026-06-05T19:11:55.774+02:00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</si>
  <si>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Spicy","posId":"Y122","price":0,"isExtra":true},{"id":"8620b0a3f9cb7f6b809fce9d","count":1,"label":"masové kuličky","posId":"P102","price":0,"isExtra":true},{"id":"0b13c09d10188bb8f08ccf8f","count":1,"label":"Guarana classic","posId":"N142","price":0,"isExtra":true},{"id":"71a763e559139e5b5e188a91","count":1,"label":"Pepperoni 40cm 🌶️🌶️","posId":"108","price":30900,"isExtra":false},{"id":"c71f71bd04444e93fe083c01","count":1,"label":"Balné","posId":"K0000","price":2000,"isExtra":true},{"id":"71474d2ff08764e8563178d6","count":1,"label":"Hawai 40cm","posId":"102","price":30900,"isExtra":false},{"id":"c71f71bd04444e93fe083c01","count":1,"label":"Balné","posId":"K0000","price":2000,"isExtra":true},{"id":"7ec71ed1b6dd8f99c580bfce","count":1,"label":"Margherita 40cm","posId":"100","price":26900,"isExtra":false},{"id":"c71f71bd04444e93fe083c01","count":1,"label":"Balné","posId":"K0000","price":2000,"isExtra":true},{"id":"d5f548ecefcfc95cc5941e55","count":1,"label":"Comeback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</si>
  <si>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2026-06-05T18:44:11.465+02:00</t>
  </si>
  <si>
    <t>2026-06-05T18:47:18.506+02:00</t>
  </si>
  <si>
    <t>[{"id":"Z9IeDGcKqFO_itODmBH5E","count":1,"label":"Quattro Formaggi 32cm","posId":"123","price":24900,"isExtra":false,"creatorId":"nf4C7r2kUzPY_XufwK0FX","isPackging":0,"actualLabel":"Quattro Formaggi 32cm"},{"id":"tNA0TdK4qAhc9SZy-L97J","count":1,"label":"Pepsi zero sugar 1l","posId":"N125","price":5900,"isExtra":false,"creatorId":"W7E4jceAuE7vsctjHHig4","isPackging":0,"actualLabel":"Pepsi zero sugar 1l"}]</t>
  </si>
  <si>
    <t>2026-06-05T18:42:03.665+02:00</t>
  </si>
  <si>
    <t>2026-06-05T18:47:19.890+02:00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</si>
  <si>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</si>
  <si>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2026-06-05T18:31:04.123+02:00</t>
  </si>
  <si>
    <t>2026-06-05T18:40:22.435+02:00</t>
  </si>
  <si>
    <t>2026-06-05T18:52:57.773+02:00</t>
  </si>
  <si>
    <t>2026-06-05T18:31:04.474+02:00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</si>
  <si>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f1315fc0-dfbb-459c-9f31-49d8e60875f4","note":"","count":1,"label":"Pepperoni 40cm 🌶️🌶️","posId":"108","price":30900,"isExtra":false},{"id":"86843148-4e32-4979-bfd6-d7151207f70f","note":"","count":1,"label":"Šunka","posId":"C106","price":4000,"KDSTags":["greenhighlight"],"isExtra":true},{"id":"e7501e4e-7b75-458f-8655-4ba5ba9c5990","note":"","count":1,"label":"Jalapeňos dip","posId":"P107","price":2000,"isExtra":false}]</t>
  </si>
  <si>
    <t>2026-06-05T18:22:03.984+02:00</t>
  </si>
  <si>
    <t>2026-06-05T18:34:40.412+02:00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</si>
  <si>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bd8e2f82-3d11-4ada-88ad-67191c012d18","note":"","count":1,"label":"Bez oliv","posId":"X112","price":0,"KDSTags":["redhighlight"],"isExtra":true},{"id":"e1ef9526-7c68-483b-a8a1-92bb58ce9f1e","note":"","count":1,"label":"Jalapenos Rolls","posId":"jpr200","price":8900,"isExtra":false},{"id":"3a8b6a85-3b5c-4ee4-be2d-261ab8731d6e","note":"","count":2,"label":"Česnekový dip","posId":"P106","price":2000,"isExtra":false}]</t>
  </si>
  <si>
    <t>2026-06-05T18:21:18.400+02:00</t>
  </si>
  <si>
    <t>2026-06-05T18:34:44.755+02:00</t>
  </si>
  <si>
    <t>[{"id":"8a4618993c6f7ee5917bb6ac","count":1,"label":"Margherita 32cm","posId":"112","price":20900,"isExtra":false},{"id":"ed2821f5147c44e417ef0b42","count":1,"label":"Balné","posId":"K0000","price":1500,"isExtra":true},{"id":"0d95a3384b070d9133ab82f7","count":1,"label":"Česnekový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</si>
  <si>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2026-06-05T18:13:25.711+02:00</t>
  </si>
  <si>
    <t>2026-06-05T18:19:53.286+02:00</t>
  </si>
  <si>
    <t>[{"id":"GgFxWsVrDTHtwOEvP84Ga","count":1,"label":"Comeback 32cm 🌶️","posId":"121","price":24900,"isExtra":false,"creatorId":"adZzF33fOIYLMms2wLPBz","isPackging":0,"actualLabel":"Comeback 32cm 🌶️"},{"id":"QvTM0biDDphkG686YLgHj","count":1,"label":"Česnekový dip","posId":"P106","price":2000,"isExtra":false,"creatorId":"2mIljPpf6Y6dyH4GYWpr7","isPackging":0,"actualLabel":"Česnekový dip"},{"id":"B9Gc9DICwMa89e6oK1jK1","count":1,"label":"Mirinda 1l","posId":"N126","price":5900,"isExtra":false,"creatorId":"sJUAX8GQSGLQcfqP5wkvc","isPackging":0,"actualLabel":"Mirinda 1l"}]</t>
  </si>
  <si>
    <t>2026-06-05T18:13:02.715+02:00</t>
  </si>
  <si>
    <t>2026-06-05T18:24:08.302+02:00</t>
  </si>
  <si>
    <t>2026-06-05T18:30:50.497+02:00</t>
  </si>
  <si>
    <t>2026-06-05T18:13:02.868+02:00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</si>
  <si>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ananasu","posId":"X100","price":0,"KDSTags":["redhighlight"],"isExtra":true},{"id":"ff8bc446-e047-44f1-bae5-423b565e0123","note":"","count":1,"label":"Capricciosa 32 cm","posId":"137","price":24900,"isExtra":false},{"id":"bd8e2f82-3d11-4ada-88ad-67191c012d18","note":"","count":1,"label":"Bez oliv","posId":"X112","price":0,"KDSTags":["redhighlight"],"isExtra":true},{"id":"fcbcf6b6-34c6-4d5f-ac5b-f6ece72e0953","note":"","count":1,"label":"BBQ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d1e9623b-89c9-4caa-a2ba-cbaafad1a883","note":"","count":1,"label":"Slanina","posId":"B108","price":3000,"KDSTags":["greenhighlight"],"isExtra":true},{"id":"6c7e46c7-f00f-41d6-82a9-53830cfaf582","note":"","count":1,"label":"Bez masových kuliček","posId":"X116","price":0,"KDSTags":["redhighlight"],"isExtra":true}]</t>
  </si>
  <si>
    <t>Sova Martin</t>
  </si>
  <si>
    <t>2026-06-05T18:07:57.678+02:00</t>
  </si>
  <si>
    <t>2026-06-05T18:14:43.861+02:00</t>
  </si>
  <si>
    <t>[{"id":"120","note":"","count":2,"label":"Pepperoni 32cm 🌶️🌶️","posId":"120","price":24900,"isExtra":false},{"id":"K0000","note":"","count":2,"label":"Balné","posId":"K0000","price":1500,"isExtra":true},{"id":"B115","note":"","count":2,"label":"Kukuřice","posId":"B115","price":2500,"KDSTags":["greenhighlight"],"isExtra":true}]</t>
  </si>
  <si>
    <t>2026-06-05T18:06:04.036+02:00</t>
  </si>
  <si>
    <t>2026-06-05T18:17:01.592+02:00</t>
  </si>
  <si>
    <t>[{"id":"e8f571e6-dd36-42d7-8826-52c90315986b","note":"","count":1,"label":"Baby špenát &amp; kuře 40cm","posId":"104","price":30900,"isExtra":false},{"id":"8c704055-e242-493d-b754-bb711e5a6c0b","note":"","count":1,"label":"Hawai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</si>
  <si>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2026-06-05T18:01:35.847+02:00</t>
  </si>
  <si>
    <t>2026-06-05T18:11:53.835+02:00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</si>
  <si>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</si>
  <si>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2026-06-05T17:53:29.118+02:00</t>
  </si>
  <si>
    <t>2026-06-05T18:02:50.127+02:00</t>
  </si>
  <si>
    <t>2026-06-05T18:10:10.871+02:00</t>
  </si>
  <si>
    <t>2026-06-05T17:53:29.341+02:00</t>
  </si>
  <si>
    <t>[{"id":"Z9IeDGcKqFO_itODmBH5E","count":1,"label":"Quattro Formaggi 32cm","posId":"123","price":24900,"isExtra":false,"creatorId":"bNOgevjn0EVc06PxWSXXR","isPackging":0,"actualLabel":"Quattro Formaggi 32cm"},{"id":"S2KCJaQ9FrnGd4277ymVD","count":1,"label":"Capricciosa 32cm","posId":"113","price":24900,"isExtra":false,"creatorId":"tFpx5NkfXk6ehN2nqP5pw","isPackging":0,"actualLabel":"Capricciosa 32cm"},{"id":"HzzLcrRniLZHhRMYsKcZq","count":1,"label":"Margherita 32cm","posId":"112","price":20900,"isExtra":false,"creatorId":"Lz2GqU449jziOUvq6PpB1","isPackging":0,"actualLabel":"Margherita 32cm"},{"id":"extra_20230331101812_75","count":1,"label":"Kukuřice","posId":"B115","price":2500,"KDSTags":["greenhighlight"],"isExtra":true,"mainItemId":"HzzLcrRniLZHhRMYsKcZq"},{"id":"xHIl0psugMNZ1FsGFVNng","count":1,"label":"Comeback 40cm 🌶️","posId":"109","price":30900,"isExtra":false,"creatorId":"Rl_5NoGXUARZFatlMhUi8","isPackging":0,"actualLabel":"Comeback 40cm 🌶️"}]</t>
  </si>
  <si>
    <t>2026-06-05T17:52:27.387+02:00</t>
  </si>
  <si>
    <t>2026-06-05T17:58:18.581+02:00</t>
  </si>
  <si>
    <t>[{"id":"d0043b053c4bd7c6fd8359d7","count":1,"label":"Comeback 32cm 🌶️","posId":"121","price":24900,"isExtra":false},{"id":"ed2821f5147c44e417ef0b42","count":1,"label":"Balné","posId":"K0000","price":1500,"isExtra":true},{"id":"d881435059a1470cdfda68d0","count":1,"label":"Pepsi zero sugar 1l","posId":"N125","price":5900,"isExtra":false}]</t>
  </si>
  <si>
    <t>2026-06-05T17:52:03.914+02:00</t>
  </si>
  <si>
    <t>2026-06-05T18:21:38.531+02:00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</si>
  <si>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dip","posId":"P106","price":2000,"isExtra":false},{"id":"739ceea4-4275-4f09-8cf5-ae08fe640a77","note":"","count":1,"label":"Pepsi 1l","posId":"N124","price":5900,"isExtra":false}]</t>
  </si>
  <si>
    <t>2026-06-05T17:51:03.341+02:00</t>
  </si>
  <si>
    <t>2026-06-05T18:11:25.195+02:00</t>
  </si>
  <si>
    <t>[{"id":"76e7f756-6fd7-4b70-ac43-1127dd630173","note":"","count":1,"label":"Sweet passion 32 cm","posId":"29","price":20900,"isExtra":false},{"id":"0ea52415-fdb3-497f-b216-7fd5802f2e0f","note":"","count":1,"label":"Quattro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e4c90673-8957-4c9c-a784-3a1d0b3b4124","note":"","count":1,"label":"pečené brambory","posId":"P103","price":6900,"isExtra":false}]</t>
  </si>
  <si>
    <t>2026-06-05T17:49:03.974+02:00</t>
  </si>
  <si>
    <t>2026-06-05T17:55:25.679+02:00</t>
  </si>
  <si>
    <t>2026-06-05T18:00:58.509+02:00</t>
  </si>
  <si>
    <t>2026-06-05T17:49:04.092+02:00</t>
  </si>
  <si>
    <t>[{"id":"aef5aaf8-2acf-4f20-91be-c8829f11cd0c","note":"","count":1,"label":"Capricciosa 40cm","posId":"101","price":30900,"isExtra":false}]</t>
  </si>
  <si>
    <t>2026-06-05T17:45:54.187+02:00</t>
  </si>
  <si>
    <t>2026-06-05T17:52:31.372+02:00</t>
  </si>
  <si>
    <t>[{"id":"8924fc9e808140a18dd27717","count":1,"label":"BBQ Meteor 40cm","posId":"106","price":30900,"isExtra":false},{"id":"c71f71bd04444e93fe083c01","count":1,"label":"Balné","posId":"K0000","price":2000,"isExtra":true}]</t>
  </si>
  <si>
    <t>2026-06-05T17:43:52.958+02:00</t>
  </si>
  <si>
    <t>2026-06-05T18:35:58.839+02:00</t>
  </si>
  <si>
    <t>[{"id":"b0909d075aa821e62b5225d6","count":1,"label":"Pepsi 1l","posId":"N124","price":5900,"isExtra":false},{"id":"c282153f9e3afce968db7f16","count":1,"label":"Quattro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</si>
  <si>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2026-06-05T17:42:53.361+02:00</t>
  </si>
  <si>
    <t>2026-06-05T17:51:09.821+02:00</t>
  </si>
  <si>
    <t>[{"id":"8a4618993c6f7ee5917bb6ac","count":1,"label":"Margherita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</si>
  <si>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2026-06-05T17:41:47.247+02:00</t>
  </si>
  <si>
    <t>2026-06-05T17:50:09.795+02:00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</si>
  <si>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32cm","posId":"118","price":24900,"isExtra":false},{"id":"55199562","note":"","count":1,"label":"Balné","posId":"K0000","price":1500,"isExtra":true}]</t>
  </si>
  <si>
    <t>2026-06-05T17:40:32.100+02:00</t>
  </si>
  <si>
    <t>2026-06-05T17:47:44.548+02:00</t>
  </si>
  <si>
    <t>[{"id":"59589460","note":"","size":"BBQ Texas 32cm","count":1,"label":"BBQ Texas 32cm","posId":"119","price":24900,"isExtra":false},{"id":"55199562","note":"","count":1,"label":"Balné","posId":"K0000","price":1500,"isExtra":true},{"id":"59592261","note":"","count":1,"label":"USA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těsto","posId":"17","price":1000,"isExtra":true}]</t>
  </si>
  <si>
    <t>2026-06-05T17:33:43.940+02:00</t>
  </si>
  <si>
    <t>2026-06-05T17:45:14.607+02:00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</si>
  <si>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</si>
  <si>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2026-06-05T17:32:02.998+02:00</t>
  </si>
  <si>
    <t>2026-06-05T17:42:39.772+02:00</t>
  </si>
  <si>
    <t>2026-06-05T17:48:54.605+02:00</t>
  </si>
  <si>
    <t>2026-06-05T17:32:03.084+02:00</t>
  </si>
  <si>
    <t>[{"id":"1fae666b-4102-4ed0-b317-2a07b21ae279","note":"","count":1,"label":"Hot &amp; Spicy 40cm 🌶️🌶️","posId":"110","price":30900,"isExtra":false}]</t>
  </si>
  <si>
    <t>2026-06-05T17:31:46.826+02:00</t>
  </si>
  <si>
    <t>2026-06-05T17:43:36.622+02:00</t>
  </si>
  <si>
    <t>[{"id":"2a04aa175f0516f5bc3594b6","count":1,"label":"Baby špenát &amp; kuře 40cm","posId":"104","price":30900,"isExtra":false},{"id":"c71f71bd04444e93fe083c01","count":1,"label":"Balné","posId":"K0000","price":2000,"isExtra":true}]</t>
  </si>
  <si>
    <t>2026-06-05T17:25:12.776+02:00</t>
  </si>
  <si>
    <t>2026-06-05T17:30:55.792+02:00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</si>
  <si>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</si>
  <si>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2026-06-05T17:08:38.352+02:00</t>
  </si>
  <si>
    <t>2026-06-05T17:16:31.356+02:00</t>
  </si>
  <si>
    <t>2026-06-05T16:49:33.129+02:00</t>
  </si>
  <si>
    <t>2026-06-05T17:03:02.396+02:00</t>
  </si>
  <si>
    <t>[{"id":"ceb6c69a16171041ea8283f0","count":1,"label":"Hot &amp; Spicy 40cm 🌶️🌶️","posId":"110","price":30900,"isExtra":false},{"id":"c71f71bd04444e93fe083c01","count":1,"label":"Balné","posId":"K0000","price":2000,"isExtra":true}]</t>
  </si>
  <si>
    <t>2026-06-05T16:46:48.808+02:00</t>
  </si>
  <si>
    <t>2026-06-05T17:01:04.688+02:00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</si>
  <si>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32cm","posId":"123","price":24900,"isExtra":false},{"id":"55199562","note":"","count":1,"label":"Balné","posId":"K0000","price":1500,"isExtra":true},{"id":"57293717","note":"","size":"Opočno vanilková","count":1,"label":"Opočno vanilková","posId":"D108","price":12900,"isExtra":false}]</t>
  </si>
  <si>
    <t>2026-06-05T16:29:32.926+02:00</t>
  </si>
  <si>
    <t>2026-06-05T16:38:56.106+02:00</t>
  </si>
  <si>
    <t>[{"id":"55199470","note":"Kukuřici prosim na jednu půlku pizzy. Dekuju","size":"Margherita 40cm","count":1,"label":"Margherita 40cm","posId":"100","price":26900,"isExtra":false},{"id":"55199557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</si>
  <si>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2026-06-05T16:28:37.964+02:00</t>
  </si>
  <si>
    <t>2026-06-05T16:36:46.045+02:00</t>
  </si>
  <si>
    <t>[{"id":"2a04aa175f0516f5bc3594b6","count":1,"label":"Baby špenát &amp; kuře 40cm","posId":"104","price":30900,"isExtra":false},{"id":"c71f71bd04444e93fe083c01","count":1,"label":"Balné","posId":"K0000","price":2000,"isExtra":true},{"id":"b0909d075aa821e62b5225d6","count":1,"label":"Pepsi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</si>
  <si>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2026-06-05T16:24:03.281+02:00</t>
  </si>
  <si>
    <t>2026-06-05T16:30:32.951+02:00</t>
  </si>
  <si>
    <t>2026-06-05T16:52:14.636+02:00</t>
  </si>
  <si>
    <t>2026-06-05T16:24:03.379+02:00</t>
  </si>
  <si>
    <t>[{"id":"e12521cc-9391-4513-be27-f090014536cf","note":"","count":1,"label":"BBQ Texas 32 cm","posId":"143","price":24900,"isExtra":false},{"id":"f4d7b9ad-ce62-498d-a90b-8016ab1e3604","note":"","count":1,"label":"Quattro Formaggi 32 cm","posId":"147","price":24900,"isExtra":false}]</t>
  </si>
  <si>
    <t>2026-06-05T16:22:03.404+02:00</t>
  </si>
  <si>
    <t>2026-06-05T16:29:42.878+02:00</t>
  </si>
  <si>
    <t>2026-06-05T16:40:32.002+02:00</t>
  </si>
  <si>
    <t>2026-06-05T16:22:03.532+02:00</t>
  </si>
  <si>
    <t>[{"id":"aef5aaf8-2acf-4f20-91be-c8829f11cd0c","note":"","count":1,"label":"Capricciosa 40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</si>
  <si>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2026-06-05T16:10:03.589+02:00</t>
  </si>
  <si>
    <t>2026-06-05T16:15:07.321+02:00</t>
  </si>
  <si>
    <t>[{"id":"1b8bf5463d30ab1a50e2f05d","count":1,"label":"Baby Špenát &amp; kuře 32cm","posId":"116","price":24900,"isExtra":false},{"id":"ed2821f5147c44e417ef0b42","count":1,"label":"Balné","posId":"K0000","price":1500,"isExtra":true}]</t>
  </si>
  <si>
    <t>2026-06-05T15:48:02.771+02:00</t>
  </si>
  <si>
    <t>2026-06-05T15:54:50.042+02:00</t>
  </si>
  <si>
    <t>[{"id":"d63e9120-8ffe-444c-ba51-6c942a13f4fc","note":"","count":1,"label":"Margherita 40cm","posId":"100","price":26900,"isExtra":false},{"id":"a3d62a5d-2e1d-48db-874e-d64becff7059","note":"","count":1,"label":"změna na BBQ základ","posId":"a3d62a5d-2e1d-48db-874e-d64becff7059","price":0,"isExtra":true}]</t>
  </si>
  <si>
    <t>2026-06-05T15:47:15.204+02:00</t>
  </si>
  <si>
    <t>2026-06-05T15:53:10.115+02:00</t>
  </si>
  <si>
    <t>[{"id":"112","note":"","count":1,"label":"Margherita 32cm","posId":"112","price":20900,"isExtra":false},{"id":"K0000","note":"","count":1,"label":"Balné","posId":"K0000","price":1500,"isExtra":true},{"id":"B115","note":"","count":2,"label":"Kukuřice","posId":"B115","price":2500,"KDSTags":["greenhighlight"],"isExtra":true}]</t>
  </si>
  <si>
    <t>2026-06-05T15:06:04.981+02:00</t>
  </si>
  <si>
    <t>2026-06-05T15:17:52.634+02:00</t>
  </si>
  <si>
    <t>2026-06-05T15:33:24.303+02:00</t>
  </si>
  <si>
    <t>2026-06-05T15:06:05.114+02:00</t>
  </si>
  <si>
    <t>2026-06-05T14:16:19.013+02:00</t>
  </si>
  <si>
    <t>2026-06-05T14:25:28.879+02:00</t>
  </si>
  <si>
    <t>[{"id":"d52edd9e0f5cc26976bc6fce","count":1,"label":"Capricciosa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základ","posId":"ZRB40","price":0,"isExtra":true},{"id":"4b02e5ccc8118e41f32ad09c","count":1,"label":"okraj mozzarella, bbq omáčka","posId":"A124","price":6500,"isExtra":true},{"id":"f7ffa629f5bc387b11f2e11b","count":1,"label":"Bez žampionů","posId":"X105","price":0,"KDSTags":["redhighlight"],"isExtra":true}]</t>
  </si>
  <si>
    <t>2026-06-05T13:57:56.550+02:00</t>
  </si>
  <si>
    <t>2026-06-05T14:10:56.717+02:00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</si>
  <si>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bylinky","posId":"A122","price":6500,"isExtra":true},{"id":"55199516","note":"","size":"Česnekový dip","count":2,"label":"Česnekový dip","posId":"P106","price":2000,"isExtra":false},{"id":"55199562","note":"","count":2,"label":"Balné","posId":"K0000","price":1500,"isExtra":true},{"id":"55199513","note":"","size":"Pečené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brambory","posId":"P103","price":6900,"isExtra":false},{"id":"55199562","note":"","count":1,"label":"Balné","posId":"K0000","price":1500,"isExtra":true}]</t>
  </si>
  <si>
    <t>2026-06-05T13:30:33.124+02:00</t>
  </si>
  <si>
    <t>2026-06-05T13:39:49.734+02:00</t>
  </si>
  <si>
    <t>[{"id":"59589464","note":"","size":"Capricciosa 32cm","count":1,"label":"Capricciosa 32cm","posId":"113","price":24900,"isExtra":false},{"id":"55199562","note":"","count":1,"label":"Balné","posId":"K0000","price":1500,"isExtra":true}]</t>
  </si>
  <si>
    <t>2026-06-05T13:29:03.158+02:00</t>
  </si>
  <si>
    <t>2026-06-05T13:38:01.645+02:00</t>
  </si>
  <si>
    <t>2026-06-05T14:08:47.282+02:00</t>
  </si>
  <si>
    <t>2026-06-05T13:29:03.279+02:00</t>
  </si>
  <si>
    <t>[{"id":"e8f571e6-dd36-42d7-8826-52c90315986b","note":"","count":1,"label":"Baby špenát &amp; kuře 40cm","posId":"104","price":30900,"isExtra":false},{"id":"03dae282-4cd4-4fa2-9169-2178ea3ed325","note":"","count":1,"label":"Quattro Formaggi 40cm","posId":"111","price":30900,"isExtra":false}]</t>
  </si>
  <si>
    <t>2026-06-05T13:25:20.768+02:00</t>
  </si>
  <si>
    <t>2026-06-05T13:31:59.626+02:00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</si>
  <si>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55199672","note":"","count":1,"label":"Gorgonzola","posId":"B101","price":3000,"KDSTags":["greenhighlight"],"isExtra":true},{"id":"55199689","note":"","count":1,"label":"Masové kuličky","posId":"B116","price":5900,"KDSTags":["greenhighlight"],"isExtra":true}]</t>
  </si>
  <si>
    <t>2026-06-05T13:22:03.352+02:00</t>
  </si>
  <si>
    <t>2026-06-05T13:30:10.291+02:00</t>
  </si>
  <si>
    <t>2026-06-05T13:50:51.258+02:00</t>
  </si>
  <si>
    <t>2026-06-05T13:22:03.486+02:00</t>
  </si>
  <si>
    <t>[{"id":"1fae666b-4102-4ed0-b317-2a07b21ae279","note":"","count":1,"label":"Hot &amp; Spicy 40cm 🌶️🌶️","posId":"110","price":30900,"isExtra":false},{"id":"52cffa8b-0a47-4e13-b315-64f9374ef0a7","note":"","count":1,"label":"okraj hotdog, bez omáčky","posId":"A126","price":6500,"isExtra":true}]</t>
  </si>
  <si>
    <t>2026-06-05T13:22:03.338+02:00</t>
  </si>
  <si>
    <t>2026-06-05T13:29:14.664+02:00</t>
  </si>
  <si>
    <t>2026-06-05T13:57:15.186+02:00</t>
  </si>
  <si>
    <t>2026-06-05T13:22:03.463+02:00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</si>
  <si>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bylinky","posId":"A121","price":5700,"isExtra":true}]</t>
  </si>
  <si>
    <t>2026-06-05T13:11:24.614+02:00</t>
  </si>
  <si>
    <t>2026-06-05T13:20:48.975+02:00</t>
  </si>
  <si>
    <t>[{"id":"chr100","note":"","count":1,"label":"Choco Rolls","posId":"chr100","price":8900,"isExtra":false},{"id":"K0000","note":"","count":1,"label":"Balné","posId":"K0000","price":1500,"isExtra":true},{"id":"112","note":"","count":1,"label":"Margherita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</si>
  <si>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2026-06-05T13:09:03.378+02:00</t>
  </si>
  <si>
    <t>2026-06-05T13:16:09.602+02:00</t>
  </si>
  <si>
    <t>[{"id":"59589464","note":"","size":"Capricciosa 32cm","count":1,"label":"Capricciosa 32cm","posId":"113","price":24900,"isExtra":false},{"id":"55199562","note":"","count":1,"label":"Balné","posId":"K0000","price":1500,"isExtra":true},{"id":"57405742","note":"","size":"Pepsi 1l","count":1,"label":"Pepsi 1l","posId":"N124","price":5900,"isExtra":false}]</t>
  </si>
  <si>
    <t>Jana</t>
  </si>
  <si>
    <t>2026-06-05T13:04:54.610+02:00</t>
  </si>
  <si>
    <t>2026-06-05T13:12:19.749+02:00</t>
  </si>
  <si>
    <t>[{"id":"120","note":"","count":1,"label":"Pepperoni 32cm 🌶️🌶️","posId":"120","price":24900,"isExtra":false},{"id":"K0000","note":"","count":1,"label":"Balné","posId":"K0000","price":1500,"isExtra":true}]</t>
  </si>
  <si>
    <t>Miroslava</t>
  </si>
  <si>
    <t>2026-06-05T12:50:11.058+02:00</t>
  </si>
  <si>
    <t>2026-06-05T12:57:01.733+02:00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</si>
  <si>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základ","posId":"ZBS40","price":0,"isExtra":true},{"id":"P106","note":"","count":3,"label":"Česnekový dip","posId":"P106","price":2000,"isExtra":false},{"id":"K0000","note":"","count":3,"label":"Balné","posId":"K0000","price":1500,"isExtra":true}]</t>
  </si>
  <si>
    <t>2026-06-05T12:43:03.845+02:00</t>
  </si>
  <si>
    <t>2026-06-05T12:51:24.616+02:00</t>
  </si>
  <si>
    <t>2026-06-05T13:17:43.407+02:00</t>
  </si>
  <si>
    <t>2026-06-05T12:43:04.035+02:00</t>
  </si>
  <si>
    <t>[{"id":"ee394832-8137-440a-84b7-b9e0df42a9ab","note":"","count":1,"label":"Hawai 32cm","posId":"114","price":24900,"isExtra":false},{"id":"bf8dc38b-6c8e-42b6-9da3-3170253a57d4","note":"","count":1,"label":"Hot &amp; Spicy 32cm 🌶️🌶️","posId":"122","price":24900,"isExtra":false}]</t>
  </si>
  <si>
    <t>2026-06-05T12:32:04.752+02:00</t>
  </si>
  <si>
    <t>2026-06-05T12:46:30.639+02:00</t>
  </si>
  <si>
    <t>2026-06-05T12:58:52.455+02:00</t>
  </si>
  <si>
    <t>2026-06-05T12:32:04.844+02:00</t>
  </si>
  <si>
    <t>2026-06-05T12:30:26.097+02:00</t>
  </si>
  <si>
    <t>2026-06-05T12:44:07.651+02:00</t>
  </si>
  <si>
    <t>[{"id":"284143256f41c905feeed114","count":1,"label":"Capricciosa 32cm","posId":"113","price":24900,"isExtra":false},{"id":"ed2821f5147c44e417ef0b42","count":1,"label":"Balné","posId":"K0000","price":1500,"isExtra":true}]</t>
  </si>
  <si>
    <t>2026-06-05T12:22:22.830+02:00</t>
  </si>
  <si>
    <t>2026-06-05T12:31:18.534+02:00</t>
  </si>
  <si>
    <t>[{"id":"c4cf500880b17d3ffa827758","count":1,"label":"Hawai 32cm","posId":"114","price":24900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</si>
  <si>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2026-06-05T12:14:12.212+02:00</t>
  </si>
  <si>
    <t>2026-06-05T12:28:21.471+02:00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</si>
  <si>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32cm","posId":"123","price":24900,"isExtra":false},{"id":"55199562","note":"","count":1,"label":"Balné","posId":"K0000","price":1500,"isExtra":true},{"id":"55199689","note":"","count":1,"label":"Masové kuličky","posId":"B116","price":5900,"KDSTags":["greenhighlight"],"isExtra":true}]</t>
  </si>
  <si>
    <t>2026-06-05T12:12:59.719+02:00</t>
  </si>
  <si>
    <t>2026-06-05T12:25:27.686+02:00</t>
  </si>
  <si>
    <t>[{"id":"55199501","note":"","size":"BBQ Texas 18cm","count":1,"label":"BBQ Texas 18cm","posId":"131","price":11900,"isExtra":false},{"id":"55199538","note":"","count":1,"label":"Balné","posId":"K0000","price":1000,"isExtra":true},{"id":"59589458","note":"","size":"Comeback 32cm 🌶️","count":1,"label":"Comeback 32cm 🌶️","posId":"121","price":24900,"isExtra":false},{"id":"55199562","note":"","count":1,"label":"Balné","posId":"K0000","price":1500,"isExtra":true},{"id":"55199622","note":"","count":1,"label":"okraj hotdog, bbq omáčka","posId":"A119","price":5700,"isExtra":true},{"id":"55199597","note":"","count":1,"label":"Žampiony","posId":"B105","price":2500,"KDSTags":["greenhighlight"],"isExtra":true},{"id":"55199615","note":"","count":1,"label":"Olivy","posId":"B112","price":2500,"KDSTags":["greenhighlight"],"isExtra":true},{"id":"55199648","note":"","count":1,"label":"Kukuřice","posId":"B115","price":2500,"KDSTags":["greenhighlight"],"isExtra":true},{"id":"55199680","note":"","count":1,"label":"Grana padano, pecorino, parmazán","posId":"B130","price":3000,"KDSTags":["greenhighlight"],"isExtra":true}]</t>
  </si>
  <si>
    <t>2026-06-05T11:49:55.061+02:00</t>
  </si>
  <si>
    <t>2026-06-05T12:03:04.455+02:00</t>
  </si>
  <si>
    <t>2026-06-05T11:47:53.978+02:00</t>
  </si>
  <si>
    <t>2026-06-05T12:01:27.322+02:00</t>
  </si>
  <si>
    <t>[{"id":"d0043b053c4bd7c6fd8359d7","count":1,"label":"Comeback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těsto","posId":"17","price":1000,"isExtra":true},{"id":"15d48fba0016db7394ccdeab","count":1,"label":"Bez cibule","posId":"X103","price":0,"KDSTags":["redhighlight"],"isExtra":true}]</t>
  </si>
  <si>
    <t>2026-06-05T11:46:03.747+02:00</t>
  </si>
  <si>
    <t>2026-06-05T11:56:04.226+02:00</t>
  </si>
  <si>
    <t>2026-06-05T12:13:06.522+02:00</t>
  </si>
  <si>
    <t>2026-06-05T11:46:03.951+02:00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</si>
  <si>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</si>
  <si>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2026-06-05T11:40:04.288+02:00</t>
  </si>
  <si>
    <t>2026-06-05T11:49:28.887+02:00</t>
  </si>
  <si>
    <t>2026-06-05T12:05:07.282+02:00</t>
  </si>
  <si>
    <t>2026-06-05T11:40:04.549+02:00</t>
  </si>
  <si>
    <t>[{"id":"36ea3088-07fd-428f-b871-c4a5ee9cef7b","note":"","count":1,"label":"Comeback 40cm 🌶️","posId":"109","price":30900,"isExtra":false}]</t>
  </si>
  <si>
    <t>2026-06-05T11:39:03.514+02:00</t>
  </si>
  <si>
    <t>2026-06-05T11:46:52.328+02:00</t>
  </si>
  <si>
    <t>2026-06-05T12:13:53.017+02:00</t>
  </si>
  <si>
    <t>2026-06-05T11:39:03.667+02:00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</si>
  <si>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cm","posId":"145","price":24900,"isExtra":false},{"id":"2be8bd8d-b8cf-456a-a9f3-1ae18c5726f9","note":"","count":1,"label":"okraj mozzarella, bbq omáčka","posId":"A123","price":5700,"isExtra":true}]</t>
  </si>
  <si>
    <t>2026-06-05T11:34:47.071+02:00</t>
  </si>
  <si>
    <t>2026-06-05T18:27:50.467+02:00</t>
  </si>
  <si>
    <t>[{"id":"7ec71ed1b6dd8f99c580bfce","count":4,"label":"Margherita 40cm","posId":"100","price":26900,"isExtra":false},{"id":"c71f71bd04444e93fe083c01","count":4,"label":"Balné","posId":"K0000","price":2000,"isExtra":true},{"id":"096441a3b709cad5b3ac76b2","count":4,"label":"Šunka","posId":"C106","price":4000,"KDSTags":["greenhighlight"],"isExtra":true}]</t>
  </si>
  <si>
    <t>2026-06-05T11:32:03.233+02:00</t>
  </si>
  <si>
    <t>2026-06-05T11:41:33.075+02:00</t>
  </si>
  <si>
    <t>2026-06-05T12:08:15.454+02:00</t>
  </si>
  <si>
    <t>2026-06-05T11:32:03.337+02:00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</si>
  <si>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oliv","posId":"X112","price":0,"KDSTags":["redhighlight"],"isExtra":true}]</t>
  </si>
  <si>
    <t>2026-06-05T11:31:47.063+02:00</t>
  </si>
  <si>
    <t>2026-06-05T18:32:13.640+02:00</t>
  </si>
  <si>
    <t>[{"id":"7ec71ed1b6dd8f99c580bfce","count":4,"label":"Margherita 40cm","posId":"100","price":26900,"isExtra":false},{"id":"c71f71bd04444e93fe083c01","count":4,"label":"Balné","posId":"K0000","price":2000,"isExtra":true}]</t>
  </si>
  <si>
    <t>2026-06-05T11:30:03.077+02:00</t>
  </si>
  <si>
    <t>2026-06-05T11:43:14.249+02:00</t>
  </si>
  <si>
    <t>2026-06-05T12:10:29.712+02:00</t>
  </si>
  <si>
    <t>2026-06-05T11:30:03.207+02:00</t>
  </si>
  <si>
    <t>[{"id":"0005ff76-02c8-47f3-a86e-87443988197a","note":"","count":1,"label":"BBQ Texas 32cm","posId":"119","price":24900,"isExtra":false},{"id":"57c816b2-3e3f-46c2-b126-b09910d79cb0","note":"","count":1,"label":"změna na Smetanový základ","posId":"57c816b2-3e3f-46c2-b126-b09910d79cb0","price":0,"isExtra":true}]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</si>
  <si>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</si>
  <si>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</si>
  <si>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</si>
  <si>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</si>
  <si>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</si>
  <si>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</si>
  <si>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</si>
  <si>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</si>
  <si>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</si>
  <si>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</si>
  <si>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Nedvěd Dominik</t>
  </si>
  <si>
    <t>17:00 - 1:00 (Kurýr)</t>
  </si>
  <si>
    <t>13:00 - 20:00 (Kurýr)</t>
  </si>
  <si>
    <t>Eszenyiová Patrícia</t>
  </si>
  <si>
    <t>Pavel Břicháč</t>
  </si>
  <si>
    <t>11:00 - 1:00 (Kurýr)</t>
  </si>
  <si>
    <t>11:00 - 17:00 (Kurýr)</t>
  </si>
  <si>
    <t>11:00 - 19:00 (Kurýr)</t>
  </si>
  <si>
    <t>11:00 - 18:00 (Kurýr)</t>
  </si>
  <si>
    <t>Coufal Jakub</t>
  </si>
  <si>
    <t>19:00 - 0:00 (Instor)</t>
  </si>
  <si>
    <t>19:00 - 23:00 (Instor)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</si>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</sst>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4.0"/>
      <color rgb="FF000000"/>
      <name val="Arial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9" fontId="18" numFmtId="0" xfId="0" applyAlignment="1" applyFont="1">
      <alignment readingOrder="0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0" fillId="9" fontId="20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9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9" numFmtId="0" xfId="0" applyAlignment="1" applyBorder="1" applyFill="1" applyFont="1">
      <alignment horizontal="center" shrinkToFit="0" wrapText="1"/>
    </xf>
    <xf borderId="27" fillId="13" fontId="19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9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9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9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shrinkToFit="0" vertical="center" wrapText="1"/>
    </xf>
    <xf borderId="42" fillId="10" fontId="19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7" fillId="13" fontId="19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9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9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46178.0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>
        <f>IFERROR(__xludf.DUMMYFUNCTION("IF(I2&gt;0, 
    100 / (I2 / 112 * 100 / ((SUM(A12:A21, A25:A31) + (M17 + I32) + IFERROR(SUM(FILTER(HR!W5:W48, LEN(HR!A5:A48) &gt; 0)), 0)) / 100)), 
    ""Zadej tržbu"")
"),0.18141388911525008)</f>
        <v>0.1814138891</v>
      </c>
      <c r="H2" s="22"/>
      <c r="I2" s="23">
        <f>SUM(RestiaCSV!C:C) - SUMIFS(RestiaCSV!C:C, RestiaCSV!B:B, "canceled")</f>
        <v>67247.48</v>
      </c>
      <c r="K2" s="22"/>
      <c r="L2" s="24" t="s">
        <v>1550</v>
      </c>
      <c r="M2" s="25">
        <f>SUMIFS(RestiaCSV!C:C, RestiaCSV!A:A, Report!L2, RestiaCSV!B:B, "&lt;&gt;canceled")</f>
        <v>17882.1</v>
      </c>
    </row>
    <row r="3">
      <c r="A3" s="26"/>
      <c r="B3" s="27" t="str">
        <f>CHOOSE(WEEKDAY(D1), "Neděle", "Pondělí", "Úterý", "Středa", "Čtvrtek", "Pátek", "Sobota")</f>
        <v>Pátek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6459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16934.38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12572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3078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>
        <v>3577.0</v>
      </c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 t="s">
        <v>1490</v>
      </c>
      <c r="I11" s="48"/>
      <c r="J11" s="49">
        <f>M2+M3+M4+M5+M6+M13+M14+M15+M16+M17+M9+M11+M10-I2</f>
        <v>0</v>
      </c>
      <c r="K11" s="12"/>
      <c r="L11" s="50" t="s">
        <v>25</v>
      </c>
      <c r="M11" s="39">
        <v>8518.0</v>
      </c>
    </row>
    <row r="12">
      <c r="A12" s="51">
        <f t="array" ref="A12">IF(ISBLANK(B12), 0, IF(ISNUMBER(MATCH(B12, HR!A:A, 0)), 0, IF(ISNUMBER(MATCH(B12, HR!B:B, 0)), INDEX(HR!V:V, MATCH(B12, HR!B:B, 0)) * (F12 * 24), 0)))</f>
        <v>0</v>
      </c>
      <c r="B12" s="52" t="s">
        <v>1490</v>
      </c>
      <c r="C12" s="53" t="s">
        <v>41</v>
      </c>
      <c r="D12" s="53" t="s">
        <v>1485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17:00</v>
      </c>
      <c r="G12" s="37"/>
      <c r="I12" s="48"/>
      <c r="J12" s="37"/>
      <c r="K12" s="22"/>
      <c r="L12" s="56" t="s">
        <v>1564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2676</v>
      </c>
      <c r="B13" s="52" t="s">
        <v>1565</v>
      </c>
      <c r="C13" s="53" t="s">
        <v>45</v>
      </c>
      <c r="D13" s="53" t="s">
        <v>1497</v>
      </c>
      <c r="E13" s="54"/>
      <c r="F13" s="55" t="str">
        <f t="shared" si="1"/>
        <v>10:00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0</v>
      </c>
      <c r="B14" s="60"/>
      <c r="C14" s="53"/>
      <c r="D14" s="53"/>
      <c r="E14" s="54"/>
      <c r="F14" s="55" t="str">
        <f t="shared" si="1"/>
        <v>0:00</v>
      </c>
      <c r="G14" s="61"/>
      <c r="I14" s="22"/>
      <c r="J14" s="37"/>
      <c r="K14" s="22"/>
      <c r="L14" s="62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3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2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2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4" t="s">
        <v>33</v>
      </c>
      <c r="M17" s="65">
        <f>sum(I25:I31)</f>
        <v>1305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6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7" t="s">
        <v>1490</v>
      </c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8"/>
      <c r="B22" s="69"/>
      <c r="C22" s="29"/>
      <c r="D22" s="29"/>
      <c r="E22" s="29"/>
      <c r="F22" s="29"/>
      <c r="G22" s="29"/>
      <c r="H22" s="29"/>
      <c r="I22" s="20"/>
      <c r="J22" s="70" t="s">
        <v>34</v>
      </c>
      <c r="K22" s="70" t="s">
        <v>35</v>
      </c>
      <c r="L22" s="71" t="s">
        <v>1566</v>
      </c>
      <c r="M22" s="72" t="s">
        <v>37</v>
      </c>
    </row>
    <row r="23">
      <c r="A23" s="68"/>
      <c r="B23" s="40" t="s">
        <v>78</v>
      </c>
      <c r="I23" s="22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2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9 min 32 s</v>
      </c>
    </row>
    <row r="24" ht="21.75" customHeight="1">
      <c r="A24" s="77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1567</v>
      </c>
      <c r="H24" s="78" t="s">
        <v>1568</v>
      </c>
      <c r="I24" s="46" t="s">
        <v>13</v>
      </c>
      <c r="J24" s="79" t="s">
        <v>1569</v>
      </c>
      <c r="K24" s="80" t="s">
        <v>1470</v>
      </c>
      <c r="L24" s="81" t="s">
        <v>1471</v>
      </c>
      <c r="M24" s="82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1751.442</v>
      </c>
      <c r="B25" s="52" t="s">
        <v>1570</v>
      </c>
      <c r="C25" s="83" t="s">
        <v>45</v>
      </c>
      <c r="D25" s="83" t="s">
        <v>68</v>
      </c>
      <c r="E25" s="83"/>
      <c r="F25" s="84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07:00</v>
      </c>
      <c r="G25" s="85">
        <f>COUNTIF(RestiaCSV!E:E, B25)</f>
        <v>8</v>
      </c>
      <c r="H25" s="86" t="b">
        <v>1</v>
      </c>
      <c r="I25" s="87">
        <f t="shared" ref="I25:I31" si="4">IF(H25,G25*45, 0)</f>
        <v>360</v>
      </c>
      <c r="J25" s="59"/>
      <c r="K25" s="88"/>
      <c r="L25" s="88"/>
      <c r="M25" s="89"/>
    </row>
    <row r="26">
      <c r="A26" s="51">
        <f t="array" ref="A26">IF(ISBLANK(B26), 0, IF(ISNUMBER(MATCH(B26, HR!A:A, 0)), 0, IF(ISNUMBER(MATCH(B26, HR!B:B, 0)), INDEX(HR!V:V, MATCH(B26, HR!B:B, 0)) * (F26 * 24), 0)))</f>
        <v>1251.03</v>
      </c>
      <c r="B26" s="52" t="s">
        <v>1571</v>
      </c>
      <c r="C26" s="83" t="s">
        <v>45</v>
      </c>
      <c r="D26" s="83" t="s">
        <v>42</v>
      </c>
      <c r="E26" s="83"/>
      <c r="F26" s="84" t="str">
        <f t="shared" si="3"/>
        <v>05:00</v>
      </c>
      <c r="G26" s="85">
        <f>COUNTIF(RestiaCSV!E:E, B26)</f>
        <v>8</v>
      </c>
      <c r="H26" s="86" t="b">
        <v>1</v>
      </c>
      <c r="I26" s="87">
        <f t="shared" si="4"/>
        <v>360</v>
      </c>
      <c r="J26" s="90">
        <f>COUNTIF(I25:I31, "&gt;0")</f>
        <v>3</v>
      </c>
      <c r="K26" s="75">
        <f>IFERROR(__xludf.DUMMYFUNCTION("COUNTA(FILTER(RestiaCSV!B2:B32, RestiaCSV!B2:B32 &lt;&gt; ""canceled""))"),152.0)</f>
        <v>152</v>
      </c>
      <c r="L26" s="75">
        <f>COUNTIF(RestiaCSV!F1:F32, "delivery")</f>
        <v>30</v>
      </c>
      <c r="M26" s="91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900</v>
      </c>
      <c r="B27" s="52" t="s">
        <v>1572</v>
      </c>
      <c r="C27" s="92" t="s">
        <v>63</v>
      </c>
      <c r="D27" s="92" t="s">
        <v>45</v>
      </c>
      <c r="E27" s="83"/>
      <c r="F27" s="84" t="str">
        <f t="shared" si="3"/>
        <v>06:00</v>
      </c>
      <c r="G27" s="85">
        <f>COUNTIF(RestiaCSV!E:E, B27)</f>
        <v>13</v>
      </c>
      <c r="H27" s="86" t="b">
        <v>1</v>
      </c>
      <c r="I27" s="87">
        <f t="shared" si="4"/>
        <v>585</v>
      </c>
      <c r="J27" s="93" t="s">
        <v>1573</v>
      </c>
      <c r="K27" s="94"/>
      <c r="L27" s="81" t="s">
        <v>1474</v>
      </c>
      <c r="M27" s="82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60"/>
      <c r="C28" s="83"/>
      <c r="D28" s="83"/>
      <c r="E28" s="83"/>
      <c r="F28" s="84" t="str">
        <f t="shared" si="3"/>
        <v>0:00</v>
      </c>
      <c r="G28" s="85">
        <f>COUNTIF(RestiaCSV!E:E, B28)</f>
        <v>0</v>
      </c>
      <c r="H28" s="86" t="b">
        <v>0</v>
      </c>
      <c r="I28" s="87">
        <f t="shared" si="4"/>
        <v>0</v>
      </c>
      <c r="J28" s="58"/>
      <c r="K28" s="59"/>
      <c r="L28" s="88"/>
      <c r="M28" s="89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3"/>
      <c r="D29" s="83"/>
      <c r="E29" s="83"/>
      <c r="F29" s="84" t="str">
        <f t="shared" si="3"/>
        <v>0:00</v>
      </c>
      <c r="G29" s="85">
        <f>COUNTIF(RestiaCSV!E:E, B29)</f>
        <v>0</v>
      </c>
      <c r="H29" s="86" t="b">
        <v>0</v>
      </c>
      <c r="I29" s="87">
        <f t="shared" si="4"/>
        <v>0</v>
      </c>
      <c r="J29" s="95">
        <f>COUNTIFS(RestiaCSV!M:M, "&gt;5", RestiaCSV!L:L, "&gt;5")</f>
        <v>0</v>
      </c>
      <c r="K29" s="96"/>
      <c r="L29" s="97">
        <f>L23/L26</f>
        <v>0.06666666667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3"/>
      <c r="D30" s="83"/>
      <c r="E30" s="83"/>
      <c r="F30" s="84" t="str">
        <f t="shared" si="3"/>
        <v>0:00</v>
      </c>
      <c r="G30" s="85">
        <f>COUNTIF(RestiaCSV!E:E, B30)</f>
        <v>0</v>
      </c>
      <c r="H30" s="86" t="b">
        <v>0</v>
      </c>
      <c r="I30" s="87">
        <f t="shared" si="4"/>
        <v>0</v>
      </c>
      <c r="J30" s="99"/>
      <c r="K30" s="99"/>
      <c r="L30" s="80" t="s">
        <v>1476</v>
      </c>
      <c r="M30" s="82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3"/>
      <c r="D31" s="83"/>
      <c r="E31" s="83"/>
      <c r="F31" s="84" t="str">
        <f t="shared" si="3"/>
        <v>0:00</v>
      </c>
      <c r="G31" s="85">
        <f>COUNTIF(RestiaCSV!E:E, B31)</f>
        <v>0</v>
      </c>
      <c r="H31" s="86" t="b">
        <v>0</v>
      </c>
      <c r="I31" s="87">
        <f t="shared" si="4"/>
        <v>0</v>
      </c>
      <c r="J31" s="99"/>
      <c r="K31" s="99"/>
      <c r="L31" s="88"/>
      <c r="M31" s="89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1</v>
      </c>
      <c r="H32" s="105" t="b">
        <v>1</v>
      </c>
      <c r="I32" s="106">
        <f>G32*127</f>
        <v>127</v>
      </c>
      <c r="J32" s="107"/>
      <c r="K32" s="107"/>
      <c r="L32" s="108">
        <f>100%-L29</f>
        <v>0.9333333333</v>
      </c>
      <c r="M32" s="109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"Hegedüs Erik,Bubník Martin"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46175.0</v>
      </c>
      <c r="D1" s="113" t="s">
        <v>1574</v>
      </c>
      <c r="E1" s="114">
        <v>46175.0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0.3399727510739821</v>
      </c>
      <c r="H2" s="22"/>
      <c r="I2" s="118">
        <v>39656.229999999996</v>
      </c>
      <c r="K2" s="22"/>
      <c r="L2" s="119" t="s">
        <v>1550</v>
      </c>
      <c r="M2" s="120">
        <v>12428.3</v>
      </c>
      <c r="N2" s="121"/>
    </row>
    <row r="3">
      <c r="A3" s="122"/>
      <c r="B3" s="123" t="str">
        <f>CHOOSE(WEEKDAY(C1), "Neděle", "Pondělí", "Úterý", "Středa", "Čtvrtek", "Pátek", "Sobota")</f>
        <v>Úterý</v>
      </c>
      <c r="C3" s="28"/>
      <c r="D3" s="123" t="str">
        <f>CHOOSE(WEEKDAY(E1), "Neděle", "Pondělí", "Úterý", "Středa", "Čtvrtek", "Pátek", "Sobota")</f>
        <v>Úterý</v>
      </c>
      <c r="E3" s="12"/>
      <c r="H3" s="22"/>
      <c r="K3" s="22"/>
      <c r="L3" s="124" t="s">
        <v>1551</v>
      </c>
      <c r="M3" s="125">
        <v>3003.0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11246.93</v>
      </c>
      <c r="N4" s="121"/>
    </row>
    <row r="5">
      <c r="A5" s="126"/>
      <c r="B5" s="127" t="s">
        <v>1575</v>
      </c>
      <c r="C5" s="28"/>
      <c r="D5" s="28"/>
      <c r="E5" s="12"/>
      <c r="F5" s="128" t="s">
        <v>1576</v>
      </c>
      <c r="G5" s="28"/>
      <c r="H5" s="28"/>
      <c r="I5" s="28"/>
      <c r="J5" s="28"/>
      <c r="K5" s="12"/>
      <c r="L5" s="129" t="s">
        <v>1554</v>
      </c>
      <c r="M5" s="125">
        <v>6532.0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0.0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15.5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17.5</v>
      </c>
      <c r="G7" s="14"/>
      <c r="H7" s="14"/>
      <c r="I7" s="14"/>
      <c r="J7" s="133"/>
      <c r="K7" s="133"/>
      <c r="L7" s="134" t="s">
        <v>1556</v>
      </c>
      <c r="M7" s="135">
        <v>1139.0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1577</v>
      </c>
      <c r="D9" s="143" t="s">
        <v>1563</v>
      </c>
      <c r="E9" s="144"/>
      <c r="F9" s="142" t="s">
        <v>1559</v>
      </c>
      <c r="G9" s="143" t="s">
        <v>1577</v>
      </c>
      <c r="H9" s="143" t="s">
        <v>1563</v>
      </c>
      <c r="I9" s="145" t="s">
        <v>1567</v>
      </c>
      <c r="J9" s="146">
        <v>0.0</v>
      </c>
      <c r="K9" s="12"/>
      <c r="L9" s="147" t="s">
        <v>23</v>
      </c>
      <c r="M9" s="125">
        <v>2273.0</v>
      </c>
      <c r="N9" s="121"/>
    </row>
    <row r="10" ht="18.75" customHeight="1">
      <c r="A10" s="148"/>
      <c r="B10" s="149" t="s">
        <v>1565</v>
      </c>
      <c r="C10" s="150">
        <v>1.0</v>
      </c>
      <c r="D10" s="150" t="s">
        <v>1578</v>
      </c>
      <c r="E10" s="151" t="s">
        <v>1579</v>
      </c>
      <c r="F10" s="149" t="s">
        <v>1571</v>
      </c>
      <c r="G10" s="150">
        <v>1.0</v>
      </c>
      <c r="H10" s="150" t="s">
        <v>1580</v>
      </c>
      <c r="I10" s="152">
        <v>20.0</v>
      </c>
      <c r="J10" s="37"/>
      <c r="K10" s="22"/>
      <c r="L10" s="147" t="s">
        <v>24</v>
      </c>
      <c r="M10" s="125">
        <v>0.0</v>
      </c>
      <c r="N10" s="121"/>
    </row>
    <row r="11" ht="18.75" customHeight="1">
      <c r="A11" s="148"/>
      <c r="B11" s="149" t="s">
        <v>1581</v>
      </c>
      <c r="C11" s="150">
        <v>1.0</v>
      </c>
      <c r="D11" s="150" t="s">
        <v>1582</v>
      </c>
      <c r="E11" s="151" t="s">
        <v>49</v>
      </c>
      <c r="F11" s="149" t="s">
        <v>1583</v>
      </c>
      <c r="G11" s="150">
        <v>1.0</v>
      </c>
      <c r="H11" s="150" t="s">
        <v>1497</v>
      </c>
      <c r="I11" s="152">
        <v>0.0</v>
      </c>
      <c r="J11" s="37"/>
      <c r="K11" s="22"/>
      <c r="L11" s="153" t="s">
        <v>25</v>
      </c>
      <c r="M11" s="154">
        <v>2401.0</v>
      </c>
      <c r="N11" s="121"/>
    </row>
    <row r="12" ht="18.75" customHeight="1">
      <c r="A12" s="148"/>
      <c r="B12" s="149"/>
      <c r="C12" s="150"/>
      <c r="D12" s="150"/>
      <c r="E12" s="151" t="s">
        <v>50</v>
      </c>
      <c r="F12" s="149"/>
      <c r="G12" s="150"/>
      <c r="H12" s="150"/>
      <c r="I12" s="152"/>
      <c r="J12" s="37"/>
      <c r="K12" s="22"/>
      <c r="L12" s="155" t="s">
        <v>1564</v>
      </c>
      <c r="M12" s="20"/>
      <c r="N12" s="116"/>
    </row>
    <row r="13" ht="18.75" customHeight="1">
      <c r="A13" s="148"/>
      <c r="B13" s="149"/>
      <c r="C13" s="150"/>
      <c r="D13" s="150"/>
      <c r="E13" s="151" t="s">
        <v>50</v>
      </c>
      <c r="F13" s="149"/>
      <c r="G13" s="150"/>
      <c r="H13" s="150"/>
      <c r="I13" s="152"/>
      <c r="J13" s="37"/>
      <c r="K13" s="22"/>
      <c r="L13" s="147" t="s">
        <v>29</v>
      </c>
      <c r="M13" s="125">
        <v>0.0</v>
      </c>
      <c r="N13" s="121"/>
    </row>
    <row r="14" ht="18.75" customHeight="1">
      <c r="A14" s="148"/>
      <c r="B14" s="149"/>
      <c r="C14" s="150"/>
      <c r="D14" s="150"/>
      <c r="E14" s="151" t="s">
        <v>1582</v>
      </c>
      <c r="F14" s="149"/>
      <c r="G14" s="150"/>
      <c r="H14" s="150"/>
      <c r="I14" s="152"/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/>
      <c r="C15" s="150"/>
      <c r="D15" s="150"/>
      <c r="E15" s="151" t="s">
        <v>1582</v>
      </c>
      <c r="F15" s="149"/>
      <c r="G15" s="150"/>
      <c r="H15" s="150"/>
      <c r="I15" s="152"/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/>
      <c r="C16" s="150"/>
      <c r="D16" s="150"/>
      <c r="E16" s="157"/>
      <c r="F16" s="149"/>
      <c r="G16" s="150"/>
      <c r="H16" s="150"/>
      <c r="I16" s="152"/>
      <c r="J16" s="37"/>
      <c r="K16" s="22"/>
      <c r="L16" s="156" t="s">
        <v>32</v>
      </c>
      <c r="M16" s="125">
        <v>872.0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9"/>
      <c r="K17" s="20"/>
      <c r="L17" s="158" t="s">
        <v>33</v>
      </c>
      <c r="M17" s="159">
        <v>900.0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1566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8"/>
      <c r="L20" s="88"/>
      <c r="M20" s="89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0.0</v>
      </c>
      <c r="K21" s="169">
        <v>0.0</v>
      </c>
      <c r="L21" s="170">
        <v>4.0</v>
      </c>
      <c r="M21" s="171" t="s">
        <v>1584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1569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8"/>
      <c r="L23" s="88"/>
      <c r="M23" s="89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1.0</v>
      </c>
      <c r="K24" s="170">
        <v>93.0</v>
      </c>
      <c r="L24" s="170">
        <v>20.0</v>
      </c>
      <c r="M24" s="177">
        <v>0.0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1573</v>
      </c>
      <c r="K25" s="94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8"/>
      <c r="M26" s="89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0.0</v>
      </c>
      <c r="K27" s="96"/>
      <c r="L27" s="182">
        <v>0.2</v>
      </c>
      <c r="M27" s="183">
        <v>0.0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8"/>
      <c r="M29" s="89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</v>
      </c>
      <c r="M30" s="187">
        <v>0.0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1585</v>
      </c>
      <c r="P1" s="1" t="s">
        <v>1586</v>
      </c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 t="s">
        <v>104</v>
      </c>
      <c r="B2" s="1" t="s">
        <v>89</v>
      </c>
      <c r="C2" s="189">
        <v>528.0</v>
      </c>
      <c r="D2" s="1">
        <v>0.0</v>
      </c>
      <c r="E2" s="1" t="s">
        <v>1587</v>
      </c>
      <c r="F2" s="1" t="s">
        <v>91</v>
      </c>
      <c r="G2" s="1" t="s">
        <v>92</v>
      </c>
      <c r="H2" s="1" t="s">
        <v>1588</v>
      </c>
      <c r="I2" s="1" t="s">
        <v>1589</v>
      </c>
      <c r="J2" s="1" t="s">
        <v>1589</v>
      </c>
      <c r="K2" s="188"/>
      <c r="L2" s="1">
        <v>-5.0</v>
      </c>
      <c r="M2" s="1"/>
      <c r="N2" s="1">
        <v>9.744116666666667</v>
      </c>
      <c r="O2" s="1" t="s">
        <v>1590</v>
      </c>
      <c r="P2" s="1" t="s">
        <v>1591</v>
      </c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 t="s">
        <v>104</v>
      </c>
      <c r="B3" s="1" t="s">
        <v>89</v>
      </c>
      <c r="C3" s="189">
        <v>379.0</v>
      </c>
      <c r="D3" s="1">
        <v>0.0</v>
      </c>
      <c r="E3" s="1" t="s">
        <v>1592</v>
      </c>
      <c r="F3" s="1" t="s">
        <v>91</v>
      </c>
      <c r="G3" s="1" t="s">
        <v>92</v>
      </c>
      <c r="H3" s="1" t="s">
        <v>1593</v>
      </c>
      <c r="I3" s="1" t="s">
        <v>1594</v>
      </c>
      <c r="J3" s="1" t="s">
        <v>1594</v>
      </c>
      <c r="K3" s="188"/>
      <c r="L3" s="1">
        <v>-11.0</v>
      </c>
      <c r="M3" s="1"/>
      <c r="N3" s="1">
        <v>7.49225</v>
      </c>
      <c r="O3" s="1" t="s">
        <v>1590</v>
      </c>
      <c r="P3" s="1" t="s">
        <v>1595</v>
      </c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 t="s">
        <v>104</v>
      </c>
      <c r="B4" s="1" t="s">
        <v>89</v>
      </c>
      <c r="C4" s="189">
        <v>329.0</v>
      </c>
      <c r="D4" s="1">
        <v>0.0</v>
      </c>
      <c r="E4" s="1" t="s">
        <v>1596</v>
      </c>
      <c r="F4" s="1" t="s">
        <v>91</v>
      </c>
      <c r="G4" s="1" t="s">
        <v>92</v>
      </c>
      <c r="H4" s="1" t="s">
        <v>1597</v>
      </c>
      <c r="I4" s="1" t="s">
        <v>1598</v>
      </c>
      <c r="J4" s="1" t="s">
        <v>1598</v>
      </c>
      <c r="K4" s="188"/>
      <c r="L4" s="1">
        <v>-8.0</v>
      </c>
      <c r="M4" s="1"/>
      <c r="N4" s="1">
        <v>6.360016666666667</v>
      </c>
      <c r="O4" s="1" t="s">
        <v>1590</v>
      </c>
      <c r="P4" s="1" t="s">
        <v>1599</v>
      </c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 t="s">
        <v>127</v>
      </c>
      <c r="B5" s="1" t="s">
        <v>89</v>
      </c>
      <c r="C5" s="189">
        <v>717.0</v>
      </c>
      <c r="D5" s="1">
        <v>0.0</v>
      </c>
      <c r="E5" s="188"/>
      <c r="F5" s="1" t="s">
        <v>91</v>
      </c>
      <c r="G5" s="1" t="s">
        <v>116</v>
      </c>
      <c r="H5" s="1" t="s">
        <v>1600</v>
      </c>
      <c r="I5" s="1" t="s">
        <v>1601</v>
      </c>
      <c r="J5" s="1" t="s">
        <v>1601</v>
      </c>
      <c r="K5" s="188"/>
      <c r="L5" s="1">
        <v>-7.0</v>
      </c>
      <c r="M5" s="1"/>
      <c r="N5" s="1">
        <v>7.010116666666667</v>
      </c>
      <c r="O5" s="1" t="s">
        <v>1590</v>
      </c>
      <c r="P5" s="1" t="s">
        <v>1602</v>
      </c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 t="s">
        <v>95</v>
      </c>
      <c r="B6" s="1" t="s">
        <v>89</v>
      </c>
      <c r="C6" s="189">
        <v>331.0</v>
      </c>
      <c r="D6" s="1">
        <v>0.0</v>
      </c>
      <c r="E6" s="1" t="s">
        <v>90</v>
      </c>
      <c r="F6" s="1" t="s">
        <v>97</v>
      </c>
      <c r="G6" s="1" t="s">
        <v>92</v>
      </c>
      <c r="H6" s="1" t="s">
        <v>1603</v>
      </c>
      <c r="I6" s="1" t="s">
        <v>1604</v>
      </c>
      <c r="J6" s="1" t="s">
        <v>1605</v>
      </c>
      <c r="K6" s="1" t="s">
        <v>1606</v>
      </c>
      <c r="L6" s="1">
        <v>-9.0</v>
      </c>
      <c r="M6" s="1">
        <v>1.0254833333333333</v>
      </c>
      <c r="N6" s="1">
        <v>7.542816666666667</v>
      </c>
      <c r="O6" s="1" t="s">
        <v>1607</v>
      </c>
      <c r="P6" s="1" t="s">
        <v>1608</v>
      </c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 t="s">
        <v>127</v>
      </c>
      <c r="B7" s="1" t="s">
        <v>89</v>
      </c>
      <c r="C7" s="189">
        <v>264.0</v>
      </c>
      <c r="D7" s="1">
        <v>0.0</v>
      </c>
      <c r="E7" s="188"/>
      <c r="F7" s="1" t="s">
        <v>91</v>
      </c>
      <c r="G7" s="1" t="s">
        <v>116</v>
      </c>
      <c r="H7" s="1" t="s">
        <v>1609</v>
      </c>
      <c r="I7" s="1" t="s">
        <v>1610</v>
      </c>
      <c r="J7" s="1" t="s">
        <v>1610</v>
      </c>
      <c r="K7" s="188"/>
      <c r="L7" s="1">
        <v>-8.0</v>
      </c>
      <c r="M7" s="1"/>
      <c r="N7" s="1">
        <v>6.927816666666667</v>
      </c>
      <c r="O7" s="1" t="s">
        <v>1590</v>
      </c>
      <c r="P7" s="1" t="s">
        <v>1611</v>
      </c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 t="s">
        <v>127</v>
      </c>
      <c r="B8" s="1" t="s">
        <v>89</v>
      </c>
      <c r="C8" s="189">
        <v>379.0</v>
      </c>
      <c r="D8" s="1">
        <v>0.0</v>
      </c>
      <c r="E8" s="188"/>
      <c r="F8" s="1" t="s">
        <v>91</v>
      </c>
      <c r="G8" s="1" t="s">
        <v>92</v>
      </c>
      <c r="H8" s="1" t="s">
        <v>1612</v>
      </c>
      <c r="I8" s="1" t="s">
        <v>1613</v>
      </c>
      <c r="J8" s="1" t="s">
        <v>1613</v>
      </c>
      <c r="K8" s="188"/>
      <c r="L8" s="1">
        <v>-8.0</v>
      </c>
      <c r="M8" s="1"/>
      <c r="N8" s="1">
        <v>6.028016666666667</v>
      </c>
      <c r="O8" s="1" t="s">
        <v>1590</v>
      </c>
      <c r="P8" s="1" t="s">
        <v>1614</v>
      </c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 t="s">
        <v>127</v>
      </c>
      <c r="B9" s="1" t="s">
        <v>89</v>
      </c>
      <c r="C9" s="189">
        <v>658.0</v>
      </c>
      <c r="D9" s="1">
        <v>0.0</v>
      </c>
      <c r="E9" s="188"/>
      <c r="F9" s="1" t="s">
        <v>91</v>
      </c>
      <c r="G9" s="1" t="s">
        <v>92</v>
      </c>
      <c r="H9" s="1" t="s">
        <v>1615</v>
      </c>
      <c r="I9" s="1" t="s">
        <v>1616</v>
      </c>
      <c r="J9" s="1" t="s">
        <v>1616</v>
      </c>
      <c r="K9" s="188"/>
      <c r="L9" s="1">
        <v>-6.0</v>
      </c>
      <c r="M9" s="1"/>
      <c r="N9" s="1">
        <v>8.594116666666666</v>
      </c>
      <c r="O9" s="1" t="s">
        <v>1590</v>
      </c>
      <c r="P9" s="1" t="s">
        <v>1617</v>
      </c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 t="s">
        <v>127</v>
      </c>
      <c r="B10" s="189" t="s">
        <v>89</v>
      </c>
      <c r="C10" s="189">
        <v>510.83</v>
      </c>
      <c r="D10" s="1">
        <v>131.17</v>
      </c>
      <c r="E10" s="188"/>
      <c r="F10" s="1" t="s">
        <v>91</v>
      </c>
      <c r="G10" s="1" t="s">
        <v>92</v>
      </c>
      <c r="H10" s="1" t="s">
        <v>1618</v>
      </c>
      <c r="I10" s="1" t="s">
        <v>1619</v>
      </c>
      <c r="J10" s="1" t="s">
        <v>1619</v>
      </c>
      <c r="K10" s="188"/>
      <c r="L10" s="1">
        <v>-1.0</v>
      </c>
      <c r="M10" s="1"/>
      <c r="N10" s="1">
        <v>13.689916666666667</v>
      </c>
      <c r="O10" s="1" t="s">
        <v>1590</v>
      </c>
      <c r="P10" s="1" t="s">
        <v>1620</v>
      </c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 t="s">
        <v>127</v>
      </c>
      <c r="B11" s="1" t="s">
        <v>89</v>
      </c>
      <c r="C11" s="189">
        <v>204.6</v>
      </c>
      <c r="D11" s="1">
        <v>59.4</v>
      </c>
      <c r="E11" s="188"/>
      <c r="F11" s="1" t="s">
        <v>91</v>
      </c>
      <c r="G11" s="1" t="s">
        <v>92</v>
      </c>
      <c r="H11" s="1" t="s">
        <v>1621</v>
      </c>
      <c r="I11" s="1" t="s">
        <v>1622</v>
      </c>
      <c r="J11" s="1" t="s">
        <v>1622</v>
      </c>
      <c r="K11" s="188"/>
      <c r="L11" s="1">
        <v>-6.0</v>
      </c>
      <c r="M11" s="1"/>
      <c r="N11" s="1">
        <v>8.265333333333333</v>
      </c>
      <c r="O11" s="1" t="s">
        <v>1590</v>
      </c>
      <c r="P11" s="1" t="s">
        <v>1623</v>
      </c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 t="s">
        <v>127</v>
      </c>
      <c r="B12" s="1" t="s">
        <v>89</v>
      </c>
      <c r="C12" s="189">
        <v>321.0</v>
      </c>
      <c r="D12" s="1">
        <v>0.0</v>
      </c>
      <c r="E12" s="188"/>
      <c r="F12" s="1" t="s">
        <v>91</v>
      </c>
      <c r="G12" s="1" t="s">
        <v>92</v>
      </c>
      <c r="H12" s="1" t="s">
        <v>1624</v>
      </c>
      <c r="I12" s="1" t="s">
        <v>1625</v>
      </c>
      <c r="J12" s="1" t="s">
        <v>1625</v>
      </c>
      <c r="K12" s="188"/>
      <c r="L12" s="1">
        <v>-6.0</v>
      </c>
      <c r="M12" s="1"/>
      <c r="N12" s="1">
        <v>8.431833333333334</v>
      </c>
      <c r="O12" s="1" t="s">
        <v>1590</v>
      </c>
      <c r="P12" s="1" t="s">
        <v>1626</v>
      </c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 t="s">
        <v>127</v>
      </c>
      <c r="B13" s="1" t="s">
        <v>89</v>
      </c>
      <c r="C13" s="189">
        <v>453.0</v>
      </c>
      <c r="D13" s="1">
        <v>0.0</v>
      </c>
      <c r="E13" s="188"/>
      <c r="F13" s="1" t="s">
        <v>91</v>
      </c>
      <c r="G13" s="1" t="s">
        <v>92</v>
      </c>
      <c r="H13" s="1" t="s">
        <v>1627</v>
      </c>
      <c r="I13" s="1" t="s">
        <v>1628</v>
      </c>
      <c r="J13" s="1" t="s">
        <v>1628</v>
      </c>
      <c r="K13" s="188"/>
      <c r="L13" s="1">
        <v>-7.0</v>
      </c>
      <c r="M13" s="1"/>
      <c r="N13" s="1">
        <v>7.83385</v>
      </c>
      <c r="O13" s="1" t="s">
        <v>1590</v>
      </c>
      <c r="P13" s="1" t="s">
        <v>1629</v>
      </c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 t="s">
        <v>88</v>
      </c>
      <c r="B14" s="1" t="s">
        <v>89</v>
      </c>
      <c r="C14" s="189">
        <v>264.0</v>
      </c>
      <c r="D14" s="1">
        <v>0.0</v>
      </c>
      <c r="E14" s="1" t="s">
        <v>90</v>
      </c>
      <c r="F14" s="1" t="s">
        <v>91</v>
      </c>
      <c r="G14" s="1" t="s">
        <v>92</v>
      </c>
      <c r="H14" s="1" t="s">
        <v>1630</v>
      </c>
      <c r="I14" s="1" t="s">
        <v>1631</v>
      </c>
      <c r="J14" s="1" t="s">
        <v>1631</v>
      </c>
      <c r="K14" s="188"/>
      <c r="L14" s="1">
        <v>-9.0</v>
      </c>
      <c r="M14" s="1"/>
      <c r="N14" s="1">
        <v>5.6708</v>
      </c>
      <c r="O14" s="1" t="s">
        <v>1590</v>
      </c>
      <c r="P14" s="1" t="s">
        <v>1632</v>
      </c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 t="s">
        <v>127</v>
      </c>
      <c r="B15" s="1" t="s">
        <v>89</v>
      </c>
      <c r="C15" s="189">
        <v>446.0</v>
      </c>
      <c r="D15" s="1">
        <v>0.0</v>
      </c>
      <c r="E15" s="188"/>
      <c r="F15" s="1" t="s">
        <v>91</v>
      </c>
      <c r="G15" s="1" t="s">
        <v>116</v>
      </c>
      <c r="H15" s="1" t="s">
        <v>1633</v>
      </c>
      <c r="I15" s="1" t="s">
        <v>1634</v>
      </c>
      <c r="J15" s="1" t="s">
        <v>1634</v>
      </c>
      <c r="K15" s="188"/>
      <c r="L15" s="1">
        <v>-7.0</v>
      </c>
      <c r="M15" s="1"/>
      <c r="N15" s="1">
        <v>7.4641</v>
      </c>
      <c r="O15" s="1" t="s">
        <v>1590</v>
      </c>
      <c r="P15" s="1" t="s">
        <v>1635</v>
      </c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 t="s">
        <v>127</v>
      </c>
      <c r="B16" s="189" t="s">
        <v>89</v>
      </c>
      <c r="C16" s="1">
        <v>256.53</v>
      </c>
      <c r="D16" s="1">
        <v>74.47</v>
      </c>
      <c r="E16" s="188"/>
      <c r="F16" s="1" t="s">
        <v>91</v>
      </c>
      <c r="G16" s="1" t="s">
        <v>92</v>
      </c>
      <c r="H16" s="1" t="s">
        <v>1636</v>
      </c>
      <c r="I16" s="1" t="s">
        <v>1637</v>
      </c>
      <c r="J16" s="1" t="s">
        <v>1637</v>
      </c>
      <c r="K16" s="188"/>
      <c r="L16" s="1">
        <v>-8.0</v>
      </c>
      <c r="M16" s="1"/>
      <c r="N16" s="1">
        <v>6.7922</v>
      </c>
      <c r="O16" s="1" t="s">
        <v>1590</v>
      </c>
      <c r="P16" s="1" t="s">
        <v>1638</v>
      </c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 t="s">
        <v>127</v>
      </c>
      <c r="B17" s="1" t="s">
        <v>89</v>
      </c>
      <c r="C17" s="189">
        <v>329.0</v>
      </c>
      <c r="D17" s="1">
        <v>0.0</v>
      </c>
      <c r="E17" s="188"/>
      <c r="F17" s="1" t="s">
        <v>91</v>
      </c>
      <c r="G17" s="1" t="s">
        <v>92</v>
      </c>
      <c r="H17" s="1" t="s">
        <v>1639</v>
      </c>
      <c r="I17" s="1" t="s">
        <v>1640</v>
      </c>
      <c r="J17" s="1" t="s">
        <v>1640</v>
      </c>
      <c r="K17" s="188"/>
      <c r="L17" s="1">
        <v>-7.0</v>
      </c>
      <c r="M17" s="1"/>
      <c r="N17" s="1">
        <v>7.68195</v>
      </c>
      <c r="O17" s="1" t="s">
        <v>1590</v>
      </c>
      <c r="P17" s="1" t="s">
        <v>1641</v>
      </c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 t="s">
        <v>127</v>
      </c>
      <c r="B18" s="1" t="s">
        <v>89</v>
      </c>
      <c r="C18" s="189">
        <v>330.28</v>
      </c>
      <c r="D18" s="1">
        <v>85.72</v>
      </c>
      <c r="E18" s="188"/>
      <c r="F18" s="1" t="s">
        <v>91</v>
      </c>
      <c r="G18" s="1" t="s">
        <v>92</v>
      </c>
      <c r="H18" s="1" t="s">
        <v>1642</v>
      </c>
      <c r="I18" s="1" t="s">
        <v>1643</v>
      </c>
      <c r="J18" s="1" t="s">
        <v>1643</v>
      </c>
      <c r="K18" s="188"/>
      <c r="L18" s="1">
        <v>-4.0</v>
      </c>
      <c r="M18" s="1"/>
      <c r="N18" s="1">
        <v>10.310016666666666</v>
      </c>
      <c r="O18" s="1" t="s">
        <v>1590</v>
      </c>
      <c r="P18" s="1" t="s">
        <v>1644</v>
      </c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 t="s">
        <v>127</v>
      </c>
      <c r="B19" s="1" t="s">
        <v>89</v>
      </c>
      <c r="C19" s="189">
        <v>264.0</v>
      </c>
      <c r="D19" s="1">
        <v>0.0</v>
      </c>
      <c r="E19" s="188"/>
      <c r="F19" s="1" t="s">
        <v>91</v>
      </c>
      <c r="G19" s="1" t="s">
        <v>92</v>
      </c>
      <c r="H19" s="1" t="s">
        <v>1645</v>
      </c>
      <c r="I19" s="1" t="s">
        <v>1646</v>
      </c>
      <c r="J19" s="1" t="s">
        <v>1646</v>
      </c>
      <c r="K19" s="188"/>
      <c r="L19" s="1">
        <v>-7.0</v>
      </c>
      <c r="M19" s="1"/>
      <c r="N19" s="1">
        <v>7.4315</v>
      </c>
      <c r="O19" s="1" t="s">
        <v>1590</v>
      </c>
      <c r="P19" s="1" t="s">
        <v>1623</v>
      </c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 t="s">
        <v>127</v>
      </c>
      <c r="B20" s="1" t="s">
        <v>89</v>
      </c>
      <c r="C20" s="189">
        <v>329.0</v>
      </c>
      <c r="D20" s="1">
        <v>0.0</v>
      </c>
      <c r="E20" s="188"/>
      <c r="F20" s="1" t="s">
        <v>91</v>
      </c>
      <c r="G20" s="1" t="s">
        <v>92</v>
      </c>
      <c r="H20" s="1" t="s">
        <v>1647</v>
      </c>
      <c r="I20" s="1" t="s">
        <v>1648</v>
      </c>
      <c r="J20" s="1" t="s">
        <v>1648</v>
      </c>
      <c r="K20" s="188"/>
      <c r="L20" s="1">
        <v>-6.0</v>
      </c>
      <c r="M20" s="1"/>
      <c r="N20" s="1">
        <v>8.092433333333334</v>
      </c>
      <c r="O20" s="1" t="s">
        <v>1590</v>
      </c>
      <c r="P20" s="1" t="s">
        <v>1649</v>
      </c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 t="s">
        <v>127</v>
      </c>
      <c r="B21" s="1" t="s">
        <v>89</v>
      </c>
      <c r="C21" s="189">
        <v>340.0</v>
      </c>
      <c r="D21" s="1">
        <v>0.0</v>
      </c>
      <c r="E21" s="188"/>
      <c r="F21" s="1" t="s">
        <v>91</v>
      </c>
      <c r="G21" s="1" t="s">
        <v>116</v>
      </c>
      <c r="H21" s="1" t="s">
        <v>1650</v>
      </c>
      <c r="I21" s="1" t="s">
        <v>1651</v>
      </c>
      <c r="J21" s="1" t="s">
        <v>1651</v>
      </c>
      <c r="K21" s="188"/>
      <c r="L21" s="1">
        <v>-8.0</v>
      </c>
      <c r="M21" s="1"/>
      <c r="N21" s="1">
        <v>6.7709166666666665</v>
      </c>
      <c r="O21" s="1" t="s">
        <v>1590</v>
      </c>
      <c r="P21" s="1" t="s">
        <v>1652</v>
      </c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 t="s">
        <v>95</v>
      </c>
      <c r="B22" s="1" t="s">
        <v>89</v>
      </c>
      <c r="C22" s="189">
        <v>267.0</v>
      </c>
      <c r="D22" s="1">
        <v>62.0</v>
      </c>
      <c r="E22" s="188"/>
      <c r="F22" s="1" t="s">
        <v>149</v>
      </c>
      <c r="G22" s="1" t="s">
        <v>92</v>
      </c>
      <c r="H22" s="1" t="s">
        <v>1653</v>
      </c>
      <c r="I22" s="1" t="s">
        <v>1654</v>
      </c>
      <c r="J22" s="1" t="s">
        <v>1654</v>
      </c>
      <c r="K22" s="188"/>
      <c r="L22" s="1">
        <v>-10.0</v>
      </c>
      <c r="M22" s="1"/>
      <c r="N22" s="1">
        <v>8.105116666666667</v>
      </c>
      <c r="O22" s="1" t="s">
        <v>1607</v>
      </c>
      <c r="P22" s="1" t="s">
        <v>1655</v>
      </c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 t="s">
        <v>127</v>
      </c>
      <c r="B23" s="1" t="s">
        <v>89</v>
      </c>
      <c r="C23" s="189">
        <v>501.85</v>
      </c>
      <c r="D23" s="1">
        <v>66.15</v>
      </c>
      <c r="E23" s="188"/>
      <c r="F23" s="1" t="s">
        <v>91</v>
      </c>
      <c r="G23" s="1" t="s">
        <v>92</v>
      </c>
      <c r="H23" s="1" t="s">
        <v>1656</v>
      </c>
      <c r="I23" s="1" t="s">
        <v>1657</v>
      </c>
      <c r="J23" s="1" t="s">
        <v>1657</v>
      </c>
      <c r="K23" s="188"/>
      <c r="L23" s="1">
        <v>-6.0</v>
      </c>
      <c r="M23" s="1"/>
      <c r="N23" s="1">
        <v>8.265383333333334</v>
      </c>
      <c r="O23" s="1" t="s">
        <v>1590</v>
      </c>
      <c r="P23" s="1" t="s">
        <v>1658</v>
      </c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 t="s">
        <v>127</v>
      </c>
      <c r="B24" s="1" t="s">
        <v>89</v>
      </c>
      <c r="C24" s="189">
        <v>388.0</v>
      </c>
      <c r="D24" s="1">
        <v>0.0</v>
      </c>
      <c r="E24" s="188"/>
      <c r="F24" s="1" t="s">
        <v>91</v>
      </c>
      <c r="G24" s="1" t="s">
        <v>92</v>
      </c>
      <c r="H24" s="1" t="s">
        <v>1659</v>
      </c>
      <c r="I24" s="1" t="s">
        <v>1660</v>
      </c>
      <c r="J24" s="1" t="s">
        <v>1660</v>
      </c>
      <c r="K24" s="188"/>
      <c r="L24" s="1">
        <v>-9.0</v>
      </c>
      <c r="M24" s="1"/>
      <c r="N24" s="1">
        <v>5.902466666666666</v>
      </c>
      <c r="O24" s="1" t="s">
        <v>1590</v>
      </c>
      <c r="P24" s="1" t="s">
        <v>1661</v>
      </c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 t="s">
        <v>104</v>
      </c>
      <c r="B25" s="1" t="s">
        <v>89</v>
      </c>
      <c r="C25" s="189">
        <v>329.0</v>
      </c>
      <c r="D25" s="1">
        <v>0.0</v>
      </c>
      <c r="E25" s="1" t="s">
        <v>372</v>
      </c>
      <c r="F25" s="1" t="s">
        <v>91</v>
      </c>
      <c r="G25" s="1" t="s">
        <v>92</v>
      </c>
      <c r="H25" s="1" t="s">
        <v>1662</v>
      </c>
      <c r="I25" s="1" t="s">
        <v>1663</v>
      </c>
      <c r="J25" s="1" t="s">
        <v>1663</v>
      </c>
      <c r="K25" s="188"/>
      <c r="L25" s="1">
        <v>-8.0</v>
      </c>
      <c r="M25" s="1"/>
      <c r="N25" s="1">
        <v>6.622916666666667</v>
      </c>
      <c r="O25" s="1" t="s">
        <v>1590</v>
      </c>
      <c r="P25" s="1" t="s">
        <v>1664</v>
      </c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 t="s">
        <v>88</v>
      </c>
      <c r="B26" s="1" t="s">
        <v>89</v>
      </c>
      <c r="C26" s="189">
        <v>658.0</v>
      </c>
      <c r="D26" s="1">
        <v>0.0</v>
      </c>
      <c r="E26" s="1" t="s">
        <v>90</v>
      </c>
      <c r="F26" s="1" t="s">
        <v>91</v>
      </c>
      <c r="G26" s="1" t="s">
        <v>92</v>
      </c>
      <c r="H26" s="1" t="s">
        <v>1665</v>
      </c>
      <c r="I26" s="1" t="s">
        <v>1666</v>
      </c>
      <c r="J26" s="1" t="s">
        <v>1666</v>
      </c>
      <c r="K26" s="188"/>
      <c r="L26" s="1">
        <v>-7.0</v>
      </c>
      <c r="M26" s="1"/>
      <c r="N26" s="1">
        <v>7.29865</v>
      </c>
      <c r="O26" s="1" t="s">
        <v>1590</v>
      </c>
      <c r="P26" s="1" t="s">
        <v>1667</v>
      </c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 t="s">
        <v>88</v>
      </c>
      <c r="B27" s="1" t="s">
        <v>89</v>
      </c>
      <c r="C27" s="189">
        <v>364.0</v>
      </c>
      <c r="D27" s="1">
        <v>0.0</v>
      </c>
      <c r="E27" s="1" t="s">
        <v>90</v>
      </c>
      <c r="F27" s="1" t="s">
        <v>91</v>
      </c>
      <c r="G27" s="1" t="s">
        <v>92</v>
      </c>
      <c r="H27" s="1" t="s">
        <v>1668</v>
      </c>
      <c r="I27" s="1" t="s">
        <v>1669</v>
      </c>
      <c r="J27" s="1" t="s">
        <v>1669</v>
      </c>
      <c r="K27" s="188"/>
      <c r="L27" s="1">
        <v>-8.0</v>
      </c>
      <c r="M27" s="1"/>
      <c r="N27" s="1">
        <v>6.667166666666667</v>
      </c>
      <c r="O27" s="1" t="s">
        <v>1590</v>
      </c>
      <c r="P27" s="1" t="s">
        <v>1670</v>
      </c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 t="s">
        <v>127</v>
      </c>
      <c r="B28" s="189" t="s">
        <v>89</v>
      </c>
      <c r="C28" s="189">
        <v>251.1</v>
      </c>
      <c r="D28" s="1">
        <v>72.9</v>
      </c>
      <c r="E28" s="188"/>
      <c r="F28" s="1" t="s">
        <v>91</v>
      </c>
      <c r="G28" s="1" t="s">
        <v>92</v>
      </c>
      <c r="H28" s="1" t="s">
        <v>1671</v>
      </c>
      <c r="I28" s="1" t="s">
        <v>1672</v>
      </c>
      <c r="J28" s="1" t="s">
        <v>1672</v>
      </c>
      <c r="K28" s="188"/>
      <c r="L28" s="1">
        <v>-7.0</v>
      </c>
      <c r="M28" s="1"/>
      <c r="N28" s="1">
        <v>7.6992666666666665</v>
      </c>
      <c r="O28" s="1" t="s">
        <v>1590</v>
      </c>
      <c r="P28" s="1" t="s">
        <v>1673</v>
      </c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 t="s">
        <v>88</v>
      </c>
      <c r="B29" s="1" t="s">
        <v>89</v>
      </c>
      <c r="C29" s="189">
        <v>987.0</v>
      </c>
      <c r="D29" s="1">
        <v>0.0</v>
      </c>
      <c r="E29" s="1" t="s">
        <v>90</v>
      </c>
      <c r="F29" s="1" t="s">
        <v>91</v>
      </c>
      <c r="G29" s="1" t="s">
        <v>92</v>
      </c>
      <c r="H29" s="1" t="s">
        <v>1674</v>
      </c>
      <c r="I29" s="1" t="s">
        <v>1675</v>
      </c>
      <c r="J29" s="1" t="s">
        <v>1675</v>
      </c>
      <c r="K29" s="188"/>
      <c r="L29" s="1">
        <v>-4.0</v>
      </c>
      <c r="M29" s="1"/>
      <c r="N29" s="1">
        <v>10.0288</v>
      </c>
      <c r="O29" s="1" t="s">
        <v>1590</v>
      </c>
      <c r="P29" s="1" t="s">
        <v>1676</v>
      </c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 t="s">
        <v>127</v>
      </c>
      <c r="B30" s="189" t="s">
        <v>89</v>
      </c>
      <c r="C30" s="189">
        <v>329.0</v>
      </c>
      <c r="D30" s="1">
        <v>0.0</v>
      </c>
      <c r="E30" s="188"/>
      <c r="F30" s="1" t="s">
        <v>91</v>
      </c>
      <c r="G30" s="1" t="s">
        <v>92</v>
      </c>
      <c r="H30" s="1" t="s">
        <v>1677</v>
      </c>
      <c r="I30" s="1" t="s">
        <v>1678</v>
      </c>
      <c r="J30" s="1" t="s">
        <v>1678</v>
      </c>
      <c r="K30" s="188"/>
      <c r="L30" s="1">
        <v>-7.0</v>
      </c>
      <c r="M30" s="1"/>
      <c r="N30" s="1">
        <v>7.032133333333333</v>
      </c>
      <c r="O30" s="1" t="s">
        <v>1590</v>
      </c>
      <c r="P30" s="1" t="s">
        <v>1679</v>
      </c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 t="s">
        <v>88</v>
      </c>
      <c r="B31" s="1" t="s">
        <v>89</v>
      </c>
      <c r="C31" s="189">
        <v>379.0</v>
      </c>
      <c r="D31" s="1">
        <v>0.0</v>
      </c>
      <c r="E31" s="1" t="s">
        <v>90</v>
      </c>
      <c r="F31" s="1" t="s">
        <v>91</v>
      </c>
      <c r="G31" s="1" t="s">
        <v>92</v>
      </c>
      <c r="H31" s="1" t="s">
        <v>1680</v>
      </c>
      <c r="I31" s="1" t="s">
        <v>1681</v>
      </c>
      <c r="J31" s="1" t="s">
        <v>1681</v>
      </c>
      <c r="K31" s="188"/>
      <c r="L31" s="1">
        <v>-7.0</v>
      </c>
      <c r="M31" s="1"/>
      <c r="N31" s="1">
        <v>7.180466666666667</v>
      </c>
      <c r="O31" s="1" t="s">
        <v>1590</v>
      </c>
      <c r="P31" s="1" t="s">
        <v>1682</v>
      </c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 t="s">
        <v>169</v>
      </c>
      <c r="B32" s="189" t="s">
        <v>89</v>
      </c>
      <c r="C32" s="189">
        <v>618.0</v>
      </c>
      <c r="D32" s="1">
        <v>0.0</v>
      </c>
      <c r="E32" s="188"/>
      <c r="F32" s="1" t="s">
        <v>149</v>
      </c>
      <c r="G32" s="1" t="s">
        <v>116</v>
      </c>
      <c r="H32" s="1" t="s">
        <v>1683</v>
      </c>
      <c r="I32" s="1" t="s">
        <v>1684</v>
      </c>
      <c r="J32" s="1" t="s">
        <v>1684</v>
      </c>
      <c r="K32" s="188"/>
      <c r="L32" s="1">
        <v>1.0</v>
      </c>
      <c r="M32" s="1"/>
      <c r="N32" s="1">
        <v>6.9612</v>
      </c>
      <c r="O32" s="1" t="s">
        <v>1685</v>
      </c>
      <c r="P32" s="1" t="s">
        <v>1686</v>
      </c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 t="s">
        <v>88</v>
      </c>
      <c r="B33" s="1" t="s">
        <v>89</v>
      </c>
      <c r="C33" s="189">
        <v>329.0</v>
      </c>
      <c r="D33" s="1">
        <v>0.0</v>
      </c>
      <c r="E33" s="1" t="s">
        <v>90</v>
      </c>
      <c r="F33" s="1" t="s">
        <v>91</v>
      </c>
      <c r="G33" s="1" t="s">
        <v>92</v>
      </c>
      <c r="H33" s="1" t="s">
        <v>1687</v>
      </c>
      <c r="I33" s="1" t="s">
        <v>1688</v>
      </c>
      <c r="J33" s="1" t="s">
        <v>1688</v>
      </c>
      <c r="K33" s="188"/>
      <c r="L33" s="1">
        <v>-13.0</v>
      </c>
      <c r="M33" s="1"/>
      <c r="N33" s="1">
        <v>1.8571666666666666</v>
      </c>
      <c r="O33" s="1" t="s">
        <v>1590</v>
      </c>
      <c r="P33" s="1" t="s">
        <v>1689</v>
      </c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 t="s">
        <v>88</v>
      </c>
      <c r="B34" s="189" t="s">
        <v>89</v>
      </c>
      <c r="C34" s="189">
        <v>399.0</v>
      </c>
      <c r="D34" s="1">
        <v>0.0</v>
      </c>
      <c r="E34" s="1" t="s">
        <v>90</v>
      </c>
      <c r="F34" s="1" t="s">
        <v>91</v>
      </c>
      <c r="G34" s="1" t="s">
        <v>92</v>
      </c>
      <c r="H34" s="1" t="s">
        <v>1690</v>
      </c>
      <c r="I34" s="1" t="s">
        <v>1691</v>
      </c>
      <c r="J34" s="1" t="s">
        <v>1691</v>
      </c>
      <c r="K34" s="188"/>
      <c r="L34" s="1">
        <v>-4.0</v>
      </c>
      <c r="M34" s="1"/>
      <c r="N34" s="1">
        <v>10.35285</v>
      </c>
      <c r="O34" s="1" t="s">
        <v>1590</v>
      </c>
      <c r="P34" s="1" t="s">
        <v>1692</v>
      </c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 t="s">
        <v>88</v>
      </c>
      <c r="B35" s="1" t="s">
        <v>89</v>
      </c>
      <c r="C35" s="189">
        <v>348.0</v>
      </c>
      <c r="D35" s="1">
        <v>0.0</v>
      </c>
      <c r="E35" s="1" t="s">
        <v>90</v>
      </c>
      <c r="F35" s="1" t="s">
        <v>91</v>
      </c>
      <c r="G35" s="1" t="s">
        <v>92</v>
      </c>
      <c r="H35" s="1" t="s">
        <v>1693</v>
      </c>
      <c r="I35" s="1" t="s">
        <v>1694</v>
      </c>
      <c r="J35" s="1" t="s">
        <v>1694</v>
      </c>
      <c r="K35" s="188"/>
      <c r="L35" s="1">
        <v>-2.0</v>
      </c>
      <c r="M35" s="1"/>
      <c r="N35" s="1">
        <v>12.82415</v>
      </c>
      <c r="O35" s="1" t="s">
        <v>1590</v>
      </c>
      <c r="P35" s="1" t="s">
        <v>1695</v>
      </c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 t="s">
        <v>127</v>
      </c>
      <c r="B36" s="1" t="s">
        <v>89</v>
      </c>
      <c r="C36" s="189">
        <v>1241.0</v>
      </c>
      <c r="D36" s="1">
        <v>0.0</v>
      </c>
      <c r="E36" s="188"/>
      <c r="F36" s="1" t="s">
        <v>91</v>
      </c>
      <c r="G36" s="1" t="s">
        <v>92</v>
      </c>
      <c r="H36" s="1" t="s">
        <v>1696</v>
      </c>
      <c r="I36" s="1" t="s">
        <v>1697</v>
      </c>
      <c r="J36" s="1" t="s">
        <v>1697</v>
      </c>
      <c r="K36" s="188"/>
      <c r="L36" s="1">
        <v>1.0</v>
      </c>
      <c r="M36" s="1"/>
      <c r="N36" s="1">
        <v>16.82485</v>
      </c>
      <c r="O36" s="1" t="s">
        <v>1590</v>
      </c>
      <c r="P36" s="1" t="s">
        <v>1698</v>
      </c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 t="s">
        <v>104</v>
      </c>
      <c r="B37" s="189" t="s">
        <v>89</v>
      </c>
      <c r="C37" s="189">
        <v>578.0</v>
      </c>
      <c r="D37" s="1">
        <v>0.0</v>
      </c>
      <c r="E37" s="1" t="s">
        <v>1699</v>
      </c>
      <c r="F37" s="1" t="s">
        <v>91</v>
      </c>
      <c r="G37" s="1" t="s">
        <v>92</v>
      </c>
      <c r="H37" s="1" t="s">
        <v>1700</v>
      </c>
      <c r="I37" s="1" t="s">
        <v>1701</v>
      </c>
      <c r="J37" s="1" t="s">
        <v>1701</v>
      </c>
      <c r="K37" s="188"/>
      <c r="L37" s="1">
        <v>-1.0</v>
      </c>
      <c r="M37" s="1"/>
      <c r="N37" s="1">
        <v>13.845233333333333</v>
      </c>
      <c r="O37" s="1" t="s">
        <v>1590</v>
      </c>
      <c r="P37" s="1" t="s">
        <v>1702</v>
      </c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 t="s">
        <v>95</v>
      </c>
      <c r="B38" s="1" t="s">
        <v>89</v>
      </c>
      <c r="C38" s="189">
        <v>386.0</v>
      </c>
      <c r="D38" s="1">
        <v>62.0</v>
      </c>
      <c r="E38" s="188"/>
      <c r="F38" s="1" t="s">
        <v>149</v>
      </c>
      <c r="G38" s="1" t="s">
        <v>153</v>
      </c>
      <c r="H38" s="1" t="s">
        <v>1703</v>
      </c>
      <c r="I38" s="1" t="s">
        <v>1704</v>
      </c>
      <c r="J38" s="1" t="s">
        <v>1704</v>
      </c>
      <c r="K38" s="188"/>
      <c r="L38" s="1">
        <v>-12.0</v>
      </c>
      <c r="M38" s="1"/>
      <c r="N38" s="1">
        <v>6.473866666666667</v>
      </c>
      <c r="O38" s="1" t="s">
        <v>1607</v>
      </c>
      <c r="P38" s="1" t="s">
        <v>1705</v>
      </c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 t="s">
        <v>127</v>
      </c>
      <c r="B39" s="1" t="s">
        <v>89</v>
      </c>
      <c r="C39" s="189">
        <v>329.0</v>
      </c>
      <c r="D39" s="1">
        <v>0.0</v>
      </c>
      <c r="E39" s="188"/>
      <c r="F39" s="1" t="s">
        <v>91</v>
      </c>
      <c r="G39" s="1" t="s">
        <v>92</v>
      </c>
      <c r="H39" s="1" t="s">
        <v>1706</v>
      </c>
      <c r="I39" s="1" t="s">
        <v>1707</v>
      </c>
      <c r="J39" s="1" t="s">
        <v>1707</v>
      </c>
      <c r="K39" s="188"/>
      <c r="L39" s="1">
        <v>-6.0</v>
      </c>
      <c r="M39" s="1"/>
      <c r="N39" s="1">
        <v>8.96415</v>
      </c>
      <c r="O39" s="1" t="s">
        <v>1590</v>
      </c>
      <c r="P39" s="1" t="s">
        <v>1708</v>
      </c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 t="s">
        <v>127</v>
      </c>
      <c r="B40" s="1" t="s">
        <v>89</v>
      </c>
      <c r="C40" s="1">
        <v>429.0</v>
      </c>
      <c r="D40" s="1">
        <v>0.0</v>
      </c>
      <c r="E40" s="188"/>
      <c r="F40" s="1" t="s">
        <v>91</v>
      </c>
      <c r="G40" s="1" t="s">
        <v>116</v>
      </c>
      <c r="H40" s="1" t="s">
        <v>1709</v>
      </c>
      <c r="I40" s="1" t="s">
        <v>1710</v>
      </c>
      <c r="J40" s="1" t="s">
        <v>1710</v>
      </c>
      <c r="K40" s="188"/>
      <c r="L40" s="1">
        <v>5.0</v>
      </c>
      <c r="M40" s="1"/>
      <c r="N40" s="1">
        <v>20.39215</v>
      </c>
      <c r="O40" s="1" t="s">
        <v>1590</v>
      </c>
      <c r="P40" s="1" t="s">
        <v>1711</v>
      </c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 t="s">
        <v>88</v>
      </c>
      <c r="B41" s="1" t="s">
        <v>89</v>
      </c>
      <c r="C41" s="1">
        <v>637.0</v>
      </c>
      <c r="D41" s="1">
        <v>0.0</v>
      </c>
      <c r="E41" s="1" t="s">
        <v>90</v>
      </c>
      <c r="F41" s="1" t="s">
        <v>91</v>
      </c>
      <c r="G41" s="1" t="s">
        <v>92</v>
      </c>
      <c r="H41" s="1" t="s">
        <v>1712</v>
      </c>
      <c r="I41" s="1" t="s">
        <v>1713</v>
      </c>
      <c r="J41" s="1" t="s">
        <v>1713</v>
      </c>
      <c r="K41" s="188"/>
      <c r="L41" s="1">
        <v>3.0</v>
      </c>
      <c r="M41" s="1"/>
      <c r="N41" s="1">
        <v>18.18355</v>
      </c>
      <c r="O41" s="1" t="s">
        <v>1590</v>
      </c>
      <c r="P41" s="1" t="s">
        <v>1714</v>
      </c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 t="s">
        <v>127</v>
      </c>
      <c r="B42" s="1" t="s">
        <v>89</v>
      </c>
      <c r="C42" s="189">
        <v>329.0</v>
      </c>
      <c r="D42" s="1">
        <v>0.0</v>
      </c>
      <c r="E42" s="188"/>
      <c r="F42" s="1" t="s">
        <v>91</v>
      </c>
      <c r="G42" s="1" t="s">
        <v>92</v>
      </c>
      <c r="H42" s="1" t="s">
        <v>1715</v>
      </c>
      <c r="I42" s="1" t="s">
        <v>1716</v>
      </c>
      <c r="J42" s="1" t="s">
        <v>1716</v>
      </c>
      <c r="K42" s="188"/>
      <c r="L42" s="1">
        <v>-8.0</v>
      </c>
      <c r="M42" s="1"/>
      <c r="N42" s="1">
        <v>6.280316666666667</v>
      </c>
      <c r="O42" s="1" t="s">
        <v>1590</v>
      </c>
      <c r="P42" s="1" t="s">
        <v>1717</v>
      </c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 t="s">
        <v>104</v>
      </c>
      <c r="B43" s="1" t="s">
        <v>89</v>
      </c>
      <c r="C43" s="189">
        <v>299.0</v>
      </c>
      <c r="D43" s="1">
        <v>0.0</v>
      </c>
      <c r="E43" s="1" t="s">
        <v>1718</v>
      </c>
      <c r="F43" s="1" t="s">
        <v>91</v>
      </c>
      <c r="G43" s="1" t="s">
        <v>92</v>
      </c>
      <c r="H43" s="1" t="s">
        <v>1719</v>
      </c>
      <c r="I43" s="1" t="s">
        <v>1720</v>
      </c>
      <c r="J43" s="1" t="s">
        <v>1720</v>
      </c>
      <c r="K43" s="188"/>
      <c r="L43" s="1">
        <v>-7.0</v>
      </c>
      <c r="M43" s="1"/>
      <c r="N43" s="1">
        <v>7.808083333333333</v>
      </c>
      <c r="O43" s="1" t="s">
        <v>1590</v>
      </c>
      <c r="P43" s="1" t="s">
        <v>1721</v>
      </c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 t="s">
        <v>88</v>
      </c>
      <c r="B44" s="1" t="s">
        <v>89</v>
      </c>
      <c r="C44" s="189">
        <v>507.0</v>
      </c>
      <c r="D44" s="1">
        <v>0.0</v>
      </c>
      <c r="E44" s="1" t="s">
        <v>90</v>
      </c>
      <c r="F44" s="1" t="s">
        <v>91</v>
      </c>
      <c r="G44" s="1" t="s">
        <v>92</v>
      </c>
      <c r="H44" s="1" t="s">
        <v>1722</v>
      </c>
      <c r="I44" s="1" t="s">
        <v>1723</v>
      </c>
      <c r="J44" s="1" t="s">
        <v>1723</v>
      </c>
      <c r="K44" s="188"/>
      <c r="L44" s="1">
        <v>-5.0</v>
      </c>
      <c r="M44" s="1"/>
      <c r="N44" s="1">
        <v>9.9696</v>
      </c>
      <c r="O44" s="1" t="s">
        <v>1590</v>
      </c>
      <c r="P44" s="1" t="s">
        <v>1724</v>
      </c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 t="s">
        <v>127</v>
      </c>
      <c r="B45" s="1" t="s">
        <v>89</v>
      </c>
      <c r="C45" s="189">
        <v>882.0</v>
      </c>
      <c r="D45" s="1">
        <v>0.0</v>
      </c>
      <c r="E45" s="188"/>
      <c r="F45" s="1" t="s">
        <v>91</v>
      </c>
      <c r="G45" s="1" t="s">
        <v>116</v>
      </c>
      <c r="H45" s="1" t="s">
        <v>1725</v>
      </c>
      <c r="I45" s="1" t="s">
        <v>1726</v>
      </c>
      <c r="J45" s="1" t="s">
        <v>1726</v>
      </c>
      <c r="K45" s="188"/>
      <c r="L45" s="1">
        <v>-4.0</v>
      </c>
      <c r="M45" s="1"/>
      <c r="N45" s="1">
        <v>10.405783333333334</v>
      </c>
      <c r="O45" s="1" t="s">
        <v>1590</v>
      </c>
      <c r="P45" s="1" t="s">
        <v>1727</v>
      </c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 t="s">
        <v>127</v>
      </c>
      <c r="B46" s="1" t="s">
        <v>89</v>
      </c>
      <c r="C46" s="189">
        <v>906.0</v>
      </c>
      <c r="D46" s="1">
        <v>0.0</v>
      </c>
      <c r="E46" s="188"/>
      <c r="F46" s="1" t="s">
        <v>91</v>
      </c>
      <c r="G46" s="1" t="s">
        <v>92</v>
      </c>
      <c r="H46" s="1" t="s">
        <v>1728</v>
      </c>
      <c r="I46" s="1" t="s">
        <v>1729</v>
      </c>
      <c r="J46" s="1" t="s">
        <v>1729</v>
      </c>
      <c r="K46" s="188"/>
      <c r="L46" s="1">
        <v>-5.0</v>
      </c>
      <c r="M46" s="1"/>
      <c r="N46" s="1">
        <v>9.405</v>
      </c>
      <c r="O46" s="1" t="s">
        <v>1590</v>
      </c>
      <c r="P46" s="1" t="s">
        <v>1730</v>
      </c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 t="s">
        <v>95</v>
      </c>
      <c r="B47" s="1" t="s">
        <v>89</v>
      </c>
      <c r="C47" s="189">
        <v>349.0</v>
      </c>
      <c r="D47" s="1">
        <v>0.0</v>
      </c>
      <c r="E47" s="1" t="s">
        <v>1570</v>
      </c>
      <c r="F47" s="1" t="s">
        <v>97</v>
      </c>
      <c r="G47" s="1" t="s">
        <v>92</v>
      </c>
      <c r="H47" s="1" t="s">
        <v>1731</v>
      </c>
      <c r="I47" s="1" t="s">
        <v>1732</v>
      </c>
      <c r="J47" s="1" t="s">
        <v>1733</v>
      </c>
      <c r="K47" s="1" t="s">
        <v>1734</v>
      </c>
      <c r="L47" s="1">
        <v>-12.0</v>
      </c>
      <c r="M47" s="1">
        <v>0.0023166666666666665</v>
      </c>
      <c r="N47" s="1">
        <v>8.674616666666667</v>
      </c>
      <c r="O47" s="1" t="s">
        <v>1607</v>
      </c>
      <c r="P47" s="1" t="s">
        <v>1735</v>
      </c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 t="s">
        <v>88</v>
      </c>
      <c r="B48" s="1" t="s">
        <v>89</v>
      </c>
      <c r="C48" s="189">
        <v>362.0</v>
      </c>
      <c r="D48" s="1">
        <v>0.0</v>
      </c>
      <c r="E48" s="1" t="s">
        <v>90</v>
      </c>
      <c r="F48" s="1" t="s">
        <v>91</v>
      </c>
      <c r="G48" s="1" t="s">
        <v>92</v>
      </c>
      <c r="H48" s="1" t="s">
        <v>1736</v>
      </c>
      <c r="I48" s="1" t="s">
        <v>1737</v>
      </c>
      <c r="J48" s="1" t="s">
        <v>1737</v>
      </c>
      <c r="K48" s="188"/>
      <c r="L48" s="1">
        <v>-4.0</v>
      </c>
      <c r="M48" s="1"/>
      <c r="N48" s="1">
        <v>10.210216666666666</v>
      </c>
      <c r="O48" s="1" t="s">
        <v>1590</v>
      </c>
      <c r="P48" s="1" t="s">
        <v>1738</v>
      </c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 t="s">
        <v>127</v>
      </c>
      <c r="B49" s="1" t="s">
        <v>89</v>
      </c>
      <c r="C49" s="1">
        <v>319.0</v>
      </c>
      <c r="D49" s="1">
        <v>0.0</v>
      </c>
      <c r="E49" s="188"/>
      <c r="F49" s="1" t="s">
        <v>91</v>
      </c>
      <c r="G49" s="1" t="s">
        <v>92</v>
      </c>
      <c r="H49" s="1" t="s">
        <v>1739</v>
      </c>
      <c r="I49" s="1" t="s">
        <v>1740</v>
      </c>
      <c r="J49" s="1" t="s">
        <v>1740</v>
      </c>
      <c r="K49" s="188"/>
      <c r="L49" s="1">
        <v>-6.0</v>
      </c>
      <c r="M49" s="1"/>
      <c r="N49" s="1">
        <v>8.332316666666667</v>
      </c>
      <c r="O49" s="1" t="s">
        <v>1590</v>
      </c>
      <c r="P49" s="1" t="s">
        <v>1741</v>
      </c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 t="s">
        <v>169</v>
      </c>
      <c r="B50" s="1" t="s">
        <v>89</v>
      </c>
      <c r="C50" s="189">
        <v>59.0</v>
      </c>
      <c r="D50" s="1">
        <v>0.0</v>
      </c>
      <c r="E50" s="188"/>
      <c r="F50" s="1" t="s">
        <v>149</v>
      </c>
      <c r="G50" s="1" t="s">
        <v>116</v>
      </c>
      <c r="H50" s="1" t="s">
        <v>1742</v>
      </c>
      <c r="I50" s="1" t="s">
        <v>1743</v>
      </c>
      <c r="J50" s="1" t="s">
        <v>1743</v>
      </c>
      <c r="K50" s="188"/>
      <c r="L50" s="1">
        <v>-2.0</v>
      </c>
      <c r="M50" s="1"/>
      <c r="N50" s="1">
        <v>2.3454333333333333</v>
      </c>
      <c r="O50" s="1" t="s">
        <v>1685</v>
      </c>
      <c r="P50" s="1" t="s">
        <v>1744</v>
      </c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 t="s">
        <v>169</v>
      </c>
      <c r="B51" s="1" t="s">
        <v>89</v>
      </c>
      <c r="C51" s="1">
        <v>481.0</v>
      </c>
      <c r="D51" s="1">
        <v>0.0</v>
      </c>
      <c r="E51" s="188"/>
      <c r="F51" s="1" t="s">
        <v>149</v>
      </c>
      <c r="G51" s="1" t="s">
        <v>116</v>
      </c>
      <c r="H51" s="1" t="s">
        <v>1745</v>
      </c>
      <c r="I51" s="1" t="s">
        <v>1746</v>
      </c>
      <c r="J51" s="1" t="s">
        <v>1746</v>
      </c>
      <c r="K51" s="188"/>
      <c r="L51" s="1">
        <v>0.0</v>
      </c>
      <c r="M51" s="1"/>
      <c r="N51" s="1">
        <v>5.983316666666667</v>
      </c>
      <c r="O51" s="1" t="s">
        <v>1685</v>
      </c>
      <c r="P51" s="1" t="s">
        <v>1747</v>
      </c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 t="s">
        <v>127</v>
      </c>
      <c r="B52" s="1" t="s">
        <v>89</v>
      </c>
      <c r="C52" s="189">
        <v>264.0</v>
      </c>
      <c r="D52" s="1">
        <v>0.0</v>
      </c>
      <c r="E52" s="188"/>
      <c r="F52" s="1" t="s">
        <v>91</v>
      </c>
      <c r="G52" s="1" t="s">
        <v>92</v>
      </c>
      <c r="H52" s="1" t="s">
        <v>1748</v>
      </c>
      <c r="I52" s="1" t="s">
        <v>1749</v>
      </c>
      <c r="J52" s="1" t="s">
        <v>1749</v>
      </c>
      <c r="K52" s="188"/>
      <c r="L52" s="1">
        <v>-6.0</v>
      </c>
      <c r="M52" s="1"/>
      <c r="N52" s="1">
        <v>8.85875</v>
      </c>
      <c r="O52" s="1" t="s">
        <v>1590</v>
      </c>
      <c r="P52" s="1" t="s">
        <v>1750</v>
      </c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 t="s">
        <v>95</v>
      </c>
      <c r="B53" s="1" t="s">
        <v>89</v>
      </c>
      <c r="C53" s="189">
        <v>437.0</v>
      </c>
      <c r="D53" s="1">
        <v>131.0</v>
      </c>
      <c r="E53" s="188"/>
      <c r="F53" s="1" t="s">
        <v>149</v>
      </c>
      <c r="G53" s="1" t="s">
        <v>92</v>
      </c>
      <c r="H53" s="1" t="s">
        <v>1751</v>
      </c>
      <c r="I53" s="1" t="s">
        <v>1752</v>
      </c>
      <c r="J53" s="1" t="s">
        <v>1752</v>
      </c>
      <c r="K53" s="188"/>
      <c r="L53" s="1">
        <v>-11.0</v>
      </c>
      <c r="M53" s="1"/>
      <c r="N53" s="1">
        <v>8.415933333333333</v>
      </c>
      <c r="O53" s="1" t="s">
        <v>1607</v>
      </c>
      <c r="P53" s="1" t="s">
        <v>1753</v>
      </c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 t="s">
        <v>88</v>
      </c>
      <c r="B54" s="189" t="s">
        <v>89</v>
      </c>
      <c r="C54" s="1">
        <v>329.0</v>
      </c>
      <c r="D54" s="1">
        <v>0.0</v>
      </c>
      <c r="E54" s="1" t="s">
        <v>90</v>
      </c>
      <c r="F54" s="1" t="s">
        <v>91</v>
      </c>
      <c r="G54" s="1" t="s">
        <v>92</v>
      </c>
      <c r="H54" s="1" t="s">
        <v>1754</v>
      </c>
      <c r="I54" s="1" t="s">
        <v>1755</v>
      </c>
      <c r="J54" s="1" t="s">
        <v>1755</v>
      </c>
      <c r="K54" s="188"/>
      <c r="L54" s="1">
        <v>-8.0</v>
      </c>
      <c r="M54" s="1"/>
      <c r="N54" s="1">
        <v>6.643516666666667</v>
      </c>
      <c r="O54" s="1" t="s">
        <v>1590</v>
      </c>
      <c r="P54" s="1" t="s">
        <v>1756</v>
      </c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 t="s">
        <v>104</v>
      </c>
      <c r="B55" s="1" t="s">
        <v>89</v>
      </c>
      <c r="C55" s="189">
        <v>364.0</v>
      </c>
      <c r="D55" s="1">
        <v>0.0</v>
      </c>
      <c r="E55" s="1" t="s">
        <v>1757</v>
      </c>
      <c r="F55" s="1" t="s">
        <v>91</v>
      </c>
      <c r="G55" s="1" t="s">
        <v>92</v>
      </c>
      <c r="H55" s="1" t="s">
        <v>1758</v>
      </c>
      <c r="I55" s="1" t="s">
        <v>1759</v>
      </c>
      <c r="J55" s="1" t="s">
        <v>1759</v>
      </c>
      <c r="K55" s="188"/>
      <c r="L55" s="1">
        <v>-5.0</v>
      </c>
      <c r="M55" s="1"/>
      <c r="N55" s="1">
        <v>9.4951</v>
      </c>
      <c r="O55" s="1" t="s">
        <v>1590</v>
      </c>
      <c r="P55" s="1" t="s">
        <v>1760</v>
      </c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 t="s">
        <v>95</v>
      </c>
      <c r="B56" s="1" t="s">
        <v>89</v>
      </c>
      <c r="C56" s="189">
        <v>199.0</v>
      </c>
      <c r="D56" s="1">
        <v>50.0</v>
      </c>
      <c r="E56" s="188"/>
      <c r="F56" s="1" t="s">
        <v>149</v>
      </c>
      <c r="G56" s="1" t="s">
        <v>153</v>
      </c>
      <c r="H56" s="1" t="s">
        <v>1761</v>
      </c>
      <c r="I56" s="1" t="s">
        <v>1762</v>
      </c>
      <c r="J56" s="1" t="s">
        <v>1762</v>
      </c>
      <c r="K56" s="188"/>
      <c r="L56" s="1">
        <v>-11.0</v>
      </c>
      <c r="M56" s="1"/>
      <c r="N56" s="1">
        <v>7.916783333333333</v>
      </c>
      <c r="O56" s="1" t="s">
        <v>1607</v>
      </c>
      <c r="P56" s="1" t="s">
        <v>1763</v>
      </c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 t="s">
        <v>88</v>
      </c>
      <c r="B57" s="1" t="s">
        <v>89</v>
      </c>
      <c r="C57" s="189">
        <v>386.0</v>
      </c>
      <c r="D57" s="1">
        <v>0.0</v>
      </c>
      <c r="E57" s="1" t="s">
        <v>90</v>
      </c>
      <c r="F57" s="1" t="s">
        <v>91</v>
      </c>
      <c r="G57" s="1" t="s">
        <v>92</v>
      </c>
      <c r="H57" s="1" t="s">
        <v>1764</v>
      </c>
      <c r="I57" s="1" t="s">
        <v>1765</v>
      </c>
      <c r="J57" s="1" t="s">
        <v>1765</v>
      </c>
      <c r="K57" s="188"/>
      <c r="L57" s="1">
        <v>-6.0</v>
      </c>
      <c r="M57" s="1"/>
      <c r="N57" s="1">
        <v>8.577866666666667</v>
      </c>
      <c r="O57" s="1" t="s">
        <v>1590</v>
      </c>
      <c r="P57" s="1" t="s">
        <v>1766</v>
      </c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 t="s">
        <v>127</v>
      </c>
      <c r="B58" s="1" t="s">
        <v>89</v>
      </c>
      <c r="C58" s="189">
        <v>329.0</v>
      </c>
      <c r="D58" s="1">
        <v>0.0</v>
      </c>
      <c r="E58" s="188"/>
      <c r="F58" s="1" t="s">
        <v>91</v>
      </c>
      <c r="G58" s="1" t="s">
        <v>92</v>
      </c>
      <c r="H58" s="1" t="s">
        <v>1767</v>
      </c>
      <c r="I58" s="1" t="s">
        <v>1768</v>
      </c>
      <c r="J58" s="1" t="s">
        <v>1768</v>
      </c>
      <c r="K58" s="188"/>
      <c r="L58" s="1">
        <v>-6.0</v>
      </c>
      <c r="M58" s="1"/>
      <c r="N58" s="1">
        <v>8.81285</v>
      </c>
      <c r="O58" s="1" t="s">
        <v>1590</v>
      </c>
      <c r="P58" s="1" t="s">
        <v>1769</v>
      </c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 t="s">
        <v>95</v>
      </c>
      <c r="B59" s="1" t="s">
        <v>89</v>
      </c>
      <c r="C59" s="189">
        <v>518.0</v>
      </c>
      <c r="D59" s="1">
        <v>0.0</v>
      </c>
      <c r="E59" s="1" t="s">
        <v>1570</v>
      </c>
      <c r="F59" s="1" t="s">
        <v>97</v>
      </c>
      <c r="G59" s="1" t="s">
        <v>92</v>
      </c>
      <c r="H59" s="1" t="s">
        <v>1770</v>
      </c>
      <c r="I59" s="1" t="s">
        <v>1771</v>
      </c>
      <c r="J59" s="1" t="s">
        <v>1772</v>
      </c>
      <c r="K59" s="1" t="s">
        <v>1773</v>
      </c>
      <c r="L59" s="1">
        <v>-9.0</v>
      </c>
      <c r="M59" s="1">
        <v>0.0034833333333333335</v>
      </c>
      <c r="N59" s="1">
        <v>8.6769</v>
      </c>
      <c r="O59" s="1" t="s">
        <v>1607</v>
      </c>
      <c r="P59" s="1" t="s">
        <v>1774</v>
      </c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 t="s">
        <v>95</v>
      </c>
      <c r="B60" s="1" t="s">
        <v>89</v>
      </c>
      <c r="C60" s="189">
        <v>767.0</v>
      </c>
      <c r="D60" s="1">
        <v>0.0</v>
      </c>
      <c r="E60" s="1" t="s">
        <v>1571</v>
      </c>
      <c r="F60" s="1" t="s">
        <v>97</v>
      </c>
      <c r="G60" s="1" t="s">
        <v>92</v>
      </c>
      <c r="H60" s="1" t="s">
        <v>1775</v>
      </c>
      <c r="I60" s="1" t="s">
        <v>1776</v>
      </c>
      <c r="J60" s="1" t="s">
        <v>1777</v>
      </c>
      <c r="K60" s="1" t="s">
        <v>1778</v>
      </c>
      <c r="L60" s="1">
        <v>-12.0</v>
      </c>
      <c r="M60" s="1">
        <v>0.007483333333333333</v>
      </c>
      <c r="N60" s="1">
        <v>8.143333333333333</v>
      </c>
      <c r="O60" s="1" t="s">
        <v>1607</v>
      </c>
      <c r="P60" s="1" t="s">
        <v>1779</v>
      </c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 t="s">
        <v>88</v>
      </c>
      <c r="B61" s="1" t="s">
        <v>89</v>
      </c>
      <c r="C61" s="1">
        <v>223.0</v>
      </c>
      <c r="D61" s="1">
        <v>0.0</v>
      </c>
      <c r="E61" s="1" t="s">
        <v>90</v>
      </c>
      <c r="F61" s="1" t="s">
        <v>91</v>
      </c>
      <c r="G61" s="1" t="s">
        <v>92</v>
      </c>
      <c r="H61" s="1" t="s">
        <v>1780</v>
      </c>
      <c r="I61" s="1" t="s">
        <v>1781</v>
      </c>
      <c r="J61" s="1" t="s">
        <v>1781</v>
      </c>
      <c r="K61" s="188"/>
      <c r="L61" s="1">
        <v>-3.0</v>
      </c>
      <c r="M61" s="1"/>
      <c r="N61" s="1">
        <v>11.946833333333334</v>
      </c>
      <c r="O61" s="1" t="s">
        <v>1590</v>
      </c>
      <c r="P61" s="1" t="s">
        <v>1782</v>
      </c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 t="s">
        <v>88</v>
      </c>
      <c r="B62" s="189" t="s">
        <v>89</v>
      </c>
      <c r="C62" s="189">
        <v>593.0</v>
      </c>
      <c r="D62" s="1">
        <v>0.0</v>
      </c>
      <c r="E62" s="1" t="s">
        <v>90</v>
      </c>
      <c r="F62" s="1" t="s">
        <v>91</v>
      </c>
      <c r="G62" s="1" t="s">
        <v>92</v>
      </c>
      <c r="H62" s="1" t="s">
        <v>1783</v>
      </c>
      <c r="I62" s="1" t="s">
        <v>1784</v>
      </c>
      <c r="J62" s="1" t="s">
        <v>1784</v>
      </c>
      <c r="K62" s="188"/>
      <c r="L62" s="1">
        <v>-6.0</v>
      </c>
      <c r="M62" s="1"/>
      <c r="N62" s="1">
        <v>8.401733333333333</v>
      </c>
      <c r="O62" s="1" t="s">
        <v>1590</v>
      </c>
      <c r="P62" s="1" t="s">
        <v>1785</v>
      </c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 t="s">
        <v>104</v>
      </c>
      <c r="B63" s="1" t="s">
        <v>89</v>
      </c>
      <c r="C63" s="189">
        <v>723.0</v>
      </c>
      <c r="D63" s="1">
        <v>0.0</v>
      </c>
      <c r="E63" s="1" t="s">
        <v>372</v>
      </c>
      <c r="F63" s="1" t="s">
        <v>91</v>
      </c>
      <c r="G63" s="1" t="s">
        <v>92</v>
      </c>
      <c r="H63" s="1" t="s">
        <v>1786</v>
      </c>
      <c r="I63" s="1" t="s">
        <v>1787</v>
      </c>
      <c r="J63" s="1" t="s">
        <v>1787</v>
      </c>
      <c r="K63" s="188"/>
      <c r="L63" s="1">
        <v>-9.0</v>
      </c>
      <c r="M63" s="1"/>
      <c r="N63" s="1">
        <v>6.847666666666667</v>
      </c>
      <c r="O63" s="1" t="s">
        <v>1590</v>
      </c>
      <c r="P63" s="1" t="s">
        <v>1788</v>
      </c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 t="s">
        <v>95</v>
      </c>
      <c r="B64" s="189" t="s">
        <v>89</v>
      </c>
      <c r="C64" s="189">
        <v>326.0</v>
      </c>
      <c r="D64" s="1">
        <v>0.0</v>
      </c>
      <c r="E64" s="1" t="s">
        <v>1571</v>
      </c>
      <c r="F64" s="1" t="s">
        <v>97</v>
      </c>
      <c r="G64" s="1" t="s">
        <v>116</v>
      </c>
      <c r="H64" s="1" t="s">
        <v>1789</v>
      </c>
      <c r="I64" s="1" t="s">
        <v>1790</v>
      </c>
      <c r="J64" s="1" t="s">
        <v>1791</v>
      </c>
      <c r="K64" s="1" t="s">
        <v>1792</v>
      </c>
      <c r="L64" s="1">
        <v>-18.0</v>
      </c>
      <c r="M64" s="1">
        <v>0.00215</v>
      </c>
      <c r="N64" s="1">
        <v>6.340183333333333</v>
      </c>
      <c r="O64" s="1" t="s">
        <v>1607</v>
      </c>
      <c r="P64" s="1" t="s">
        <v>1793</v>
      </c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 t="s">
        <v>95</v>
      </c>
      <c r="B65" s="1" t="s">
        <v>89</v>
      </c>
      <c r="C65" s="189">
        <v>215.0</v>
      </c>
      <c r="D65" s="1">
        <v>54.0</v>
      </c>
      <c r="E65" s="188"/>
      <c r="F65" s="1" t="s">
        <v>149</v>
      </c>
      <c r="G65" s="1" t="s">
        <v>92</v>
      </c>
      <c r="H65" s="1" t="s">
        <v>1794</v>
      </c>
      <c r="I65" s="1" t="s">
        <v>1795</v>
      </c>
      <c r="J65" s="1" t="s">
        <v>1795</v>
      </c>
      <c r="K65" s="188"/>
      <c r="L65" s="1">
        <v>-12.0</v>
      </c>
      <c r="M65" s="1"/>
      <c r="N65" s="1">
        <v>6.642716666666667</v>
      </c>
      <c r="O65" s="1" t="s">
        <v>1607</v>
      </c>
      <c r="P65" s="1" t="s">
        <v>1796</v>
      </c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 t="s">
        <v>127</v>
      </c>
      <c r="B66" s="1" t="s">
        <v>89</v>
      </c>
      <c r="C66" s="189">
        <v>475.95</v>
      </c>
      <c r="D66" s="1">
        <v>121.05</v>
      </c>
      <c r="E66" s="188"/>
      <c r="F66" s="1" t="s">
        <v>91</v>
      </c>
      <c r="G66" s="1" t="s">
        <v>92</v>
      </c>
      <c r="H66" s="1" t="s">
        <v>1797</v>
      </c>
      <c r="I66" s="1" t="s">
        <v>1798</v>
      </c>
      <c r="J66" s="1" t="s">
        <v>1798</v>
      </c>
      <c r="K66" s="188"/>
      <c r="L66" s="1">
        <v>-6.0</v>
      </c>
      <c r="M66" s="1"/>
      <c r="N66" s="1">
        <v>8.027766666666666</v>
      </c>
      <c r="O66" s="1" t="s">
        <v>1590</v>
      </c>
      <c r="P66" s="1" t="s">
        <v>1799</v>
      </c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 t="s">
        <v>104</v>
      </c>
      <c r="B67" s="1" t="s">
        <v>89</v>
      </c>
      <c r="C67" s="189">
        <v>1052.0</v>
      </c>
      <c r="D67" s="1">
        <v>0.0</v>
      </c>
      <c r="E67" s="1" t="s">
        <v>1800</v>
      </c>
      <c r="F67" s="1" t="s">
        <v>91</v>
      </c>
      <c r="G67" s="1" t="s">
        <v>92</v>
      </c>
      <c r="H67" s="1" t="s">
        <v>1801</v>
      </c>
      <c r="I67" s="1" t="s">
        <v>1802</v>
      </c>
      <c r="J67" s="1" t="s">
        <v>1802</v>
      </c>
      <c r="K67" s="188"/>
      <c r="L67" s="1">
        <v>-9.0</v>
      </c>
      <c r="M67" s="1"/>
      <c r="N67" s="1">
        <v>9.7785</v>
      </c>
      <c r="O67" s="1" t="s">
        <v>1590</v>
      </c>
      <c r="P67" s="1" t="s">
        <v>1803</v>
      </c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 t="s">
        <v>88</v>
      </c>
      <c r="B68" s="189" t="s">
        <v>89</v>
      </c>
      <c r="C68" s="189">
        <v>329.0</v>
      </c>
      <c r="D68" s="1">
        <v>0.0</v>
      </c>
      <c r="E68" s="1" t="s">
        <v>90</v>
      </c>
      <c r="F68" s="1" t="s">
        <v>91</v>
      </c>
      <c r="G68" s="1" t="s">
        <v>92</v>
      </c>
      <c r="H68" s="1" t="s">
        <v>1804</v>
      </c>
      <c r="I68" s="1" t="s">
        <v>1805</v>
      </c>
      <c r="J68" s="1" t="s">
        <v>1805</v>
      </c>
      <c r="K68" s="188"/>
      <c r="L68" s="1">
        <v>-9.0</v>
      </c>
      <c r="M68" s="1"/>
      <c r="N68" s="1">
        <v>5.776833333333333</v>
      </c>
      <c r="O68" s="1" t="s">
        <v>1590</v>
      </c>
      <c r="P68" s="1" t="s">
        <v>1806</v>
      </c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 t="s">
        <v>88</v>
      </c>
      <c r="B69" s="1" t="s">
        <v>89</v>
      </c>
      <c r="C69" s="189">
        <v>289.0</v>
      </c>
      <c r="D69" s="1">
        <v>0.0</v>
      </c>
      <c r="E69" s="1" t="s">
        <v>90</v>
      </c>
      <c r="F69" s="1" t="s">
        <v>91</v>
      </c>
      <c r="G69" s="1" t="s">
        <v>92</v>
      </c>
      <c r="H69" s="1" t="s">
        <v>1807</v>
      </c>
      <c r="I69" s="1" t="s">
        <v>1808</v>
      </c>
      <c r="J69" s="1" t="s">
        <v>1808</v>
      </c>
      <c r="K69" s="188"/>
      <c r="L69" s="1">
        <v>-8.0</v>
      </c>
      <c r="M69" s="1"/>
      <c r="N69" s="1">
        <v>6.416383333333333</v>
      </c>
      <c r="O69" s="1" t="s">
        <v>1590</v>
      </c>
      <c r="P69" s="1" t="s">
        <v>1809</v>
      </c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 t="s">
        <v>127</v>
      </c>
      <c r="B70" s="1" t="s">
        <v>89</v>
      </c>
      <c r="C70" s="189">
        <v>256.53</v>
      </c>
      <c r="D70" s="1">
        <v>74.47</v>
      </c>
      <c r="E70" s="188"/>
      <c r="F70" s="1" t="s">
        <v>91</v>
      </c>
      <c r="G70" s="1" t="s">
        <v>92</v>
      </c>
      <c r="H70" s="1" t="s">
        <v>1810</v>
      </c>
      <c r="I70" s="1" t="s">
        <v>1811</v>
      </c>
      <c r="J70" s="1" t="s">
        <v>1811</v>
      </c>
      <c r="K70" s="188"/>
      <c r="L70" s="1">
        <v>-2.0</v>
      </c>
      <c r="M70" s="1"/>
      <c r="N70" s="1">
        <v>12.44995</v>
      </c>
      <c r="O70" s="1" t="s">
        <v>1590</v>
      </c>
      <c r="P70" s="1" t="s">
        <v>1638</v>
      </c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 t="s">
        <v>88</v>
      </c>
      <c r="B71" s="1" t="s">
        <v>89</v>
      </c>
      <c r="C71" s="189">
        <v>321.0</v>
      </c>
      <c r="D71" s="1">
        <v>0.0</v>
      </c>
      <c r="E71" s="1" t="s">
        <v>90</v>
      </c>
      <c r="F71" s="1" t="s">
        <v>91</v>
      </c>
      <c r="G71" s="1" t="s">
        <v>92</v>
      </c>
      <c r="H71" s="1" t="s">
        <v>1812</v>
      </c>
      <c r="I71" s="1" t="s">
        <v>1813</v>
      </c>
      <c r="J71" s="1" t="s">
        <v>1813</v>
      </c>
      <c r="K71" s="188"/>
      <c r="L71" s="1">
        <v>1.0</v>
      </c>
      <c r="M71" s="1"/>
      <c r="N71" s="1">
        <v>16.2001</v>
      </c>
      <c r="O71" s="1" t="s">
        <v>1590</v>
      </c>
      <c r="P71" s="1" t="s">
        <v>1814</v>
      </c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 t="s">
        <v>88</v>
      </c>
      <c r="B72" s="1" t="s">
        <v>89</v>
      </c>
      <c r="C72" s="189">
        <v>433.0</v>
      </c>
      <c r="D72" s="1">
        <v>0.0</v>
      </c>
      <c r="E72" s="1" t="s">
        <v>90</v>
      </c>
      <c r="F72" s="1" t="s">
        <v>91</v>
      </c>
      <c r="G72" s="1" t="s">
        <v>92</v>
      </c>
      <c r="H72" s="1" t="s">
        <v>1815</v>
      </c>
      <c r="I72" s="1" t="s">
        <v>1816</v>
      </c>
      <c r="J72" s="1" t="s">
        <v>1816</v>
      </c>
      <c r="K72" s="188"/>
      <c r="L72" s="1">
        <v>-7.0</v>
      </c>
      <c r="M72" s="1"/>
      <c r="N72" s="1">
        <v>7.8518</v>
      </c>
      <c r="O72" s="1" t="s">
        <v>1590</v>
      </c>
      <c r="P72" s="1" t="s">
        <v>1817</v>
      </c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 t="s">
        <v>127</v>
      </c>
      <c r="B73" s="189" t="s">
        <v>89</v>
      </c>
      <c r="C73" s="189">
        <v>844.25</v>
      </c>
      <c r="D73" s="1">
        <v>141.75</v>
      </c>
      <c r="E73" s="188"/>
      <c r="F73" s="1" t="s">
        <v>91</v>
      </c>
      <c r="G73" s="1" t="s">
        <v>92</v>
      </c>
      <c r="H73" s="1" t="s">
        <v>1818</v>
      </c>
      <c r="I73" s="1" t="s">
        <v>1819</v>
      </c>
      <c r="J73" s="1" t="s">
        <v>1819</v>
      </c>
      <c r="K73" s="188"/>
      <c r="L73" s="1">
        <v>-6.0</v>
      </c>
      <c r="M73" s="1"/>
      <c r="N73" s="1">
        <v>8.201816666666666</v>
      </c>
      <c r="O73" s="1" t="s">
        <v>1590</v>
      </c>
      <c r="P73" s="1" t="s">
        <v>1820</v>
      </c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 t="s">
        <v>95</v>
      </c>
      <c r="B74" s="1" t="s">
        <v>89</v>
      </c>
      <c r="C74" s="189">
        <v>329.0</v>
      </c>
      <c r="D74" s="1">
        <v>0.0</v>
      </c>
      <c r="E74" s="1" t="s">
        <v>1570</v>
      </c>
      <c r="F74" s="1" t="s">
        <v>97</v>
      </c>
      <c r="G74" s="1" t="s">
        <v>92</v>
      </c>
      <c r="H74" s="1" t="s">
        <v>1821</v>
      </c>
      <c r="I74" s="1" t="s">
        <v>1822</v>
      </c>
      <c r="J74" s="1" t="s">
        <v>1823</v>
      </c>
      <c r="K74" s="1" t="s">
        <v>1824</v>
      </c>
      <c r="L74" s="1">
        <v>-11.0</v>
      </c>
      <c r="M74" s="1">
        <v>0.0047</v>
      </c>
      <c r="N74" s="1">
        <v>6.629833333333333</v>
      </c>
      <c r="O74" s="1" t="s">
        <v>1607</v>
      </c>
      <c r="P74" s="1" t="s">
        <v>1825</v>
      </c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 t="s">
        <v>127</v>
      </c>
      <c r="B75" s="1" t="s">
        <v>89</v>
      </c>
      <c r="C75" s="1">
        <v>764.0</v>
      </c>
      <c r="D75" s="1">
        <v>0.0</v>
      </c>
      <c r="E75" s="188"/>
      <c r="F75" s="1" t="s">
        <v>91</v>
      </c>
      <c r="G75" s="1" t="s">
        <v>92</v>
      </c>
      <c r="H75" s="1" t="s">
        <v>1826</v>
      </c>
      <c r="I75" s="1" t="s">
        <v>1827</v>
      </c>
      <c r="J75" s="1" t="s">
        <v>1827</v>
      </c>
      <c r="K75" s="188"/>
      <c r="L75" s="1">
        <v>-4.0</v>
      </c>
      <c r="M75" s="1"/>
      <c r="N75" s="1">
        <v>10.685366666666667</v>
      </c>
      <c r="O75" s="1" t="s">
        <v>1590</v>
      </c>
      <c r="P75" s="1" t="s">
        <v>1828</v>
      </c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 t="s">
        <v>95</v>
      </c>
      <c r="B76" s="1" t="s">
        <v>89</v>
      </c>
      <c r="C76" s="189">
        <v>819.0</v>
      </c>
      <c r="D76" s="1">
        <v>0.0</v>
      </c>
      <c r="E76" s="1" t="s">
        <v>1571</v>
      </c>
      <c r="F76" s="1" t="s">
        <v>97</v>
      </c>
      <c r="G76" s="1" t="s">
        <v>116</v>
      </c>
      <c r="H76" s="1" t="s">
        <v>1829</v>
      </c>
      <c r="I76" s="1" t="s">
        <v>1830</v>
      </c>
      <c r="J76" s="1" t="s">
        <v>1831</v>
      </c>
      <c r="K76" s="1" t="s">
        <v>1832</v>
      </c>
      <c r="L76" s="1">
        <v>-8.0</v>
      </c>
      <c r="M76" s="1">
        <v>0.00285</v>
      </c>
      <c r="N76" s="1">
        <v>13.039816666666667</v>
      </c>
      <c r="O76" s="1" t="s">
        <v>1607</v>
      </c>
      <c r="P76" s="1" t="s">
        <v>1833</v>
      </c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 t="s">
        <v>127</v>
      </c>
      <c r="B77" s="1" t="s">
        <v>89</v>
      </c>
      <c r="C77" s="189">
        <v>264.0</v>
      </c>
      <c r="D77" s="1">
        <v>0.0</v>
      </c>
      <c r="E77" s="188"/>
      <c r="F77" s="1" t="s">
        <v>91</v>
      </c>
      <c r="G77" s="1" t="s">
        <v>92</v>
      </c>
      <c r="H77" s="1" t="s">
        <v>1834</v>
      </c>
      <c r="I77" s="1" t="s">
        <v>1835</v>
      </c>
      <c r="J77" s="1" t="s">
        <v>1835</v>
      </c>
      <c r="K77" s="188"/>
      <c r="L77" s="1">
        <v>-4.0</v>
      </c>
      <c r="M77" s="1"/>
      <c r="N77" s="1">
        <v>10.813166666666667</v>
      </c>
      <c r="O77" s="1" t="s">
        <v>1590</v>
      </c>
      <c r="P77" s="1" t="s">
        <v>1836</v>
      </c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 t="s">
        <v>95</v>
      </c>
      <c r="B78" s="1" t="s">
        <v>89</v>
      </c>
      <c r="C78" s="189">
        <v>384.0</v>
      </c>
      <c r="D78" s="1">
        <v>61.0</v>
      </c>
      <c r="E78" s="188"/>
      <c r="F78" s="1" t="s">
        <v>149</v>
      </c>
      <c r="G78" s="1" t="s">
        <v>92</v>
      </c>
      <c r="H78" s="1" t="s">
        <v>1837</v>
      </c>
      <c r="I78" s="1" t="s">
        <v>1838</v>
      </c>
      <c r="J78" s="1" t="s">
        <v>1838</v>
      </c>
      <c r="K78" s="188"/>
      <c r="L78" s="1">
        <v>-7.0</v>
      </c>
      <c r="M78" s="1"/>
      <c r="N78" s="1">
        <v>11.263783333333333</v>
      </c>
      <c r="O78" s="1" t="s">
        <v>1607</v>
      </c>
      <c r="P78" s="1" t="s">
        <v>1839</v>
      </c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 t="s">
        <v>127</v>
      </c>
      <c r="B79" s="1" t="s">
        <v>89</v>
      </c>
      <c r="C79" s="1">
        <v>208.0</v>
      </c>
      <c r="D79" s="1">
        <v>0.0</v>
      </c>
      <c r="E79" s="188"/>
      <c r="F79" s="1" t="s">
        <v>91</v>
      </c>
      <c r="G79" s="1" t="s">
        <v>92</v>
      </c>
      <c r="H79" s="1" t="s">
        <v>1840</v>
      </c>
      <c r="I79" s="1" t="s">
        <v>1841</v>
      </c>
      <c r="J79" s="1" t="s">
        <v>1841</v>
      </c>
      <c r="K79" s="188"/>
      <c r="L79" s="1">
        <v>1.0</v>
      </c>
      <c r="M79" s="1"/>
      <c r="N79" s="1">
        <v>16.147916666666667</v>
      </c>
      <c r="O79" s="1" t="s">
        <v>1590</v>
      </c>
      <c r="P79" s="1" t="s">
        <v>1842</v>
      </c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 t="s">
        <v>88</v>
      </c>
      <c r="B80" s="1" t="s">
        <v>89</v>
      </c>
      <c r="C80" s="1">
        <v>329.0</v>
      </c>
      <c r="D80" s="1">
        <v>0.0</v>
      </c>
      <c r="E80" s="1" t="s">
        <v>90</v>
      </c>
      <c r="F80" s="1" t="s">
        <v>91</v>
      </c>
      <c r="G80" s="1" t="s">
        <v>92</v>
      </c>
      <c r="H80" s="1" t="s">
        <v>1843</v>
      </c>
      <c r="I80" s="1" t="s">
        <v>1844</v>
      </c>
      <c r="J80" s="1" t="s">
        <v>1844</v>
      </c>
      <c r="K80" s="188"/>
      <c r="L80" s="1">
        <v>-6.0</v>
      </c>
      <c r="M80" s="1"/>
      <c r="N80" s="1">
        <v>8.686766666666667</v>
      </c>
      <c r="O80" s="1" t="s">
        <v>1590</v>
      </c>
      <c r="P80" s="1" t="s">
        <v>1845</v>
      </c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 t="s">
        <v>95</v>
      </c>
      <c r="B81" s="1" t="s">
        <v>89</v>
      </c>
      <c r="C81" s="189">
        <v>259.0</v>
      </c>
      <c r="D81" s="1">
        <v>0.0</v>
      </c>
      <c r="E81" s="1" t="s">
        <v>1571</v>
      </c>
      <c r="F81" s="1" t="s">
        <v>97</v>
      </c>
      <c r="G81" s="1" t="s">
        <v>92</v>
      </c>
      <c r="H81" s="1" t="s">
        <v>1846</v>
      </c>
      <c r="I81" s="1" t="s">
        <v>1847</v>
      </c>
      <c r="J81" s="1" t="s">
        <v>1848</v>
      </c>
      <c r="K81" s="1" t="s">
        <v>1849</v>
      </c>
      <c r="L81" s="1">
        <v>-13.0</v>
      </c>
      <c r="M81" s="1">
        <v>0.0018666666666666666</v>
      </c>
      <c r="N81" s="1">
        <v>9.754783333333334</v>
      </c>
      <c r="O81" s="1" t="s">
        <v>1607</v>
      </c>
      <c r="P81" s="1" t="s">
        <v>1850</v>
      </c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 t="s">
        <v>95</v>
      </c>
      <c r="B82" s="1" t="s">
        <v>89</v>
      </c>
      <c r="C82" s="189">
        <v>374.0</v>
      </c>
      <c r="D82" s="1">
        <v>0.0</v>
      </c>
      <c r="E82" s="1" t="s">
        <v>1571</v>
      </c>
      <c r="F82" s="1" t="s">
        <v>97</v>
      </c>
      <c r="G82" s="1" t="s">
        <v>92</v>
      </c>
      <c r="H82" s="1" t="s">
        <v>1851</v>
      </c>
      <c r="I82" s="1" t="s">
        <v>1852</v>
      </c>
      <c r="J82" s="1" t="s">
        <v>1853</v>
      </c>
      <c r="K82" s="1" t="s">
        <v>1854</v>
      </c>
      <c r="L82" s="1">
        <v>-5.0</v>
      </c>
      <c r="M82" s="1">
        <v>0.01155</v>
      </c>
      <c r="N82" s="1">
        <v>10.653716666666666</v>
      </c>
      <c r="O82" s="1" t="s">
        <v>1607</v>
      </c>
      <c r="P82" s="1" t="s">
        <v>1855</v>
      </c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 t="s">
        <v>95</v>
      </c>
      <c r="B83" s="1" t="s">
        <v>89</v>
      </c>
      <c r="C83" s="1">
        <v>1077.0</v>
      </c>
      <c r="D83" s="1">
        <v>0.0</v>
      </c>
      <c r="E83" s="1" t="s">
        <v>1570</v>
      </c>
      <c r="F83" s="1" t="s">
        <v>97</v>
      </c>
      <c r="G83" s="1" t="s">
        <v>92</v>
      </c>
      <c r="H83" s="1" t="s">
        <v>1856</v>
      </c>
      <c r="I83" s="1" t="s">
        <v>1857</v>
      </c>
      <c r="J83" s="1" t="s">
        <v>1858</v>
      </c>
      <c r="K83" s="1" t="s">
        <v>1859</v>
      </c>
      <c r="L83" s="1">
        <v>-5.0</v>
      </c>
      <c r="M83" s="1">
        <v>0.00305</v>
      </c>
      <c r="N83" s="1">
        <v>13.7256</v>
      </c>
      <c r="O83" s="1" t="s">
        <v>1607</v>
      </c>
      <c r="P83" s="1" t="s">
        <v>1860</v>
      </c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 t="s">
        <v>95</v>
      </c>
      <c r="B84" s="1" t="s">
        <v>89</v>
      </c>
      <c r="C84" s="189">
        <v>414.0</v>
      </c>
      <c r="D84" s="1">
        <v>104.0</v>
      </c>
      <c r="E84" s="188"/>
      <c r="F84" s="1" t="s">
        <v>149</v>
      </c>
      <c r="G84" s="1" t="s">
        <v>116</v>
      </c>
      <c r="H84" s="1" t="s">
        <v>1861</v>
      </c>
      <c r="I84" s="1" t="s">
        <v>1862</v>
      </c>
      <c r="J84" s="1" t="s">
        <v>1862</v>
      </c>
      <c r="K84" s="188"/>
      <c r="L84" s="1">
        <v>-7.0</v>
      </c>
      <c r="M84" s="1"/>
      <c r="N84" s="1">
        <v>12.099066666666667</v>
      </c>
      <c r="O84" s="1" t="s">
        <v>1607</v>
      </c>
      <c r="P84" s="1" t="s">
        <v>1863</v>
      </c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 t="s">
        <v>169</v>
      </c>
      <c r="B85" s="1" t="s">
        <v>89</v>
      </c>
      <c r="C85" s="189">
        <v>249.0</v>
      </c>
      <c r="D85" s="1">
        <v>0.0</v>
      </c>
      <c r="E85" s="188"/>
      <c r="F85" s="1" t="s">
        <v>149</v>
      </c>
      <c r="G85" s="1" t="s">
        <v>116</v>
      </c>
      <c r="H85" s="1" t="s">
        <v>1864</v>
      </c>
      <c r="I85" s="1" t="s">
        <v>1865</v>
      </c>
      <c r="J85" s="1" t="s">
        <v>1865</v>
      </c>
      <c r="K85" s="188"/>
      <c r="L85" s="1">
        <v>2.0</v>
      </c>
      <c r="M85" s="1"/>
      <c r="N85" s="1">
        <v>7.6506</v>
      </c>
      <c r="O85" s="1" t="s">
        <v>1685</v>
      </c>
      <c r="P85" s="1" t="s">
        <v>1866</v>
      </c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 t="s">
        <v>88</v>
      </c>
      <c r="B86" s="1" t="s">
        <v>89</v>
      </c>
      <c r="C86" s="189">
        <v>464.0</v>
      </c>
      <c r="D86" s="1">
        <v>0.0</v>
      </c>
      <c r="E86" s="1" t="s">
        <v>90</v>
      </c>
      <c r="F86" s="1" t="s">
        <v>91</v>
      </c>
      <c r="G86" s="1" t="s">
        <v>92</v>
      </c>
      <c r="H86" s="1" t="s">
        <v>1867</v>
      </c>
      <c r="I86" s="1" t="s">
        <v>1868</v>
      </c>
      <c r="J86" s="1" t="s">
        <v>1868</v>
      </c>
      <c r="K86" s="188"/>
      <c r="L86" s="1">
        <v>-3.0</v>
      </c>
      <c r="M86" s="1"/>
      <c r="N86" s="1">
        <v>11.363633333333333</v>
      </c>
      <c r="O86" s="1" t="s">
        <v>1590</v>
      </c>
      <c r="P86" s="1" t="s">
        <v>1869</v>
      </c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 t="s">
        <v>169</v>
      </c>
      <c r="B87" s="1" t="s">
        <v>89</v>
      </c>
      <c r="C87" s="189">
        <v>249.0</v>
      </c>
      <c r="D87" s="1">
        <v>0.0</v>
      </c>
      <c r="E87" s="188"/>
      <c r="F87" s="1" t="s">
        <v>149</v>
      </c>
      <c r="G87" s="1" t="s">
        <v>116</v>
      </c>
      <c r="H87" s="1" t="s">
        <v>1870</v>
      </c>
      <c r="I87" s="1" t="s">
        <v>1871</v>
      </c>
      <c r="J87" s="1" t="s">
        <v>1871</v>
      </c>
      <c r="K87" s="188"/>
      <c r="L87" s="1">
        <v>2.0</v>
      </c>
      <c r="M87" s="1"/>
      <c r="N87" s="1">
        <v>7.121166666666666</v>
      </c>
      <c r="O87" s="1" t="s">
        <v>1685</v>
      </c>
      <c r="P87" s="1" t="s">
        <v>1872</v>
      </c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 t="s">
        <v>95</v>
      </c>
      <c r="B88" s="1" t="s">
        <v>89</v>
      </c>
      <c r="C88" s="189">
        <v>508.0</v>
      </c>
      <c r="D88" s="1">
        <v>0.0</v>
      </c>
      <c r="E88" s="1" t="s">
        <v>1570</v>
      </c>
      <c r="F88" s="1" t="s">
        <v>97</v>
      </c>
      <c r="G88" s="1" t="s">
        <v>92</v>
      </c>
      <c r="H88" s="1" t="s">
        <v>1873</v>
      </c>
      <c r="I88" s="1" t="s">
        <v>1874</v>
      </c>
      <c r="J88" s="1" t="s">
        <v>1875</v>
      </c>
      <c r="K88" s="1" t="s">
        <v>1876</v>
      </c>
      <c r="L88" s="1">
        <v>5.0</v>
      </c>
      <c r="M88" s="1">
        <v>0.0064333333333333334</v>
      </c>
      <c r="N88" s="1">
        <v>11.71775</v>
      </c>
      <c r="O88" s="1" t="s">
        <v>1607</v>
      </c>
      <c r="P88" s="1" t="s">
        <v>1877</v>
      </c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 t="s">
        <v>95</v>
      </c>
      <c r="B89" s="1" t="s">
        <v>89</v>
      </c>
      <c r="C89" s="189">
        <v>493.0</v>
      </c>
      <c r="D89" s="1">
        <v>0.0</v>
      </c>
      <c r="E89" s="1" t="s">
        <v>1570</v>
      </c>
      <c r="F89" s="1" t="s">
        <v>97</v>
      </c>
      <c r="G89" s="1" t="s">
        <v>92</v>
      </c>
      <c r="H89" s="1" t="s">
        <v>1878</v>
      </c>
      <c r="I89" s="1" t="s">
        <v>1879</v>
      </c>
      <c r="J89" s="1" t="s">
        <v>1880</v>
      </c>
      <c r="K89" s="1" t="s">
        <v>1881</v>
      </c>
      <c r="L89" s="1">
        <v>0.0</v>
      </c>
      <c r="M89" s="1">
        <v>0.00625</v>
      </c>
      <c r="N89" s="1">
        <v>11.681</v>
      </c>
      <c r="O89" s="1" t="s">
        <v>1607</v>
      </c>
      <c r="P89" s="1" t="s">
        <v>1882</v>
      </c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 t="s">
        <v>95</v>
      </c>
      <c r="B90" s="1" t="s">
        <v>89</v>
      </c>
      <c r="C90" s="189">
        <v>564.0</v>
      </c>
      <c r="D90" s="1">
        <v>136.0</v>
      </c>
      <c r="E90" s="188"/>
      <c r="F90" s="1" t="s">
        <v>149</v>
      </c>
      <c r="G90" s="1" t="s">
        <v>116</v>
      </c>
      <c r="H90" s="1" t="s">
        <v>1883</v>
      </c>
      <c r="I90" s="1" t="s">
        <v>1884</v>
      </c>
      <c r="J90" s="1" t="s">
        <v>1884</v>
      </c>
      <c r="K90" s="188"/>
      <c r="L90" s="1">
        <v>-9.0</v>
      </c>
      <c r="M90" s="1"/>
      <c r="N90" s="1">
        <v>9.799716666666667</v>
      </c>
      <c r="O90" s="1" t="s">
        <v>1607</v>
      </c>
      <c r="P90" s="1" t="s">
        <v>1885</v>
      </c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 t="s">
        <v>169</v>
      </c>
      <c r="B91" s="1" t="s">
        <v>89</v>
      </c>
      <c r="C91" s="189">
        <v>309.0</v>
      </c>
      <c r="D91" s="1">
        <v>0.0</v>
      </c>
      <c r="E91" s="188"/>
      <c r="F91" s="1" t="s">
        <v>149</v>
      </c>
      <c r="G91" s="1" t="s">
        <v>116</v>
      </c>
      <c r="H91" s="1" t="s">
        <v>1886</v>
      </c>
      <c r="I91" s="1" t="s">
        <v>1887</v>
      </c>
      <c r="J91" s="1" t="s">
        <v>1887</v>
      </c>
      <c r="K91" s="188"/>
      <c r="L91" s="1">
        <v>4.0</v>
      </c>
      <c r="M91" s="1"/>
      <c r="N91" s="1">
        <v>9.813616666666666</v>
      </c>
      <c r="O91" s="1" t="s">
        <v>1685</v>
      </c>
      <c r="P91" s="1" t="s">
        <v>1888</v>
      </c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 t="s">
        <v>88</v>
      </c>
      <c r="B92" s="1" t="s">
        <v>89</v>
      </c>
      <c r="C92" s="189">
        <v>1655.0</v>
      </c>
      <c r="D92" s="1">
        <v>0.0</v>
      </c>
      <c r="E92" s="1" t="s">
        <v>90</v>
      </c>
      <c r="F92" s="1" t="s">
        <v>91</v>
      </c>
      <c r="G92" s="1" t="s">
        <v>92</v>
      </c>
      <c r="H92" s="1" t="s">
        <v>1889</v>
      </c>
      <c r="I92" s="1" t="s">
        <v>1890</v>
      </c>
      <c r="J92" s="1" t="s">
        <v>1890</v>
      </c>
      <c r="K92" s="188"/>
      <c r="L92" s="1">
        <v>1.0</v>
      </c>
      <c r="M92" s="1"/>
      <c r="N92" s="1">
        <v>16.721316666666667</v>
      </c>
      <c r="O92" s="1" t="s">
        <v>1590</v>
      </c>
      <c r="P92" s="1" t="s">
        <v>1891</v>
      </c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 t="s">
        <v>169</v>
      </c>
      <c r="B93" s="1" t="s">
        <v>89</v>
      </c>
      <c r="C93" s="189">
        <v>308.0</v>
      </c>
      <c r="D93" s="1">
        <v>0.0</v>
      </c>
      <c r="E93" s="188"/>
      <c r="F93" s="1" t="s">
        <v>149</v>
      </c>
      <c r="G93" s="1" t="s">
        <v>116</v>
      </c>
      <c r="H93" s="1" t="s">
        <v>1892</v>
      </c>
      <c r="I93" s="1" t="s">
        <v>1893</v>
      </c>
      <c r="J93" s="1" t="s">
        <v>1893</v>
      </c>
      <c r="K93" s="188"/>
      <c r="L93" s="1">
        <v>-1.0</v>
      </c>
      <c r="M93" s="1"/>
      <c r="N93" s="1">
        <v>3.11735</v>
      </c>
      <c r="O93" s="1" t="s">
        <v>1685</v>
      </c>
      <c r="P93" s="1" t="s">
        <v>1894</v>
      </c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 t="s">
        <v>95</v>
      </c>
      <c r="B94" s="1" t="s">
        <v>89</v>
      </c>
      <c r="C94" s="1">
        <v>299.0</v>
      </c>
      <c r="D94" s="1">
        <v>75.0</v>
      </c>
      <c r="E94" s="188"/>
      <c r="F94" s="1" t="s">
        <v>149</v>
      </c>
      <c r="G94" s="1" t="s">
        <v>92</v>
      </c>
      <c r="H94" s="1" t="s">
        <v>1895</v>
      </c>
      <c r="I94" s="1" t="s">
        <v>1896</v>
      </c>
      <c r="J94" s="1" t="s">
        <v>1896</v>
      </c>
      <c r="K94" s="188"/>
      <c r="L94" s="1">
        <v>-13.0</v>
      </c>
      <c r="M94" s="1"/>
      <c r="N94" s="1">
        <v>5.270416666666667</v>
      </c>
      <c r="O94" s="1" t="s">
        <v>1607</v>
      </c>
      <c r="P94" s="1" t="s">
        <v>1897</v>
      </c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 t="s">
        <v>95</v>
      </c>
      <c r="B95" s="1" t="s">
        <v>89</v>
      </c>
      <c r="C95" s="189">
        <v>778.0</v>
      </c>
      <c r="D95" s="1">
        <v>0.0</v>
      </c>
      <c r="E95" s="1" t="s">
        <v>1571</v>
      </c>
      <c r="F95" s="1" t="s">
        <v>97</v>
      </c>
      <c r="G95" s="1" t="s">
        <v>116</v>
      </c>
      <c r="H95" s="1" t="s">
        <v>1898</v>
      </c>
      <c r="I95" s="1" t="s">
        <v>1899</v>
      </c>
      <c r="J95" s="1" t="s">
        <v>1900</v>
      </c>
      <c r="K95" s="1" t="s">
        <v>1901</v>
      </c>
      <c r="L95" s="1">
        <v>-7.0</v>
      </c>
      <c r="M95" s="1">
        <v>0.00585</v>
      </c>
      <c r="N95" s="1">
        <v>9.3052</v>
      </c>
      <c r="O95" s="1" t="s">
        <v>1607</v>
      </c>
      <c r="P95" s="1" t="s">
        <v>1902</v>
      </c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 t="s">
        <v>95</v>
      </c>
      <c r="B96" s="1" t="s">
        <v>89</v>
      </c>
      <c r="C96" s="1">
        <v>394.0</v>
      </c>
      <c r="D96" s="1">
        <v>66.0</v>
      </c>
      <c r="E96" s="188"/>
      <c r="F96" s="1" t="s">
        <v>149</v>
      </c>
      <c r="G96" s="1" t="s">
        <v>153</v>
      </c>
      <c r="H96" s="1" t="s">
        <v>1903</v>
      </c>
      <c r="I96" s="1" t="s">
        <v>1904</v>
      </c>
      <c r="J96" s="1" t="s">
        <v>1904</v>
      </c>
      <c r="K96" s="188"/>
      <c r="L96" s="1">
        <v>-7.0</v>
      </c>
      <c r="M96" s="1"/>
      <c r="N96" s="1">
        <v>12.607133333333334</v>
      </c>
      <c r="O96" s="1" t="s">
        <v>1607</v>
      </c>
      <c r="P96" s="1" t="s">
        <v>1905</v>
      </c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 t="s">
        <v>88</v>
      </c>
      <c r="B97" s="1" t="s">
        <v>89</v>
      </c>
      <c r="C97" s="1">
        <v>259.0</v>
      </c>
      <c r="D97" s="1">
        <v>0.0</v>
      </c>
      <c r="E97" s="1" t="s">
        <v>90</v>
      </c>
      <c r="F97" s="1" t="s">
        <v>91</v>
      </c>
      <c r="G97" s="1" t="s">
        <v>92</v>
      </c>
      <c r="H97" s="1" t="s">
        <v>1906</v>
      </c>
      <c r="I97" s="1" t="s">
        <v>1907</v>
      </c>
      <c r="J97" s="1" t="s">
        <v>1907</v>
      </c>
      <c r="K97" s="188"/>
      <c r="L97" s="1">
        <v>-1.0</v>
      </c>
      <c r="M97" s="1"/>
      <c r="N97" s="1">
        <v>13.43925</v>
      </c>
      <c r="O97" s="1" t="s">
        <v>1590</v>
      </c>
      <c r="P97" s="1" t="s">
        <v>1908</v>
      </c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 t="s">
        <v>169</v>
      </c>
      <c r="B98" s="1" t="s">
        <v>89</v>
      </c>
      <c r="C98" s="1">
        <v>328.0</v>
      </c>
      <c r="D98" s="1">
        <v>0.0</v>
      </c>
      <c r="E98" s="188"/>
      <c r="F98" s="1" t="s">
        <v>149</v>
      </c>
      <c r="G98" s="1" t="s">
        <v>116</v>
      </c>
      <c r="H98" s="1" t="s">
        <v>1909</v>
      </c>
      <c r="I98" s="1" t="s">
        <v>1910</v>
      </c>
      <c r="J98" s="1" t="s">
        <v>1910</v>
      </c>
      <c r="K98" s="188"/>
      <c r="L98" s="1">
        <v>1.0</v>
      </c>
      <c r="M98" s="1"/>
      <c r="N98" s="1">
        <v>6.459583333333334</v>
      </c>
      <c r="O98" s="1" t="s">
        <v>1685</v>
      </c>
      <c r="P98" s="1" t="s">
        <v>1911</v>
      </c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 t="s">
        <v>95</v>
      </c>
      <c r="B99" s="1" t="s">
        <v>89</v>
      </c>
      <c r="C99" s="189">
        <v>643.0</v>
      </c>
      <c r="D99" s="1">
        <v>24.0</v>
      </c>
      <c r="E99" s="1" t="s">
        <v>1570</v>
      </c>
      <c r="F99" s="1" t="s">
        <v>97</v>
      </c>
      <c r="G99" s="1" t="s">
        <v>92</v>
      </c>
      <c r="H99" s="1" t="s">
        <v>1912</v>
      </c>
      <c r="I99" s="1" t="s">
        <v>1913</v>
      </c>
      <c r="J99" s="1" t="s">
        <v>1914</v>
      </c>
      <c r="K99" s="1" t="s">
        <v>1915</v>
      </c>
      <c r="L99" s="1">
        <v>-9.0</v>
      </c>
      <c r="M99" s="1">
        <v>0.00255</v>
      </c>
      <c r="N99" s="1">
        <v>11.093116666666667</v>
      </c>
      <c r="O99" s="1" t="s">
        <v>1607</v>
      </c>
      <c r="P99" s="1" t="s">
        <v>1916</v>
      </c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 t="s">
        <v>104</v>
      </c>
      <c r="B100" s="1" t="s">
        <v>89</v>
      </c>
      <c r="C100" s="189">
        <v>578.0</v>
      </c>
      <c r="D100" s="1">
        <v>0.0</v>
      </c>
      <c r="E100" s="1" t="s">
        <v>1917</v>
      </c>
      <c r="F100" s="1" t="s">
        <v>91</v>
      </c>
      <c r="G100" s="1" t="s">
        <v>92</v>
      </c>
      <c r="H100" s="1" t="s">
        <v>1918</v>
      </c>
      <c r="I100" s="1" t="s">
        <v>1919</v>
      </c>
      <c r="J100" s="1" t="s">
        <v>1919</v>
      </c>
      <c r="K100" s="188"/>
      <c r="L100" s="1">
        <v>-8.0</v>
      </c>
      <c r="M100" s="1"/>
      <c r="N100" s="1">
        <v>6.769716666666667</v>
      </c>
      <c r="O100" s="1" t="s">
        <v>1590</v>
      </c>
      <c r="P100" s="1" t="s">
        <v>1920</v>
      </c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 t="s">
        <v>95</v>
      </c>
      <c r="B101" s="1" t="s">
        <v>89</v>
      </c>
      <c r="C101" s="1">
        <v>524.0</v>
      </c>
      <c r="D101" s="1">
        <v>124.0</v>
      </c>
      <c r="E101" s="188"/>
      <c r="F101" s="1" t="s">
        <v>149</v>
      </c>
      <c r="G101" s="1" t="s">
        <v>92</v>
      </c>
      <c r="H101" s="1" t="s">
        <v>1921</v>
      </c>
      <c r="I101" s="1" t="s">
        <v>1922</v>
      </c>
      <c r="J101" s="1" t="s">
        <v>1922</v>
      </c>
      <c r="K101" s="188"/>
      <c r="L101" s="1">
        <v>-8.0</v>
      </c>
      <c r="M101" s="1"/>
      <c r="N101" s="1">
        <v>10.959266666666666</v>
      </c>
      <c r="O101" s="1" t="s">
        <v>1607</v>
      </c>
      <c r="P101" s="1" t="s">
        <v>1923</v>
      </c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 t="s">
        <v>127</v>
      </c>
      <c r="B102" s="1" t="s">
        <v>89</v>
      </c>
      <c r="C102" s="1">
        <v>468.6</v>
      </c>
      <c r="D102" s="1">
        <v>59.4</v>
      </c>
      <c r="E102" s="188"/>
      <c r="F102" s="1" t="s">
        <v>91</v>
      </c>
      <c r="G102" s="1" t="s">
        <v>92</v>
      </c>
      <c r="H102" s="1" t="s">
        <v>1924</v>
      </c>
      <c r="I102" s="1" t="s">
        <v>1925</v>
      </c>
      <c r="J102" s="1" t="s">
        <v>1925</v>
      </c>
      <c r="K102" s="188"/>
      <c r="L102" s="1">
        <v>-4.0</v>
      </c>
      <c r="M102" s="1"/>
      <c r="N102" s="1">
        <v>10.2998</v>
      </c>
      <c r="O102" s="1" t="s">
        <v>1590</v>
      </c>
      <c r="P102" s="1" t="s">
        <v>1926</v>
      </c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 t="s">
        <v>169</v>
      </c>
      <c r="B103" s="1" t="s">
        <v>89</v>
      </c>
      <c r="C103" s="1">
        <v>1041.0</v>
      </c>
      <c r="D103" s="1">
        <v>0.0</v>
      </c>
      <c r="E103" s="1" t="s">
        <v>1571</v>
      </c>
      <c r="F103" s="1" t="s">
        <v>97</v>
      </c>
      <c r="G103" s="1" t="s">
        <v>116</v>
      </c>
      <c r="H103" s="1" t="s">
        <v>1927</v>
      </c>
      <c r="I103" s="1" t="s">
        <v>1928</v>
      </c>
      <c r="J103" s="1" t="s">
        <v>1929</v>
      </c>
      <c r="K103" s="1" t="s">
        <v>1930</v>
      </c>
      <c r="L103" s="1">
        <v>-13.0</v>
      </c>
      <c r="M103" s="1">
        <v>0.0037166666666666667</v>
      </c>
      <c r="N103" s="1">
        <v>9.35015</v>
      </c>
      <c r="O103" s="1" t="s">
        <v>1685</v>
      </c>
      <c r="P103" s="1" t="s">
        <v>1931</v>
      </c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 t="s">
        <v>88</v>
      </c>
      <c r="B104" s="1" t="s">
        <v>89</v>
      </c>
      <c r="C104" s="189">
        <v>323.0</v>
      </c>
      <c r="D104" s="1">
        <v>0.0</v>
      </c>
      <c r="E104" s="1" t="s">
        <v>90</v>
      </c>
      <c r="F104" s="1" t="s">
        <v>91</v>
      </c>
      <c r="G104" s="1" t="s">
        <v>92</v>
      </c>
      <c r="H104" s="1" t="s">
        <v>1932</v>
      </c>
      <c r="I104" s="1" t="s">
        <v>1933</v>
      </c>
      <c r="J104" s="1" t="s">
        <v>1933</v>
      </c>
      <c r="K104" s="188"/>
      <c r="L104" s="1">
        <v>-9.0</v>
      </c>
      <c r="M104" s="1"/>
      <c r="N104" s="1">
        <v>5.853233333333334</v>
      </c>
      <c r="O104" s="1" t="s">
        <v>1590</v>
      </c>
      <c r="P104" s="1" t="s">
        <v>1934</v>
      </c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 t="s">
        <v>95</v>
      </c>
      <c r="B105" s="1" t="s">
        <v>89</v>
      </c>
      <c r="C105" s="189">
        <v>396.0</v>
      </c>
      <c r="D105" s="1">
        <v>62.0</v>
      </c>
      <c r="E105" s="188"/>
      <c r="F105" s="1" t="s">
        <v>149</v>
      </c>
      <c r="G105" s="1" t="s">
        <v>92</v>
      </c>
      <c r="H105" s="1" t="s">
        <v>1935</v>
      </c>
      <c r="I105" s="1" t="s">
        <v>1936</v>
      </c>
      <c r="J105" s="1" t="s">
        <v>1936</v>
      </c>
      <c r="K105" s="188"/>
      <c r="L105" s="1">
        <v>-8.0</v>
      </c>
      <c r="M105" s="1"/>
      <c r="N105" s="1">
        <v>29.57695</v>
      </c>
      <c r="O105" s="1" t="s">
        <v>1607</v>
      </c>
      <c r="P105" s="1" t="s">
        <v>1937</v>
      </c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 t="s">
        <v>95</v>
      </c>
      <c r="B106" s="1" t="s">
        <v>89</v>
      </c>
      <c r="C106" s="189">
        <v>501.0</v>
      </c>
      <c r="D106" s="1">
        <v>108.0</v>
      </c>
      <c r="E106" s="188"/>
      <c r="F106" s="1" t="s">
        <v>149</v>
      </c>
      <c r="G106" s="1" t="s">
        <v>153</v>
      </c>
      <c r="H106" s="1" t="s">
        <v>1938</v>
      </c>
      <c r="I106" s="1" t="s">
        <v>1939</v>
      </c>
      <c r="J106" s="1" t="s">
        <v>1939</v>
      </c>
      <c r="K106" s="188"/>
      <c r="L106" s="1">
        <v>-3.0</v>
      </c>
      <c r="M106" s="1"/>
      <c r="N106" s="1">
        <v>20.364233333333335</v>
      </c>
      <c r="O106" s="1" t="s">
        <v>1607</v>
      </c>
      <c r="P106" s="1" t="s">
        <v>1940</v>
      </c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 t="s">
        <v>95</v>
      </c>
      <c r="B107" s="1" t="s">
        <v>89</v>
      </c>
      <c r="C107" s="1">
        <v>339.0</v>
      </c>
      <c r="D107" s="1">
        <v>0.0</v>
      </c>
      <c r="E107" s="1" t="s">
        <v>1570</v>
      </c>
      <c r="F107" s="1" t="s">
        <v>97</v>
      </c>
      <c r="G107" s="1" t="s">
        <v>92</v>
      </c>
      <c r="H107" s="1" t="s">
        <v>1941</v>
      </c>
      <c r="I107" s="1" t="s">
        <v>1942</v>
      </c>
      <c r="J107" s="1" t="s">
        <v>1943</v>
      </c>
      <c r="K107" s="1" t="s">
        <v>1944</v>
      </c>
      <c r="L107" s="1">
        <v>-15.0</v>
      </c>
      <c r="M107" s="1">
        <v>0.0019666666666666665</v>
      </c>
      <c r="N107" s="1">
        <v>6.36175</v>
      </c>
      <c r="O107" s="1" t="s">
        <v>1607</v>
      </c>
      <c r="P107" s="1" t="s">
        <v>1945</v>
      </c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 t="s">
        <v>88</v>
      </c>
      <c r="B108" s="1" t="s">
        <v>89</v>
      </c>
      <c r="C108" s="1">
        <v>329.0</v>
      </c>
      <c r="D108" s="1">
        <v>0.0</v>
      </c>
      <c r="E108" s="1" t="s">
        <v>90</v>
      </c>
      <c r="F108" s="1" t="s">
        <v>91</v>
      </c>
      <c r="G108" s="1" t="s">
        <v>92</v>
      </c>
      <c r="H108" s="1" t="s">
        <v>1946</v>
      </c>
      <c r="I108" s="1" t="s">
        <v>1947</v>
      </c>
      <c r="J108" s="1" t="s">
        <v>1947</v>
      </c>
      <c r="K108" s="188"/>
      <c r="L108" s="1">
        <v>-8.0</v>
      </c>
      <c r="M108" s="1"/>
      <c r="N108" s="1">
        <v>6.61975</v>
      </c>
      <c r="O108" s="1" t="s">
        <v>1590</v>
      </c>
      <c r="P108" s="1" t="s">
        <v>1948</v>
      </c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 t="s">
        <v>88</v>
      </c>
      <c r="B109" s="1" t="s">
        <v>89</v>
      </c>
      <c r="C109" s="1">
        <v>388.0</v>
      </c>
      <c r="D109" s="1">
        <v>0.0</v>
      </c>
      <c r="E109" s="1" t="s">
        <v>90</v>
      </c>
      <c r="F109" s="1" t="s">
        <v>91</v>
      </c>
      <c r="G109" s="1" t="s">
        <v>92</v>
      </c>
      <c r="H109" s="1" t="s">
        <v>1949</v>
      </c>
      <c r="I109" s="1" t="s">
        <v>1950</v>
      </c>
      <c r="J109" s="1" t="s">
        <v>1950</v>
      </c>
      <c r="K109" s="188"/>
      <c r="L109" s="1">
        <v>-5.0</v>
      </c>
      <c r="M109" s="1"/>
      <c r="N109" s="1">
        <v>52.098016666666666</v>
      </c>
      <c r="O109" s="1" t="s">
        <v>1590</v>
      </c>
      <c r="P109" s="1" t="s">
        <v>1951</v>
      </c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 t="s">
        <v>88</v>
      </c>
      <c r="B110" s="1" t="s">
        <v>89</v>
      </c>
      <c r="C110" s="189">
        <v>279.0</v>
      </c>
      <c r="D110" s="1">
        <v>0.0</v>
      </c>
      <c r="E110" s="1" t="s">
        <v>90</v>
      </c>
      <c r="F110" s="1" t="s">
        <v>91</v>
      </c>
      <c r="G110" s="1" t="s">
        <v>92</v>
      </c>
      <c r="H110" s="1" t="s">
        <v>1952</v>
      </c>
      <c r="I110" s="1" t="s">
        <v>1953</v>
      </c>
      <c r="J110" s="1" t="s">
        <v>1953</v>
      </c>
      <c r="K110" s="188"/>
      <c r="L110" s="1">
        <v>-6.0</v>
      </c>
      <c r="M110" s="1"/>
      <c r="N110" s="1">
        <v>8.274333333333333</v>
      </c>
      <c r="O110" s="1" t="s">
        <v>1590</v>
      </c>
      <c r="P110" s="1" t="s">
        <v>1954</v>
      </c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 t="s">
        <v>127</v>
      </c>
      <c r="B111" s="1" t="s">
        <v>89</v>
      </c>
      <c r="C111" s="1">
        <v>528.0</v>
      </c>
      <c r="D111" s="1">
        <v>0.0</v>
      </c>
      <c r="E111" s="188"/>
      <c r="F111" s="1" t="s">
        <v>91</v>
      </c>
      <c r="G111" s="1" t="s">
        <v>92</v>
      </c>
      <c r="H111" s="1" t="s">
        <v>1955</v>
      </c>
      <c r="I111" s="1" t="s">
        <v>1956</v>
      </c>
      <c r="J111" s="1" t="s">
        <v>1956</v>
      </c>
      <c r="K111" s="188"/>
      <c r="L111" s="1">
        <v>-6.0</v>
      </c>
      <c r="M111" s="1"/>
      <c r="N111" s="1">
        <v>8.3758</v>
      </c>
      <c r="O111" s="1" t="s">
        <v>1590</v>
      </c>
      <c r="P111" s="1" t="s">
        <v>1957</v>
      </c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 t="s">
        <v>127</v>
      </c>
      <c r="B112" s="1" t="s">
        <v>89</v>
      </c>
      <c r="C112" s="1">
        <v>548.0</v>
      </c>
      <c r="D112" s="1">
        <v>0.0</v>
      </c>
      <c r="E112" s="188"/>
      <c r="F112" s="1" t="s">
        <v>91</v>
      </c>
      <c r="G112" s="1" t="s">
        <v>92</v>
      </c>
      <c r="H112" s="1" t="s">
        <v>1958</v>
      </c>
      <c r="I112" s="1" t="s">
        <v>1959</v>
      </c>
      <c r="J112" s="1" t="s">
        <v>1959</v>
      </c>
      <c r="K112" s="188"/>
      <c r="L112" s="1">
        <v>-7.0</v>
      </c>
      <c r="M112" s="1"/>
      <c r="N112" s="1">
        <v>7.207466666666667</v>
      </c>
      <c r="O112" s="1" t="s">
        <v>1590</v>
      </c>
      <c r="P112" s="1" t="s">
        <v>1960</v>
      </c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" t="s">
        <v>127</v>
      </c>
      <c r="B113" s="189" t="s">
        <v>89</v>
      </c>
      <c r="C113" s="189">
        <v>658.0</v>
      </c>
      <c r="D113" s="1">
        <v>0.0</v>
      </c>
      <c r="E113" s="188"/>
      <c r="F113" s="1" t="s">
        <v>91</v>
      </c>
      <c r="G113" s="1" t="s">
        <v>92</v>
      </c>
      <c r="H113" s="1" t="s">
        <v>1961</v>
      </c>
      <c r="I113" s="1" t="s">
        <v>1962</v>
      </c>
      <c r="J113" s="1" t="s">
        <v>1962</v>
      </c>
      <c r="K113" s="188"/>
      <c r="L113" s="1">
        <v>-3.0</v>
      </c>
      <c r="M113" s="1"/>
      <c r="N113" s="1">
        <v>11.511116666666666</v>
      </c>
      <c r="O113" s="1" t="s">
        <v>1590</v>
      </c>
      <c r="P113" s="1" t="s">
        <v>1963</v>
      </c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" t="s">
        <v>95</v>
      </c>
      <c r="B114" s="1" t="s">
        <v>89</v>
      </c>
      <c r="C114" s="1">
        <v>319.0</v>
      </c>
      <c r="D114" s="1">
        <v>0.0</v>
      </c>
      <c r="E114" s="1" t="s">
        <v>1571</v>
      </c>
      <c r="F114" s="1" t="s">
        <v>97</v>
      </c>
      <c r="G114" s="1" t="s">
        <v>92</v>
      </c>
      <c r="H114" s="1" t="s">
        <v>1964</v>
      </c>
      <c r="I114" s="1" t="s">
        <v>1965</v>
      </c>
      <c r="J114" s="1" t="s">
        <v>1966</v>
      </c>
      <c r="K114" s="1" t="s">
        <v>1967</v>
      </c>
      <c r="L114" s="1">
        <v>-12.0</v>
      </c>
      <c r="M114" s="1">
        <v>0.0014333333333333333</v>
      </c>
      <c r="N114" s="1">
        <v>10.6129</v>
      </c>
      <c r="O114" s="1" t="s">
        <v>1607</v>
      </c>
      <c r="P114" s="1" t="s">
        <v>1968</v>
      </c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" t="s">
        <v>88</v>
      </c>
      <c r="B115" s="1" t="s">
        <v>89</v>
      </c>
      <c r="C115" s="1">
        <v>329.0</v>
      </c>
      <c r="D115" s="1">
        <v>0.0</v>
      </c>
      <c r="E115" s="1" t="s">
        <v>90</v>
      </c>
      <c r="F115" s="1" t="s">
        <v>91</v>
      </c>
      <c r="G115" s="1" t="s">
        <v>92</v>
      </c>
      <c r="H115" s="1" t="s">
        <v>1969</v>
      </c>
      <c r="I115" s="1" t="s">
        <v>1970</v>
      </c>
      <c r="J115" s="1" t="s">
        <v>1970</v>
      </c>
      <c r="K115" s="188"/>
      <c r="L115" s="1">
        <v>-3.0</v>
      </c>
      <c r="M115" s="1"/>
      <c r="N115" s="1">
        <v>11.829933333333333</v>
      </c>
      <c r="O115" s="1" t="s">
        <v>1590</v>
      </c>
      <c r="P115" s="1" t="s">
        <v>1971</v>
      </c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" t="s">
        <v>88</v>
      </c>
      <c r="B116" s="1" t="s">
        <v>89</v>
      </c>
      <c r="C116" s="1">
        <v>274.0</v>
      </c>
      <c r="D116" s="1">
        <v>0.0</v>
      </c>
      <c r="E116" s="1" t="s">
        <v>90</v>
      </c>
      <c r="F116" s="1" t="s">
        <v>91</v>
      </c>
      <c r="G116" s="1" t="s">
        <v>92</v>
      </c>
      <c r="H116" s="1" t="s">
        <v>1972</v>
      </c>
      <c r="I116" s="1" t="s">
        <v>1973</v>
      </c>
      <c r="J116" s="1" t="s">
        <v>1973</v>
      </c>
      <c r="K116" s="188"/>
      <c r="L116" s="1">
        <v>-9.0</v>
      </c>
      <c r="M116" s="1"/>
      <c r="N116" s="1">
        <v>5.716933333333333</v>
      </c>
      <c r="O116" s="1" t="s">
        <v>1590</v>
      </c>
      <c r="P116" s="1" t="s">
        <v>1974</v>
      </c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" t="s">
        <v>88</v>
      </c>
      <c r="B117" s="1" t="s">
        <v>89</v>
      </c>
      <c r="C117" s="1">
        <v>230.3</v>
      </c>
      <c r="D117" s="1">
        <v>98.7</v>
      </c>
      <c r="E117" s="1" t="s">
        <v>90</v>
      </c>
      <c r="F117" s="1" t="s">
        <v>91</v>
      </c>
      <c r="G117" s="1" t="s">
        <v>92</v>
      </c>
      <c r="H117" s="1" t="s">
        <v>1975</v>
      </c>
      <c r="I117" s="1" t="s">
        <v>1976</v>
      </c>
      <c r="J117" s="1" t="s">
        <v>1976</v>
      </c>
      <c r="K117" s="188"/>
      <c r="L117" s="1">
        <v>-7.0</v>
      </c>
      <c r="M117" s="1"/>
      <c r="N117" s="1">
        <v>7.8834</v>
      </c>
      <c r="O117" s="1" t="s">
        <v>1590</v>
      </c>
      <c r="P117" s="1" t="s">
        <v>1756</v>
      </c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" t="s">
        <v>88</v>
      </c>
      <c r="B118" s="1" t="s">
        <v>89</v>
      </c>
      <c r="C118" s="1">
        <v>329.0</v>
      </c>
      <c r="D118" s="1">
        <v>0.0</v>
      </c>
      <c r="E118" s="1" t="s">
        <v>90</v>
      </c>
      <c r="F118" s="1" t="s">
        <v>91</v>
      </c>
      <c r="G118" s="1" t="s">
        <v>92</v>
      </c>
      <c r="H118" s="1" t="s">
        <v>1977</v>
      </c>
      <c r="I118" s="1" t="s">
        <v>1978</v>
      </c>
      <c r="J118" s="1" t="s">
        <v>1978</v>
      </c>
      <c r="K118" s="188"/>
      <c r="L118" s="1">
        <v>-1.0</v>
      </c>
      <c r="M118" s="1"/>
      <c r="N118" s="1">
        <v>13.487783333333333</v>
      </c>
      <c r="O118" s="1" t="s">
        <v>1590</v>
      </c>
      <c r="P118" s="1" t="s">
        <v>1979</v>
      </c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" t="s">
        <v>127</v>
      </c>
      <c r="B119" s="1" t="s">
        <v>89</v>
      </c>
      <c r="C119" s="1">
        <v>333.6</v>
      </c>
      <c r="D119" s="1">
        <v>59.4</v>
      </c>
      <c r="E119" s="188"/>
      <c r="F119" s="1" t="s">
        <v>91</v>
      </c>
      <c r="G119" s="1" t="s">
        <v>92</v>
      </c>
      <c r="H119" s="1" t="s">
        <v>1980</v>
      </c>
      <c r="I119" s="1" t="s">
        <v>1981</v>
      </c>
      <c r="J119" s="1" t="s">
        <v>1981</v>
      </c>
      <c r="K119" s="188"/>
      <c r="L119" s="1">
        <v>0.0</v>
      </c>
      <c r="M119" s="1"/>
      <c r="N119" s="1">
        <v>14.264666666666667</v>
      </c>
      <c r="O119" s="1" t="s">
        <v>1590</v>
      </c>
      <c r="P119" s="1" t="s">
        <v>1982</v>
      </c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" t="s">
        <v>127</v>
      </c>
      <c r="B120" s="1" t="s">
        <v>89</v>
      </c>
      <c r="C120" s="1">
        <v>364.0</v>
      </c>
      <c r="D120" s="1">
        <v>0.0</v>
      </c>
      <c r="E120" s="188"/>
      <c r="F120" s="1" t="s">
        <v>91</v>
      </c>
      <c r="G120" s="1" t="s">
        <v>92</v>
      </c>
      <c r="H120" s="1" t="s">
        <v>1983</v>
      </c>
      <c r="I120" s="1" t="s">
        <v>1984</v>
      </c>
      <c r="J120" s="1" t="s">
        <v>1984</v>
      </c>
      <c r="K120" s="188"/>
      <c r="L120" s="1">
        <v>-5.0</v>
      </c>
      <c r="M120" s="1"/>
      <c r="N120" s="1">
        <v>9.386333333333333</v>
      </c>
      <c r="O120" s="1" t="s">
        <v>1590</v>
      </c>
      <c r="P120" s="1" t="s">
        <v>1985</v>
      </c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" t="s">
        <v>88</v>
      </c>
      <c r="B121" s="1" t="s">
        <v>89</v>
      </c>
      <c r="C121" s="189">
        <v>388.0</v>
      </c>
      <c r="D121" s="1">
        <v>0.0</v>
      </c>
      <c r="E121" s="1" t="s">
        <v>90</v>
      </c>
      <c r="F121" s="1" t="s">
        <v>91</v>
      </c>
      <c r="G121" s="1" t="s">
        <v>92</v>
      </c>
      <c r="H121" s="1" t="s">
        <v>1986</v>
      </c>
      <c r="I121" s="1" t="s">
        <v>1987</v>
      </c>
      <c r="J121" s="1" t="s">
        <v>1987</v>
      </c>
      <c r="K121" s="188"/>
      <c r="L121" s="1">
        <v>-6.0</v>
      </c>
      <c r="M121" s="1"/>
      <c r="N121" s="1">
        <v>8.134683333333333</v>
      </c>
      <c r="O121" s="1" t="s">
        <v>1590</v>
      </c>
      <c r="P121" s="1" t="s">
        <v>1988</v>
      </c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" t="s">
        <v>95</v>
      </c>
      <c r="B122" s="1" t="s">
        <v>89</v>
      </c>
      <c r="C122" s="1">
        <v>498.0</v>
      </c>
      <c r="D122" s="1">
        <v>0.0</v>
      </c>
      <c r="E122" s="1" t="s">
        <v>1572</v>
      </c>
      <c r="F122" s="1" t="s">
        <v>97</v>
      </c>
      <c r="G122" s="1" t="s">
        <v>92</v>
      </c>
      <c r="H122" s="1" t="s">
        <v>1989</v>
      </c>
      <c r="I122" s="1" t="s">
        <v>1990</v>
      </c>
      <c r="J122" s="1" t="s">
        <v>1991</v>
      </c>
      <c r="K122" s="1" t="s">
        <v>1992</v>
      </c>
      <c r="L122" s="1">
        <v>-8.0</v>
      </c>
      <c r="M122" s="1">
        <v>0.0016333333333333334</v>
      </c>
      <c r="N122" s="1">
        <v>6.4945</v>
      </c>
      <c r="O122" s="1" t="s">
        <v>1607</v>
      </c>
      <c r="P122" s="1" t="s">
        <v>1993</v>
      </c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" t="s">
        <v>95</v>
      </c>
      <c r="B123" s="1" t="s">
        <v>89</v>
      </c>
      <c r="C123" s="189">
        <v>344.0</v>
      </c>
      <c r="D123" s="1">
        <v>0.0</v>
      </c>
      <c r="E123" s="1" t="s">
        <v>1572</v>
      </c>
      <c r="F123" s="1" t="s">
        <v>97</v>
      </c>
      <c r="G123" s="1" t="s">
        <v>116</v>
      </c>
      <c r="H123" s="1" t="s">
        <v>1994</v>
      </c>
      <c r="I123" s="1" t="s">
        <v>1995</v>
      </c>
      <c r="J123" s="1" t="s">
        <v>1996</v>
      </c>
      <c r="K123" s="1" t="s">
        <v>1997</v>
      </c>
      <c r="L123" s="1">
        <v>-11.0</v>
      </c>
      <c r="M123" s="1">
        <v>0.0021333333333333334</v>
      </c>
      <c r="N123" s="1">
        <v>7.6579</v>
      </c>
      <c r="O123" s="1" t="s">
        <v>1607</v>
      </c>
      <c r="P123" s="1" t="s">
        <v>1998</v>
      </c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" t="s">
        <v>88</v>
      </c>
      <c r="B124" s="1" t="s">
        <v>89</v>
      </c>
      <c r="C124" s="189">
        <v>264.0</v>
      </c>
      <c r="D124" s="1">
        <v>0.0</v>
      </c>
      <c r="E124" s="1" t="s">
        <v>90</v>
      </c>
      <c r="F124" s="1" t="s">
        <v>91</v>
      </c>
      <c r="G124" s="1" t="s">
        <v>92</v>
      </c>
      <c r="H124" s="1" t="s">
        <v>1999</v>
      </c>
      <c r="I124" s="1" t="s">
        <v>2000</v>
      </c>
      <c r="J124" s="1" t="s">
        <v>2000</v>
      </c>
      <c r="K124" s="188"/>
      <c r="L124" s="1">
        <v>-9.0</v>
      </c>
      <c r="M124" s="1"/>
      <c r="N124" s="1">
        <v>5.0622</v>
      </c>
      <c r="O124" s="1" t="s">
        <v>1590</v>
      </c>
      <c r="P124" s="1" t="s">
        <v>2001</v>
      </c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" t="s">
        <v>95</v>
      </c>
      <c r="B125" s="1" t="s">
        <v>89</v>
      </c>
      <c r="C125" s="1">
        <v>215.0</v>
      </c>
      <c r="D125" s="1">
        <v>54.0</v>
      </c>
      <c r="E125" s="188"/>
      <c r="F125" s="1" t="s">
        <v>149</v>
      </c>
      <c r="G125" s="1" t="s">
        <v>153</v>
      </c>
      <c r="H125" s="1" t="s">
        <v>2002</v>
      </c>
      <c r="I125" s="1" t="s">
        <v>2003</v>
      </c>
      <c r="J125" s="1" t="s">
        <v>2003</v>
      </c>
      <c r="K125" s="188"/>
      <c r="L125" s="1">
        <v>-12.0</v>
      </c>
      <c r="M125" s="1"/>
      <c r="N125" s="1">
        <v>6.78785</v>
      </c>
      <c r="O125" s="1" t="s">
        <v>1607</v>
      </c>
      <c r="P125" s="1" t="s">
        <v>2004</v>
      </c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" t="s">
        <v>104</v>
      </c>
      <c r="B126" s="1" t="s">
        <v>89</v>
      </c>
      <c r="C126" s="1">
        <v>274.0</v>
      </c>
      <c r="D126" s="1">
        <v>0.0</v>
      </c>
      <c r="E126" s="1" t="s">
        <v>342</v>
      </c>
      <c r="F126" s="1" t="s">
        <v>91</v>
      </c>
      <c r="G126" s="1" t="s">
        <v>92</v>
      </c>
      <c r="H126" s="1" t="s">
        <v>2005</v>
      </c>
      <c r="I126" s="1" t="s">
        <v>2006</v>
      </c>
      <c r="J126" s="1" t="s">
        <v>2006</v>
      </c>
      <c r="K126" s="188"/>
      <c r="L126" s="1">
        <v>-9.0</v>
      </c>
      <c r="M126" s="1"/>
      <c r="N126" s="1">
        <v>5.915183333333333</v>
      </c>
      <c r="O126" s="1" t="s">
        <v>1590</v>
      </c>
      <c r="P126" s="1" t="s">
        <v>2007</v>
      </c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" t="s">
        <v>95</v>
      </c>
      <c r="B127" s="1" t="s">
        <v>89</v>
      </c>
      <c r="C127" s="189">
        <v>309.0</v>
      </c>
      <c r="D127" s="1">
        <v>0.0</v>
      </c>
      <c r="E127" s="1" t="s">
        <v>1572</v>
      </c>
      <c r="F127" s="1" t="s">
        <v>97</v>
      </c>
      <c r="G127" s="1" t="s">
        <v>116</v>
      </c>
      <c r="H127" s="1" t="s">
        <v>2008</v>
      </c>
      <c r="I127" s="1" t="s">
        <v>2009</v>
      </c>
      <c r="J127" s="1" t="s">
        <v>2010</v>
      </c>
      <c r="K127" s="1" t="s">
        <v>2011</v>
      </c>
      <c r="L127" s="1">
        <v>-1.0</v>
      </c>
      <c r="M127" s="1">
        <v>0.0022166666666666667</v>
      </c>
      <c r="N127" s="1">
        <v>11.794216666666667</v>
      </c>
      <c r="O127" s="1" t="s">
        <v>1607</v>
      </c>
      <c r="P127" s="1" t="s">
        <v>1945</v>
      </c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" t="s">
        <v>88</v>
      </c>
      <c r="B128" s="1" t="s">
        <v>89</v>
      </c>
      <c r="C128" s="189">
        <v>394.0</v>
      </c>
      <c r="D128" s="1">
        <v>0.0</v>
      </c>
      <c r="E128" s="1" t="s">
        <v>90</v>
      </c>
      <c r="F128" s="1" t="s">
        <v>91</v>
      </c>
      <c r="G128" s="1" t="s">
        <v>92</v>
      </c>
      <c r="H128" s="1" t="s">
        <v>2012</v>
      </c>
      <c r="I128" s="1" t="s">
        <v>2013</v>
      </c>
      <c r="J128" s="1" t="s">
        <v>2013</v>
      </c>
      <c r="K128" s="188"/>
      <c r="L128" s="1">
        <v>-5.0</v>
      </c>
      <c r="M128" s="1"/>
      <c r="N128" s="1">
        <v>9.164433333333333</v>
      </c>
      <c r="O128" s="1" t="s">
        <v>1590</v>
      </c>
      <c r="P128" s="1" t="s">
        <v>2014</v>
      </c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" t="s">
        <v>127</v>
      </c>
      <c r="B129" s="1" t="s">
        <v>89</v>
      </c>
      <c r="C129" s="1">
        <v>548.0</v>
      </c>
      <c r="D129" s="1">
        <v>0.0</v>
      </c>
      <c r="E129" s="188"/>
      <c r="F129" s="1" t="s">
        <v>91</v>
      </c>
      <c r="G129" s="1" t="s">
        <v>92</v>
      </c>
      <c r="H129" s="1" t="s">
        <v>2015</v>
      </c>
      <c r="I129" s="1" t="s">
        <v>2016</v>
      </c>
      <c r="J129" s="1" t="s">
        <v>2016</v>
      </c>
      <c r="K129" s="188"/>
      <c r="L129" s="1">
        <v>-1.0</v>
      </c>
      <c r="M129" s="1"/>
      <c r="N129" s="1">
        <v>13.002783333333333</v>
      </c>
      <c r="O129" s="1" t="s">
        <v>1590</v>
      </c>
      <c r="P129" s="1" t="s">
        <v>2017</v>
      </c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" t="s">
        <v>127</v>
      </c>
      <c r="B130" s="1" t="s">
        <v>89</v>
      </c>
      <c r="C130" s="1">
        <v>204.6</v>
      </c>
      <c r="D130" s="1">
        <v>59.4</v>
      </c>
      <c r="E130" s="188"/>
      <c r="F130" s="1" t="s">
        <v>91</v>
      </c>
      <c r="G130" s="1" t="s">
        <v>92</v>
      </c>
      <c r="H130" s="1" t="s">
        <v>2018</v>
      </c>
      <c r="I130" s="1" t="s">
        <v>2019</v>
      </c>
      <c r="J130" s="1" t="s">
        <v>2019</v>
      </c>
      <c r="K130" s="188"/>
      <c r="L130" s="1">
        <v>-5.0</v>
      </c>
      <c r="M130" s="1"/>
      <c r="N130" s="1">
        <v>9.276833333333334</v>
      </c>
      <c r="O130" s="1" t="s">
        <v>1590</v>
      </c>
      <c r="P130" s="1" t="s">
        <v>2020</v>
      </c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" t="s">
        <v>95</v>
      </c>
      <c r="B131" s="1" t="s">
        <v>89</v>
      </c>
      <c r="C131" s="1">
        <v>618.0</v>
      </c>
      <c r="D131" s="1">
        <v>0.0</v>
      </c>
      <c r="E131" s="1" t="s">
        <v>1572</v>
      </c>
      <c r="F131" s="1" t="s">
        <v>97</v>
      </c>
      <c r="G131" s="1" t="s">
        <v>92</v>
      </c>
      <c r="H131" s="1" t="s">
        <v>2021</v>
      </c>
      <c r="I131" s="1" t="s">
        <v>2022</v>
      </c>
      <c r="J131" s="1" t="s">
        <v>2023</v>
      </c>
      <c r="K131" s="1" t="s">
        <v>2024</v>
      </c>
      <c r="L131" s="1">
        <v>1.0</v>
      </c>
      <c r="M131" s="1">
        <v>0.0020166666666666666</v>
      </c>
      <c r="N131" s="1">
        <v>8.974783333333333</v>
      </c>
      <c r="O131" s="1" t="s">
        <v>1607</v>
      </c>
      <c r="P131" s="1" t="s">
        <v>2025</v>
      </c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" t="s">
        <v>127</v>
      </c>
      <c r="B132" s="1" t="s">
        <v>89</v>
      </c>
      <c r="C132" s="189">
        <v>273.58</v>
      </c>
      <c r="D132" s="1">
        <v>79.42</v>
      </c>
      <c r="E132" s="188"/>
      <c r="F132" s="1" t="s">
        <v>91</v>
      </c>
      <c r="G132" s="1" t="s">
        <v>92</v>
      </c>
      <c r="H132" s="1" t="s">
        <v>2026</v>
      </c>
      <c r="I132" s="1" t="s">
        <v>2027</v>
      </c>
      <c r="J132" s="1" t="s">
        <v>2027</v>
      </c>
      <c r="K132" s="188"/>
      <c r="L132" s="1">
        <v>-8.0</v>
      </c>
      <c r="M132" s="1"/>
      <c r="N132" s="1">
        <v>6.647633333333333</v>
      </c>
      <c r="O132" s="1" t="s">
        <v>1590</v>
      </c>
      <c r="P132" s="1" t="s">
        <v>2028</v>
      </c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" t="s">
        <v>95</v>
      </c>
      <c r="B133" s="1" t="s">
        <v>89</v>
      </c>
      <c r="C133" s="1">
        <v>374.0</v>
      </c>
      <c r="D133" s="1">
        <v>0.0</v>
      </c>
      <c r="E133" s="1" t="s">
        <v>1572</v>
      </c>
      <c r="F133" s="1" t="s">
        <v>97</v>
      </c>
      <c r="G133" s="1" t="s">
        <v>92</v>
      </c>
      <c r="H133" s="1" t="s">
        <v>2029</v>
      </c>
      <c r="I133" s="1" t="s">
        <v>2030</v>
      </c>
      <c r="J133" s="1" t="s">
        <v>2031</v>
      </c>
      <c r="K133" s="1" t="s">
        <v>2032</v>
      </c>
      <c r="L133" s="1">
        <v>-9.0</v>
      </c>
      <c r="M133" s="1">
        <v>0.0022333333333333333</v>
      </c>
      <c r="N133" s="1">
        <v>8.11565</v>
      </c>
      <c r="O133" s="1" t="s">
        <v>1607</v>
      </c>
      <c r="P133" s="1" t="s">
        <v>2033</v>
      </c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" t="s">
        <v>95</v>
      </c>
      <c r="B134" s="1" t="s">
        <v>89</v>
      </c>
      <c r="C134" s="1">
        <v>336.0</v>
      </c>
      <c r="D134" s="1">
        <v>0.0</v>
      </c>
      <c r="E134" s="1" t="s">
        <v>1572</v>
      </c>
      <c r="F134" s="1" t="s">
        <v>97</v>
      </c>
      <c r="G134" s="1" t="s">
        <v>92</v>
      </c>
      <c r="H134" s="1" t="s">
        <v>2034</v>
      </c>
      <c r="I134" s="1" t="s">
        <v>2035</v>
      </c>
      <c r="J134" s="1" t="s">
        <v>2036</v>
      </c>
      <c r="K134" s="1" t="s">
        <v>2037</v>
      </c>
      <c r="L134" s="1">
        <v>-3.0</v>
      </c>
      <c r="M134" s="1">
        <v>0.0020833333333333333</v>
      </c>
      <c r="N134" s="1">
        <v>7.188766666666667</v>
      </c>
      <c r="O134" s="1" t="s">
        <v>1607</v>
      </c>
      <c r="P134" s="1" t="s">
        <v>2038</v>
      </c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" t="s">
        <v>104</v>
      </c>
      <c r="B135" s="1" t="s">
        <v>89</v>
      </c>
      <c r="C135" s="1">
        <v>328.0</v>
      </c>
      <c r="D135" s="1">
        <v>0.0</v>
      </c>
      <c r="E135" s="1" t="s">
        <v>109</v>
      </c>
      <c r="F135" s="1" t="s">
        <v>91</v>
      </c>
      <c r="G135" s="1" t="s">
        <v>92</v>
      </c>
      <c r="H135" s="1" t="s">
        <v>2039</v>
      </c>
      <c r="I135" s="1" t="s">
        <v>2040</v>
      </c>
      <c r="J135" s="1" t="s">
        <v>2040</v>
      </c>
      <c r="K135" s="188"/>
      <c r="L135" s="1">
        <v>-7.0</v>
      </c>
      <c r="M135" s="1"/>
      <c r="N135" s="1">
        <v>9.406016666666666</v>
      </c>
      <c r="O135" s="1" t="s">
        <v>1590</v>
      </c>
      <c r="P135" s="1" t="s">
        <v>2041</v>
      </c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" t="s">
        <v>127</v>
      </c>
      <c r="B136" s="1" t="s">
        <v>89</v>
      </c>
      <c r="C136" s="1">
        <v>263.6</v>
      </c>
      <c r="D136" s="1">
        <v>59.4</v>
      </c>
      <c r="E136" s="188"/>
      <c r="F136" s="1" t="s">
        <v>91</v>
      </c>
      <c r="G136" s="1" t="s">
        <v>92</v>
      </c>
      <c r="H136" s="1" t="s">
        <v>2042</v>
      </c>
      <c r="I136" s="1" t="s">
        <v>2043</v>
      </c>
      <c r="J136" s="1" t="s">
        <v>2043</v>
      </c>
      <c r="K136" s="188"/>
      <c r="L136" s="1">
        <v>-7.0</v>
      </c>
      <c r="M136" s="1"/>
      <c r="N136" s="1">
        <v>7.1037333333333335</v>
      </c>
      <c r="O136" s="1" t="s">
        <v>1590</v>
      </c>
      <c r="P136" s="1" t="s">
        <v>2044</v>
      </c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" t="s">
        <v>104</v>
      </c>
      <c r="B137" s="1" t="s">
        <v>89</v>
      </c>
      <c r="C137" s="1">
        <v>264.0</v>
      </c>
      <c r="D137" s="1">
        <v>0.0</v>
      </c>
      <c r="E137" s="1" t="s">
        <v>2045</v>
      </c>
      <c r="F137" s="1" t="s">
        <v>91</v>
      </c>
      <c r="G137" s="1" t="s">
        <v>92</v>
      </c>
      <c r="H137" s="1" t="s">
        <v>2046</v>
      </c>
      <c r="I137" s="1" t="s">
        <v>2047</v>
      </c>
      <c r="J137" s="1" t="s">
        <v>2047</v>
      </c>
      <c r="K137" s="188"/>
      <c r="L137" s="1">
        <v>-7.0</v>
      </c>
      <c r="M137" s="1"/>
      <c r="N137" s="1">
        <v>7.418983333333333</v>
      </c>
      <c r="O137" s="1" t="s">
        <v>1590</v>
      </c>
      <c r="P137" s="1" t="s">
        <v>2048</v>
      </c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" t="s">
        <v>104</v>
      </c>
      <c r="B138" s="1" t="s">
        <v>89</v>
      </c>
      <c r="C138" s="189">
        <v>434.0</v>
      </c>
      <c r="D138" s="1">
        <v>0.0</v>
      </c>
      <c r="E138" s="1" t="s">
        <v>2049</v>
      </c>
      <c r="F138" s="1" t="s">
        <v>91</v>
      </c>
      <c r="G138" s="1" t="s">
        <v>92</v>
      </c>
      <c r="H138" s="1" t="s">
        <v>2050</v>
      </c>
      <c r="I138" s="1" t="s">
        <v>2051</v>
      </c>
      <c r="J138" s="1" t="s">
        <v>2051</v>
      </c>
      <c r="K138" s="188"/>
      <c r="L138" s="1">
        <v>-8.0</v>
      </c>
      <c r="M138" s="1"/>
      <c r="N138" s="1">
        <v>6.8445833333333335</v>
      </c>
      <c r="O138" s="1" t="s">
        <v>1590</v>
      </c>
      <c r="P138" s="1" t="s">
        <v>2052</v>
      </c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" t="s">
        <v>95</v>
      </c>
      <c r="B139" s="1" t="s">
        <v>89</v>
      </c>
      <c r="C139" s="1">
        <v>498.0</v>
      </c>
      <c r="D139" s="1">
        <v>0.0</v>
      </c>
      <c r="E139" s="1" t="s">
        <v>1572</v>
      </c>
      <c r="F139" s="1" t="s">
        <v>97</v>
      </c>
      <c r="G139" s="1" t="s">
        <v>92</v>
      </c>
      <c r="H139" s="1" t="s">
        <v>2053</v>
      </c>
      <c r="I139" s="1" t="s">
        <v>2054</v>
      </c>
      <c r="J139" s="1" t="s">
        <v>2055</v>
      </c>
      <c r="K139" s="1" t="s">
        <v>2056</v>
      </c>
      <c r="L139" s="1">
        <v>-3.0</v>
      </c>
      <c r="M139" s="1">
        <v>0.0031666666666666666</v>
      </c>
      <c r="N139" s="1">
        <v>8.346183333333334</v>
      </c>
      <c r="O139" s="1" t="s">
        <v>1607</v>
      </c>
      <c r="P139" s="1" t="s">
        <v>2057</v>
      </c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" t="s">
        <v>95</v>
      </c>
      <c r="B140" s="1" t="s">
        <v>89</v>
      </c>
      <c r="C140" s="1">
        <v>314.0</v>
      </c>
      <c r="D140" s="1">
        <v>0.0</v>
      </c>
      <c r="E140" s="1" t="s">
        <v>1572</v>
      </c>
      <c r="F140" s="1" t="s">
        <v>97</v>
      </c>
      <c r="G140" s="1" t="s">
        <v>92</v>
      </c>
      <c r="H140" s="1" t="s">
        <v>2058</v>
      </c>
      <c r="I140" s="1" t="s">
        <v>2059</v>
      </c>
      <c r="J140" s="1" t="s">
        <v>2060</v>
      </c>
      <c r="K140" s="1" t="s">
        <v>2061</v>
      </c>
      <c r="L140" s="1">
        <v>-2.0</v>
      </c>
      <c r="M140" s="1">
        <v>0.0015333333333333334</v>
      </c>
      <c r="N140" s="1">
        <v>14.43145</v>
      </c>
      <c r="O140" s="1" t="s">
        <v>1607</v>
      </c>
      <c r="P140" s="1" t="s">
        <v>1945</v>
      </c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" t="s">
        <v>88</v>
      </c>
      <c r="B141" s="1" t="s">
        <v>89</v>
      </c>
      <c r="C141" s="1">
        <v>264.0</v>
      </c>
      <c r="D141" s="1">
        <v>0.0</v>
      </c>
      <c r="E141" s="1" t="s">
        <v>90</v>
      </c>
      <c r="F141" s="1" t="s">
        <v>91</v>
      </c>
      <c r="G141" s="1" t="s">
        <v>92</v>
      </c>
      <c r="H141" s="1" t="s">
        <v>2062</v>
      </c>
      <c r="I141" s="1" t="s">
        <v>2063</v>
      </c>
      <c r="J141" s="1" t="s">
        <v>2063</v>
      </c>
      <c r="K141" s="188"/>
      <c r="L141" s="1">
        <v>-1.0</v>
      </c>
      <c r="M141" s="1"/>
      <c r="N141" s="1">
        <v>13.692566666666666</v>
      </c>
      <c r="O141" s="1" t="s">
        <v>1590</v>
      </c>
      <c r="P141" s="1" t="s">
        <v>2064</v>
      </c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" t="s">
        <v>88</v>
      </c>
      <c r="B142" s="1" t="s">
        <v>89</v>
      </c>
      <c r="C142" s="1">
        <v>294.0</v>
      </c>
      <c r="D142" s="1">
        <v>0.0</v>
      </c>
      <c r="E142" s="1" t="s">
        <v>90</v>
      </c>
      <c r="F142" s="1" t="s">
        <v>91</v>
      </c>
      <c r="G142" s="1" t="s">
        <v>92</v>
      </c>
      <c r="H142" s="1" t="s">
        <v>2065</v>
      </c>
      <c r="I142" s="1" t="s">
        <v>2066</v>
      </c>
      <c r="J142" s="1" t="s">
        <v>2066</v>
      </c>
      <c r="K142" s="188"/>
      <c r="L142" s="1">
        <v>-6.0</v>
      </c>
      <c r="M142" s="1"/>
      <c r="N142" s="1">
        <v>8.9284</v>
      </c>
      <c r="O142" s="1" t="s">
        <v>1590</v>
      </c>
      <c r="P142" s="1" t="s">
        <v>2067</v>
      </c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" t="s">
        <v>127</v>
      </c>
      <c r="B143" s="1" t="s">
        <v>89</v>
      </c>
      <c r="C143" s="1">
        <v>250.33</v>
      </c>
      <c r="D143" s="1">
        <v>72.67</v>
      </c>
      <c r="E143" s="188"/>
      <c r="F143" s="1" t="s">
        <v>91</v>
      </c>
      <c r="G143" s="1" t="s">
        <v>92</v>
      </c>
      <c r="H143" s="1" t="s">
        <v>2068</v>
      </c>
      <c r="I143" s="1" t="s">
        <v>2069</v>
      </c>
      <c r="J143" s="1" t="s">
        <v>2069</v>
      </c>
      <c r="K143" s="188"/>
      <c r="L143" s="1">
        <v>0.0</v>
      </c>
      <c r="M143" s="1"/>
      <c r="N143" s="1">
        <v>14.154316666666666</v>
      </c>
      <c r="O143" s="1" t="s">
        <v>1590</v>
      </c>
      <c r="P143" s="1" t="s">
        <v>2070</v>
      </c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" t="s">
        <v>127</v>
      </c>
      <c r="B144" s="1" t="s">
        <v>89</v>
      </c>
      <c r="C144" s="1">
        <v>459.15</v>
      </c>
      <c r="D144" s="1">
        <v>95.85</v>
      </c>
      <c r="E144" s="188"/>
      <c r="F144" s="1" t="s">
        <v>91</v>
      </c>
      <c r="G144" s="1" t="s">
        <v>92</v>
      </c>
      <c r="H144" s="1" t="s">
        <v>2071</v>
      </c>
      <c r="I144" s="1" t="s">
        <v>2072</v>
      </c>
      <c r="J144" s="1" t="s">
        <v>2072</v>
      </c>
      <c r="K144" s="188"/>
      <c r="L144" s="1">
        <v>-2.0</v>
      </c>
      <c r="M144" s="1"/>
      <c r="N144" s="1">
        <v>12.466116666666666</v>
      </c>
      <c r="O144" s="1" t="s">
        <v>1590</v>
      </c>
      <c r="P144" s="1" t="s">
        <v>2073</v>
      </c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" t="s">
        <v>88</v>
      </c>
      <c r="B145" s="1" t="s">
        <v>89</v>
      </c>
      <c r="C145" s="1">
        <v>289.0</v>
      </c>
      <c r="D145" s="1">
        <v>0.0</v>
      </c>
      <c r="E145" s="1" t="s">
        <v>90</v>
      </c>
      <c r="F145" s="1" t="s">
        <v>91</v>
      </c>
      <c r="G145" s="1" t="s">
        <v>92</v>
      </c>
      <c r="H145" s="1" t="s">
        <v>2074</v>
      </c>
      <c r="I145" s="1" t="s">
        <v>2075</v>
      </c>
      <c r="J145" s="1" t="s">
        <v>2075</v>
      </c>
      <c r="K145" s="188"/>
      <c r="L145" s="1">
        <v>-1.0</v>
      </c>
      <c r="M145" s="1"/>
      <c r="N145" s="1">
        <v>13.156566666666667</v>
      </c>
      <c r="O145" s="1" t="s">
        <v>1590</v>
      </c>
      <c r="P145" s="1" t="s">
        <v>1809</v>
      </c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" t="s">
        <v>88</v>
      </c>
      <c r="B146" s="1" t="s">
        <v>89</v>
      </c>
      <c r="C146" s="1">
        <v>191.8</v>
      </c>
      <c r="D146" s="1">
        <v>82.2</v>
      </c>
      <c r="E146" s="1" t="s">
        <v>90</v>
      </c>
      <c r="F146" s="1" t="s">
        <v>91</v>
      </c>
      <c r="G146" s="1" t="s">
        <v>92</v>
      </c>
      <c r="H146" s="1" t="s">
        <v>2076</v>
      </c>
      <c r="I146" s="1" t="s">
        <v>2077</v>
      </c>
      <c r="J146" s="1" t="s">
        <v>2077</v>
      </c>
      <c r="K146" s="188"/>
      <c r="L146" s="1">
        <v>-1.0</v>
      </c>
      <c r="M146" s="1"/>
      <c r="N146" s="1">
        <v>13.555733333333333</v>
      </c>
      <c r="O146" s="1" t="s">
        <v>1590</v>
      </c>
      <c r="P146" s="1" t="s">
        <v>2078</v>
      </c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" t="s">
        <v>95</v>
      </c>
      <c r="B147" s="1" t="s">
        <v>89</v>
      </c>
      <c r="C147" s="1">
        <v>1122.0</v>
      </c>
      <c r="D147" s="1">
        <v>0.0</v>
      </c>
      <c r="E147" s="1" t="s">
        <v>1572</v>
      </c>
      <c r="F147" s="1" t="s">
        <v>97</v>
      </c>
      <c r="G147" s="1" t="s">
        <v>116</v>
      </c>
      <c r="H147" s="1" t="s">
        <v>2079</v>
      </c>
      <c r="I147" s="1" t="s">
        <v>2080</v>
      </c>
      <c r="J147" s="1" t="s">
        <v>2081</v>
      </c>
      <c r="K147" s="1" t="s">
        <v>2082</v>
      </c>
      <c r="L147" s="1">
        <v>-2.0</v>
      </c>
      <c r="M147" s="1">
        <v>0.0034</v>
      </c>
      <c r="N147" s="1">
        <v>10.007983333333334</v>
      </c>
      <c r="O147" s="1" t="s">
        <v>1607</v>
      </c>
      <c r="P147" s="1" t="s">
        <v>2083</v>
      </c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" t="s">
        <v>95</v>
      </c>
      <c r="B148" s="1" t="s">
        <v>89</v>
      </c>
      <c r="C148" s="1">
        <v>309.0</v>
      </c>
      <c r="D148" s="1">
        <v>0.0</v>
      </c>
      <c r="E148" s="1" t="s">
        <v>1572</v>
      </c>
      <c r="F148" s="1" t="s">
        <v>97</v>
      </c>
      <c r="G148" s="1" t="s">
        <v>116</v>
      </c>
      <c r="H148" s="1" t="s">
        <v>2084</v>
      </c>
      <c r="I148" s="1" t="s">
        <v>2085</v>
      </c>
      <c r="J148" s="1" t="s">
        <v>2086</v>
      </c>
      <c r="K148" s="1" t="s">
        <v>2087</v>
      </c>
      <c r="L148" s="1">
        <v>-4.0</v>
      </c>
      <c r="M148" s="1">
        <v>0.00435</v>
      </c>
      <c r="N148" s="1">
        <v>9.409983333333333</v>
      </c>
      <c r="O148" s="1" t="s">
        <v>1607</v>
      </c>
      <c r="P148" s="1" t="s">
        <v>2088</v>
      </c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" t="s">
        <v>95</v>
      </c>
      <c r="B149" s="1" t="s">
        <v>89</v>
      </c>
      <c r="C149" s="1">
        <v>589.0</v>
      </c>
      <c r="D149" s="1">
        <v>23.0</v>
      </c>
      <c r="E149" s="1" t="s">
        <v>1572</v>
      </c>
      <c r="F149" s="1" t="s">
        <v>97</v>
      </c>
      <c r="G149" s="1" t="s">
        <v>92</v>
      </c>
      <c r="H149" s="1" t="s">
        <v>2089</v>
      </c>
      <c r="I149" s="1" t="s">
        <v>2090</v>
      </c>
      <c r="J149" s="1" t="s">
        <v>2091</v>
      </c>
      <c r="K149" s="1" t="s">
        <v>2092</v>
      </c>
      <c r="L149" s="1">
        <v>5.0</v>
      </c>
      <c r="M149" s="1">
        <v>0.00255</v>
      </c>
      <c r="N149" s="1">
        <v>7.8135666666666665</v>
      </c>
      <c r="O149" s="1" t="s">
        <v>1607</v>
      </c>
      <c r="P149" s="1" t="s">
        <v>2093</v>
      </c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" t="s">
        <v>88</v>
      </c>
      <c r="B150" s="1" t="s">
        <v>89</v>
      </c>
      <c r="C150" s="189">
        <v>1316.0</v>
      </c>
      <c r="D150" s="1">
        <v>0.0</v>
      </c>
      <c r="E150" s="1" t="s">
        <v>90</v>
      </c>
      <c r="F150" s="1" t="s">
        <v>91</v>
      </c>
      <c r="G150" s="1" t="s">
        <v>92</v>
      </c>
      <c r="H150" s="1" t="s">
        <v>2094</v>
      </c>
      <c r="I150" s="1" t="s">
        <v>2095</v>
      </c>
      <c r="J150" s="1" t="s">
        <v>2095</v>
      </c>
      <c r="K150" s="188"/>
      <c r="L150" s="1">
        <v>-3.0</v>
      </c>
      <c r="M150" s="1"/>
      <c r="N150" s="1">
        <v>413.0566</v>
      </c>
      <c r="O150" s="1" t="s">
        <v>1590</v>
      </c>
      <c r="P150" s="1" t="s">
        <v>2096</v>
      </c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" t="s">
        <v>95</v>
      </c>
      <c r="B151" s="1" t="s">
        <v>89</v>
      </c>
      <c r="C151" s="1">
        <v>268.0</v>
      </c>
      <c r="D151" s="1">
        <v>41.0</v>
      </c>
      <c r="E151" s="1" t="s">
        <v>1572</v>
      </c>
      <c r="F151" s="1" t="s">
        <v>97</v>
      </c>
      <c r="G151" s="1" t="s">
        <v>92</v>
      </c>
      <c r="H151" s="1" t="s">
        <v>2097</v>
      </c>
      <c r="I151" s="1" t="s">
        <v>2098</v>
      </c>
      <c r="J151" s="1" t="s">
        <v>2099</v>
      </c>
      <c r="K151" s="1" t="s">
        <v>2100</v>
      </c>
      <c r="L151" s="1">
        <v>6.0</v>
      </c>
      <c r="M151" s="1">
        <v>0.0017333333333333333</v>
      </c>
      <c r="N151" s="1">
        <v>9.497366666666666</v>
      </c>
      <c r="O151" s="1" t="s">
        <v>1607</v>
      </c>
      <c r="P151" s="1" t="s">
        <v>2101</v>
      </c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" t="s">
        <v>88</v>
      </c>
      <c r="B152" s="1" t="s">
        <v>89</v>
      </c>
      <c r="C152" s="1">
        <v>1156.0</v>
      </c>
      <c r="D152" s="1">
        <v>0.0</v>
      </c>
      <c r="E152" s="1" t="s">
        <v>90</v>
      </c>
      <c r="F152" s="1" t="s">
        <v>91</v>
      </c>
      <c r="G152" s="1" t="s">
        <v>92</v>
      </c>
      <c r="H152" s="1" t="s">
        <v>2102</v>
      </c>
      <c r="I152" s="1" t="s">
        <v>2103</v>
      </c>
      <c r="J152" s="1" t="s">
        <v>2103</v>
      </c>
      <c r="K152" s="188"/>
      <c r="L152" s="1">
        <v>0.0</v>
      </c>
      <c r="M152" s="1"/>
      <c r="N152" s="1">
        <v>420.44295</v>
      </c>
      <c r="O152" s="1" t="s">
        <v>1590</v>
      </c>
      <c r="P152" s="1" t="s">
        <v>2104</v>
      </c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" t="s">
        <v>95</v>
      </c>
      <c r="B153" s="1" t="s">
        <v>89</v>
      </c>
      <c r="C153" s="1">
        <v>249.0</v>
      </c>
      <c r="D153" s="1">
        <v>0.0</v>
      </c>
      <c r="E153" s="1" t="s">
        <v>1572</v>
      </c>
      <c r="F153" s="1" t="s">
        <v>97</v>
      </c>
      <c r="G153" s="1" t="s">
        <v>92</v>
      </c>
      <c r="H153" s="1" t="s">
        <v>2105</v>
      </c>
      <c r="I153" s="1" t="s">
        <v>2106</v>
      </c>
      <c r="J153" s="1" t="s">
        <v>2107</v>
      </c>
      <c r="K153" s="1" t="s">
        <v>2108</v>
      </c>
      <c r="L153" s="1">
        <v>10.0</v>
      </c>
      <c r="M153" s="1">
        <v>0.0021666666666666666</v>
      </c>
      <c r="N153" s="1">
        <v>13.1862</v>
      </c>
      <c r="O153" s="1" t="s">
        <v>1607</v>
      </c>
      <c r="P153" s="1" t="s">
        <v>2109</v>
      </c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""Mzdy!ac1:ad200"")"),30.0)</f>
        <v>30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2110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2111</v>
      </c>
      <c r="B4" s="193" t="s">
        <v>2112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IFERROR(__xludf.DUMMYFUNCTION("""COMPUTED_VALUE"""),286.332)</f>
        <v>286.332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IFERROR(__xludf.DUMMYFUNCTION("""COMPUTED_VALUE"""),341.19)</f>
        <v>341.19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IFERROR(__xludf.DUMMYFUNCTION("""COMPUTED_VALUE"""),"Malešice")</f>
        <v>Malešice</v>
      </c>
      <c r="F28" s="6" t="str">
        <f>IFERROR(__xludf.DUMMYFUNCTION("""COMPUTED_VALUE"""),"Chodov")</f>
        <v>Chodov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IFERROR(__xludf.DUMMYFUNCTION("""COMPUTED_VALUE"""),231.474)</f>
        <v>231.474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Břicháč Pavel</v>
      </c>
      <c r="C126" s="6" t="b">
        <f>IFERROR(__xludf.DUMMYFUNCTION("""COMPUTED_VALUE"""),FALSE)</f>
        <v>0</v>
      </c>
      <c r="D126" s="6" t="str">
        <f>IFERROR(__xludf.DUMMYFUNCTION("""COMPUTED_VALUE"""),"Břicháč Pavel")</f>
        <v>Břicháč Pavel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 t="str">
        <f>IFERROR(__xludf.DUMMYFUNCTION("""COMPUTED_VALUE"""),"Čerešňák Michal")</f>
        <v>Čerešňák Michal</v>
      </c>
      <c r="E127" s="6" t="str">
        <f>IFERROR(__xludf.DUMMYFUNCTION("""COMPUTED_VALUE"""),"Zličín")</f>
        <v>Zličín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IFERROR(__xludf.DUMMYFUNCTION("""COMPUTED_VALUE"""),170.0)</f>
        <v>170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>Weindling Josef</v>
      </c>
      <c r="C128" s="6" t="b">
        <f>IFERROR(__xludf.DUMMYFUNCTION("""COMPUTED_VALUE"""),FALSE)</f>
        <v>0</v>
      </c>
      <c r="D128" s="6" t="str">
        <f>IFERROR(__xludf.DUMMYFUNCTION("""COMPUTED_VALUE"""),"Weindling Josef")</f>
        <v>Weindling Josef</v>
      </c>
      <c r="E128" s="6" t="str">
        <f>IFERROR(__xludf.DUMMYFUNCTION("""COMPUTED_VALUE"""),"Libuš")</f>
        <v>Libuš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IFERROR(__xludf.DUMMYFUNCTION("""COMPUTED_VALUE"""),231.474)</f>
        <v>231.474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 t="str">
        <f>IFERROR(__xludf.DUMMYFUNCTION("""COMPUTED_VALUE"""),"Fux Vojtěch")</f>
        <v>Fux Vojtěch</v>
      </c>
      <c r="E129" s="6" t="str">
        <f>IFERROR(__xludf.DUMMYFUNCTION("""COMPUTED_VALUE"""),"Chodov")</f>
        <v>Chodov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IFERROR(__xludf.DUMMYFUNCTION("""COMPUTED_VALUE"""),200.0)</f>
        <v>200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IFERROR(__xludf.DUMMYFUNCTION("""COMPUTED_VALUE"""),0.0)</f>
        <v>0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2113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2114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2115</v>
      </c>
      <c r="C3" s="1" t="s">
        <v>2116</v>
      </c>
      <c r="D3" s="188"/>
      <c r="E3" s="188"/>
      <c r="F3" s="1" t="s">
        <v>2117</v>
      </c>
      <c r="G3" s="1" t="s">
        <v>2118</v>
      </c>
      <c r="H3" s="1" t="s">
        <v>2119</v>
      </c>
    </row>
    <row r="4">
      <c r="A4" s="1" t="s">
        <v>1565</v>
      </c>
      <c r="B4" s="1" t="s">
        <v>2116</v>
      </c>
      <c r="C4" s="188"/>
      <c r="D4" s="188"/>
      <c r="E4" s="1" t="s">
        <v>2116</v>
      </c>
      <c r="F4" s="1" t="s">
        <v>2118</v>
      </c>
      <c r="G4" s="1" t="s">
        <v>2115</v>
      </c>
      <c r="H4" s="1" t="s">
        <v>2115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2120</v>
      </c>
      <c r="B5" s="1" t="s">
        <v>2121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2122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2123</v>
      </c>
      <c r="B7" s="188"/>
      <c r="C7" s="1" t="s">
        <v>2115</v>
      </c>
      <c r="D7" s="1" t="s">
        <v>2115</v>
      </c>
      <c r="E7" s="1" t="s">
        <v>2115</v>
      </c>
      <c r="F7" s="188"/>
      <c r="G7" s="188"/>
      <c r="H7" s="1" t="s">
        <v>2119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2124</v>
      </c>
      <c r="B8" s="188"/>
      <c r="C8" s="1" t="s">
        <v>2121</v>
      </c>
      <c r="D8" s="188"/>
      <c r="E8" s="188"/>
      <c r="F8" s="1" t="s">
        <v>2125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1572</v>
      </c>
      <c r="B9" s="188"/>
      <c r="C9" s="1" t="s">
        <v>2126</v>
      </c>
      <c r="D9" s="1" t="s">
        <v>2127</v>
      </c>
      <c r="E9" s="1" t="s">
        <v>2126</v>
      </c>
      <c r="F9" s="188"/>
      <c r="G9" s="1" t="s">
        <v>2128</v>
      </c>
      <c r="H9" s="1" t="s">
        <v>2126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2116</v>
      </c>
      <c r="E10" s="188"/>
      <c r="F10" s="188"/>
      <c r="G10" s="1" t="s">
        <v>2118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2129</v>
      </c>
      <c r="B11" s="188"/>
      <c r="C11" s="188"/>
      <c r="D11" s="1" t="s">
        <v>2130</v>
      </c>
      <c r="E11" s="1" t="s">
        <v>2131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1570</v>
      </c>
      <c r="B12" s="188"/>
      <c r="D12" s="188"/>
      <c r="E12" s="188"/>
      <c r="F12" s="1" t="s">
        <v>2132</v>
      </c>
      <c r="G12" s="1" t="s">
        <v>2133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