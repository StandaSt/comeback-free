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<sst xmlns="http://schemas.openxmlformats.org/spreadsheetml/2006/main" count="5524" uniqueCount="1629">
  <si>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</si>
  <si>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</si>
  <si>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</si>
  <si>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</si>
  <si>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</si>
  <si>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</si>
  <si>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</si>
  <si>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</si>
  <si>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</si>
  <si>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</si>
  <si>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</si>
  <si>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</si>
  <si>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</si>
  <si>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</si>
  <si>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</si>
  <si>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</si>
  <si>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</si>
  <si>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</si>
  <si>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</si>
  <si>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</si>
  <si>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</si>
  <si>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</si>
  <si>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</si>
  <si>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</si>
  <si>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</si>
  <si>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</si>
  <si>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</si>
  <si>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</si>
  <si>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</si>
  <si>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</si>
  <si>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</si>
  <si>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</si>
  <si>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</si>
  <si>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</si>
  <si>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</si>
  <si>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</si>
  <si>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</si>
  <si>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</si>
  <si>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</si>
  <si>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</si>
  <si>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</si>
  <si>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</si>
  <si>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</si>
  <si>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</si>
  <si>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</si>
  <si>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</si>
  <si>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</si>
  <si>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</si>
  <si>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</si>
  <si>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</si>
  <si>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</si>
  <si>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</si>
  <si>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</si>
  <si>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</si>
  <si>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</si>
  <si>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</si>
  <si>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</si>
  <si>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</si>
  <si>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</si>
  <si>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</si>
  <si>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</si>
  <si>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</si>
  <si>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</si>
  <si>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</si>
  <si>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</si>
  <si>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</si>
  <si>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</si>
  <si>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</si>
  <si>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</si>
  <si>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</si>
  <si>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</si>
  <si>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</si>
  <si>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</si>
  <si>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</si>
  <si>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</si>
  <si>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</si>
  <si>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</si>
  <si>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</si>
  <si>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</si>
  <si>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</si>
  <si>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</si>
  <si>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</si>
  <si>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</si>
  <si>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</si>
  <si>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</si>
  <si>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</si>
  <si>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</si>
  <si>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</si>
  <si>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</si>
  <si>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</si>
  <si>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</si>
  <si>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</si>
  <si>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</si>
  <si>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</si>
  <si>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</si>
  <si>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</si>
  <si>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</si>
  <si>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</si>
  <si>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</si>
  <si>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</si>
  <si>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</si>
  <si>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</si>
  <si>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</si>
  <si>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</si>
  <si>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</si>
  <si>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</si>
  <si>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</si>
  <si>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</si>
  <si>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</si>
  <si>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</si>
  <si>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</si>
  <si>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</si>
  <si>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</si>
  <si>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</si>
  <si>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</si>
  <si>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</si>
  <si>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</si>
  <si>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</si>
  <si>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</si>
  <si>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</si>
  <si>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</si>
  <si>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</si>
  <si>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</si>
  <si>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</si>
  <si>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</si>
  <si>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</si>
  <si>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</si>
  <si>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</si>
  <si>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</si>
  <si>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</si>
  <si>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</si>
  <si>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</si>
  <si>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</si>
  <si>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</si>
  <si>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</si>
  <si>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</si>
  <si>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</si>
  <si>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</si>
  <si>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</si>
  <si>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</si>
  <si>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</si>
  <si>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</si>
  <si>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</si>
  <si>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</si>
  <si>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</si>
  <si>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</si>
  <si>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</si>
  <si>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</si>
  <si>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</si>
  <si>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</si>
  <si>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</si>
  <si>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</si>
  <si>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</si>
  <si>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</si>
  <si>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</si>
  <si>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</si>
  <si>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</si>
  <si>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</si>
  <si>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</si>
  <si>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</si>
  <si>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</si>
  <si>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</si>
  <si>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</si>
  <si>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</si>
  <si>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</si>
  <si>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</si>
  <si>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</si>
  <si>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</si>
  <si>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</si>
  <si>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</si>
  <si>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</si>
  <si>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</si>
  <si>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</si>
  <si>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</si>
  <si>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</si>
  <si>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</si>
  <si>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</si>
  <si>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</si>
  <si>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</si>
  <si>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</si>
  <si>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</si>
  <si>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</si>
  <si>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</si>
  <si>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</si>
  <si>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</si>
  <si>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</si>
  <si>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</si>
  <si>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</si>
  <si>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</si>
  <si>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</si>
  <si>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</si>
  <si>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</si>
  <si>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</si>
  <si>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</si>
  <si>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</si>
  <si>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</si>
  <si>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</si>
  <si>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</si>
  <si>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</si>
  <si>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</si>
  <si>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</si>
  <si>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</si>
  <si>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</si>
  <si>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</si>
  <si>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</si>
  <si>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</si>
  <si>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</si>
  <si>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</si>
  <si>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</si>
  <si>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</si>
  <si>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</si>
  <si>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</si>
  <si>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</si>
  <si>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</si>
  <si>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</si>
  <si>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</si>
  <si>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</si>
  <si>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</si>
  <si>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</si>
  <si>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</si>
  <si>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</si>
  <si>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</si>
  <si>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</si>
  <si>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</si>
  <si>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</si>
  <si>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</si>
  <si>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</si>
  <si>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</si>
  <si>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</si>
  <si>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</si>
  <si>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</si>
  <si>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</si>
  <si>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</si>
  <si>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</si>
  <si>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</si>
  <si>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</si>
  <si>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</si>
  <si>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</si>
  <si>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</si>
  <si>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</si>
  <si>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</si>
  <si>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</si>
  <si>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</si>
  <si>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</si>
  <si>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</si>
  <si>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</si>
  <si>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</si>
  <si>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</si>
  <si>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</si>
  <si>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</si>
  <si>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</si>
  <si>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</si>
  <si>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</si>
  <si>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</si>
  <si>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</si>
  <si>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</si>
  <si>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</si>
  <si>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</si>
  <si>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</si>
  <si>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</si>
  <si>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</si>
  <si>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</si>
  <si>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</si>
  <si>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</si>
  <si>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</si>
  <si>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</si>
  <si>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</si>
  <si>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</si>
  <si>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</si>
  <si>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</si>
  <si>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</si>
  <si>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</si>
  <si>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</si>
  <si>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</si>
  <si>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</si>
  <si>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</si>
  <si>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</si>
  <si>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</si>
  <si>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</si>
  <si>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</si>
  <si>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</si>
  <si>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</si>
  <si>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</si>
  <si>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</si>
  <si>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</si>
  <si>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</si>
  <si>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</si>
  <si>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</si>
  <si>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</si>
  <si>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</si>
  <si>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</si>
  <si>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</si>
  <si>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</si>
  <si>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</si>
  <si>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</si>
  <si>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</si>
  <si>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</si>
  <si>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</si>
  <si>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</si>
  <si>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</si>
  <si>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</si>
  <si>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</si>
  <si>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</si>
  <si>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</si>
  <si>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</si>
  <si>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</si>
  <si>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</si>
  <si>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</si>
  <si>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</si>
  <si>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</si>
  <si>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</si>
  <si>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</si>
  <si>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</si>
  <si>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</si>
  <si>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</si>
  <si>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</si>
  <si>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</si>
  <si>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</si>
  <si>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</si>
  <si>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</si>
  <si>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</si>
  <si>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</si>
  <si>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</si>
  <si>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</si>
  <si>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</si>
  <si>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</si>
  <si>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</si>
  <si>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</si>
  <si>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</si>
  <si>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</si>
  <si>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</si>
  <si>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</si>
  <si>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</si>
  <si>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</si>
  <si>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</si>
  <si>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</si>
  <si>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</si>
  <si>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</si>
  <si>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</si>
  <si>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</si>
  <si>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</si>
  <si>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</si>
  <si>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</si>
  <si>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</si>
  <si>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</si>
  <si>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</si>
  <si>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</si>
  <si>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</si>
  <si>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</si>
  <si>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</si>
  <si>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</si>
  <si>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</si>
  <si>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</si>
  <si>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</si>
  <si>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</si>
  <si>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</si>
  <si>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</si>
  <si>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</si>
  <si>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</si>
  <si>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</si>
  <si>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</si>
  <si>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</si>
  <si>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</si>
  <si>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</si>
  <si>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</si>
  <si>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</si>
  <si>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</si>
  <si>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</si>
  <si>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</si>
  <si>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</si>
  <si>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</si>
  <si>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</si>
  <si>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</si>
  <si>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</si>
  <si>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</si>
  <si>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</si>
  <si>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</si>
  <si>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</si>
  <si>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</si>
  <si>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</si>
  <si>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</si>
  <si>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</si>
  <si>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</si>
  <si>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</si>
  <si>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</si>
  <si>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</si>
  <si>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</si>
  <si>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</si>
  <si>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</si>
  <si>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</si>
  <si>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</si>
  <si>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</si>
  <si>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</si>
  <si>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</si>
  <si>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</si>
  <si>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</si>
  <si>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</si>
  <si>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</si>
  <si>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</si>
  <si>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</si>
  <si>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</si>
  <si>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</si>
  <si>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</si>
  <si>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</si>
  <si>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</si>
  <si>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</si>
  <si>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</si>
  <si>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</si>
  <si>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</si>
  <si>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</si>
  <si>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</si>
  <si>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</si>
  <si>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</si>
  <si>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</si>
  <si>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</si>
  <si>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</si>
  <si>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</si>
  <si>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</si>
  <si>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</si>
  <si>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</si>
  <si>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</si>
  <si>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</si>
  <si>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</si>
  <si>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</si>
  <si>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</si>
  <si>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</si>
  <si>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</si>
  <si>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</si>
  <si>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</si>
  <si>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</si>
  <si>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</si>
  <si>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</si>
  <si>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</si>
  <si>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</si>
  <si>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</si>
  <si>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</si>
  <si>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</si>
  <si>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</si>
  <si>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</si>
  <si>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</si>
  <si>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</si>
  <si>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</si>
  <si>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</si>
  <si>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</si>
  <si>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</si>
  <si>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</si>
  <si>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</si>
  <si>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</si>
  <si>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</si>
  <si>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</si>
  <si>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</si>
  <si>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</si>
  <si>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</si>
  <si>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</si>
  <si>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</si>
  <si>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</si>
  <si>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</si>
  <si>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</si>
  <si>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</si>
  <si>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</si>
  <si>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</si>
  <si>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</si>
  <si>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</si>
  <si>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</si>
  <si>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</si>
  <si>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</si>
  <si>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</si>
  <si>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</si>
  <si>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</si>
  <si>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</si>
  <si>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</si>
  <si>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</si>
  <si>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</si>
  <si>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</si>
  <si>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</si>
  <si>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</si>
  <si>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</si>
  <si>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</si>
  <si>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</si>
  <si>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</si>
  <si>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</si>
  <si>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</si>
  <si>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</si>
  <si>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</si>
  <si>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</si>
  <si>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</si>
  <si>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</si>
  <si>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</si>
  <si>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</si>
  <si>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</si>
  <si>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</si>
  <si>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</si>
  <si>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</si>
  <si>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</si>
  <si>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</si>
  <si>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</si>
  <si>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</si>
  <si>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</si>
  <si>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</si>
  <si>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</si>
  <si>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</si>
  <si>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</si>
  <si>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</si>
  <si>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</si>
  <si>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</si>
  <si>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</si>
  <si>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</si>
  <si>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</si>
  <si>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</si>
  <si>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</si>
  <si>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</si>
  <si>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</si>
  <si>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</si>
  <si>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</si>
  <si>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</si>
  <si>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</si>
  <si>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</si>
  <si>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</si>
  <si>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</si>
  <si>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</si>
  <si>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</si>
  <si>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</si>
  <si>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</si>
  <si>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</si>
  <si>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</si>
  <si>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</si>
  <si>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</si>
  <si>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</si>
  <si>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</si>
  <si>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</si>
  <si>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</si>
  <si>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</si>
  <si>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</si>
  <si>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</si>
  <si>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</si>
  <si>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</si>
  <si>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</si>
  <si>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</si>
  <si>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</si>
  <si>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</si>
  <si>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</si>
  <si>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</si>
  <si>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</si>
  <si>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</si>
  <si>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</si>
  <si>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</si>
  <si>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</si>
  <si>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</si>
  <si>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</si>
  <si>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</si>
  <si>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</si>
  <si>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</si>
  <si>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</si>
  <si>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</si>
  <si>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</si>
  <si>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</si>
  <si>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</si>
  <si>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</si>
  <si>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</si>
  <si>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</si>
  <si>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</si>
  <si>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</si>
  <si>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</si>
  <si>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</si>
  <si>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</si>
  <si>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</si>
  <si>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</si>
  <si>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</si>
  <si>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</si>
  <si>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</si>
  <si>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</si>
  <si>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</si>
  <si>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</si>
  <si>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</si>
  <si>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</si>
  <si>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</si>
  <si>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</si>
  <si>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</si>
  <si>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</si>
  <si>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</si>
  <si>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</si>
  <si>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</si>
  <si>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</si>
  <si>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</si>
  <si>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</si>
  <si>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</si>
  <si>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</si>
  <si>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</si>
  <si>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</si>
  <si>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</si>
  <si>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</si>
  <si>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</si>
  <si>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</si>
  <si>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</si>
  <si>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</si>
  <si>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</si>
  <si>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</si>
  <si>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</si>
  <si>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</si>
  <si>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</si>
  <si>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</si>
  <si>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</si>
  <si>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</si>
  <si>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</si>
  <si>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</si>
  <si>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</si>
  <si>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</si>
  <si>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</si>
  <si>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</si>
  <si>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</si>
  <si>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</si>
  <si>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</si>
  <si>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</si>
  <si>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</si>
  <si>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</si>
  <si>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</si>
  <si>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</si>
  <si>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</si>
  <si>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</si>
  <si>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</si>
  <si>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</si>
  <si>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</si>
  <si>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</si>
  <si>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</si>
  <si>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</si>
  <si>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</si>
  <si>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</si>
  <si>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</si>
  <si>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</si>
  <si>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</si>
  <si>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</si>
  <si>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</si>
  <si>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</si>
  <si>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</si>
  <si>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</si>
  <si>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</si>
  <si>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</si>
  <si>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</si>
  <si>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</si>
  <si>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</si>
  <si>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</si>
  <si>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</si>
  <si>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</si>
  <si>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</si>
  <si>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</si>
  <si>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</si>
  <si>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</si>
  <si>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</si>
  <si>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</si>
  <si>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</si>
  <si>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</si>
  <si>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</si>
  <si>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</si>
  <si>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</si>
  <si>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</si>
  <si>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</si>
  <si>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</si>
  <si>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</si>
  <si>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</si>
  <si>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</si>
  <si>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</si>
  <si>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</si>
  <si>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</si>
  <si>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</si>
  <si>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</si>
  <si>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</si>
  <si>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</si>
  <si>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</si>
  <si>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</si>
  <si>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</si>
  <si>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</si>
  <si>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</si>
  <si>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</si>
  <si>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</si>
  <si>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</si>
  <si>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</si>
  <si>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</si>
  <si>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</si>
  <si>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</si>
  <si>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</si>
  <si>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</si>
  <si>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</si>
  <si>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</si>
  <si>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</si>
  <si>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</si>
  <si>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</si>
  <si>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</si>
  <si>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</si>
  <si>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</si>
  <si>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</si>
  <si>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</si>
  <si>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</si>
  <si>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</si>
  <si>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</si>
  <si>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</si>
  <si>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</si>
  <si>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</si>
  <si>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</si>
  <si>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</si>
  <si>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</si>
  <si>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</si>
  <si>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</si>
  <si>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</si>
  <si>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</si>
  <si>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</si>
  <si>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</si>
  <si>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</si>
  <si>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</si>
  <si>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</si>
  <si>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</si>
  <si>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</si>
  <si>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</si>
  <si>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</si>
  <si>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</si>
  <si>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</si>
  <si>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</si>
  <si>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</si>
  <si>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</si>
  <si>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</si>
  <si>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</si>
  <si>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</si>
  <si>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</si>
  <si>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</si>
  <si>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</si>
  <si>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</si>
  <si>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</si>
  <si>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</si>
  <si>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</si>
  <si>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</si>
  <si>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</si>
  <si>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</si>
  <si>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</si>
  <si>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</si>
  <si>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</si>
  <si>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</si>
  <si>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</si>
  <si>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</si>
  <si>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</si>
  <si>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</si>
  <si>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</si>
  <si>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</si>
  <si>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</si>
  <si>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</si>
  <si>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</si>
  <si>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</si>
  <si>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</si>
  <si>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</si>
  <si>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</si>
  <si>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</si>
  <si>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</si>
  <si>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</si>
  <si>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</si>
  <si>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</si>
  <si>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</si>
  <si>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</si>
  <si>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</si>
  <si>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</si>
  <si>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</si>
  <si>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</si>
  <si>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</si>
  <si>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</si>
  <si>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</si>
  <si>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</si>
  <si>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</si>
  <si>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</si>
  <si>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</si>
  <si>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</si>
  <si>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</si>
  <si>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</si>
  <si>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</si>
  <si>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</si>
  <si>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</si>
  <si>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</si>
  <si>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</si>
  <si>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</si>
  <si>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</si>
  <si>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</si>
  <si>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</si>
  <si>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</si>
  <si>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</si>
  <si>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</si>
  <si>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</si>
  <si>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</si>
  <si>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</si>
  <si>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</si>
  <si>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</si>
  <si>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</si>
  <si>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</si>
  <si>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</si>
  <si>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</si>
  <si>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</si>
  <si>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</si>
  <si>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</si>
  <si>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</si>
  <si>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</si>
  <si>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</si>
  <si>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</si>
  <si>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</si>
  <si>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</si>
  <si>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</si>
  <si>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</si>
  <si>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</si>
  <si>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</si>
  <si>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</si>
  <si>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</si>
  <si>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</si>
  <si>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</si>
  <si>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</si>
  <si>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</si>
  <si>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</si>
  <si>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</si>
  <si>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</si>
  <si>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</si>
  <si>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</si>
  <si>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</si>
  <si>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</si>
  <si>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</si>
  <si>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</si>
  <si>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</si>
  <si>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</si>
  <si>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</si>
  <si>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</si>
  <si>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</si>
  <si>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</si>
  <si>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</si>
  <si>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</si>
  <si>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</si>
  <si>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</si>
  <si>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</si>
  <si>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</si>
  <si>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</si>
  <si>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</si>
  <si>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</si>
  <si>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</si>
  <si>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</si>
  <si>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</si>
  <si>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</si>
  <si>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</si>
  <si>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</si>
  <si>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</si>
  <si>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</si>
  <si>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</si>
  <si>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</si>
  <si>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</si>
  <si>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</si>
  <si>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</si>
  <si>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</si>
  <si>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</si>
  <si>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</si>
  <si>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</si>
  <si>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</si>
  <si>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</si>
  <si>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</si>
  <si>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</si>
  <si>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</si>
  <si>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</si>
  <si>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</si>
  <si>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</si>
  <si>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</si>
  <si>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</si>
  <si>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</si>
  <si>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</si>
  <si>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</si>
  <si>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</si>
  <si>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</si>
  <si>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</si>
  <si>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</si>
  <si>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</si>
  <si>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</si>
  <si>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</si>
  <si>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</si>
  <si>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</si>
  <si>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</si>
  <si>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</si>
  <si>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</si>
  <si>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</si>
  <si>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</si>
  <si>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</si>
  <si>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</si>
  <si>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</si>
  <si>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</si>
  <si>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</si>
  <si>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</si>
  <si>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</si>
  <si>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</si>
  <si>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</si>
  <si>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</si>
  <si>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</si>
  <si>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</si>
  <si>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</si>
  <si>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</si>
  <si>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</si>
  <si>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</si>
  <si>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</si>
  <si>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</si>
  <si>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</si>
  <si>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</si>
  <si>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</si>
  <si>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</si>
  <si>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</si>
  <si>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</si>
  <si>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</si>
  <si>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</si>
  <si>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</si>
  <si>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</si>
  <si>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</si>
  <si>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</si>
  <si>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</si>
  <si>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</si>
  <si>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</si>
  <si>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</si>
  <si>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</si>
  <si>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</si>
  <si>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</si>
  <si>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</si>
  <si>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</si>
  <si>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</si>
  <si>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</si>
  <si>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</si>
  <si>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</si>
  <si>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</si>
  <si>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</si>
  <si>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</si>
  <si>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</si>
  <si>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</si>
  <si>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</si>
  <si>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</si>
  <si>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</si>
  <si>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</si>
  <si>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</si>
  <si>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</si>
  <si>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</si>
  <si>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</si>
  <si>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</si>
  <si>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</si>
  <si>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</si>
  <si>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</si>
  <si>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</si>
  <si>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</si>
  <si>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</si>
  <si>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</si>
  <si>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</si>
  <si>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</si>
  <si>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</si>
  <si>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</si>
  <si>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</si>
  <si>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</si>
  <si>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</si>
  <si>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</si>
  <si>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</si>
  <si>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</si>
  <si>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</si>
  <si>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</si>
  <si>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</si>
  <si>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</si>
  <si>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</si>
  <si>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</si>
  <si>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</si>
  <si>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</si>
  <si>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</si>
  <si>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</si>
  <si>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</si>
  <si>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</si>
  <si>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</si>
  <si>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</si>
  <si>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</si>
  <si>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</si>
  <si>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</si>
  <si>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</si>
  <si>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</si>
  <si>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</si>
  <si>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</si>
  <si>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</si>
  <si>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</si>
  <si>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</si>
  <si>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</si>
  <si>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</si>
  <si>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</si>
  <si>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</si>
  <si>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</si>
  <si>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</si>
  <si>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</si>
  <si>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</si>
  <si>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</si>
  <si>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</si>
  <si>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</si>
  <si>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</si>
  <si>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</si>
  <si>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</si>
  <si>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</si>
  <si>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</si>
  <si>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</si>
  <si>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</si>
  <si>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</si>
  <si>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</si>
  <si>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</si>
  <si>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</si>
  <si>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</si>
  <si>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</si>
  <si>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</si>
  <si>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</si>
  <si>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</si>
  <si>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</si>
  <si>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</si>
  <si>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</si>
  <si>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</si>
  <si>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</si>
  <si>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</si>
  <si>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</si>
  <si>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</si>
  <si>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</si>
  <si>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</si>
  <si>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</si>
  <si>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</si>
  <si>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</si>
  <si>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</si>
  <si>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</si>
  <si>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</si>
  <si>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</si>
  <si>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</si>
  <si>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</si>
  <si>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</si>
  <si>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</si>
  <si>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</si>
  <si>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</si>
  <si>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</si>
  <si>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</si>
  <si>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</si>
  <si>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</si>
  <si>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</si>
  <si>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</si>
  <si>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</si>
  <si>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</si>
  <si>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</si>
  <si>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</si>
  <si>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</si>
  <si>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</si>
  <si>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</si>
  <si>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</si>
  <si>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</si>
  <si>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</si>
  <si>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</si>
  <si>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</si>
  <si>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</si>
  <si>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</si>
  <si>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</si>
  <si>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</si>
  <si>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</si>
  <si>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</si>
  <si>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</si>
  <si>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</si>
  <si>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</si>
  <si>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</si>
  <si>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</si>
  <si>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</si>
  <si>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</si>
  <si>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</si>
  <si>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</si>
  <si>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</si>
  <si>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</si>
  <si>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</si>
  <si>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</si>
  <si>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</si>
  <si>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</si>
  <si>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</si>
  <si>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</si>
  <si>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</si>
  <si>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</si>
  <si>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</si>
  <si>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</si>
  <si>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</si>
  <si>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</si>
  <si>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</si>
  <si>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</si>
  <si>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</si>
  <si>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</si>
  <si>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</si>
  <si>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</si>
  <si>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</si>
  <si>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</si>
  <si>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</si>
  <si>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</si>
  <si>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</si>
  <si>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</si>
  <si>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</si>
  <si>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</si>
  <si>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</si>
  <si>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</si>
  <si>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</si>
  <si>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</si>
  <si>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</si>
  <si>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</si>
  <si>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</si>
  <si>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</si>
  <si>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</si>
  <si>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</si>
  <si>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</si>
  <si>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</si>
  <si>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</si>
  <si>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</si>
  <si>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</si>
  <si>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</si>
  <si>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</si>
  <si>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</si>
  <si>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</si>
  <si>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</si>
  <si>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</si>
  <si>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</si>
  <si>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</si>
  <si>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</si>
  <si>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</si>
  <si>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</si>
  <si>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</si>
  <si>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</si>
  <si>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</si>
  <si>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</si>
  <si>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</si>
  <si>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</si>
  <si>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</si>
  <si>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</si>
  <si>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</si>
  <si>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</si>
  <si>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</si>
  <si>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</si>
  <si>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</si>
  <si>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</si>
  <si>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</si>
  <si>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</si>
  <si>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</si>
  <si>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</si>
  <si>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</si>
  <si>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</si>
  <si>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</si>
  <si>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</si>
  <si>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</si>
  <si>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</si>
  <si>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</si>
  <si>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</si>
  <si>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</si>
  <si>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</si>
  <si>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</si>
  <si>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</si>
  <si>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</si>
  <si>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</si>
  <si>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</si>
  <si>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</si>
  <si>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</si>
  <si>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</si>
  <si>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</si>
  <si>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</si>
  <si>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</si>
  <si>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</si>
  <si>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</si>
  <si>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</si>
  <si>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</si>
  <si>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</si>
  <si>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</si>
  <si>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</si>
  <si>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</si>
  <si>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</si>
  <si>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</si>
  <si>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</si>
  <si>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</si>
  <si>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</si>
  <si>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</si>
  <si>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</si>
  <si>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</si>
  <si>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</si>
  <si>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</si>
  <si>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</si>
  <si>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</si>
  <si>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</si>
  <si>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</si>
  <si>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</si>
  <si>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</si>
  <si>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</si>
  <si>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</si>
  <si>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</si>
  <si>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</si>
  <si>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</si>
  <si>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</si>
  <si>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</si>
  <si>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</si>
  <si>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</si>
  <si>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</si>
  <si>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</si>
  <si>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</si>
  <si>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</si>
  <si>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</si>
  <si>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</si>
  <si>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</si>
  <si>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</si>
  <si>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</si>
  <si>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</si>
  <si>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</si>
  <si>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</si>
  <si>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</si>
  <si>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</si>
  <si>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</si>
  <si>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</si>
  <si>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</si>
  <si>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</si>
  <si>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</si>
  <si>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</si>
  <si>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</si>
  <si>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</si>
  <si>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</si>
  <si>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</si>
  <si>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</si>
  <si>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</si>
  <si>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</si>
  <si>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</si>
  <si>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</si>
  <si>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</si>
  <si>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</si>
  <si>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</si>
  <si>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</si>
  <si>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</si>
  <si>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</si>
  <si>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</si>
  <si>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</si>
  <si>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</si>
  <si>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</si>
  <si>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</si>
  <si>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</si>
  <si>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</si>
  <si>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</si>
  <si>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</si>
  <si>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</si>
  <si>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</si>
  <si>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</si>
  <si>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</si>
  <si>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</si>
  <si>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</si>
  <si>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</si>
  <si>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</si>
  <si>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</si>
  <si>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</si>
  <si>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</si>
  <si>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</si>
  <si>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</si>
  <si>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</si>
  <si>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</si>
  <si>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</si>
  <si>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</si>
  <si>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</si>
  <si>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</si>
  <si>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</si>
  <si>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</si>
  <si>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</si>
  <si>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</si>
  <si>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</si>
  <si>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</si>
  <si>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</si>
  <si>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</si>
  <si>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</si>
  <si>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</si>
  <si>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</si>
  <si>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</si>
  <si>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</si>
  <si>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</si>
  <si>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</si>
  <si>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</si>
  <si>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</si>
  <si>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</si>
  <si>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</si>
  <si>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</si>
  <si>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</si>
  <si>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</si>
  <si>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</si>
  <si>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</si>
  <si>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</si>
  <si>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</si>
  <si>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</si>
  <si>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</si>
  <si>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</si>
  <si>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</si>
  <si>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</si>
  <si>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</si>
  <si>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</si>
  <si>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</si>
  <si>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</si>
  <si>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</si>
  <si>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</si>
  <si>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</si>
  <si>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</si>
  <si>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</si>
  <si>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</si>
  <si>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</si>
  <si>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</si>
  <si>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</si>
  <si>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</si>
  <si>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</si>
  <si>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</si>
  <si>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</si>
  <si>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</si>
  <si>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</si>
  <si>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</si>
  <si>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</si>
  <si>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</si>
  <si>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</si>
  <si>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</si>
  <si>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</si>
  <si>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</si>
  <si>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</si>
  <si>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</si>
  <si>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</si>
  <si>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</si>
  <si>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</si>
  <si>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</si>
  <si>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</si>
  <si>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</si>
  <si>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</si>
  <si>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</si>
  <si>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</si>
  <si>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</si>
  <si>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</si>
  <si>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</si>
  <si>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</si>
  <si>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</si>
  <si>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</si>
  <si>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</si>
  <si>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</si>
  <si>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</si>
  <si>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</si>
  <si>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</si>
  <si>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</si>
  <si>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</si>
  <si>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</si>
  <si>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</si>
  <si>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</si>
  <si>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</si>
  <si>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</si>
  <si>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</si>
  <si>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</si>
  <si>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</si>
  <si>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</si>
  <si>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</si>
  <si>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</si>
  <si>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</si>
  <si>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</si>
  <si>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</si>
  <si>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</si>
  <si>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</si>
  <si>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</si>
  <si>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</si>
  <si>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</si>
  <si>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</si>
  <si>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</si>
  <si>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</si>
  <si>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</si>
  <si>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</si>
  <si>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</si>
  <si>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</si>
  <si>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</si>
  <si>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</si>
  <si>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</si>
  <si>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</si>
  <si>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</si>
  <si>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</si>
  <si>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</si>
  <si>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</si>
  <si>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</si>
  <si>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</si>
  <si>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</si>
  <si>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</si>
  <si>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</si>
  <si>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</si>
  <si>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</si>
  <si>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</si>
  <si>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</si>
  <si>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</si>
  <si>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</si>
  <si>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</si>
  <si>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</si>
  <si>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</si>
  <si>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</si>
  <si>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</si>
  <si>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</si>
  <si>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</si>
  <si>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</si>
  <si>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</si>
  <si>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</si>
  <si>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</si>
  <si>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</si>
  <si>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</si>
  <si>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</si>
  <si>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</si>
  <si>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</si>
  <si>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</si>
  <si>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</si>
  <si>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</si>
  <si>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</si>
  <si>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</si>
  <si>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</si>
  <si>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</si>
  <si>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</si>
  <si>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</si>
  <si>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</si>
  <si>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</si>
  <si>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</si>
  <si>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</si>
  <si>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</si>
  <si>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</si>
  <si>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</si>
  <si>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</si>
  <si>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</si>
  <si>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</si>
  <si>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</si>
  <si>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</si>
  <si>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</si>
  <si>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</si>
  <si>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</si>
  <si>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</si>
  <si>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</si>
  <si>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</si>
  <si>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</si>
  <si>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</si>
  <si>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</si>
  <si>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</si>
  <si>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</si>
  <si>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</si>
  <si>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</si>
  <si>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</si>
  <si>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</si>
  <si>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</si>
  <si>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</si>
  <si>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</si>
  <si>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</si>
  <si>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</si>
  <si>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</si>
  <si>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</si>
  <si>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</si>
  <si>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</si>
  <si>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</si>
  <si>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</si>
  <si>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</si>
  <si>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</si>
  <si>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</si>
  <si>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</si>
  <si>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</si>
  <si>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</si>
  <si>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</si>
  <si>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</si>
  <si>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</si>
  <si>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</si>
  <si>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</si>
  <si>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</si>
  <si>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</si>
  <si>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</si>
  <si>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</si>
  <si>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</si>
  <si>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</si>
  <si>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</si>
  <si>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</si>
  <si>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</si>
  <si>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</si>
  <si>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</si>
  <si>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</si>
  <si>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</si>
  <si>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</si>
  <si>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</si>
  <si>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</si>
  <si>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</si>
  <si>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</si>
  <si>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</si>
  <si>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</si>
  <si>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</si>
  <si>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</si>
  <si>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</si>
  <si>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</si>
  <si>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</si>
  <si>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</si>
  <si>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</si>
  <si>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</si>
  <si>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</si>
  <si>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</si>
  <si>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</si>
  <si>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</si>
  <si>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</si>
  <si>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</si>
  <si>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</si>
  <si>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</si>
  <si>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</si>
  <si>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</si>
  <si>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</si>
  <si>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</si>
  <si>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</si>
  <si>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</si>
  <si>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</si>
  <si>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</si>
  <si>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</si>
  <si>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</si>
  <si>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</si>
  <si>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</si>
  <si>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</si>
  <si>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</si>
  <si>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</si>
  <si>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</si>
  <si>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</si>
  <si>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</si>
  <si>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</si>
  <si>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</si>
  <si>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</si>
  <si>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</si>
  <si>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</si>
  <si>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</si>
  <si>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</si>
  <si>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</si>
  <si>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</si>
  <si>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</si>
  <si>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</si>
  <si>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</si>
  <si>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</si>
  <si>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</si>
  <si>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</si>
  <si>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</si>
  <si>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</si>
  <si>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</si>
  <si>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</si>
  <si>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</si>
  <si>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</si>
  <si>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</si>
  <si>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</si>
  <si>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</si>
  <si>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</si>
  <si>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</si>
  <si>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</si>
  <si>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</si>
  <si>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</si>
  <si>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</si>
  <si>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</si>
  <si>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</si>
  <si>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</si>
  <si>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</si>
  <si>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</si>
  <si>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</si>
  <si>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</si>
  <si>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</si>
  <si>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</si>
  <si>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</si>
  <si>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</si>
  <si>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</si>
  <si>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</si>
  <si>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</si>
  <si>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</si>
  <si>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</si>
  <si>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</si>
  <si>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</si>
  <si>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</si>
  <si>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</si>
  <si>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</si>
  <si>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</si>
  <si>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</si>
  <si>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</si>
  <si>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</si>
  <si>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</si>
  <si>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</si>
  <si>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</si>
  <si>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</si>
  <si>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</si>
  <si>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</si>
  <si>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</si>
  <si>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</si>
  <si>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</si>
  <si>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</si>
  <si>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</si>
  <si>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</si>
  <si>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</si>
  <si>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</si>
  <si>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</si>
  <si>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Serin David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</si>
  <si>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</si>
  <si>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</si>
  <si>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</si>
  <si>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</si>
  <si>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</si>
  <si>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209:00</t>
  </si>
  <si>
    <t>29:00</t>
  </si>
  <si>
    <t>Dušek Sam</t>
  </si>
  <si>
    <t>112:00</t>
  </si>
  <si>
    <t>229:30</t>
  </si>
  <si>
    <t>32:30</t>
  </si>
  <si>
    <t>Kopic Jakub</t>
  </si>
  <si>
    <t>25:30</t>
  </si>
  <si>
    <t>Weindling Josef</t>
  </si>
  <si>
    <t>40:30</t>
  </si>
  <si>
    <t>Coufal Jakub</t>
  </si>
  <si>
    <t>Břicháč Pavel</t>
  </si>
  <si>
    <t>103:30</t>
  </si>
  <si>
    <t>Eszenyiová Patrícia</t>
  </si>
  <si>
    <t>38:45</t>
  </si>
  <si>
    <t>7:00</t>
  </si>
  <si>
    <t>33:45</t>
  </si>
  <si>
    <t>Berdar Vasyl</t>
  </si>
  <si>
    <t>30:00</t>
  </si>
  <si>
    <t>49:15</t>
  </si>
  <si>
    <t>Prošek Václav</t>
  </si>
  <si>
    <t>68:30</t>
  </si>
  <si>
    <t>Kubík Martin</t>
  </si>
  <si>
    <t>Kumar Jatinder</t>
  </si>
  <si>
    <t>41:45</t>
  </si>
  <si>
    <t>Nedvěd Dominik</t>
  </si>
  <si>
    <t>9:00</t>
  </si>
  <si>
    <t>Millington Emmanuel</t>
  </si>
  <si>
    <t>8:30</t>
  </si>
  <si>
    <t>5:00</t>
  </si>
  <si>
    <t>12 min 12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</si>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</sst>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46207.0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Sobota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45</v>
      </c>
      <c r="D12" s="53" t="s">
        <v>1497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10:00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1873.2</v>
      </c>
      <c r="B13" s="52" t="s">
        <v>1565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4323.078</v>
      </c>
      <c r="B14" s="52" t="s">
        <v>1479</v>
      </c>
      <c r="C14" s="53" t="s">
        <v>45</v>
      </c>
      <c r="D14" s="53" t="s">
        <v>1497</v>
      </c>
      <c r="E14" s="54"/>
      <c r="F14" s="55" t="str">
        <f t="shared" si="1"/>
        <v>10:00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1566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1567</v>
      </c>
      <c r="H24" s="77" t="s">
        <v>1568</v>
      </c>
      <c r="I24" s="46" t="s">
        <v>13</v>
      </c>
      <c r="J24" s="78" t="s">
        <v>1569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1050</v>
      </c>
      <c r="B25" s="52" t="s">
        <v>1570</v>
      </c>
      <c r="C25" s="82" t="s">
        <v>63</v>
      </c>
      <c r="D25" s="82" t="s">
        <v>70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07:00</v>
      </c>
      <c r="G25" s="84">
        <f>COUNTIF(RestiaCSV!E:E, B25)</f>
        <v>0</v>
      </c>
      <c r="H25" s="85" t="b">
        <v>1</v>
      </c>
      <c r="I25" s="86">
        <f>IF(H25,G25*40,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1501.236</v>
      </c>
      <c r="B26" s="52" t="s">
        <v>1571</v>
      </c>
      <c r="C26" s="82" t="s">
        <v>70</v>
      </c>
      <c r="D26" s="82" t="s">
        <v>68</v>
      </c>
      <c r="E26" s="82"/>
      <c r="F26" s="83" t="str">
        <f t="shared" si="3"/>
        <v>06:00</v>
      </c>
      <c r="G26" s="84">
        <f>COUNTIF(RestiaCSV!E:E, B26)</f>
        <v>0</v>
      </c>
      <c r="H26" s="85" t="b">
        <v>1</v>
      </c>
      <c r="I26" s="86">
        <f t="shared" ref="I26:I31" si="4">IF(H26,G26*45, 0)</f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1572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Martin,Ahurieva Viktoriia,Šebesta Tomáš,Coufal Jakub,Hegedüs Erik,Bubník Martin,Berdar Vasyl,Gorol Patrik,Hegedüs Gergö,Barvínková Eliška,Kubík Martin,Kopic Jakub,Prošek Václav,Millington Emmanuel,Kašpárek Jan,Remač Jiří"</formula1>
    </dataValidation>
    <dataValidation type="list" allowBlank="1" sqref="G11 G19">
      <formula1>"Hegedüs Erik,Bubník Martin,Ahurieva Viktoriia"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46174.0</v>
      </c>
      <c r="D1" s="113" t="s">
        <v>1573</v>
      </c>
      <c r="E1" s="114">
        <v>46203.0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0.2608197174198883</v>
      </c>
      <c r="H2" s="22"/>
      <c r="I2" s="118">
        <v>1487044.6099999994</v>
      </c>
      <c r="K2" s="22"/>
      <c r="L2" s="119" t="s">
        <v>1550</v>
      </c>
      <c r="M2" s="120">
        <v>454150.51000000024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8"/>
      <c r="D3" s="123" t="str">
        <f>CHOOSE(WEEKDAY(E1), "Neděle", "Pondělí", "Úterý", "Středa", "Čtvrtek", "Pátek", "Sobota")</f>
        <v>Úterý</v>
      </c>
      <c r="E3" s="12"/>
      <c r="H3" s="22"/>
      <c r="K3" s="22"/>
      <c r="L3" s="124" t="s">
        <v>1551</v>
      </c>
      <c r="M3" s="125">
        <v>156119.0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350240.8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244059.0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7351.0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649.25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446.75</v>
      </c>
      <c r="G7" s="14"/>
      <c r="H7" s="14"/>
      <c r="I7" s="14"/>
      <c r="J7" s="133"/>
      <c r="K7" s="133"/>
      <c r="L7" s="134" t="s">
        <v>1556</v>
      </c>
      <c r="M7" s="135">
        <v>62662.9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1567</v>
      </c>
      <c r="J9" s="146">
        <v>0.7000000004845788</v>
      </c>
      <c r="K9" s="12"/>
      <c r="L9" s="147" t="s">
        <v>23</v>
      </c>
      <c r="M9" s="125">
        <v>89296.0</v>
      </c>
      <c r="N9" s="121"/>
    </row>
    <row r="10" ht="18.75" customHeight="1">
      <c r="A10" s="148"/>
      <c r="B10" s="149" t="s">
        <v>1490</v>
      </c>
      <c r="C10" s="150">
        <v>20.0</v>
      </c>
      <c r="D10" s="150" t="s">
        <v>1577</v>
      </c>
      <c r="E10" s="151" t="s">
        <v>1578</v>
      </c>
      <c r="F10" s="149" t="s">
        <v>1579</v>
      </c>
      <c r="G10" s="150">
        <v>12.0</v>
      </c>
      <c r="H10" s="150" t="s">
        <v>1580</v>
      </c>
      <c r="I10" s="152">
        <v>127.0</v>
      </c>
      <c r="J10" s="37"/>
      <c r="K10" s="22"/>
      <c r="L10" s="147" t="s">
        <v>24</v>
      </c>
      <c r="M10" s="125">
        <v>820.0</v>
      </c>
      <c r="N10" s="121"/>
    </row>
    <row r="11" ht="18.75" customHeight="1">
      <c r="A11" s="148"/>
      <c r="B11" s="149" t="s">
        <v>1565</v>
      </c>
      <c r="C11" s="150">
        <v>25.0</v>
      </c>
      <c r="D11" s="150" t="s">
        <v>1581</v>
      </c>
      <c r="E11" s="151" t="s">
        <v>49</v>
      </c>
      <c r="F11" s="149" t="s">
        <v>1531</v>
      </c>
      <c r="G11" s="150">
        <v>8.0</v>
      </c>
      <c r="H11" s="150" t="s">
        <v>1582</v>
      </c>
      <c r="I11" s="152">
        <v>43.0</v>
      </c>
      <c r="J11" s="37"/>
      <c r="K11" s="22"/>
      <c r="L11" s="153" t="s">
        <v>25</v>
      </c>
      <c r="M11" s="154">
        <v>153598.0</v>
      </c>
      <c r="N11" s="121"/>
    </row>
    <row r="12" ht="18.75" customHeight="1">
      <c r="A12" s="148"/>
      <c r="B12" s="149" t="s">
        <v>1583</v>
      </c>
      <c r="C12" s="150">
        <v>3.0</v>
      </c>
      <c r="D12" s="150" t="s">
        <v>1584</v>
      </c>
      <c r="E12" s="151" t="s">
        <v>50</v>
      </c>
      <c r="F12" s="149" t="s">
        <v>1585</v>
      </c>
      <c r="G12" s="150">
        <v>7.0</v>
      </c>
      <c r="H12" s="150" t="s">
        <v>1586</v>
      </c>
      <c r="I12" s="152">
        <v>35.0</v>
      </c>
      <c r="J12" s="37"/>
      <c r="K12" s="22"/>
      <c r="L12" s="155" t="s">
        <v>1564</v>
      </c>
      <c r="M12" s="20"/>
      <c r="N12" s="116"/>
    </row>
    <row r="13" ht="18.75" customHeight="1">
      <c r="A13" s="148"/>
      <c r="B13" s="149" t="s">
        <v>1587</v>
      </c>
      <c r="C13" s="150">
        <v>5.0</v>
      </c>
      <c r="D13" s="150" t="s">
        <v>1482</v>
      </c>
      <c r="E13" s="151" t="s">
        <v>50</v>
      </c>
      <c r="F13" s="149" t="s">
        <v>1588</v>
      </c>
      <c r="G13" s="150">
        <v>13.0</v>
      </c>
      <c r="H13" s="150" t="s">
        <v>1589</v>
      </c>
      <c r="I13" s="152">
        <v>136.0</v>
      </c>
      <c r="J13" s="37"/>
      <c r="K13" s="22"/>
      <c r="L13" s="147" t="s">
        <v>29</v>
      </c>
      <c r="M13" s="125">
        <v>2499.0</v>
      </c>
      <c r="N13" s="121"/>
    </row>
    <row r="14" ht="18.75" customHeight="1">
      <c r="A14" s="148"/>
      <c r="B14" s="149" t="s">
        <v>1590</v>
      </c>
      <c r="C14" s="150">
        <v>6.0</v>
      </c>
      <c r="D14" s="150" t="s">
        <v>1591</v>
      </c>
      <c r="E14" s="151" t="s">
        <v>1592</v>
      </c>
      <c r="F14" s="149" t="s">
        <v>1571</v>
      </c>
      <c r="G14" s="150">
        <v>5.0</v>
      </c>
      <c r="H14" s="150" t="s">
        <v>1593</v>
      </c>
      <c r="I14" s="152">
        <v>55.0</v>
      </c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 t="s">
        <v>1594</v>
      </c>
      <c r="C15" s="150">
        <v>3.0</v>
      </c>
      <c r="D15" s="150" t="s">
        <v>1595</v>
      </c>
      <c r="E15" s="151" t="s">
        <v>1592</v>
      </c>
      <c r="F15" s="149" t="s">
        <v>1570</v>
      </c>
      <c r="G15" s="150">
        <v>7.0</v>
      </c>
      <c r="H15" s="150" t="s">
        <v>1596</v>
      </c>
      <c r="I15" s="152">
        <v>77.0</v>
      </c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 t="s">
        <v>1597</v>
      </c>
      <c r="C16" s="150">
        <v>8.0</v>
      </c>
      <c r="D16" s="150" t="s">
        <v>1598</v>
      </c>
      <c r="E16" s="157"/>
      <c r="F16" s="149" t="s">
        <v>1587</v>
      </c>
      <c r="G16" s="150">
        <v>4.0</v>
      </c>
      <c r="H16" s="150" t="s">
        <v>1482</v>
      </c>
      <c r="I16" s="152">
        <v>20.0</v>
      </c>
      <c r="J16" s="37"/>
      <c r="K16" s="22"/>
      <c r="L16" s="156" t="s">
        <v>32</v>
      </c>
      <c r="M16" s="125">
        <v>5762.0</v>
      </c>
      <c r="N16" s="121"/>
    </row>
    <row r="17" ht="18.75" customHeight="1">
      <c r="A17" s="148"/>
      <c r="B17" s="149" t="s">
        <v>1599</v>
      </c>
      <c r="C17" s="150">
        <v>1.0</v>
      </c>
      <c r="D17" s="150" t="s">
        <v>1592</v>
      </c>
      <c r="E17" s="157"/>
      <c r="F17" s="149" t="s">
        <v>1600</v>
      </c>
      <c r="G17" s="150">
        <v>7.0</v>
      </c>
      <c r="H17" s="150" t="s">
        <v>1601</v>
      </c>
      <c r="I17" s="152">
        <v>69.0</v>
      </c>
      <c r="J17" s="19"/>
      <c r="K17" s="20"/>
      <c r="L17" s="158" t="s">
        <v>33</v>
      </c>
      <c r="M17" s="159">
        <v>23150.0</v>
      </c>
      <c r="N17" s="121"/>
    </row>
    <row r="18" ht="18.75" customHeight="1">
      <c r="A18" s="148"/>
      <c r="B18" s="149" t="s">
        <v>1479</v>
      </c>
      <c r="C18" s="150">
        <v>2.0</v>
      </c>
      <c r="D18" s="150" t="s">
        <v>50</v>
      </c>
      <c r="E18" s="157"/>
      <c r="F18" s="149" t="s">
        <v>1602</v>
      </c>
      <c r="G18" s="150">
        <v>1.0</v>
      </c>
      <c r="H18" s="150" t="s">
        <v>1603</v>
      </c>
      <c r="I18" s="152">
        <v>8.0</v>
      </c>
      <c r="J18" s="160"/>
      <c r="K18" s="14"/>
      <c r="L18" s="14"/>
      <c r="M18" s="15"/>
      <c r="N18" s="161"/>
    </row>
    <row r="19" ht="18.75" customHeight="1">
      <c r="A19" s="148"/>
      <c r="B19" s="149" t="s">
        <v>1604</v>
      </c>
      <c r="C19" s="150">
        <v>2.0</v>
      </c>
      <c r="D19" s="150" t="s">
        <v>1605</v>
      </c>
      <c r="E19" s="157"/>
      <c r="F19" s="149" t="s">
        <v>1599</v>
      </c>
      <c r="G19" s="150">
        <v>1.0</v>
      </c>
      <c r="H19" s="150" t="s">
        <v>1606</v>
      </c>
      <c r="I19" s="152">
        <v>3.0</v>
      </c>
      <c r="J19" s="162" t="s">
        <v>34</v>
      </c>
      <c r="K19" s="163" t="s">
        <v>35</v>
      </c>
      <c r="L19" s="164" t="s">
        <v>1566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8.0</v>
      </c>
      <c r="K21" s="169">
        <v>2842.0</v>
      </c>
      <c r="L21" s="170">
        <v>82.0</v>
      </c>
      <c r="M21" s="171" t="s">
        <v>1607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1569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54.0</v>
      </c>
      <c r="K24" s="170">
        <v>3627.0</v>
      </c>
      <c r="L24" s="170">
        <v>627.0</v>
      </c>
      <c r="M24" s="177">
        <v>34.0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14.0</v>
      </c>
      <c r="K27" s="96"/>
      <c r="L27" s="182">
        <v>0.138485315215699</v>
      </c>
      <c r="M27" s="183">
        <v>15.0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0.861514684784301</v>
      </c>
      <c r="M30" s="187">
        <v>0.027503303713830026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89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89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/>
      <c r="B115" s="1"/>
      <c r="C115" s="1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/>
      <c r="B116" s="1"/>
      <c r="C116" s="1"/>
      <c r="D116" s="1"/>
      <c r="E116" s="188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/>
      <c r="B118" s="1"/>
      <c r="C118" s="1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"/>
      <c r="B121" s="1"/>
      <c r="C121" s="189"/>
      <c r="D121" s="1"/>
      <c r="E121" s="1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"/>
      <c r="B123" s="1"/>
      <c r="C123" s="189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"/>
      <c r="B124" s="1"/>
      <c r="C124" s="189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"/>
      <c r="B125" s="1"/>
      <c r="C125" s="1"/>
      <c r="D125" s="1"/>
      <c r="E125" s="188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"/>
      <c r="B127" s="1"/>
      <c r="C127" s="189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"/>
      <c r="B128" s="1"/>
      <c r="C128" s="189"/>
      <c r="D128" s="1"/>
      <c r="E128" s="1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"/>
      <c r="B129" s="1"/>
      <c r="C129" s="1"/>
      <c r="D129" s="1"/>
      <c r="E129" s="188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1609</v>
      </c>
      <c r="B4" s="193" t="s">
        <v>1610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IFERROR(__xludf.DUMMYFUNCTION("""COMPUTED_VALUE"""),"Bolevec")</f>
        <v>Bolevec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IFERROR(__xludf.DUMMYFUNCTION("""COMPUTED_VALUE"""),"Pánková Vendula")</f>
        <v>Pánková Vendula</v>
      </c>
      <c r="E18" s="6" t="str">
        <f>IFERROR(__xludf.DUMMYFUNCTION("""COMPUTED_VALUE"""),"Zličín")</f>
        <v>Zličín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IFERROR(__xludf.DUMMYFUNCTION("""COMPUTED_VALUE"""),267.6)</f>
        <v>267.6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>Hegedüs Erik</v>
      </c>
      <c r="B19" s="194" t="str">
        <f>IF(OR(E19=Report!$B$1, F19=Report!$B$1, G19=Report!$B$1, H19=Report!$B$1), D19, "")</f>
        <v>Hegedüs Erik</v>
      </c>
      <c r="C19" s="6" t="b">
        <f>IFERROR(__xludf.DUMMYFUNCTION("""COMPUTED_VALUE"""),TRUE)</f>
        <v>1</v>
      </c>
      <c r="D19" s="6" t="str">
        <f>IFERROR(__xludf.DUMMYFUNCTION("""COMPUTED_VALUE"""),"Hegedüs Erik")</f>
        <v>Hegedüs Erik</v>
      </c>
      <c r="E19" s="6" t="str">
        <f>IFERROR(__xludf.DUMMYFUNCTION("""COMPUTED_VALUE"""),"Libuš")</f>
        <v>Libuš</v>
      </c>
      <c r="F19" s="6" t="str">
        <f>IFERROR(__xludf.DUMMYFUNCTION("""COMPUTED_VALUE"""),"Chodov")</f>
        <v>Chodov</v>
      </c>
      <c r="G19" s="6" t="str">
        <f>IFERROR(__xludf.DUMMYFUNCTION("""COMPUTED_VALUE"""),"Malešice")</f>
        <v>Malešice</v>
      </c>
      <c r="H19" s="6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IFERROR(__xludf.DUMMYFUNCTION("""COMPUTED_VALUE"""),432.3078)</f>
        <v>432.3078</v>
      </c>
      <c r="W19" s="192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IFERROR(__xludf.DUMMYFUNCTION("""COMPUTED_VALUE"""),TRUE)</f>
        <v>1</v>
      </c>
      <c r="D20" s="6" t="str">
        <f>IFERROR(__xludf.DUMMYFUNCTION("""COMPUTED_VALUE"""),"Roth Stanislav ml.")</f>
        <v>Roth Stanislav ml.</v>
      </c>
      <c r="E20" s="6" t="str">
        <f>IFERROR(__xludf.DUMMYFUNCTION("""COMPUTED_VALUE"""),"Bolevec")</f>
        <v>Bolevec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IFERROR(__xludf.DUMMYFUNCTION("""COMPUTED_VALUE"""),432.3078)</f>
        <v>432.3078</v>
      </c>
      <c r="W20" s="192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/>
      </c>
      <c r="B21" s="194" t="str">
        <f>IF(OR(E21=Report!$B$1, F21=Report!$B$1, G21=Report!$B$1, H21=Report!$B$1), D21, "")</f>
        <v>Bubník Martin</v>
      </c>
      <c r="C21" s="6" t="b">
        <f>IFERROR(__xludf.DUMMYFUNCTION("""COMPUTED_VALUE"""),FALSE)</f>
        <v>0</v>
      </c>
      <c r="D21" s="6" t="str">
        <f>IFERROR(__xludf.DUMMYFUNCTION("""COMPUTED_VALUE"""),"Bubník Martin")</f>
        <v>Bubník Martin</v>
      </c>
      <c r="E21" s="6" t="str">
        <f>IFERROR(__xludf.DUMMYFUNCTION("""COMPUTED_VALUE"""),"Libuš")</f>
        <v>Libuš</v>
      </c>
      <c r="F21" s="6" t="str">
        <f>IFERROR(__xludf.DUMMYFUNCTION("""COMPUTED_VALUE"""),"Malešice")</f>
        <v>Malešice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IFERROR(__xludf.DUMMYFUNCTION("""COMPUTED_VALUE"""),267.6)</f>
        <v>267.6</v>
      </c>
      <c r="W21" s="192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>Berdar Vasyl</v>
      </c>
      <c r="C22" s="6" t="b">
        <f>IFERROR(__xludf.DUMMYFUNCTION("""COMPUTED_VALUE"""),FALSE)</f>
        <v>0</v>
      </c>
      <c r="D22" s="6" t="str">
        <f>IFERROR(__xludf.DUMMYFUNCTION("""COMPUTED_VALUE"""),"Berdar Vasyl")</f>
        <v>Berdar Vasyl</v>
      </c>
      <c r="E22" s="6" t="str">
        <f>IFERROR(__xludf.DUMMYFUNCTION("""COMPUTED_VALUE"""),"Libuš")</f>
        <v>Libuš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IFERROR(__xludf.DUMMYFUNCTION("""COMPUTED_VALUE"""),286.332)</f>
        <v>286.332</v>
      </c>
      <c r="W22" s="192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IFERROR(__xludf.DUMMYFUNCTION("""COMPUTED_VALUE"""),"Yarushynskyi Vladyslav")</f>
        <v>Yarushynskyi Vladyslav</v>
      </c>
      <c r="E23" s="6" t="str">
        <f>IFERROR(__xludf.DUMMYFUNCTION("""COMPUTED_VALUE"""),"Malešice")</f>
        <v>Malešice</v>
      </c>
      <c r="F23" s="6" t="str">
        <f>IFERROR(__xludf.DUMMYFUNCTION("""COMPUTED_VALUE"""),"Chodov")</f>
        <v>Chodov</v>
      </c>
      <c r="G23" s="6" t="str">
        <f>IFERROR(__xludf.DUMMYFUNCTION("""COMPUTED_VALUE"""),"Zličín")</f>
        <v>Zličín</v>
      </c>
      <c r="H23" s="6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IFERROR(__xludf.DUMMYFUNCTION("""COMPUTED_VALUE"""),267.6)</f>
        <v>267.6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/>
      </c>
      <c r="C24" s="6" t="b">
        <f>IFERROR(__xludf.DUMMYFUNCTION("""COMPUTED_VALUE"""),FALSE)</f>
        <v>0</v>
      </c>
      <c r="D24" s="6" t="str">
        <f>IFERROR(__xludf.DUMMYFUNCTION("""COMPUTED_VALUE"""),"Židek Petr")</f>
        <v>Židek Petr</v>
      </c>
      <c r="E24" s="6" t="str">
        <f>IFERROR(__xludf.DUMMYFUNCTION("""COMPUTED_VALUE"""),"Chodov")</f>
        <v>Chodov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IFERROR(__xludf.DUMMYFUNCTION("""COMPUTED_VALUE"""),250.20600000000002)</f>
        <v>250.206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>Gorol Patrik</v>
      </c>
      <c r="C25" s="6" t="b">
        <f>IFERROR(__xludf.DUMMYFUNCTION("""COMPUTED_VALUE"""),FALSE)</f>
        <v>0</v>
      </c>
      <c r="D25" s="6" t="str">
        <f>IFERROR(__xludf.DUMMYFUNCTION("""COMPUTED_VALUE"""),"Gorol Patrik")</f>
        <v>Gorol Patrik</v>
      </c>
      <c r="E25" s="6" t="str">
        <f>IFERROR(__xludf.DUMMYFUNCTION("""COMPUTED_VALUE"""),"Malešice")</f>
        <v>Malešice</v>
      </c>
      <c r="F25" s="6" t="str">
        <f>IFERROR(__xludf.DUMMYFUNCTION("""COMPUTED_VALUE"""),"Libuš")</f>
        <v>Libuš</v>
      </c>
      <c r="G25" s="6" t="str">
        <f>IFERROR(__xludf.DUMMYFUNCTION("""COMPUTED_VALUE"""),"Prosek")</f>
        <v>Prosek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>Hegedüs Gergö</v>
      </c>
      <c r="C26" s="6" t="b">
        <f>IFERROR(__xludf.DUMMYFUNCTION("""COMPUTED_VALUE"""),FALSE)</f>
        <v>0</v>
      </c>
      <c r="D26" s="6" t="str">
        <f>IFERROR(__xludf.DUMMYFUNCTION("""COMPUTED_VALUE"""),"Hegedüs Gergö")</f>
        <v>Hegedüs Gergö</v>
      </c>
      <c r="E26" s="6" t="str">
        <f>IFERROR(__xludf.DUMMYFUNCTION("""COMPUTED_VALUE"""),"Libuš")</f>
        <v>Libuš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IFERROR(__xludf.DUMMYFUNCTION("""COMPUTED_VALUE"""),214.08)</f>
        <v>214.08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Barvínková Eliška</v>
      </c>
      <c r="C27" s="6" t="b">
        <f>IFERROR(__xludf.DUMMYFUNCTION("""COMPUTED_VALUE"""),FALSE)</f>
        <v>0</v>
      </c>
      <c r="D27" s="6" t="str">
        <f>IFERROR(__xludf.DUMMYFUNCTION("""COMPUTED_VALUE"""),"Barvínková Eliška")</f>
        <v>Barvínková Eliška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IFERROR(__xludf.DUMMYFUNCTION("""COMPUTED_VALUE"""),231.474)</f>
        <v>231.474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IFERROR(__xludf.DUMMYFUNCTION("""COMPUTED_VALUE"""),"Kursheva Diana")</f>
        <v>Kursheva Diana</v>
      </c>
      <c r="E28" s="6" t="str">
        <f>IFERROR(__xludf.DUMMYFUNCTION("""COMPUTED_VALUE"""),"Výroba")</f>
        <v>Výroba</v>
      </c>
      <c r="F28" s="6" t="str">
        <f>IFERROR(__xludf.DUMMYFUNCTION("""COMPUTED_VALUE"""),"Chodov")</f>
        <v>Chodov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IFERROR(__xludf.DUMMYFUNCTION("""COMPUTED_VALUE"""),250.20600000000002)</f>
        <v>250.206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>Kubík Martin</v>
      </c>
      <c r="C29" s="6" t="b">
        <f>IFERROR(__xludf.DUMMYFUNCTION("""COMPUTED_VALUE"""),FALSE)</f>
        <v>0</v>
      </c>
      <c r="D29" s="6" t="str">
        <f>IFERROR(__xludf.DUMMYFUNCTION("""COMPUTED_VALUE"""),"Kubík Martin")</f>
        <v>Kubík Martin</v>
      </c>
      <c r="E29" s="6" t="str">
        <f>IFERROR(__xludf.DUMMYFUNCTION("""COMPUTED_VALUE"""),"Libuš")</f>
        <v>Libuš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IFERROR(__xludf.DUMMYFUNCTION("""COMPUTED_VALUE"""),"Putna Jaroslav")</f>
        <v>Putna Jaroslav</v>
      </c>
      <c r="E30" s="6" t="str">
        <f>IFERROR(__xludf.DUMMYFUNCTION("""COMPUTED_VALUE"""),"Zličín")</f>
        <v>Zličín</v>
      </c>
      <c r="F30" s="6" t="str">
        <f>IFERROR(__xludf.DUMMYFUNCTION("""COMPUTED_VALUE"""),"Prosek")</f>
        <v>Prosek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Kopic Jakub</v>
      </c>
      <c r="C31" s="6" t="b">
        <f>IFERROR(__xludf.DUMMYFUNCTION("""COMPUTED_VALUE"""),FALSE)</f>
        <v>0</v>
      </c>
      <c r="D31" s="6" t="str">
        <f>IFERROR(__xludf.DUMMYFUNCTION("""COMPUTED_VALUE"""),"Kopic Jakub")</f>
        <v>Kopic Jakub</v>
      </c>
      <c r="E31" s="6" t="str">
        <f>IFERROR(__xludf.DUMMYFUNCTION("""COMPUTED_VALUE"""),"Malešice")</f>
        <v>Malešice</v>
      </c>
      <c r="F31" s="6" t="str">
        <f>IFERROR(__xludf.DUMMYFUNCTION("""COMPUTED_VALUE"""),"Prosek")</f>
        <v>Prosek</v>
      </c>
      <c r="G31" s="6" t="str">
        <f>IFERROR(__xludf.DUMMYFUNCTION("""COMPUTED_VALUE"""),"Libuš")</f>
        <v>Libuš</v>
      </c>
      <c r="H31" s="6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IFERROR(__xludf.DUMMYFUNCTION("""COMPUTED_VALUE"""),250.20600000000002)</f>
        <v>250.206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IFERROR(__xludf.DUMMYFUNCTION("""COMPUTED_VALUE"""),"Fáberová Kateřina")</f>
        <v>Fáberová Kateřina</v>
      </c>
      <c r="E32" s="6" t="str">
        <f>IFERROR(__xludf.DUMMYFUNCTION("""COMPUTED_VALUE"""),"Prosek")</f>
        <v>Prosek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IFERROR(__xludf.DUMMYFUNCTION("""COMPUTED_VALUE"""),250.20600000000002)</f>
        <v>250.206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/>
      </c>
      <c r="C33" s="6" t="b">
        <f>IFERROR(__xludf.DUMMYFUNCTION("""COMPUTED_VALUE"""),FALSE)</f>
        <v>0</v>
      </c>
      <c r="D33" s="6" t="str">
        <f>IFERROR(__xludf.DUMMYFUNCTION("""COMPUTED_VALUE"""),"Chlubnová Adéla")</f>
        <v>Chlubnová Adéla</v>
      </c>
      <c r="E33" s="6" t="str">
        <f>IFERROR(__xludf.DUMMYFUNCTION("""COMPUTED_VALUE"""),"Chodov")</f>
        <v>Chodov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IFERROR(__xludf.DUMMYFUNCTION("""COMPUTED_VALUE"""),250.20600000000002)</f>
        <v>250.206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Prošek Václav</v>
      </c>
      <c r="C34" s="6" t="b">
        <f>IFERROR(__xludf.DUMMYFUNCTION("""COMPUTED_VALUE"""),FALSE)</f>
        <v>0</v>
      </c>
      <c r="D34" s="6" t="str">
        <f>IFERROR(__xludf.DUMMYFUNCTION("""COMPUTED_VALUE"""),"Prošek Václav")</f>
        <v>Prošek Václav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IFERROR(__xludf.DUMMYFUNCTION("""COMPUTED_VALUE"""),250.20600000000002)</f>
        <v>250.206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>Millington Emmanuel</v>
      </c>
      <c r="C35" s="6" t="b">
        <f>IFERROR(__xludf.DUMMYFUNCTION("""COMPUTED_VALUE"""),FALSE)</f>
        <v>0</v>
      </c>
      <c r="D35" s="6" t="str">
        <f>IFERROR(__xludf.DUMMYFUNCTION("""COMPUTED_VALUE"""),"Millington Emmanuel")</f>
        <v>Millington Emmanuel</v>
      </c>
      <c r="E35" s="6" t="str">
        <f>IFERROR(__xludf.DUMMYFUNCTION("""COMPUTED_VALUE"""),"Libuš")</f>
        <v>Libuš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>Kašpárek Jan</v>
      </c>
      <c r="C36" s="6" t="b">
        <f>IFERROR(__xludf.DUMMYFUNCTION("""COMPUTED_VALUE"""),FALSE)</f>
        <v>0</v>
      </c>
      <c r="D36" s="6" t="str">
        <f>IFERROR(__xludf.DUMMYFUNCTION("""COMPUTED_VALUE"""),"Kašpárek Jan")</f>
        <v>Kašpárek Jan</v>
      </c>
      <c r="E36" s="6" t="str">
        <f>IFERROR(__xludf.DUMMYFUNCTION("""COMPUTED_VALUE"""),"Libuš")</f>
        <v>Libuš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/>
      </c>
      <c r="C37" s="6" t="b">
        <f>IFERROR(__xludf.DUMMYFUNCTION("""COMPUTED_VALUE"""),FALSE)</f>
        <v>0</v>
      </c>
      <c r="D37" s="6" t="str">
        <f>IFERROR(__xludf.DUMMYFUNCTION("""COMPUTED_VALUE"""),"Koteliuk Maryna")</f>
        <v>Koteliuk Maryna</v>
      </c>
      <c r="E37" s="6" t="str">
        <f>IFERROR(__xludf.DUMMYFUNCTION("""COMPUTED_VALUE"""),"Výroba")</f>
        <v>Výroba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>Remač Jiří</v>
      </c>
      <c r="C38" s="6" t="b">
        <f>IFERROR(__xludf.DUMMYFUNCTION("""COMPUTED_VALUE"""),FALSE)</f>
        <v>0</v>
      </c>
      <c r="D38" s="6" t="str">
        <f>IFERROR(__xludf.DUMMYFUNCTION("""COMPUTED_VALUE"""),"Remač Jiří")</f>
        <v>Remač Jiří</v>
      </c>
      <c r="E38" s="6" t="str">
        <f>IFERROR(__xludf.DUMMYFUNCTION("""COMPUTED_VALUE"""),"Libuš")</f>
        <v>Libuš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/>
      </c>
      <c r="C39" s="6" t="b">
        <f>IFERROR(__xludf.DUMMYFUNCTION("""COMPUTED_VALUE"""),FALSE)</f>
        <v>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IFERROR(__xludf.DUMMYFUNCTION("""COMPUTED_VALUE"""),0.0)</f>
        <v>0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IFERROR(__xludf.DUMMYFUNCTION("""COMPUTED_VALUE"""),0.0)</f>
        <v>0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IFERROR(__xludf.DUMMYFUNCTION("""COMPUTED_VALUE"""),0.0)</f>
        <v>0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IFERROR(__xludf.DUMMYFUNCTION("""COMPUTED_VALUE"""),"Hyský Aleš")</f>
        <v>Hyský Aleš</v>
      </c>
      <c r="E86" s="6" t="str">
        <f>IFERROR(__xludf.DUMMYFUNCTION("""COMPUTED_VALUE"""),"Chodov")</f>
        <v>Chodov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IFERROR(__xludf.DUMMYFUNCTION("""COMPUTED_VALUE"""),231.474)</f>
        <v>231.474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>Lažek Jaroslav</v>
      </c>
      <c r="C87" s="6" t="b">
        <f>IFERROR(__xludf.DUMMYFUNCTION("""COMPUTED_VALUE"""),FALSE)</f>
        <v>0</v>
      </c>
      <c r="D87" s="6" t="str">
        <f>IFERROR(__xludf.DUMMYFUNCTION("""COMPUTED_VALUE"""),"Lažek Jaroslav")</f>
        <v>Lažek Jaroslav</v>
      </c>
      <c r="E87" s="6" t="str">
        <f>IFERROR(__xludf.DUMMYFUNCTION("""COMPUTED_VALUE"""),"Libuš")</f>
        <v>Libuš</v>
      </c>
      <c r="F87" s="6" t="str">
        <f>IFERROR(__xludf.DUMMYFUNCTION("""COMPUTED_VALUE"""),"Chodov")</f>
        <v>Chodov</v>
      </c>
      <c r="G87" s="6" t="str">
        <f>IFERROR(__xludf.DUMMYFUNCTION("""COMPUTED_VALUE"""),"Malešice")</f>
        <v>Malešice</v>
      </c>
      <c r="H87" s="6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IFERROR(__xludf.DUMMYFUNCTION("""COMPUTED_VALUE"""),170.0)</f>
        <v>170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IFERROR(__xludf.DUMMYFUNCTION("""COMPUTED_VALUE"""),"Kormash Liubov")</f>
        <v>Kormash Liubov</v>
      </c>
      <c r="E88" s="6" t="str">
        <f>IFERROR(__xludf.DUMMYFUNCTION("""COMPUTED_VALUE"""),"Zličín")</f>
        <v>Zličín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IFERROR(__xludf.DUMMYFUNCTION("""COMPUTED_VALUE"""),160.0)</f>
        <v>160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Chlubna Tomáš</v>
      </c>
      <c r="C89" s="6" t="b">
        <f>IFERROR(__xludf.DUMMYFUNCTION("""COMPUTED_VALUE"""),FALSE)</f>
        <v>0</v>
      </c>
      <c r="D89" s="6" t="str">
        <f>IFERROR(__xludf.DUMMYFUNCTION("""COMPUTED_VALUE"""),"Chlubna Tomáš")</f>
        <v>Chlubna Tomáš</v>
      </c>
      <c r="E89" s="6" t="str">
        <f>IFERROR(__xludf.DUMMYFUNCTION("""COMPUTED_VALUE"""),"Chodov")</f>
        <v>Chodov</v>
      </c>
      <c r="F89" s="6" t="str">
        <f>IFERROR(__xludf.DUMMYFUNCTION("""COMPUTED_VALUE"""),"Libuš")</f>
        <v>Libuš</v>
      </c>
      <c r="G89" s="6" t="str">
        <f>IFERROR(__xludf.DUMMYFUNCTION("""COMPUTED_VALUE"""),"Výroba")</f>
        <v>Výroba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IFERROR(__xludf.DUMMYFUNCTION("""COMPUTED_VALUE"""),250.20600000000002)</f>
        <v>250.206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IFERROR(__xludf.DUMMYFUNCTION("""COMPUTED_VALUE"""),"Vychivskyi Volodymyr")</f>
        <v>Vychivskyi Volodymyr</v>
      </c>
      <c r="E90" s="6" t="str">
        <f>IFERROR(__xludf.DUMMYFUNCTION("""COMPUTED_VALUE"""),"Malešice")</f>
        <v>Malešice</v>
      </c>
      <c r="F90" s="6" t="str">
        <f>IFERROR(__xludf.DUMMYFUNCTION("""COMPUTED_VALUE"""),"Prosek")</f>
        <v>Prosek</v>
      </c>
      <c r="G90" s="6" t="str">
        <f>IFERROR(__xludf.DUMMYFUNCTION("""COMPUTED_VALUE"""),"Zličín")</f>
        <v>Zličín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IFERROR(__xludf.DUMMYFUNCTION("""COMPUTED_VALUE"""),250.20600000000002)</f>
        <v>250.206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>Hřebík Martin</v>
      </c>
      <c r="C91" s="6" t="b">
        <f>IFERROR(__xludf.DUMMYFUNCTION("""COMPUTED_VALUE"""),FALSE)</f>
        <v>0</v>
      </c>
      <c r="D91" s="6" t="str">
        <f>IFERROR(__xludf.DUMMYFUNCTION("""COMPUTED_VALUE"""),"Hřebík Martin")</f>
        <v>Hřebík Martin</v>
      </c>
      <c r="E91" s="6" t="str">
        <f>IFERROR(__xludf.DUMMYFUNCTION("""COMPUTED_VALUE"""),"Výroba")</f>
        <v>Výroba</v>
      </c>
      <c r="F91" s="6" t="str">
        <f>IFERROR(__xludf.DUMMYFUNCTION("""COMPUTED_VALUE"""),"Chodov")</f>
        <v>Chodov</v>
      </c>
      <c r="G91" s="6" t="str">
        <f>IFERROR(__xludf.DUMMYFUNCTION("""COMPUTED_VALUE"""),"Prosek")</f>
        <v>Prosek</v>
      </c>
      <c r="H91" s="6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IFERROR(__xludf.DUMMYFUNCTION("""COMPUTED_VALUE"""),386.68199999999996)</f>
        <v>386.682</v>
      </c>
      <c r="W91" s="192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>Eszenyiová Patrícia</v>
      </c>
      <c r="C92" s="6" t="b">
        <f>IFERROR(__xludf.DUMMYFUNCTION("""COMPUTED_VALUE"""),FALSE)</f>
        <v>0</v>
      </c>
      <c r="D92" s="6" t="str">
        <f>IFERROR(__xludf.DUMMYFUNCTION("""COMPUTED_VALUE"""),"Eszenyiová Patrícia")</f>
        <v>Eszenyiová Patrícia</v>
      </c>
      <c r="E92" s="6" t="str">
        <f>IFERROR(__xludf.DUMMYFUNCTION("""COMPUTED_VALUE"""),"Libuš")</f>
        <v>Libuš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IFERROR(__xludf.DUMMYFUNCTION("""COMPUTED_VALUE"""),250.20600000000002)</f>
        <v>250.206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Reischl Jan</v>
      </c>
      <c r="C93" s="6" t="b">
        <f>IFERROR(__xludf.DUMMYFUNCTION("""COMPUTED_VALUE"""),FALSE)</f>
        <v>0</v>
      </c>
      <c r="D93" s="6" t="str">
        <f>IFERROR(__xludf.DUMMYFUNCTION("""COMPUTED_VALUE"""),"Reischl Jan")</f>
        <v>Reischl Jan</v>
      </c>
      <c r="E93" s="6" t="str">
        <f>IFERROR(__xludf.DUMMYFUNCTION("""COMPUTED_VALUE"""),"Malešice")</f>
        <v>Malešice</v>
      </c>
      <c r="F93" s="6" t="str">
        <f>IFERROR(__xludf.DUMMYFUNCTION("""COMPUTED_VALUE"""),"Chodov")</f>
        <v>Chodov</v>
      </c>
      <c r="G93" s="6" t="str">
        <f>IFERROR(__xludf.DUMMYFUNCTION("""COMPUTED_VALUE"""),"Libuš")</f>
        <v>Libuš</v>
      </c>
      <c r="H93" s="6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IFERROR(__xludf.DUMMYFUNCTION("""COMPUTED_VALUE"""),214.08)</f>
        <v>214.08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IFERROR(__xludf.DUMMYFUNCTION("""COMPUTED_VALUE"""),"Mikešová Adéla")</f>
        <v>Mikešová Adéla</v>
      </c>
      <c r="E94" s="6" t="str">
        <f>IFERROR(__xludf.DUMMYFUNCTION("""COMPUTED_VALUE"""),"Bolevec")</f>
        <v>Bolevec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IFERROR(__xludf.DUMMYFUNCTION("""COMPUTED_VALUE"""),214.08)</f>
        <v>214.08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 t="str">
        <f>IFERROR(__xludf.DUMMYFUNCTION("""COMPUTED_VALUE"""),"Chyský David")</f>
        <v>Chyský David</v>
      </c>
      <c r="E95" s="6" t="str">
        <f>IFERROR(__xludf.DUMMYFUNCTION("""COMPUTED_VALUE"""),"Chodov")</f>
        <v>Chodov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IFERROR(__xludf.DUMMYFUNCTION("""COMPUTED_VALUE"""),231.474)</f>
        <v>231.474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Kalina Filip</v>
      </c>
      <c r="C96" s="6" t="b">
        <f>IFERROR(__xludf.DUMMYFUNCTION("""COMPUTED_VALUE"""),FALSE)</f>
        <v>0</v>
      </c>
      <c r="D96" s="6" t="str">
        <f>IFERROR(__xludf.DUMMYFUNCTION("""COMPUTED_VALUE"""),"Kalina Filip")</f>
        <v>Kalina Filip</v>
      </c>
      <c r="E96" s="6" t="str">
        <f>IFERROR(__xludf.DUMMYFUNCTION("""COMPUTED_VALUE"""),"Malešice")</f>
        <v>Malešice</v>
      </c>
      <c r="F96" s="6" t="str">
        <f>IFERROR(__xludf.DUMMYFUNCTION("""COMPUTED_VALUE"""),"Libuš")</f>
        <v>Libuš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IFERROR(__xludf.DUMMYFUNCTION("""COMPUTED_VALUE"""),231.474)</f>
        <v>231.474</v>
      </c>
      <c r="W96" s="192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/>
      </c>
      <c r="C97" s="6" t="b">
        <f>IFERROR(__xludf.DUMMYFUNCTION("""COMPUTED_VALUE"""),FALSE)</f>
        <v>0</v>
      </c>
      <c r="D97" s="6" t="str">
        <f>IFERROR(__xludf.DUMMYFUNCTION("""COMPUTED_VALUE"""),"Kaločai Rudolf")</f>
        <v>Kaločai Rudolf</v>
      </c>
      <c r="E97" s="6" t="str">
        <f>IFERROR(__xludf.DUMMYFUNCTION("""COMPUTED_VALUE"""),"Bolevec")</f>
        <v>Bolevec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IFERROR(__xludf.DUMMYFUNCTION("""COMPUTED_VALUE"""),140.0)</f>
        <v>140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Dušek Sam</v>
      </c>
      <c r="C98" s="6" t="b">
        <f>IFERROR(__xludf.DUMMYFUNCTION("""COMPUTED_VALUE"""),FALSE)</f>
        <v>0</v>
      </c>
      <c r="D98" s="6" t="str">
        <f>IFERROR(__xludf.DUMMYFUNCTION("""COMPUTED_VALUE"""),"Dušek Sam")</f>
        <v>Dušek Sam</v>
      </c>
      <c r="E98" s="6" t="str">
        <f>IFERROR(__xludf.DUMMYFUNCTION("""COMPUTED_VALUE"""),"Libuš")</f>
        <v>Libuš</v>
      </c>
      <c r="F98" s="6" t="str">
        <f>IFERROR(__xludf.DUMMYFUNCTION("""COMPUTED_VALUE"""),"Malešice")</f>
        <v>Malešice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IFERROR(__xludf.DUMMYFUNCTION("""COMPUTED_VALUE"""),250.20600000000002)</f>
        <v>250.206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IFERROR(__xludf.DUMMYFUNCTION("""COMPUTED_VALUE"""),"Banga Adam")</f>
        <v>Banga Adam</v>
      </c>
      <c r="E99" s="6" t="str">
        <f>IFERROR(__xludf.DUMMYFUNCTION("""COMPUTED_VALUE"""),"Zličín")</f>
        <v>Zličín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IFERROR(__xludf.DUMMYFUNCTION("""COMPUTED_VALUE"""),231.474)</f>
        <v>231.474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IFERROR(__xludf.DUMMYFUNCTION("""COMPUTED_VALUE"""),"Vopatová Anna")</f>
        <v>Vopatová Anna</v>
      </c>
      <c r="E100" s="6" t="str">
        <f>IFERROR(__xludf.DUMMYFUNCTION("""COMPUTED_VALUE"""),"Bolevec")</f>
        <v>Bolevec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IFERROR(__xludf.DUMMYFUNCTION("""COMPUTED_VALUE"""),214.08)</f>
        <v>214.08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IFERROR(__xludf.DUMMYFUNCTION("""COMPUTED_VALUE"""),"Vopatová Šárka")</f>
        <v>Vopatová Šárka</v>
      </c>
      <c r="E101" s="6" t="str">
        <f>IFERROR(__xludf.DUMMYFUNCTION("""COMPUTED_VALUE"""),"Bolevec")</f>
        <v>Bolevec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IFERROR(__xludf.DUMMYFUNCTION("""COMPUTED_VALUE"""),214.08)</f>
        <v>214.08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 t="str">
        <f>IFERROR(__xludf.DUMMYFUNCTION("""COMPUTED_VALUE"""),"Richterová Monika")</f>
        <v>Richterová Monika</v>
      </c>
      <c r="E102" s="6" t="str">
        <f>IFERROR(__xludf.DUMMYFUNCTION("""COMPUTED_VALUE"""),"Malešice")</f>
        <v>Malešice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IFERROR(__xludf.DUMMYFUNCTION("""COMPUTED_VALUE"""),214.08)</f>
        <v>214.08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>Serin David</v>
      </c>
      <c r="C103" s="6" t="b">
        <f>IFERROR(__xludf.DUMMYFUNCTION("""COMPUTED_VALUE"""),FALSE)</f>
        <v>0</v>
      </c>
      <c r="D103" s="6" t="str">
        <f>IFERROR(__xludf.DUMMYFUNCTION("""COMPUTED_VALUE"""),"Serin David")</f>
        <v>Serin David</v>
      </c>
      <c r="E103" s="6" t="str">
        <f>IFERROR(__xludf.DUMMYFUNCTION("""COMPUTED_VALUE"""),"Libuš")</f>
        <v>Libuš</v>
      </c>
      <c r="F103" s="6" t="str">
        <f>IFERROR(__xludf.DUMMYFUNCTION("""COMPUTED_VALUE"""),"Malešice")</f>
        <v>Malešice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IFERROR(__xludf.DUMMYFUNCTION("""COMPUTED_VALUE"""),250.20600000000002)</f>
        <v>250.206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IFERROR(__xludf.DUMMYFUNCTION("""COMPUTED_VALUE"""),"Fabera Tomáš")</f>
        <v>Fabera Tomáš</v>
      </c>
      <c r="E104" s="6" t="str">
        <f>IFERROR(__xludf.DUMMYFUNCTION("""COMPUTED_VALUE"""),"Chodov")</f>
        <v>Chodov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/>
      </c>
      <c r="C105" s="6" t="b">
        <f>IFERROR(__xludf.DUMMYFUNCTION("""COMPUTED_VALUE"""),FALSE)</f>
        <v>0</v>
      </c>
      <c r="D105" s="6" t="str">
        <f>IFERROR(__xludf.DUMMYFUNCTION("""COMPUTED_VALUE"""),"Hendrych Rostislav")</f>
        <v>Hendrych Rostislav</v>
      </c>
      <c r="E105" s="6" t="str">
        <f>IFERROR(__xludf.DUMMYFUNCTION("""COMPUTED_VALUE"""),"Malešice")</f>
        <v>Malešice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IFERROR(__xludf.DUMMYFUNCTION("""COMPUTED_VALUE"""),250.20600000000002)</f>
        <v>250.206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 t="str">
        <f>IFERROR(__xludf.DUMMYFUNCTION("""COMPUTED_VALUE"""),"Světlík František")</f>
        <v>Světlík František</v>
      </c>
      <c r="E106" s="6" t="str">
        <f>IFERROR(__xludf.DUMMYFUNCTION("""COMPUTED_VALUE"""),"Bolevec")</f>
        <v>Bolevec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IFERROR(__xludf.DUMMYFUNCTION("""COMPUTED_VALUE"""),214.08)</f>
        <v>214.08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IFERROR(__xludf.DUMMYFUNCTION("""COMPUTED_VALUE"""),"Ženíšek Lukáš")</f>
        <v>Ženíšek Lukáš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IFERROR(__xludf.DUMMYFUNCTION("""COMPUTED_VALUE"""),214.08)</f>
        <v>214.08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/>
      </c>
      <c r="C108" s="6" t="b">
        <f>IFERROR(__xludf.DUMMYFUNCTION("""COMPUTED_VALUE"""),FALSE)</f>
        <v>0</v>
      </c>
      <c r="D108" s="6" t="str">
        <f>IFERROR(__xludf.DUMMYFUNCTION("""COMPUTED_VALUE"""),"Roth Stanislav st.")</f>
        <v>Roth Stanislav st.</v>
      </c>
      <c r="E108" s="6" t="str">
        <f>IFERROR(__xludf.DUMMYFUNCTION("""COMPUTED_VALUE"""),"Bolevec")</f>
        <v>Bolevec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IFERROR(__xludf.DUMMYFUNCTION("""COMPUTED_VALUE"""),49506.0)</f>
        <v>49506</v>
      </c>
      <c r="W108" s="192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IFERROR(__xludf.DUMMYFUNCTION("""COMPUTED_VALUE"""),"Vaníková Anna")</f>
        <v>Vaníková Anna</v>
      </c>
      <c r="E109" s="6" t="str">
        <f>IFERROR(__xludf.DUMMYFUNCTION("""COMPUTED_VALUE"""),"Zličín")</f>
        <v>Zličín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IFERROR(__xludf.DUMMYFUNCTION("""COMPUTED_VALUE"""),250.20600000000002)</f>
        <v>250.206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Břicháč Pavel</v>
      </c>
      <c r="C110" s="6" t="b">
        <f>IFERROR(__xludf.DUMMYFUNCTION("""COMPUTED_VALUE"""),FALSE)</f>
        <v>0</v>
      </c>
      <c r="D110" s="6" t="str">
        <f>IFERROR(__xludf.DUMMYFUNCTION("""COMPUTED_VALUE"""),"Břicháč Pavel")</f>
        <v>Břicháč Pavel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IFERROR(__xludf.DUMMYFUNCTION("""COMPUTED_VALUE"""),231.474)</f>
        <v>231.474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IFERROR(__xludf.DUMMYFUNCTION("""COMPUTED_VALUE"""),"Čerešňák Michal")</f>
        <v>Čerešňák Michal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IFERROR(__xludf.DUMMYFUNCTION("""COMPUTED_VALUE"""),170.0)</f>
        <v>170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>Weindling Josef</v>
      </c>
      <c r="C112" s="6" t="b">
        <f>IFERROR(__xludf.DUMMYFUNCTION("""COMPUTED_VALUE"""),FALSE)</f>
        <v>0</v>
      </c>
      <c r="D112" s="6" t="str">
        <f>IFERROR(__xludf.DUMMYFUNCTION("""COMPUTED_VALUE"""),"Weindling Josef")</f>
        <v>Weindling Josef</v>
      </c>
      <c r="E112" s="6" t="str">
        <f>IFERROR(__xludf.DUMMYFUNCTION("""COMPUTED_VALUE"""),"Libuš")</f>
        <v>Libuš</v>
      </c>
      <c r="F112" s="6" t="str">
        <f>IFERROR(__xludf.DUMMYFUNCTION("""COMPUTED_VALUE"""),"Malešice")</f>
        <v>Malešice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IFERROR(__xludf.DUMMYFUNCTION("""COMPUTED_VALUE"""),231.474)</f>
        <v>231.474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IFERROR(__xludf.DUMMYFUNCTION("""COMPUTED_VALUE"""),"Fux Vojtěch")</f>
        <v>Fux Vojtěch</v>
      </c>
      <c r="E113" s="6" t="str">
        <f>IFERROR(__xludf.DUMMYFUNCTION("""COMPUTED_VALUE"""),"Chodov")</f>
        <v>Chodov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IFERROR(__xludf.DUMMYFUNCTION("""COMPUTED_VALUE"""),200.0)</f>
        <v>200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>Kumar Jatinder</v>
      </c>
      <c r="C114" s="6" t="b">
        <f>IFERROR(__xludf.DUMMYFUNCTION("""COMPUTED_VALUE"""),FALSE)</f>
        <v>0</v>
      </c>
      <c r="D114" s="6" t="str">
        <f>IFERROR(__xludf.DUMMYFUNCTION("""COMPUTED_VALUE"""),"Kumar Jatinder")</f>
        <v>Kumar Jatinder</v>
      </c>
      <c r="E114" s="6" t="str">
        <f>IFERROR(__xludf.DUMMYFUNCTION("""COMPUTED_VALUE"""),"Libuš")</f>
        <v>Libuš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IFERROR(__xludf.DUMMYFUNCTION("""COMPUTED_VALUE"""),231.474)</f>
        <v>231.474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/>
      </c>
      <c r="C115" s="6" t="b">
        <f>IFERROR(__xludf.DUMMYFUNCTION("""COMPUTED_VALUE"""),FALSE)</f>
        <v>0</v>
      </c>
      <c r="D115" s="6" t="str">
        <f>IFERROR(__xludf.DUMMYFUNCTION("""COMPUTED_VALUE"""),"Stehlíková Magdaléna")</f>
        <v>Stehlíková Magdaléna</v>
      </c>
      <c r="E115" s="6" t="str">
        <f>IFERROR(__xludf.DUMMYFUNCTION("""COMPUTED_VALUE"""),"Bolevec")</f>
        <v>Bolevec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IFERROR(__xludf.DUMMYFUNCTION("""COMPUTED_VALUE"""),214.08)</f>
        <v>214.08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IFERROR(__xludf.DUMMYFUNCTION("""COMPUTED_VALUE"""),"Dragoun Alfréd")</f>
        <v>Dragoun Alfréd</v>
      </c>
      <c r="E116" s="6" t="str">
        <f>IFERROR(__xludf.DUMMYFUNCTION("""COMPUTED_VALUE"""),"Zličín")</f>
        <v>Zličín</v>
      </c>
      <c r="F116" s="6" t="str">
        <f>IFERROR(__xludf.DUMMYFUNCTION("""COMPUTED_VALUE"""),"Malešice")</f>
        <v>Malešice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IFERROR(__xludf.DUMMYFUNCTION("""COMPUTED_VALUE"""),250.20600000000002)</f>
        <v>250.206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IFERROR(__xludf.DUMMYFUNCTION("""COMPUTED_VALUE"""),0.0)</f>
        <v>0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IFERROR(__xludf.DUMMYFUNCTION("""COMPUTED_VALUE"""),0.0)</f>
        <v>0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IFERROR(__xludf.DUMMYFUNCTION("""COMPUTED_VALUE"""),0.0)</f>
        <v>0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IFERROR(__xludf.DUMMYFUNCTION("""COMPUTED_VALUE"""),0.0)</f>
        <v>0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IFERROR(__xludf.DUMMYFUNCTION("""COMPUTED_VALUE"""),0.0)</f>
        <v>0</v>
      </c>
      <c r="W122" s="192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IFERROR(__xludf.DUMMYFUNCTION("""COMPUTED_VALUE"""),0.0)</f>
        <v>0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/>
      </c>
      <c r="C126" s="6" t="b">
        <f>IFERROR(__xludf.DUMMYFUNCTION("""COMPUTED_VALUE"""),FALSE)</f>
        <v>0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IFERROR(__xludf.DUMMYFUNCTION("""COMPUTED_VALUE"""),0.0)</f>
        <v>0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IFERROR(__xludf.DUMMYFUNCTION("""COMPUTED_VALUE"""),0.0)</f>
        <v>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IFERROR(__xludf.DUMMYFUNCTION("""COMPUTED_VALUE"""),0.0)</f>
        <v>0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IFERROR(__xludf.DUMMYFUNCTION("""COMPUTED_VALUE"""),0.0)</f>
        <v>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 t="str">
        <f>IFERROR(__xludf.DUMMYFUNCTION("""COMPUTED_VALUE"""),"Chodov")</f>
        <v>Chodov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IFERROR(__xludf.DUMMYFUNCTION("""COMPUTED_VALUE"""),0.0)</f>
        <v>0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1611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1612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1613</v>
      </c>
      <c r="C3" s="1" t="s">
        <v>1614</v>
      </c>
      <c r="D3" s="188"/>
      <c r="E3" s="188"/>
      <c r="F3" s="1" t="s">
        <v>1615</v>
      </c>
      <c r="G3" s="1" t="s">
        <v>1616</v>
      </c>
      <c r="H3" s="1" t="s">
        <v>1617</v>
      </c>
    </row>
    <row r="4">
      <c r="A4" s="1" t="s">
        <v>1565</v>
      </c>
      <c r="B4" s="1" t="s">
        <v>1614</v>
      </c>
      <c r="C4" s="188"/>
      <c r="D4" s="188"/>
      <c r="E4" s="1" t="s">
        <v>1614</v>
      </c>
      <c r="F4" s="1" t="s">
        <v>1616</v>
      </c>
      <c r="G4" s="1" t="s">
        <v>1613</v>
      </c>
      <c r="H4" s="1" t="s">
        <v>1613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1602</v>
      </c>
      <c r="B5" s="1" t="s">
        <v>1618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1619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1590</v>
      </c>
      <c r="B7" s="188"/>
      <c r="C7" s="1" t="s">
        <v>1613</v>
      </c>
      <c r="D7" s="1" t="s">
        <v>1613</v>
      </c>
      <c r="E7" s="1" t="s">
        <v>1613</v>
      </c>
      <c r="F7" s="188"/>
      <c r="G7" s="188"/>
      <c r="H7" s="1" t="s">
        <v>1617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1620</v>
      </c>
      <c r="B8" s="188"/>
      <c r="C8" s="1" t="s">
        <v>1618</v>
      </c>
      <c r="D8" s="188"/>
      <c r="E8" s="188"/>
      <c r="F8" s="1" t="s">
        <v>1621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1570</v>
      </c>
      <c r="B9" s="188"/>
      <c r="C9" s="1" t="s">
        <v>1622</v>
      </c>
      <c r="D9" s="1" t="s">
        <v>1623</v>
      </c>
      <c r="E9" s="1" t="s">
        <v>1622</v>
      </c>
      <c r="F9" s="188"/>
      <c r="G9" s="1" t="s">
        <v>1624</v>
      </c>
      <c r="H9" s="1" t="s">
        <v>1622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1614</v>
      </c>
      <c r="E10" s="188"/>
      <c r="F10" s="188"/>
      <c r="G10" s="1" t="s">
        <v>1616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1587</v>
      </c>
      <c r="B11" s="188"/>
      <c r="C11" s="188"/>
      <c r="D11" s="1" t="s">
        <v>1625</v>
      </c>
      <c r="E11" s="1" t="s">
        <v>1626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1571</v>
      </c>
      <c r="B12" s="188"/>
      <c r="D12" s="188"/>
      <c r="E12" s="188"/>
      <c r="F12" s="1" t="s">
        <v>1627</v>
      </c>
      <c r="G12" s="1" t="s">
        <v>1628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