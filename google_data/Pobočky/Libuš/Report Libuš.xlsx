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<sst xmlns="http://schemas.openxmlformats.org/spreadsheetml/2006/main" count="5519" uniqueCount="1625">
  <si>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</si>
  <si>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</si>
  <si>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</si>
  <si>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</si>
  <si>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</si>
  <si>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</si>
  <si>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</si>
  <si>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</si>
  <si>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</si>
  <si>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</si>
  <si>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</si>
  <si>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</si>
  <si>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</si>
  <si>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</si>
  <si>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</si>
  <si>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</si>
  <si>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</si>
  <si>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</si>
  <si>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</si>
  <si>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</si>
  <si>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</si>
  <si>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</si>
  <si>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</si>
  <si>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</si>
  <si>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</si>
  <si>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</si>
  <si>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</si>
  <si>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</si>
  <si>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</si>
  <si>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</si>
  <si>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</si>
  <si>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</si>
  <si>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</si>
  <si>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</si>
  <si>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</si>
  <si>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</si>
  <si>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</si>
  <si>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</si>
  <si>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</si>
  <si>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</si>
  <si>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</si>
  <si>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</si>
  <si>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</si>
  <si>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</si>
  <si>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</si>
  <si>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</si>
  <si>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</si>
  <si>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</si>
  <si>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</si>
  <si>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</si>
  <si>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</si>
  <si>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</si>
  <si>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</si>
  <si>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</si>
  <si>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</si>
  <si>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</si>
  <si>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</si>
  <si>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</si>
  <si>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</si>
  <si>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</si>
  <si>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</si>
  <si>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</si>
  <si>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</si>
  <si>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</si>
  <si>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</si>
  <si>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</si>
  <si>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</si>
  <si>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</si>
  <si>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</si>
  <si>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</si>
  <si>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</si>
  <si>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</si>
  <si>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</si>
  <si>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</si>
  <si>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</si>
  <si>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</si>
  <si>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</si>
  <si>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</si>
  <si>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</si>
  <si>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</si>
  <si>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</si>
  <si>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</si>
  <si>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</si>
  <si>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</si>
  <si>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</si>
  <si>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</si>
  <si>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</si>
  <si>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</si>
  <si>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</si>
  <si>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</si>
  <si>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</si>
  <si>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</si>
  <si>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</si>
  <si>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</si>
  <si>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</si>
  <si>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</si>
  <si>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</si>
  <si>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</si>
  <si>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</si>
  <si>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</si>
  <si>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</si>
  <si>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</si>
  <si>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</si>
  <si>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</si>
  <si>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</si>
  <si>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</si>
  <si>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</si>
  <si>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</si>
  <si>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</si>
  <si>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</si>
  <si>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</si>
  <si>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</si>
  <si>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</si>
  <si>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</si>
  <si>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</si>
  <si>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</si>
  <si>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</si>
  <si>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</si>
  <si>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</si>
  <si>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</si>
  <si>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</si>
  <si>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</si>
  <si>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</si>
  <si>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</si>
  <si>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</si>
  <si>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</si>
  <si>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</si>
  <si>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</si>
  <si>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</si>
  <si>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</si>
  <si>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</si>
  <si>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</si>
  <si>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</si>
  <si>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</si>
  <si>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</si>
  <si>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</si>
  <si>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</si>
  <si>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</si>
  <si>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</si>
  <si>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</si>
  <si>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</si>
  <si>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</si>
  <si>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</si>
  <si>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</si>
  <si>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</si>
  <si>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</si>
  <si>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</si>
  <si>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</si>
  <si>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</si>
  <si>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</si>
  <si>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</si>
  <si>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</si>
  <si>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</si>
  <si>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</si>
  <si>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</si>
  <si>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</si>
  <si>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</si>
  <si>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</si>
  <si>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</si>
  <si>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</si>
  <si>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</si>
  <si>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</si>
  <si>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</si>
  <si>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</si>
  <si>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</si>
  <si>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</si>
  <si>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</si>
  <si>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</si>
  <si>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</si>
  <si>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</si>
  <si>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</si>
  <si>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</si>
  <si>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</si>
  <si>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</si>
  <si>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</si>
  <si>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</si>
  <si>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</si>
  <si>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</si>
  <si>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</si>
  <si>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</si>
  <si>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</si>
  <si>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</si>
  <si>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</si>
  <si>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</si>
  <si>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</si>
  <si>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</si>
  <si>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</si>
  <si>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</si>
  <si>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</si>
  <si>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</si>
  <si>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</si>
  <si>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</si>
  <si>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</si>
  <si>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</si>
  <si>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</si>
  <si>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</si>
  <si>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</si>
  <si>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</si>
  <si>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</si>
  <si>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</si>
  <si>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</si>
  <si>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</si>
  <si>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</si>
  <si>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</si>
  <si>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</si>
  <si>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</si>
  <si>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</si>
  <si>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</si>
  <si>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</si>
  <si>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</si>
  <si>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</si>
  <si>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</si>
  <si>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</si>
  <si>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</si>
  <si>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</si>
  <si>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</si>
  <si>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</si>
  <si>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</si>
  <si>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</si>
  <si>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</si>
  <si>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</si>
  <si>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</si>
  <si>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</si>
  <si>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</si>
  <si>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</si>
  <si>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</si>
  <si>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</si>
  <si>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</si>
  <si>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</si>
  <si>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</si>
  <si>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</si>
  <si>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</si>
  <si>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</si>
  <si>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</si>
  <si>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</si>
  <si>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</si>
  <si>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</si>
  <si>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</si>
  <si>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</si>
  <si>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</si>
  <si>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</si>
  <si>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</si>
  <si>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</si>
  <si>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</si>
  <si>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</si>
  <si>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</si>
  <si>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</si>
  <si>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</si>
  <si>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</si>
  <si>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</si>
  <si>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</si>
  <si>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</si>
  <si>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</si>
  <si>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</si>
  <si>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</si>
  <si>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</si>
  <si>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</si>
  <si>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</si>
  <si>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</si>
  <si>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</si>
  <si>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</si>
  <si>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</si>
  <si>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</si>
  <si>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</si>
  <si>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</si>
  <si>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</si>
  <si>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</si>
  <si>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</si>
  <si>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</si>
  <si>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</si>
  <si>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</si>
  <si>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</si>
  <si>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</si>
  <si>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</si>
  <si>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</si>
  <si>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</si>
  <si>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</si>
  <si>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</si>
  <si>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</si>
  <si>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</si>
  <si>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</si>
  <si>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</si>
  <si>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</si>
  <si>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</si>
  <si>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</si>
  <si>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</si>
  <si>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</si>
  <si>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</si>
  <si>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</si>
  <si>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</si>
  <si>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</si>
  <si>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</si>
  <si>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</si>
  <si>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</si>
  <si>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</si>
  <si>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</si>
  <si>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</si>
  <si>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</si>
  <si>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</si>
  <si>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</si>
  <si>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</si>
  <si>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</si>
  <si>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</si>
  <si>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</si>
  <si>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</si>
  <si>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</si>
  <si>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</si>
  <si>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</si>
  <si>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</si>
  <si>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</si>
  <si>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</si>
  <si>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</si>
  <si>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</si>
  <si>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</si>
  <si>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</si>
  <si>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</si>
  <si>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</si>
  <si>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</si>
  <si>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</si>
  <si>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</si>
  <si>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</si>
  <si>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</si>
  <si>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</si>
  <si>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</si>
  <si>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</si>
  <si>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</si>
  <si>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</si>
  <si>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</si>
  <si>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</si>
  <si>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</si>
  <si>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</si>
  <si>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</si>
  <si>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</si>
  <si>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</si>
  <si>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</si>
  <si>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</si>
  <si>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</si>
  <si>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</si>
  <si>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</si>
  <si>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</si>
  <si>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</si>
  <si>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</si>
  <si>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</si>
  <si>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</si>
  <si>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</si>
  <si>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</si>
  <si>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</si>
  <si>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</si>
  <si>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</si>
  <si>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</si>
  <si>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</si>
  <si>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</si>
  <si>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</si>
  <si>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</si>
  <si>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</si>
  <si>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</si>
  <si>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</si>
  <si>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</si>
  <si>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</si>
  <si>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</si>
  <si>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</si>
  <si>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</si>
  <si>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</si>
  <si>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</si>
  <si>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</si>
  <si>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</si>
  <si>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</si>
  <si>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</si>
  <si>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</si>
  <si>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</si>
  <si>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</si>
  <si>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</si>
  <si>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</si>
  <si>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</si>
  <si>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</si>
  <si>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</si>
  <si>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</si>
  <si>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</si>
  <si>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</si>
  <si>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</si>
  <si>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</si>
  <si>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</si>
  <si>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</si>
  <si>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</si>
  <si>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</si>
  <si>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</si>
  <si>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</si>
  <si>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</si>
  <si>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</si>
  <si>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</si>
  <si>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</si>
  <si>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</si>
  <si>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</si>
  <si>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</si>
  <si>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</si>
  <si>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</si>
  <si>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</si>
  <si>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</si>
  <si>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</si>
  <si>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</si>
  <si>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</si>
  <si>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</si>
  <si>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</si>
  <si>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</si>
  <si>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</si>
  <si>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</si>
  <si>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</si>
  <si>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</si>
  <si>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</si>
  <si>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</si>
  <si>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</si>
  <si>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</si>
  <si>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</si>
  <si>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</si>
  <si>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</si>
  <si>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</si>
  <si>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</si>
  <si>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</si>
  <si>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</si>
  <si>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</si>
  <si>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</si>
  <si>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</si>
  <si>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</si>
  <si>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</si>
  <si>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</si>
  <si>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</si>
  <si>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</si>
  <si>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</si>
  <si>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</si>
  <si>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</si>
  <si>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</si>
  <si>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</si>
  <si>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</si>
  <si>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</si>
  <si>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</si>
  <si>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</si>
  <si>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</si>
  <si>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</si>
  <si>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</si>
  <si>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</si>
  <si>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</si>
  <si>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</si>
  <si>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</si>
  <si>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</si>
  <si>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</si>
  <si>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</si>
  <si>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</si>
  <si>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</si>
  <si>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</si>
  <si>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</si>
  <si>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</si>
  <si>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</si>
  <si>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</si>
  <si>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</si>
  <si>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</si>
  <si>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</si>
  <si>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</si>
  <si>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</si>
  <si>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</si>
  <si>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</si>
  <si>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</si>
  <si>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</si>
  <si>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</si>
  <si>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</si>
  <si>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</si>
  <si>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</si>
  <si>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</si>
  <si>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</si>
  <si>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</si>
  <si>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</si>
  <si>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</si>
  <si>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</si>
  <si>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</si>
  <si>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</si>
  <si>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</si>
  <si>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</si>
  <si>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</si>
  <si>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</si>
  <si>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</si>
  <si>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</si>
  <si>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</si>
  <si>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</si>
  <si>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</si>
  <si>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</si>
  <si>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</si>
  <si>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</si>
  <si>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</si>
  <si>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</si>
  <si>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</si>
  <si>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</si>
  <si>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</si>
  <si>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</si>
  <si>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</si>
  <si>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</si>
  <si>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</si>
  <si>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</si>
  <si>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</si>
  <si>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</si>
  <si>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</si>
  <si>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</si>
  <si>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</si>
  <si>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</si>
  <si>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</si>
  <si>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</si>
  <si>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</si>
  <si>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</si>
  <si>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</si>
  <si>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</si>
  <si>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</si>
  <si>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</si>
  <si>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</si>
  <si>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</si>
  <si>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</si>
  <si>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</si>
  <si>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</si>
  <si>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</si>
  <si>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</si>
  <si>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</si>
  <si>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</si>
  <si>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</si>
  <si>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</si>
  <si>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</si>
  <si>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</si>
  <si>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</si>
  <si>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</si>
  <si>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</si>
  <si>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</si>
  <si>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</si>
  <si>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</si>
  <si>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</si>
  <si>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</si>
  <si>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</si>
  <si>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</si>
  <si>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</si>
  <si>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</si>
  <si>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</si>
  <si>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</si>
  <si>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</si>
  <si>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</si>
  <si>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</si>
  <si>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</si>
  <si>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</si>
  <si>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</si>
  <si>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</si>
  <si>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</si>
  <si>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</si>
  <si>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</si>
  <si>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</si>
  <si>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</si>
  <si>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</si>
  <si>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</si>
  <si>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</si>
  <si>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</si>
  <si>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</si>
  <si>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</si>
  <si>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</si>
  <si>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</si>
  <si>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</si>
  <si>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</si>
  <si>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</si>
  <si>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</si>
  <si>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</si>
  <si>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</si>
  <si>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</si>
  <si>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</si>
  <si>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</si>
  <si>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</si>
  <si>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</si>
  <si>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</si>
  <si>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</si>
  <si>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</si>
  <si>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</si>
  <si>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</si>
  <si>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</si>
  <si>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</si>
  <si>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</si>
  <si>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</si>
  <si>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</si>
  <si>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</si>
  <si>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</si>
  <si>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</si>
  <si>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</si>
  <si>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</si>
  <si>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</si>
  <si>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</si>
  <si>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</si>
  <si>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</si>
  <si>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</si>
  <si>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</si>
  <si>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</si>
  <si>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</si>
  <si>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</si>
  <si>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</si>
  <si>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</si>
  <si>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</si>
  <si>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</si>
  <si>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</si>
  <si>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</si>
  <si>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</si>
  <si>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</si>
  <si>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</si>
  <si>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</si>
  <si>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</si>
  <si>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</si>
  <si>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</si>
  <si>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</si>
  <si>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</si>
  <si>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</si>
  <si>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</si>
  <si>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</si>
  <si>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</si>
  <si>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</si>
  <si>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</si>
  <si>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</si>
  <si>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</si>
  <si>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</si>
  <si>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</si>
  <si>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</si>
  <si>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</si>
  <si>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</si>
  <si>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</si>
  <si>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</si>
  <si>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</si>
  <si>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</si>
  <si>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</si>
  <si>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</si>
  <si>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</si>
  <si>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</si>
  <si>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</si>
  <si>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</si>
  <si>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</si>
  <si>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</si>
  <si>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</si>
  <si>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</si>
  <si>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</si>
  <si>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</si>
  <si>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</si>
  <si>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</si>
  <si>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</si>
  <si>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</si>
  <si>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</si>
  <si>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</si>
  <si>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</si>
  <si>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</si>
  <si>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</si>
  <si>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</si>
  <si>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</si>
  <si>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</si>
  <si>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</si>
  <si>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</si>
  <si>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</si>
  <si>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</si>
  <si>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</si>
  <si>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</si>
  <si>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</si>
  <si>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</si>
  <si>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</si>
  <si>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</si>
  <si>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</si>
  <si>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</si>
  <si>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</si>
  <si>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</si>
  <si>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</si>
  <si>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</si>
  <si>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</si>
  <si>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</si>
  <si>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</si>
  <si>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</si>
  <si>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</si>
  <si>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</si>
  <si>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</si>
  <si>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</si>
  <si>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</si>
  <si>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</si>
  <si>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</si>
  <si>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</si>
  <si>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</si>
  <si>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</si>
  <si>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</si>
  <si>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</si>
  <si>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</si>
  <si>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</si>
  <si>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</si>
  <si>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</si>
  <si>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</si>
  <si>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</si>
  <si>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</si>
  <si>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</si>
  <si>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</si>
  <si>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</si>
  <si>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</si>
  <si>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</si>
  <si>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</si>
  <si>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</si>
  <si>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</si>
  <si>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</si>
  <si>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</si>
  <si>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</si>
  <si>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</si>
  <si>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</si>
  <si>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</si>
  <si>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</si>
  <si>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</si>
  <si>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</si>
  <si>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</si>
  <si>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</si>
  <si>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</si>
  <si>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</si>
  <si>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</si>
  <si>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</si>
  <si>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</si>
  <si>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</si>
  <si>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</si>
  <si>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</si>
  <si>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</si>
  <si>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</si>
  <si>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</si>
  <si>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</si>
  <si>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</si>
  <si>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</si>
  <si>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</si>
  <si>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</si>
  <si>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</si>
  <si>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</si>
  <si>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</si>
  <si>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</si>
  <si>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</si>
  <si>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</si>
  <si>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</si>
  <si>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</si>
  <si>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</si>
  <si>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</si>
  <si>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</si>
  <si>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</si>
  <si>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</si>
  <si>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</si>
  <si>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</si>
  <si>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</si>
  <si>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</si>
  <si>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</si>
  <si>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</si>
  <si>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</si>
  <si>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</si>
  <si>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</si>
  <si>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</si>
  <si>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</si>
  <si>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</si>
  <si>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</si>
  <si>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</si>
  <si>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</si>
  <si>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</si>
  <si>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</si>
  <si>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</si>
  <si>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</si>
  <si>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</si>
  <si>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</si>
  <si>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</si>
  <si>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</si>
  <si>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</si>
  <si>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</si>
  <si>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</si>
  <si>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</si>
  <si>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</si>
  <si>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</si>
  <si>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</si>
  <si>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</si>
  <si>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</si>
  <si>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</si>
  <si>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</si>
  <si>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</si>
  <si>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</si>
  <si>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</si>
  <si>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</si>
  <si>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</si>
  <si>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</si>
  <si>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</si>
  <si>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</si>
  <si>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</si>
  <si>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</si>
  <si>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</si>
  <si>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</si>
  <si>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</si>
  <si>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</si>
  <si>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</si>
  <si>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</si>
  <si>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</si>
  <si>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</si>
  <si>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</si>
  <si>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</si>
  <si>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</si>
  <si>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</si>
  <si>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</si>
  <si>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</si>
  <si>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</si>
  <si>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</si>
  <si>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</si>
  <si>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</si>
  <si>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</si>
  <si>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</si>
  <si>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</si>
  <si>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</si>
  <si>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</si>
  <si>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</si>
  <si>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</si>
  <si>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</si>
  <si>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</si>
  <si>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</si>
  <si>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</si>
  <si>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</si>
  <si>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</si>
  <si>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</si>
  <si>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</si>
  <si>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</si>
  <si>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</si>
  <si>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</si>
  <si>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</si>
  <si>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</si>
  <si>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</si>
  <si>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</si>
  <si>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</si>
  <si>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</si>
  <si>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</si>
  <si>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</si>
  <si>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</si>
  <si>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</si>
  <si>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</si>
  <si>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</si>
  <si>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</si>
  <si>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</si>
  <si>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</si>
  <si>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</si>
  <si>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</si>
  <si>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</si>
  <si>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</si>
  <si>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</si>
  <si>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</si>
  <si>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</si>
  <si>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</si>
  <si>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</si>
  <si>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</si>
  <si>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</si>
  <si>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</si>
  <si>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</si>
  <si>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</si>
  <si>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</si>
  <si>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</si>
  <si>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</si>
  <si>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</si>
  <si>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</si>
  <si>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</si>
  <si>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</si>
  <si>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</si>
  <si>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</si>
  <si>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</si>
  <si>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</si>
  <si>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</si>
  <si>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</si>
  <si>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</si>
  <si>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</si>
  <si>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</si>
  <si>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</si>
  <si>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</si>
  <si>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</si>
  <si>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</si>
  <si>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</si>
  <si>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</si>
  <si>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</si>
  <si>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</si>
  <si>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</si>
  <si>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</si>
  <si>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</si>
  <si>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</si>
  <si>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</si>
  <si>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</si>
  <si>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</si>
  <si>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</si>
  <si>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</si>
  <si>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</si>
  <si>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</si>
  <si>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</si>
  <si>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</si>
  <si>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</si>
  <si>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</si>
  <si>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</si>
  <si>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</si>
  <si>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</si>
  <si>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</si>
  <si>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</si>
  <si>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</si>
  <si>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</si>
  <si>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</si>
  <si>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</si>
  <si>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</si>
  <si>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</si>
  <si>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</si>
  <si>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</si>
  <si>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</si>
  <si>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</si>
  <si>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</si>
  <si>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</si>
  <si>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</si>
  <si>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</si>
  <si>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</si>
  <si>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</si>
  <si>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</si>
  <si>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</si>
  <si>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</si>
  <si>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</si>
  <si>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</si>
  <si>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</si>
  <si>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</si>
  <si>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</si>
  <si>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</si>
  <si>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</si>
  <si>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</si>
  <si>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</si>
  <si>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</si>
  <si>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</si>
  <si>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</si>
  <si>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</si>
  <si>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</si>
  <si>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</si>
  <si>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</si>
  <si>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</si>
  <si>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</si>
  <si>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</si>
  <si>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</si>
  <si>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</si>
  <si>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</si>
  <si>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</si>
  <si>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</si>
  <si>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</si>
  <si>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</si>
  <si>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</si>
  <si>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</si>
  <si>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</si>
  <si>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</si>
  <si>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</si>
  <si>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</si>
  <si>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</si>
  <si>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</si>
  <si>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</si>
  <si>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</si>
  <si>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</si>
  <si>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</si>
  <si>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</si>
  <si>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</si>
  <si>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</si>
  <si>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</si>
  <si>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</si>
  <si>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</si>
  <si>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</si>
  <si>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</si>
  <si>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</si>
  <si>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</si>
  <si>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</si>
  <si>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</si>
  <si>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</si>
  <si>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</si>
  <si>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</si>
  <si>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</si>
  <si>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</si>
  <si>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</si>
  <si>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</si>
  <si>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</si>
  <si>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</si>
  <si>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</si>
  <si>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</si>
  <si>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</si>
  <si>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</si>
  <si>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</si>
  <si>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</si>
  <si>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</si>
  <si>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</si>
  <si>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</si>
  <si>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</si>
  <si>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</si>
  <si>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</si>
  <si>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</si>
  <si>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</si>
  <si>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</si>
  <si>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</si>
  <si>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</si>
  <si>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</si>
  <si>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</si>
  <si>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</si>
  <si>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</si>
  <si>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</si>
  <si>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</si>
  <si>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</si>
  <si>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</si>
  <si>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</si>
  <si>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</si>
  <si>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</si>
  <si>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</si>
  <si>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</si>
  <si>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</si>
  <si>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</si>
  <si>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</si>
  <si>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</si>
  <si>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</si>
  <si>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</si>
  <si>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</si>
  <si>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</si>
  <si>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</si>
  <si>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</si>
  <si>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</si>
  <si>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</si>
  <si>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</si>
  <si>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</si>
  <si>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</si>
  <si>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</si>
  <si>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</si>
  <si>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</si>
  <si>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</si>
  <si>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</si>
  <si>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</si>
  <si>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</si>
  <si>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</si>
  <si>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</si>
  <si>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</si>
  <si>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</si>
  <si>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</si>
  <si>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</si>
  <si>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</si>
  <si>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</si>
  <si>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</si>
  <si>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</si>
  <si>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</si>
  <si>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</si>
  <si>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</si>
  <si>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</si>
  <si>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</si>
  <si>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</si>
  <si>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</si>
  <si>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</si>
  <si>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</si>
  <si>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</si>
  <si>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</si>
  <si>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</si>
  <si>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</si>
  <si>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</si>
  <si>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</si>
  <si>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</si>
  <si>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</si>
  <si>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</si>
  <si>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</si>
  <si>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</si>
  <si>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</si>
  <si>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</si>
  <si>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</si>
  <si>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</si>
  <si>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</si>
  <si>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</si>
  <si>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</si>
  <si>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</si>
  <si>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</si>
  <si>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</si>
  <si>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</si>
  <si>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</si>
  <si>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</si>
  <si>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</si>
  <si>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</si>
  <si>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</si>
  <si>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</si>
  <si>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</si>
  <si>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</si>
  <si>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</si>
  <si>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</si>
  <si>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</si>
  <si>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</si>
  <si>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</si>
  <si>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</si>
  <si>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</si>
  <si>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</si>
  <si>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</si>
  <si>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</si>
  <si>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</si>
  <si>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</si>
  <si>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</si>
  <si>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</si>
  <si>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</si>
  <si>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</si>
  <si>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</si>
  <si>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</si>
  <si>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</si>
  <si>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</si>
  <si>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</si>
  <si>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</si>
  <si>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</si>
  <si>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</si>
  <si>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</si>
  <si>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</si>
  <si>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</si>
  <si>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</si>
  <si>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</si>
  <si>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</si>
  <si>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</si>
  <si>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</si>
  <si>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</si>
  <si>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</si>
  <si>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</si>
  <si>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</si>
  <si>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</si>
  <si>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</si>
  <si>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</si>
  <si>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</si>
  <si>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</si>
  <si>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</si>
  <si>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</si>
  <si>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</si>
  <si>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</si>
  <si>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</si>
  <si>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</si>
  <si>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</si>
  <si>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</si>
  <si>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</si>
  <si>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</si>
  <si>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</si>
  <si>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</si>
  <si>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</si>
  <si>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</si>
  <si>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</si>
  <si>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</si>
  <si>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</si>
  <si>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</si>
  <si>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</si>
  <si>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</si>
  <si>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</si>
  <si>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</si>
  <si>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</si>
  <si>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</si>
  <si>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</si>
  <si>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</si>
  <si>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</si>
  <si>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</si>
  <si>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</si>
  <si>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</si>
  <si>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</si>
  <si>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</si>
  <si>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</si>
  <si>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</si>
  <si>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</si>
  <si>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</si>
  <si>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</si>
  <si>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</si>
  <si>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</si>
  <si>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</si>
  <si>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</si>
  <si>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</si>
  <si>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</si>
  <si>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</si>
  <si>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</si>
  <si>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</si>
  <si>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</si>
  <si>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</si>
  <si>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</si>
  <si>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</si>
  <si>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</si>
  <si>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</si>
  <si>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</si>
  <si>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</si>
  <si>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</si>
  <si>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</si>
  <si>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</si>
  <si>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</si>
  <si>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</si>
  <si>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</si>
  <si>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</si>
  <si>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</si>
  <si>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</si>
  <si>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</si>
  <si>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</si>
  <si>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</si>
  <si>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</si>
  <si>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</si>
  <si>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</si>
  <si>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</si>
  <si>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</si>
  <si>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</si>
  <si>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</si>
  <si>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</si>
  <si>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</si>
  <si>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</si>
  <si>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</si>
  <si>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</si>
  <si>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</si>
  <si>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</si>
  <si>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</si>
  <si>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</si>
  <si>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</si>
  <si>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</si>
  <si>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</si>
  <si>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</si>
  <si>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</si>
  <si>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</si>
  <si>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</si>
  <si>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</si>
  <si>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</si>
  <si>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</si>
  <si>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</si>
  <si>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</si>
  <si>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</si>
  <si>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</si>
  <si>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</si>
  <si>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</si>
  <si>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</si>
  <si>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</si>
  <si>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</si>
  <si>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</si>
  <si>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</si>
  <si>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</si>
  <si>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</si>
  <si>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</si>
  <si>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</si>
  <si>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</si>
  <si>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</si>
  <si>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</si>
  <si>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</si>
  <si>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</si>
  <si>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</si>
  <si>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</si>
  <si>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</si>
  <si>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</si>
  <si>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</si>
  <si>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</si>
  <si>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</si>
  <si>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</si>
  <si>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</si>
  <si>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</si>
  <si>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</si>
  <si>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</si>
  <si>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</si>
  <si>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</si>
  <si>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</si>
  <si>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</si>
  <si>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</si>
  <si>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</si>
  <si>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</si>
  <si>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</si>
  <si>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</si>
  <si>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</si>
  <si>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</si>
  <si>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</si>
  <si>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</si>
  <si>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</si>
  <si>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</si>
  <si>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</si>
  <si>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</si>
  <si>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</si>
  <si>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</si>
  <si>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</si>
  <si>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</si>
  <si>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</si>
  <si>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</si>
  <si>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</si>
  <si>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</si>
  <si>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</si>
  <si>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</si>
  <si>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</si>
  <si>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</si>
  <si>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</si>
  <si>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</si>
  <si>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</si>
  <si>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</si>
  <si>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</si>
  <si>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</si>
  <si>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</si>
  <si>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</si>
  <si>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</si>
  <si>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</si>
  <si>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</si>
  <si>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</si>
  <si>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</si>
  <si>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</si>
  <si>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</si>
  <si>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</si>
  <si>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</si>
  <si>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</si>
  <si>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</si>
  <si>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</si>
  <si>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</si>
  <si>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</si>
  <si>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</si>
  <si>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</si>
  <si>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</si>
  <si>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</si>
  <si>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</si>
  <si>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</si>
  <si>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</si>
  <si>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</si>
  <si>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</si>
  <si>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</si>
  <si>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</si>
  <si>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</si>
  <si>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</si>
  <si>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</si>
  <si>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</si>
  <si>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</si>
  <si>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</si>
  <si>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</si>
  <si>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</si>
  <si>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</si>
  <si>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</si>
  <si>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</si>
  <si>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</si>
  <si>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</si>
  <si>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</si>
  <si>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</si>
  <si>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</si>
  <si>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</si>
  <si>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</si>
  <si>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</si>
  <si>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</si>
  <si>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</si>
  <si>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</si>
  <si>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</si>
  <si>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</si>
  <si>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</si>
  <si>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</si>
  <si>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</si>
  <si>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</si>
  <si>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</si>
  <si>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</si>
  <si>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</si>
  <si>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</si>
  <si>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</si>
  <si>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</si>
  <si>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</si>
  <si>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</si>
  <si>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</si>
  <si>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</si>
  <si>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</si>
  <si>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</si>
  <si>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</si>
  <si>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</si>
  <si>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</si>
  <si>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</si>
  <si>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</si>
  <si>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</si>
  <si>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</si>
  <si>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</si>
  <si>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</si>
  <si>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</si>
  <si>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</si>
  <si>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</si>
  <si>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</si>
  <si>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</si>
  <si>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</si>
  <si>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</si>
  <si>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</si>
  <si>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</si>
  <si>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</si>
  <si>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</si>
  <si>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</si>
  <si>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</si>
  <si>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</si>
  <si>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</si>
  <si>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</si>
  <si>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</si>
  <si>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</si>
  <si>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</si>
  <si>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</si>
  <si>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</si>
  <si>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</si>
  <si>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</si>
  <si>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</si>
  <si>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</si>
  <si>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</si>
  <si>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</si>
  <si>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</si>
  <si>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</si>
  <si>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</si>
  <si>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</si>
  <si>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</si>
  <si>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</si>
  <si>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</si>
  <si>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</si>
  <si>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</si>
  <si>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</si>
  <si>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</si>
  <si>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</si>
  <si>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</si>
  <si>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</si>
  <si>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</si>
  <si>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</si>
  <si>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</si>
  <si>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</si>
  <si>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</si>
  <si>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</si>
  <si>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</si>
  <si>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</si>
  <si>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</si>
  <si>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</si>
  <si>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</si>
  <si>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</si>
  <si>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</si>
  <si>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</si>
  <si>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</si>
  <si>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</si>
  <si>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</si>
  <si>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</si>
  <si>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</si>
  <si>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</si>
  <si>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</si>
  <si>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</si>
  <si>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</si>
  <si>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</si>
  <si>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</si>
  <si>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</si>
  <si>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</si>
  <si>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</si>
  <si>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</si>
  <si>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</si>
  <si>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</si>
  <si>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</si>
  <si>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</si>
  <si>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</si>
  <si>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</si>
  <si>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</si>
  <si>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</si>
  <si>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</si>
  <si>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</si>
  <si>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</si>
  <si>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</si>
  <si>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</si>
  <si>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</si>
  <si>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</si>
  <si>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</si>
  <si>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</si>
  <si>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</si>
  <si>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</si>
  <si>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</si>
  <si>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</si>
  <si>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</si>
  <si>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</si>
  <si>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</si>
  <si>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</si>
  <si>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</si>
  <si>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</si>
  <si>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</si>
  <si>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</si>
  <si>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</si>
  <si>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</si>
  <si>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</si>
  <si>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</si>
  <si>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</si>
  <si>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</si>
  <si>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</si>
  <si>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</si>
  <si>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</si>
  <si>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</si>
  <si>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</si>
  <si>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</si>
  <si>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</si>
  <si>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</si>
  <si>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</si>
  <si>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</si>
  <si>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</si>
  <si>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</si>
  <si>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</si>
  <si>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</si>
  <si>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</si>
  <si>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</si>
  <si>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</si>
  <si>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</si>
  <si>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</si>
  <si>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</si>
  <si>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</si>
  <si>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</si>
  <si>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</si>
  <si>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</si>
  <si>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</si>
  <si>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</si>
  <si>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</si>
  <si>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</si>
  <si>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</si>
  <si>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</si>
  <si>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</si>
  <si>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</si>
  <si>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</si>
  <si>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</si>
  <si>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</si>
  <si>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</si>
  <si>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</si>
  <si>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</si>
  <si>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</si>
  <si>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</si>
  <si>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</si>
  <si>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</si>
  <si>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</si>
  <si>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</si>
  <si>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</si>
  <si>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</si>
  <si>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</si>
  <si>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</si>
  <si>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</si>
  <si>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</si>
  <si>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</si>
  <si>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</si>
  <si>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</si>
  <si>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</si>
  <si>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</si>
  <si>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</si>
  <si>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</si>
  <si>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</si>
  <si>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</si>
  <si>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</si>
  <si>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</si>
  <si>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</si>
  <si>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</si>
  <si>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</si>
  <si>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</si>
  <si>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</si>
  <si>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</si>
  <si>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</si>
  <si>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</si>
  <si>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</si>
  <si>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</si>
  <si>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</si>
  <si>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</si>
  <si>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</si>
  <si>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</si>
  <si>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</si>
  <si>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</si>
  <si>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</si>
  <si>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</si>
  <si>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</si>
  <si>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</si>
  <si>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</si>
  <si>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</si>
  <si>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</si>
  <si>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</si>
  <si>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</si>
  <si>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</si>
  <si>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</si>
  <si>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</si>
  <si>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</si>
  <si>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</si>
  <si>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</si>
  <si>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</si>
  <si>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</si>
  <si>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</si>
  <si>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</si>
  <si>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</si>
  <si>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</si>
  <si>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</si>
  <si>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</si>
  <si>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</si>
  <si>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</si>
  <si>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</si>
  <si>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</si>
  <si>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</si>
  <si>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</si>
  <si>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</si>
  <si>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</si>
  <si>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</si>
  <si>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</si>
  <si>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</si>
  <si>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</si>
  <si>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</si>
  <si>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</si>
  <si>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</si>
  <si>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</si>
  <si>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</si>
  <si>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Bubník Martin</t>
  </si>
  <si>
    <t>Eszenyiová Patrícia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</si>
  <si>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</si>
  <si>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</si>
  <si>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</si>
  <si>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</si>
  <si>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</si>
  <si>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</si>
  <si>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</si>
  <si>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</si>
  <si>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</si>
  <si>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</si>
  <si>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154:30</t>
  </si>
  <si>
    <t>29:00</t>
  </si>
  <si>
    <t>Dušek Sam</t>
  </si>
  <si>
    <t>93:00</t>
  </si>
  <si>
    <t>123:30</t>
  </si>
  <si>
    <t>Kopic Jakub</t>
  </si>
  <si>
    <t>20:30</t>
  </si>
  <si>
    <t>Weindling Josef</t>
  </si>
  <si>
    <t>40:30</t>
  </si>
  <si>
    <t>Coufal Jakub</t>
  </si>
  <si>
    <t>Břicháč Pavel</t>
  </si>
  <si>
    <t>65:30</t>
  </si>
  <si>
    <t>38:45</t>
  </si>
  <si>
    <t>7:00</t>
  </si>
  <si>
    <t>Serin David</t>
  </si>
  <si>
    <t>19:40</t>
  </si>
  <si>
    <t>Berdar Vasyl</t>
  </si>
  <si>
    <t>23:15</t>
  </si>
  <si>
    <t>Prošek Václav</t>
  </si>
  <si>
    <t>28:00</t>
  </si>
  <si>
    <t>Kubík Martin</t>
  </si>
  <si>
    <t>Kumar Jatinder</t>
  </si>
  <si>
    <t>8:00</t>
  </si>
  <si>
    <t>Nedvěd Dominik</t>
  </si>
  <si>
    <t>9:00</t>
  </si>
  <si>
    <t>5:00</t>
  </si>
  <si>
    <t>12 min 10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</si>
  <si>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</si>
  <si>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</si>
  <si>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</si>
  <si>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</si>
  <si>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</si>
  <si>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</si>
  <si>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</si>
  <si>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</si>
  <si>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</si>
  <si>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</si>
  <si>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17:00 - 1:00 (Kurýr)</t>
  </si>
  <si>
    <t>13:00 - 20:00 (Kurýr)</t>
  </si>
  <si>
    <t>Pavel Břicháč</t>
  </si>
  <si>
    <t>11:00 - 1:00 (Kurýr)</t>
  </si>
  <si>
    <t>11:00 - 17:00 (Kurýr)</t>
  </si>
  <si>
    <t>11:00 - 19:00 (Kurýr)</t>
  </si>
  <si>
    <t>11:00 - 18:00 (Kurýr)</t>
  </si>
  <si>
    <t>19:00 - 0:00 (Instor)</t>
  </si>
  <si>
    <t>19:00 - 23:00 (Instor)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</si>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</sst>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46194.0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Neděle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0</v>
      </c>
      <c r="B12" s="52" t="s">
        <v>1490</v>
      </c>
      <c r="C12" s="53" t="s">
        <v>45</v>
      </c>
      <c r="D12" s="53" t="s">
        <v>68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G12" s="37"/>
      <c r="I12" s="48"/>
      <c r="J12" s="37"/>
      <c r="K12" s="22"/>
      <c r="L12" s="56" t="s">
        <v>1564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1873.2</v>
      </c>
      <c r="B13" s="52" t="s">
        <v>1565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1751.442</v>
      </c>
      <c r="B14" s="52" t="s">
        <v>1566</v>
      </c>
      <c r="C14" s="53" t="s">
        <v>45</v>
      </c>
      <c r="D14" s="53" t="s">
        <v>68</v>
      </c>
      <c r="E14" s="54"/>
      <c r="F14" s="55" t="str">
        <f t="shared" si="1"/>
        <v>07:00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1567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1568</v>
      </c>
      <c r="H24" s="77" t="s">
        <v>1569</v>
      </c>
      <c r="I24" s="46" t="s">
        <v>13</v>
      </c>
      <c r="J24" s="78" t="s">
        <v>1570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900</v>
      </c>
      <c r="B25" s="52" t="s">
        <v>1571</v>
      </c>
      <c r="C25" s="82" t="s">
        <v>63</v>
      </c>
      <c r="D25" s="82" t="s">
        <v>45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1572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"Hegedüs Erik,Bubník Martin,Eszenyiová Patrícia"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Jakub,Prošek Václav"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Josef,Kumar Jatinder"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46174.0</v>
      </c>
      <c r="D1" s="113" t="s">
        <v>1573</v>
      </c>
      <c r="E1" s="114">
        <v>46192.0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0.27177757991074847</v>
      </c>
      <c r="H2" s="22"/>
      <c r="I2" s="118">
        <v>904176.1999999997</v>
      </c>
      <c r="K2" s="22"/>
      <c r="L2" s="119" t="s">
        <v>1550</v>
      </c>
      <c r="M2" s="120">
        <v>261150.5100000001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8"/>
      <c r="D3" s="123" t="str">
        <f>CHOOSE(WEEKDAY(E1), "Neděle", "Pondělí", "Úterý", "Středa", "Čtvrtek", "Pátek", "Sobota")</f>
        <v>Pátek</v>
      </c>
      <c r="E3" s="12"/>
      <c r="H3" s="22"/>
      <c r="K3" s="22"/>
      <c r="L3" s="124" t="s">
        <v>1551</v>
      </c>
      <c r="M3" s="125">
        <v>92959.0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223559.99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156361.0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3447.0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403.75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310.9166667</v>
      </c>
      <c r="G7" s="14"/>
      <c r="H7" s="14"/>
      <c r="I7" s="14"/>
      <c r="J7" s="133"/>
      <c r="K7" s="133"/>
      <c r="L7" s="134" t="s">
        <v>1556</v>
      </c>
      <c r="M7" s="135">
        <v>37564.1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1568</v>
      </c>
      <c r="J9" s="146">
        <v>1.3000000002066372</v>
      </c>
      <c r="K9" s="12"/>
      <c r="L9" s="147" t="s">
        <v>23</v>
      </c>
      <c r="M9" s="125">
        <v>48443.0</v>
      </c>
      <c r="N9" s="121"/>
    </row>
    <row r="10" ht="18.75" customHeight="1">
      <c r="A10" s="148"/>
      <c r="B10" s="149" t="s">
        <v>1490</v>
      </c>
      <c r="C10" s="150">
        <v>14.0</v>
      </c>
      <c r="D10" s="150" t="s">
        <v>1577</v>
      </c>
      <c r="E10" s="151" t="s">
        <v>1578</v>
      </c>
      <c r="F10" s="149" t="s">
        <v>1579</v>
      </c>
      <c r="G10" s="150">
        <v>9.0</v>
      </c>
      <c r="H10" s="150" t="s">
        <v>1580</v>
      </c>
      <c r="I10" s="152">
        <v>109.0</v>
      </c>
      <c r="J10" s="37"/>
      <c r="K10" s="22"/>
      <c r="L10" s="147" t="s">
        <v>24</v>
      </c>
      <c r="M10" s="125">
        <v>820.0</v>
      </c>
      <c r="N10" s="121"/>
    </row>
    <row r="11" ht="18.75" customHeight="1">
      <c r="A11" s="148"/>
      <c r="B11" s="149" t="s">
        <v>1565</v>
      </c>
      <c r="C11" s="150">
        <v>15.0</v>
      </c>
      <c r="D11" s="150" t="s">
        <v>1581</v>
      </c>
      <c r="E11" s="151" t="s">
        <v>49</v>
      </c>
      <c r="F11" s="149" t="s">
        <v>1531</v>
      </c>
      <c r="G11" s="150">
        <v>4.0</v>
      </c>
      <c r="H11" s="150" t="s">
        <v>1506</v>
      </c>
      <c r="I11" s="152">
        <v>18.0</v>
      </c>
      <c r="J11" s="37"/>
      <c r="K11" s="22"/>
      <c r="L11" s="153" t="s">
        <v>25</v>
      </c>
      <c r="M11" s="154">
        <v>96235.0</v>
      </c>
      <c r="N11" s="121"/>
    </row>
    <row r="12" ht="18.75" customHeight="1">
      <c r="A12" s="148"/>
      <c r="B12" s="149" t="s">
        <v>1582</v>
      </c>
      <c r="C12" s="150">
        <v>2.0</v>
      </c>
      <c r="D12" s="150" t="s">
        <v>1583</v>
      </c>
      <c r="E12" s="151" t="s">
        <v>50</v>
      </c>
      <c r="F12" s="149" t="s">
        <v>1584</v>
      </c>
      <c r="G12" s="150">
        <v>7.0</v>
      </c>
      <c r="H12" s="150" t="s">
        <v>1585</v>
      </c>
      <c r="I12" s="152">
        <v>35.0</v>
      </c>
      <c r="J12" s="37"/>
      <c r="K12" s="22"/>
      <c r="L12" s="155" t="s">
        <v>1564</v>
      </c>
      <c r="M12" s="20"/>
      <c r="N12" s="116"/>
    </row>
    <row r="13" ht="18.75" customHeight="1">
      <c r="A13" s="148"/>
      <c r="B13" s="149" t="s">
        <v>1586</v>
      </c>
      <c r="C13" s="150">
        <v>3.0</v>
      </c>
      <c r="D13" s="150" t="s">
        <v>1492</v>
      </c>
      <c r="E13" s="151" t="s">
        <v>50</v>
      </c>
      <c r="F13" s="149" t="s">
        <v>1587</v>
      </c>
      <c r="G13" s="150">
        <v>8.0</v>
      </c>
      <c r="H13" s="150" t="s">
        <v>1588</v>
      </c>
      <c r="I13" s="152">
        <v>90.0</v>
      </c>
      <c r="J13" s="37"/>
      <c r="K13" s="22"/>
      <c r="L13" s="147" t="s">
        <v>29</v>
      </c>
      <c r="M13" s="125">
        <v>1500.0</v>
      </c>
      <c r="N13" s="121"/>
    </row>
    <row r="14" ht="18.75" customHeight="1">
      <c r="A14" s="148"/>
      <c r="B14" s="149" t="s">
        <v>1566</v>
      </c>
      <c r="C14" s="150">
        <v>6.0</v>
      </c>
      <c r="D14" s="150" t="s">
        <v>1589</v>
      </c>
      <c r="E14" s="151" t="s">
        <v>1590</v>
      </c>
      <c r="F14" s="149" t="s">
        <v>1591</v>
      </c>
      <c r="G14" s="150">
        <v>3.0</v>
      </c>
      <c r="H14" s="150" t="s">
        <v>1592</v>
      </c>
      <c r="I14" s="152">
        <v>29.0</v>
      </c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 t="s">
        <v>1593</v>
      </c>
      <c r="C15" s="150">
        <v>1.0</v>
      </c>
      <c r="D15" s="150" t="s">
        <v>50</v>
      </c>
      <c r="E15" s="151" t="s">
        <v>1590</v>
      </c>
      <c r="F15" s="149" t="s">
        <v>1571</v>
      </c>
      <c r="G15" s="150">
        <v>3.0</v>
      </c>
      <c r="H15" s="150" t="s">
        <v>1594</v>
      </c>
      <c r="I15" s="152">
        <v>43.0</v>
      </c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 t="s">
        <v>1595</v>
      </c>
      <c r="C16" s="150">
        <v>3.0</v>
      </c>
      <c r="D16" s="150" t="s">
        <v>1596</v>
      </c>
      <c r="E16" s="157"/>
      <c r="F16" s="149" t="s">
        <v>1586</v>
      </c>
      <c r="G16" s="150">
        <v>3.0</v>
      </c>
      <c r="H16" s="150" t="s">
        <v>1496</v>
      </c>
      <c r="I16" s="152">
        <v>15.0</v>
      </c>
      <c r="J16" s="37"/>
      <c r="K16" s="22"/>
      <c r="L16" s="156" t="s">
        <v>32</v>
      </c>
      <c r="M16" s="125">
        <v>3257.0</v>
      </c>
      <c r="N16" s="121"/>
    </row>
    <row r="17" ht="18.75" customHeight="1">
      <c r="A17" s="148"/>
      <c r="B17" s="149" t="s">
        <v>1597</v>
      </c>
      <c r="C17" s="150">
        <v>1.0</v>
      </c>
      <c r="D17" s="150" t="s">
        <v>1590</v>
      </c>
      <c r="E17" s="157"/>
      <c r="F17" s="149" t="s">
        <v>1598</v>
      </c>
      <c r="G17" s="150">
        <v>3.0</v>
      </c>
      <c r="H17" s="150" t="s">
        <v>1512</v>
      </c>
      <c r="I17" s="152">
        <v>33.0</v>
      </c>
      <c r="J17" s="19"/>
      <c r="K17" s="20"/>
      <c r="L17" s="158" t="s">
        <v>33</v>
      </c>
      <c r="M17" s="159">
        <v>16445.0</v>
      </c>
      <c r="N17" s="121"/>
    </row>
    <row r="18" ht="18.75" customHeight="1">
      <c r="A18" s="148"/>
      <c r="B18" s="149" t="s">
        <v>1479</v>
      </c>
      <c r="C18" s="150">
        <v>1.0</v>
      </c>
      <c r="D18" s="150" t="s">
        <v>1599</v>
      </c>
      <c r="E18" s="157"/>
      <c r="F18" s="149" t="s">
        <v>1600</v>
      </c>
      <c r="G18" s="150">
        <v>1.0</v>
      </c>
      <c r="H18" s="150" t="s">
        <v>1601</v>
      </c>
      <c r="I18" s="152">
        <v>8.0</v>
      </c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 t="s">
        <v>1597</v>
      </c>
      <c r="G19" s="150">
        <v>1.0</v>
      </c>
      <c r="H19" s="150" t="s">
        <v>1602</v>
      </c>
      <c r="I19" s="152">
        <v>3.0</v>
      </c>
      <c r="J19" s="162" t="s">
        <v>34</v>
      </c>
      <c r="K19" s="163" t="s">
        <v>35</v>
      </c>
      <c r="L19" s="164" t="s">
        <v>1567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2.0</v>
      </c>
      <c r="K21" s="169">
        <v>1054.0</v>
      </c>
      <c r="L21" s="170">
        <v>45.0</v>
      </c>
      <c r="M21" s="171" t="s">
        <v>1603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1570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37.0</v>
      </c>
      <c r="K24" s="170">
        <v>2198.0</v>
      </c>
      <c r="L24" s="170">
        <v>405.0</v>
      </c>
      <c r="M24" s="177">
        <v>18.0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7.0</v>
      </c>
      <c r="K27" s="96"/>
      <c r="L27" s="182">
        <v>0.12565637697868426</v>
      </c>
      <c r="M27" s="183">
        <v>7.0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0.8743436230213156</v>
      </c>
      <c r="M30" s="187">
        <v>0.022075643654591023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"/>
      <c r="F2" s="1"/>
      <c r="G2" s="1"/>
      <c r="H2" s="1"/>
      <c r="I2" s="1"/>
      <c r="J2" s="188"/>
      <c r="K2" s="1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88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88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88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88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88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88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88"/>
      <c r="F35" s="1"/>
      <c r="G35" s="1"/>
      <c r="H35" s="1"/>
      <c r="I35" s="1"/>
      <c r="J35" s="1"/>
      <c r="K35" s="188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88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88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89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88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89"/>
      <c r="D61" s="1"/>
      <c r="E61" s="1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88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88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88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88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88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88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88"/>
      <c r="F101" s="1"/>
      <c r="G101" s="1"/>
      <c r="H101" s="1"/>
      <c r="I101" s="1"/>
      <c r="J101" s="1"/>
      <c r="K101" s="188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88"/>
      <c r="L102" s="1"/>
      <c r="M102" s="1"/>
      <c r="N102" s="1"/>
      <c r="O102" s="1"/>
      <c r="P102" s="1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"/>
      <c r="B104" s="1"/>
      <c r="C104" s="189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"/>
      <c r="B105" s="1"/>
      <c r="C105" s="189"/>
      <c r="D105" s="1"/>
      <c r="E105" s="1"/>
      <c r="F105" s="1"/>
      <c r="G105" s="1"/>
      <c r="H105" s="1"/>
      <c r="I105" s="1"/>
      <c r="J105" s="1"/>
      <c r="K105" s="188"/>
      <c r="L105" s="1"/>
      <c r="M105" s="1"/>
      <c r="N105" s="1"/>
      <c r="O105" s="1"/>
      <c r="P105" s="1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"/>
      <c r="B106" s="1"/>
      <c r="C106" s="18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"/>
      <c r="B107" s="1"/>
      <c r="C107" s="1"/>
      <c r="D107" s="1"/>
      <c r="E107" s="188"/>
      <c r="F107" s="1"/>
      <c r="G107" s="1"/>
      <c r="H107" s="1"/>
      <c r="I107" s="1"/>
      <c r="J107" s="1"/>
      <c r="K107" s="188"/>
      <c r="L107" s="1"/>
      <c r="M107" s="1"/>
      <c r="N107" s="1"/>
      <c r="O107" s="1"/>
      <c r="P107" s="1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88"/>
      <c r="L108" s="1"/>
      <c r="M108" s="1"/>
      <c r="N108" s="1"/>
      <c r="O108" s="1"/>
      <c r="P108" s="1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"/>
      <c r="B109" s="1"/>
      <c r="C109" s="1"/>
      <c r="D109" s="1"/>
      <c r="E109" s="188"/>
      <c r="F109" s="1"/>
      <c r="G109" s="1"/>
      <c r="H109" s="1"/>
      <c r="I109" s="1"/>
      <c r="J109" s="1"/>
      <c r="K109" s="188"/>
      <c r="L109" s="1"/>
      <c r="M109" s="1"/>
      <c r="N109" s="1"/>
      <c r="O109" s="1"/>
      <c r="P109" s="1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"/>
      <c r="B110" s="1"/>
      <c r="C110" s="189"/>
      <c r="D110" s="1"/>
      <c r="E110" s="1"/>
      <c r="F110" s="1"/>
      <c r="G110" s="1"/>
      <c r="H110" s="1"/>
      <c r="I110" s="1"/>
      <c r="J110" s="1"/>
      <c r="K110" s="188"/>
      <c r="L110" s="1"/>
      <c r="M110" s="1"/>
      <c r="N110" s="1"/>
      <c r="O110" s="1"/>
      <c r="P110" s="1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88"/>
      <c r="L111" s="1"/>
      <c r="M111" s="1"/>
      <c r="N111" s="1"/>
      <c r="O111" s="1"/>
      <c r="P111" s="1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88"/>
      <c r="L112" s="1"/>
      <c r="M112" s="1"/>
      <c r="N112" s="1"/>
      <c r="O112" s="1"/>
      <c r="P112" s="1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"/>
      <c r="B113" s="189"/>
      <c r="C113" s="189"/>
      <c r="D113" s="1"/>
      <c r="E113" s="1"/>
      <c r="F113" s="1"/>
      <c r="G113" s="1"/>
      <c r="H113" s="1"/>
      <c r="I113" s="1"/>
      <c r="J113" s="1"/>
      <c r="K113" s="188"/>
      <c r="L113" s="1"/>
      <c r="M113" s="1"/>
      <c r="N113" s="1"/>
      <c r="O113" s="1"/>
      <c r="P113" s="1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"/>
      <c r="B114" s="1"/>
      <c r="C114" s="189"/>
      <c r="D114" s="1"/>
      <c r="E114" s="1"/>
      <c r="F114" s="1"/>
      <c r="G114" s="1"/>
      <c r="H114" s="1"/>
      <c r="I114" s="1"/>
      <c r="J114" s="1"/>
      <c r="K114" s="188"/>
      <c r="L114" s="1"/>
      <c r="M114" s="1"/>
      <c r="N114" s="1"/>
      <c r="O114" s="1"/>
      <c r="P114" s="1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"/>
      <c r="B115" s="1"/>
      <c r="C115" s="1"/>
      <c r="D115" s="1"/>
      <c r="E115" s="188"/>
      <c r="F115" s="1"/>
      <c r="G115" s="1"/>
      <c r="H115" s="1"/>
      <c r="I115" s="1"/>
      <c r="J115" s="1"/>
      <c r="K115" s="188"/>
      <c r="L115" s="1"/>
      <c r="M115" s="1"/>
      <c r="N115" s="1"/>
      <c r="O115" s="1"/>
      <c r="P115" s="1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"/>
      <c r="B117" s="1"/>
      <c r="C117" s="1"/>
      <c r="D117" s="1"/>
      <c r="E117" s="188"/>
      <c r="F117" s="1"/>
      <c r="G117" s="1"/>
      <c r="H117" s="1"/>
      <c r="I117" s="1"/>
      <c r="J117" s="1"/>
      <c r="K117" s="188"/>
      <c r="L117" s="1"/>
      <c r="M117" s="1"/>
      <c r="N117" s="1"/>
      <c r="O117" s="1"/>
      <c r="P117" s="1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88"/>
      <c r="L118" s="1"/>
      <c r="M118" s="1"/>
      <c r="N118" s="1"/>
      <c r="O118" s="1"/>
      <c r="P118" s="1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"/>
      <c r="B119" s="1"/>
      <c r="C119" s="1"/>
      <c r="D119" s="1"/>
      <c r="E119" s="188"/>
      <c r="F119" s="1"/>
      <c r="G119" s="1"/>
      <c r="H119" s="1"/>
      <c r="I119" s="1"/>
      <c r="J119" s="1"/>
      <c r="K119" s="188"/>
      <c r="L119" s="1"/>
      <c r="M119" s="1"/>
      <c r="N119" s="1"/>
      <c r="O119" s="1"/>
      <c r="P119" s="1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88"/>
      <c r="L120" s="1"/>
      <c r="M120" s="1"/>
      <c r="N120" s="1"/>
      <c r="O120" s="1"/>
      <c r="P120" s="1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"/>
      <c r="B121" s="1"/>
      <c r="C121" s="18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"/>
      <c r="B123" s="1"/>
      <c r="C123" s="189"/>
      <c r="D123" s="1"/>
      <c r="E123" s="188"/>
      <c r="F123" s="1"/>
      <c r="G123" s="1"/>
      <c r="H123" s="1"/>
      <c r="I123" s="1"/>
      <c r="J123" s="1"/>
      <c r="K123" s="188"/>
      <c r="L123" s="1"/>
      <c r="M123" s="1"/>
      <c r="N123" s="1"/>
      <c r="O123" s="1"/>
      <c r="P123" s="1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"/>
      <c r="B124" s="1"/>
      <c r="C124" s="189"/>
      <c r="D124" s="1"/>
      <c r="E124" s="1"/>
      <c r="F124" s="1"/>
      <c r="G124" s="1"/>
      <c r="H124" s="1"/>
      <c r="I124" s="1"/>
      <c r="J124" s="1"/>
      <c r="K124" s="188"/>
      <c r="L124" s="1"/>
      <c r="M124" s="1"/>
      <c r="N124" s="1"/>
      <c r="O124" s="1"/>
      <c r="P124" s="1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88"/>
      <c r="L125" s="1"/>
      <c r="M125" s="1"/>
      <c r="N125" s="1"/>
      <c r="O125" s="1"/>
      <c r="P125" s="1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"/>
      <c r="B126" s="1"/>
      <c r="C126" s="1"/>
      <c r="D126" s="1"/>
      <c r="E126" s="188"/>
      <c r="F126" s="1"/>
      <c r="G126" s="1"/>
      <c r="H126" s="1"/>
      <c r="I126" s="1"/>
      <c r="J126" s="1"/>
      <c r="K126" s="188"/>
      <c r="L126" s="1"/>
      <c r="M126" s="1"/>
      <c r="N126" s="1"/>
      <c r="O126" s="1"/>
      <c r="P126" s="1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"/>
      <c r="B127" s="1"/>
      <c r="C127" s="189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"/>
      <c r="B128" s="1"/>
      <c r="C128" s="189"/>
      <c r="D128" s="1"/>
      <c r="E128" s="1"/>
      <c r="F128" s="1"/>
      <c r="G128" s="1"/>
      <c r="H128" s="1"/>
      <c r="I128" s="1"/>
      <c r="J128" s="1"/>
      <c r="K128" s="188"/>
      <c r="L128" s="1"/>
      <c r="M128" s="1"/>
      <c r="N128" s="1"/>
      <c r="O128" s="1"/>
      <c r="P128" s="1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88"/>
      <c r="L129" s="1"/>
      <c r="M129" s="1"/>
      <c r="N129" s="1"/>
      <c r="O129" s="1"/>
      <c r="P129" s="1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88"/>
      <c r="L130" s="1"/>
      <c r="M130" s="1"/>
      <c r="N130" s="1"/>
      <c r="O130" s="1"/>
      <c r="P130" s="1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88"/>
      <c r="L131" s="1"/>
      <c r="M131" s="1"/>
      <c r="N131" s="1"/>
      <c r="O131" s="1"/>
      <c r="P131" s="1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"/>
      <c r="B132" s="1"/>
      <c r="C132" s="189"/>
      <c r="D132" s="1"/>
      <c r="E132" s="1"/>
      <c r="F132" s="1"/>
      <c r="G132" s="1"/>
      <c r="H132" s="1"/>
      <c r="I132" s="1"/>
      <c r="J132" s="1"/>
      <c r="K132" s="188"/>
      <c r="L132" s="1"/>
      <c r="M132" s="1"/>
      <c r="N132" s="1"/>
      <c r="O132" s="1"/>
      <c r="P132" s="1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88"/>
      <c r="L133" s="1"/>
      <c r="M133" s="1"/>
      <c r="N133" s="1"/>
      <c r="O133" s="1"/>
      <c r="P133" s="1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88"/>
      <c r="L134" s="1"/>
      <c r="M134" s="1"/>
      <c r="N134" s="1"/>
      <c r="O134" s="1"/>
      <c r="P134" s="1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88"/>
      <c r="L135" s="1"/>
      <c r="M135" s="1"/>
      <c r="N135" s="1"/>
      <c r="O135" s="1"/>
      <c r="P135" s="1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88"/>
      <c r="L136" s="1"/>
      <c r="M136" s="1"/>
      <c r="N136" s="1"/>
      <c r="O136" s="1"/>
      <c r="P136" s="1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"/>
      <c r="B138" s="1"/>
      <c r="C138" s="189"/>
      <c r="D138" s="1"/>
      <c r="E138" s="1"/>
      <c r="F138" s="1"/>
      <c r="G138" s="1"/>
      <c r="H138" s="1"/>
      <c r="I138" s="1"/>
      <c r="J138" s="1"/>
      <c r="K138" s="188"/>
      <c r="L138" s="1"/>
      <c r="M138" s="1"/>
      <c r="N138" s="1"/>
      <c r="O138" s="1"/>
      <c r="P138" s="1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88"/>
      <c r="L139" s="1"/>
      <c r="M139" s="1"/>
      <c r="N139" s="1"/>
      <c r="O139" s="1"/>
      <c r="P139" s="1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"/>
      <c r="B140" s="1"/>
      <c r="C140" s="1"/>
      <c r="D140" s="1"/>
      <c r="E140" s="188"/>
      <c r="F140" s="1"/>
      <c r="G140" s="1"/>
      <c r="H140" s="1"/>
      <c r="I140" s="1"/>
      <c r="J140" s="1"/>
      <c r="K140" s="188"/>
      <c r="L140" s="1"/>
      <c r="M140" s="1"/>
      <c r="N140" s="1"/>
      <c r="O140" s="1"/>
      <c r="P140" s="1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88"/>
      <c r="L141" s="1"/>
      <c r="M141" s="1"/>
      <c r="N141" s="1"/>
      <c r="O141" s="1"/>
      <c r="P141" s="1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88"/>
      <c r="L142" s="1"/>
      <c r="M142" s="1"/>
      <c r="N142" s="1"/>
      <c r="O142" s="1"/>
      <c r="P142" s="1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88"/>
      <c r="L144" s="1"/>
      <c r="M144" s="1"/>
      <c r="N144" s="1"/>
      <c r="O144" s="1"/>
      <c r="P144" s="1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"/>
      <c r="B145" s="1"/>
      <c r="C145" s="1"/>
      <c r="D145" s="1"/>
      <c r="E145" s="188"/>
      <c r="F145" s="1"/>
      <c r="G145" s="1"/>
      <c r="H145" s="1"/>
      <c r="I145" s="1"/>
      <c r="J145" s="1"/>
      <c r="K145" s="188"/>
      <c r="L145" s="1"/>
      <c r="M145" s="1"/>
      <c r="N145" s="1"/>
      <c r="O145" s="1"/>
      <c r="P145" s="1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"/>
      <c r="B146" s="1"/>
      <c r="C146" s="1"/>
      <c r="D146" s="1"/>
      <c r="E146" s="188"/>
      <c r="F146" s="1"/>
      <c r="G146" s="1"/>
      <c r="H146" s="1"/>
      <c r="I146" s="1"/>
      <c r="J146" s="1"/>
      <c r="K146" s="188"/>
      <c r="L146" s="1"/>
      <c r="M146" s="1"/>
      <c r="N146" s="1"/>
      <c r="O146" s="1"/>
      <c r="P146" s="1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"/>
      <c r="B147" s="1"/>
      <c r="C147" s="1"/>
      <c r="D147" s="1"/>
      <c r="E147" s="188"/>
      <c r="F147" s="1"/>
      <c r="G147" s="1"/>
      <c r="H147" s="1"/>
      <c r="I147" s="1"/>
      <c r="J147" s="1"/>
      <c r="K147" s="188"/>
      <c r="L147" s="1"/>
      <c r="M147" s="1"/>
      <c r="N147" s="1"/>
      <c r="O147" s="1"/>
      <c r="P147" s="1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88"/>
      <c r="L148" s="1"/>
      <c r="M148" s="1"/>
      <c r="N148" s="1"/>
      <c r="O148" s="1"/>
      <c r="P148" s="1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""Mzdy!ac1:ad200"")"),30.0)</f>
        <v>30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1605</v>
      </c>
      <c r="B4" s="193" t="s">
        <v>1606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IFERROR(__xludf.DUMMYFUNCTION("""COMPUTED_VALUE"""),"Zličín")</f>
        <v>Zličín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IFERROR(__xludf.DUMMYFUNCTION("""COMPUTED_VALUE"""),"Bolevec")</f>
        <v>Bolevec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IFERROR(__xludf.DUMMYFUNCTION("""COMPUTED_VALUE"""),0.0)</f>
        <v>0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IFERROR(__xludf.DUMMYFUNCTION("""COMPUTED_VALUE"""),0.0)</f>
        <v>0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IFERROR(__xludf.DUMMYFUNCTION("""COMPUTED_VALUE"""),0.0)</f>
        <v>0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 t="str">
        <f>IFERROR(__xludf.DUMMYFUNCTION("""COMPUTED_VALUE"""),"Malešice")</f>
        <v>Malešice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>Prošek Václav</v>
      </c>
      <c r="C42" s="6" t="b">
        <f>IFERROR(__xludf.DUMMYFUNCTION("""COMPUTED_VALUE"""),FALSE)</f>
        <v>0</v>
      </c>
      <c r="D42" s="6" t="str">
        <f>IFERROR(__xludf.DUMMYFUNCTION("""COMPUTED_VALUE"""),"Prošek Václav")</f>
        <v>Prošek Václav</v>
      </c>
      <c r="E42" s="6" t="str">
        <f>IFERROR(__xludf.DUMMYFUNCTION("""COMPUTED_VALUE"""),"Libuš")</f>
        <v>Libuš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IFERROR(__xludf.DUMMYFUNCTION("""COMPUTED_VALUE"""),250.20600000000002)</f>
        <v>250.206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IFERROR(__xludf.DUMMYFUNCTION("""COMPUTED_VALUE"""),250.20600000000002)</f>
        <v>250.206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 t="str">
        <f>IFERROR(__xludf.DUMMYFUNCTION("""COMPUTED_VALUE"""),"Malešice")</f>
        <v>Malešice</v>
      </c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IFERROR(__xludf.DUMMYFUNCTION("""COMPUTED_VALUE"""),200.0)</f>
        <v>200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>Kumar Jatinder</v>
      </c>
      <c r="C130" s="6" t="b">
        <f>IFERROR(__xludf.DUMMYFUNCTION("""COMPUTED_VALUE"""),FALSE)</f>
        <v>0</v>
      </c>
      <c r="D130" s="6" t="str">
        <f>IFERROR(__xludf.DUMMYFUNCTION("""COMPUTED_VALUE"""),"Kumar Jatinder")</f>
        <v>Kumar Jatinder</v>
      </c>
      <c r="E130" s="6" t="str">
        <f>IFERROR(__xludf.DUMMYFUNCTION("""COMPUTED_VALUE"""),"Libuš")</f>
        <v>Libuš</v>
      </c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IFERROR(__xludf.DUMMYFUNCTION("""COMPUTED_VALUE"""),231.474)</f>
        <v>231.474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 t="str">
        <f>IFERROR(__xludf.DUMMYFUNCTION("""COMPUTED_VALUE"""),"Stehlíková Magdaléna")</f>
        <v>Stehlíková Magdaléna</v>
      </c>
      <c r="E131" s="6" t="str">
        <f>IFERROR(__xludf.DUMMYFUNCTION("""COMPUTED_VALUE"""),"Bolevec")</f>
        <v>Bolevec</v>
      </c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192">
        <f>IFERROR(__xludf.DUMMYFUNCTION("""COMPUTED_VALUE"""),214.08)</f>
        <v>214.08</v>
      </c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 t="str">
        <f>IFERROR(__xludf.DUMMYFUNCTION("""COMPUTED_VALUE"""),"Dragoun Alfréd")</f>
        <v>Dragoun Alfréd</v>
      </c>
      <c r="E132" s="6" t="str">
        <f>IFERROR(__xludf.DUMMYFUNCTION("""COMPUTED_VALUE"""),"Zličín")</f>
        <v>Zličín</v>
      </c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IFERROR(__xludf.DUMMYFUNCTION("""COMPUTED_VALUE"""),250.20600000000002)</f>
        <v>250.206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1607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1608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1609</v>
      </c>
      <c r="C3" s="1" t="s">
        <v>1610</v>
      </c>
      <c r="D3" s="188"/>
      <c r="E3" s="188"/>
      <c r="F3" s="1" t="s">
        <v>1611</v>
      </c>
      <c r="G3" s="1" t="s">
        <v>1612</v>
      </c>
      <c r="H3" s="1" t="s">
        <v>1613</v>
      </c>
    </row>
    <row r="4">
      <c r="A4" s="1" t="s">
        <v>1565</v>
      </c>
      <c r="B4" s="1" t="s">
        <v>1610</v>
      </c>
      <c r="C4" s="188"/>
      <c r="D4" s="188"/>
      <c r="E4" s="1" t="s">
        <v>1610</v>
      </c>
      <c r="F4" s="1" t="s">
        <v>1612</v>
      </c>
      <c r="G4" s="1" t="s">
        <v>1609</v>
      </c>
      <c r="H4" s="1" t="s">
        <v>1609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1600</v>
      </c>
      <c r="B5" s="1" t="s">
        <v>1614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1615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1566</v>
      </c>
      <c r="B7" s="188"/>
      <c r="C7" s="1" t="s">
        <v>1609</v>
      </c>
      <c r="D7" s="1" t="s">
        <v>1609</v>
      </c>
      <c r="E7" s="1" t="s">
        <v>1609</v>
      </c>
      <c r="F7" s="188"/>
      <c r="G7" s="188"/>
      <c r="H7" s="1" t="s">
        <v>1613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1616</v>
      </c>
      <c r="B8" s="188"/>
      <c r="C8" s="1" t="s">
        <v>1614</v>
      </c>
      <c r="D8" s="188"/>
      <c r="E8" s="188"/>
      <c r="F8" s="1" t="s">
        <v>1617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1571</v>
      </c>
      <c r="B9" s="188"/>
      <c r="C9" s="1" t="s">
        <v>1618</v>
      </c>
      <c r="D9" s="1" t="s">
        <v>1619</v>
      </c>
      <c r="E9" s="1" t="s">
        <v>1618</v>
      </c>
      <c r="F9" s="188"/>
      <c r="G9" s="1" t="s">
        <v>1620</v>
      </c>
      <c r="H9" s="1" t="s">
        <v>1618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1610</v>
      </c>
      <c r="E10" s="188"/>
      <c r="F10" s="188"/>
      <c r="G10" s="1" t="s">
        <v>1612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1586</v>
      </c>
      <c r="B11" s="188"/>
      <c r="C11" s="188"/>
      <c r="D11" s="1" t="s">
        <v>1621</v>
      </c>
      <c r="E11" s="1" t="s">
        <v>1622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1591</v>
      </c>
      <c r="B12" s="188"/>
      <c r="D12" s="188"/>
      <c r="E12" s="188"/>
      <c r="F12" s="1" t="s">
        <v>1623</v>
      </c>
      <c r="G12" s="1" t="s">
        <v>1624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