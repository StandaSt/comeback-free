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<sst xmlns="http://schemas.openxmlformats.org/spreadsheetml/2006/main" count="6927" uniqueCount="2009">
  <si>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</si>
  <si>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</si>
  <si>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</si>
  <si>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</si>
  <si>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</si>
  <si>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</si>
  <si>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</si>
  <si>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</si>
  <si>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</si>
  <si>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</si>
  <si>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</si>
  <si>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</si>
  <si>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</si>
  <si>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</si>
  <si>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</si>
  <si>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</si>
  <si>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</si>
  <si>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</si>
  <si>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</si>
  <si>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</si>
  <si>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</si>
  <si>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</si>
  <si>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</si>
  <si>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</si>
  <si>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</si>
  <si>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</si>
  <si>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</si>
  <si>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</si>
  <si>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</si>
  <si>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</si>
  <si>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</si>
  <si>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</si>
  <si>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</si>
  <si>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</si>
  <si>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</si>
  <si>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</si>
  <si>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</si>
  <si>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</si>
  <si>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</si>
  <si>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</si>
  <si>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</si>
  <si>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</si>
  <si>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</si>
  <si>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</si>
  <si>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</si>
  <si>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</si>
  <si>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</si>
  <si>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</si>
  <si>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</si>
  <si>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</si>
  <si>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</si>
  <si>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</si>
  <si>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</si>
  <si>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</si>
  <si>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</si>
  <si>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</si>
  <si>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</si>
  <si>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</si>
  <si>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</si>
  <si>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</si>
  <si>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</si>
  <si>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</si>
  <si>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</si>
  <si>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</si>
  <si>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</si>
  <si>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</si>
  <si>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</si>
  <si>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</si>
  <si>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</si>
  <si>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</si>
  <si>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</si>
  <si>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</si>
  <si>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</si>
  <si>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</si>
  <si>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</si>
  <si>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</si>
  <si>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</si>
  <si>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</si>
  <si>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</si>
  <si>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</si>
  <si>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</si>
  <si>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</si>
  <si>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</si>
  <si>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</si>
  <si>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</si>
  <si>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</si>
  <si>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</si>
  <si>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</si>
  <si>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</si>
  <si>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</si>
  <si>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</si>
  <si>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</si>
  <si>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</si>
  <si>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</si>
  <si>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</si>
  <si>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</si>
  <si>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</si>
  <si>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</si>
  <si>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</si>
  <si>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</si>
  <si>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</si>
  <si>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</si>
  <si>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</si>
  <si>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</si>
  <si>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</si>
  <si>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</si>
  <si>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</si>
  <si>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</si>
  <si>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</si>
  <si>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</si>
  <si>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</si>
  <si>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</si>
  <si>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</si>
  <si>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</si>
  <si>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</si>
  <si>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</si>
  <si>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</si>
  <si>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</si>
  <si>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</si>
  <si>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</si>
  <si>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</si>
  <si>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</si>
  <si>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</si>
  <si>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</si>
  <si>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</si>
  <si>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</si>
  <si>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</si>
  <si>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</si>
  <si>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</si>
  <si>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</si>
  <si>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</si>
  <si>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</si>
  <si>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</si>
  <si>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</si>
  <si>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</si>
  <si>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</si>
  <si>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</si>
  <si>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</si>
  <si>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</si>
  <si>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</si>
  <si>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</si>
  <si>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</si>
  <si>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</si>
  <si>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</si>
  <si>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</si>
  <si>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</si>
  <si>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</si>
  <si>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</si>
  <si>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</si>
  <si>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</si>
  <si>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</si>
  <si>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</si>
  <si>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</si>
  <si>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</si>
  <si>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</si>
  <si>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</si>
  <si>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</si>
  <si>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</si>
  <si>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</si>
  <si>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</si>
  <si>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</si>
  <si>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</si>
  <si>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</si>
  <si>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</si>
  <si>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</si>
  <si>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</si>
  <si>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</si>
  <si>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</si>
  <si>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</si>
  <si>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</si>
  <si>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</si>
  <si>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</si>
  <si>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</si>
  <si>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</si>
  <si>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</si>
  <si>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</si>
  <si>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</si>
  <si>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</si>
  <si>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</si>
  <si>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</si>
  <si>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</si>
  <si>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</si>
  <si>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</si>
  <si>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</si>
  <si>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</si>
  <si>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</si>
  <si>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</si>
  <si>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</si>
  <si>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</si>
  <si>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</si>
  <si>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</si>
  <si>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</si>
  <si>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</si>
  <si>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</si>
  <si>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</si>
  <si>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</si>
  <si>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</si>
  <si>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</si>
  <si>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</si>
  <si>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</si>
  <si>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</si>
  <si>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</si>
  <si>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</si>
  <si>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</si>
  <si>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</si>
  <si>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</si>
  <si>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</si>
  <si>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</si>
  <si>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</si>
  <si>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</si>
  <si>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</si>
  <si>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</si>
  <si>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</si>
  <si>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</si>
  <si>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</si>
  <si>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</si>
  <si>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</si>
  <si>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</si>
  <si>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</si>
  <si>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</si>
  <si>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</si>
  <si>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</si>
  <si>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</si>
  <si>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</si>
  <si>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</si>
  <si>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</si>
  <si>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</si>
  <si>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</si>
  <si>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</si>
  <si>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</si>
  <si>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</si>
  <si>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</si>
  <si>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</si>
  <si>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</si>
  <si>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</si>
  <si>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</si>
  <si>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</si>
  <si>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</si>
  <si>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</si>
  <si>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</si>
  <si>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</si>
  <si>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</si>
  <si>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</si>
  <si>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</si>
  <si>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</si>
  <si>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</si>
  <si>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</si>
  <si>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</si>
  <si>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</si>
  <si>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</si>
  <si>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</si>
  <si>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</si>
  <si>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</si>
  <si>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</si>
  <si>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</si>
  <si>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</si>
  <si>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</si>
  <si>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</si>
  <si>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</si>
  <si>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</si>
  <si>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</si>
  <si>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</si>
  <si>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</si>
  <si>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</si>
  <si>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</si>
  <si>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</si>
  <si>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</si>
  <si>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</si>
  <si>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</si>
  <si>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</si>
  <si>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</si>
  <si>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</si>
  <si>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</si>
  <si>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</si>
  <si>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</si>
  <si>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</si>
  <si>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</si>
  <si>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</si>
  <si>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</si>
  <si>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</si>
  <si>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</si>
  <si>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</si>
  <si>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</si>
  <si>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</si>
  <si>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</si>
  <si>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</si>
  <si>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</si>
  <si>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</si>
  <si>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</si>
  <si>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</si>
  <si>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</si>
  <si>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</si>
  <si>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</si>
  <si>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</si>
  <si>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</si>
  <si>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</si>
  <si>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</si>
  <si>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</si>
  <si>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</si>
  <si>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</si>
  <si>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</si>
  <si>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</si>
  <si>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</si>
  <si>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</si>
  <si>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</si>
  <si>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</si>
  <si>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</si>
  <si>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</si>
  <si>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</si>
  <si>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</si>
  <si>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</si>
  <si>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</si>
  <si>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</si>
  <si>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</si>
  <si>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</si>
  <si>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</si>
  <si>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</si>
  <si>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</si>
  <si>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</si>
  <si>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</si>
  <si>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</si>
  <si>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</si>
  <si>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</si>
  <si>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</si>
  <si>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</si>
  <si>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</si>
  <si>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</si>
  <si>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</si>
  <si>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</si>
  <si>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</si>
  <si>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</si>
  <si>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</si>
  <si>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</si>
  <si>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</si>
  <si>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</si>
  <si>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</si>
  <si>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</si>
  <si>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</si>
  <si>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</si>
  <si>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</si>
  <si>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</si>
  <si>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</si>
  <si>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</si>
  <si>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</si>
  <si>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</si>
  <si>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</si>
  <si>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</si>
  <si>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</si>
  <si>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</si>
  <si>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</si>
  <si>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</si>
  <si>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</si>
  <si>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</si>
  <si>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</si>
  <si>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</si>
  <si>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</si>
  <si>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</si>
  <si>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</si>
  <si>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</si>
  <si>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</si>
  <si>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</si>
  <si>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</si>
  <si>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</si>
  <si>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</si>
  <si>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</si>
  <si>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</si>
  <si>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</si>
  <si>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</si>
  <si>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</si>
  <si>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</si>
  <si>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</si>
  <si>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</si>
  <si>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</si>
  <si>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</si>
  <si>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</si>
  <si>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</si>
  <si>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</si>
  <si>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</si>
  <si>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</si>
  <si>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</si>
  <si>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</si>
  <si>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</si>
  <si>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</si>
  <si>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</si>
  <si>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</si>
  <si>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</si>
  <si>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</si>
  <si>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</si>
  <si>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</si>
  <si>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</si>
  <si>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</si>
  <si>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</si>
  <si>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</si>
  <si>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</si>
  <si>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</si>
  <si>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</si>
  <si>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</si>
  <si>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</si>
  <si>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</si>
  <si>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</si>
  <si>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</si>
  <si>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</si>
  <si>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</si>
  <si>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</si>
  <si>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</si>
  <si>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</si>
  <si>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</si>
  <si>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</si>
  <si>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</si>
  <si>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</si>
  <si>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</si>
  <si>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</si>
  <si>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</si>
  <si>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</si>
  <si>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</si>
  <si>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</si>
  <si>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</si>
  <si>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</si>
  <si>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</si>
  <si>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</si>
  <si>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</si>
  <si>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</si>
  <si>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</si>
  <si>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</si>
  <si>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</si>
  <si>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</si>
  <si>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</si>
  <si>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</si>
  <si>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</si>
  <si>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</si>
  <si>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</si>
  <si>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</si>
  <si>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</si>
  <si>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</si>
  <si>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</si>
  <si>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</si>
  <si>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</si>
  <si>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</si>
  <si>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</si>
  <si>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</si>
  <si>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</si>
  <si>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</si>
  <si>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</si>
  <si>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</si>
  <si>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</si>
  <si>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</si>
  <si>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</si>
  <si>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</si>
  <si>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</si>
  <si>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</si>
  <si>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</si>
  <si>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</si>
  <si>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</si>
  <si>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</si>
  <si>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</si>
  <si>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</si>
  <si>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</si>
  <si>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</si>
  <si>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</si>
  <si>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</si>
  <si>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</si>
  <si>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</si>
  <si>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</si>
  <si>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</si>
  <si>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</si>
  <si>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</si>
  <si>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</si>
  <si>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</si>
  <si>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</si>
  <si>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</si>
  <si>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</si>
  <si>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</si>
  <si>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</si>
  <si>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</si>
  <si>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</si>
  <si>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</si>
  <si>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</si>
  <si>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</si>
  <si>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</si>
  <si>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</si>
  <si>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</si>
  <si>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</si>
  <si>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</si>
  <si>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</si>
  <si>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</si>
  <si>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</si>
  <si>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</si>
  <si>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</si>
  <si>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</si>
  <si>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</si>
  <si>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</si>
  <si>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</si>
  <si>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</si>
  <si>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</si>
  <si>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</si>
  <si>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</si>
  <si>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</si>
  <si>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</si>
  <si>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</si>
  <si>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</si>
  <si>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</si>
  <si>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</si>
  <si>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</si>
  <si>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</si>
  <si>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</si>
  <si>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</si>
  <si>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</si>
  <si>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</si>
  <si>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</si>
  <si>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</si>
  <si>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</si>
  <si>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</si>
  <si>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</si>
  <si>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</si>
  <si>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</si>
  <si>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</si>
  <si>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</si>
  <si>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</si>
  <si>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</si>
  <si>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</si>
  <si>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</si>
  <si>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</si>
  <si>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</si>
  <si>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</si>
  <si>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</si>
  <si>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</si>
  <si>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</si>
  <si>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</si>
  <si>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</si>
  <si>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</si>
  <si>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</si>
  <si>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</si>
  <si>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</si>
  <si>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</si>
  <si>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</si>
  <si>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</si>
  <si>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</si>
  <si>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</si>
  <si>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</si>
  <si>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</si>
  <si>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</si>
  <si>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</si>
  <si>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</si>
  <si>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</si>
  <si>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</si>
  <si>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</si>
  <si>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</si>
  <si>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</si>
  <si>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</si>
  <si>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</si>
  <si>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</si>
  <si>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</si>
  <si>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</si>
  <si>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</si>
  <si>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</si>
  <si>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</si>
  <si>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</si>
  <si>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</si>
  <si>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</si>
  <si>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</si>
  <si>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</si>
  <si>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</si>
  <si>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</si>
  <si>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</si>
  <si>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</si>
  <si>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</si>
  <si>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</si>
  <si>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</si>
  <si>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</si>
  <si>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</si>
  <si>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</si>
  <si>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</si>
  <si>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</si>
  <si>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</si>
  <si>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</si>
  <si>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</si>
  <si>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</si>
  <si>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</si>
  <si>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</si>
  <si>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</si>
  <si>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</si>
  <si>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</si>
  <si>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</si>
  <si>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</si>
  <si>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</si>
  <si>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</si>
  <si>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</si>
  <si>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</si>
  <si>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</si>
  <si>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</si>
  <si>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</si>
  <si>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</si>
  <si>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</si>
  <si>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</si>
  <si>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</si>
  <si>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</si>
  <si>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</si>
  <si>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</si>
  <si>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</si>
  <si>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</si>
  <si>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</si>
  <si>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</si>
  <si>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</si>
  <si>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</si>
  <si>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</si>
  <si>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</si>
  <si>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</si>
  <si>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</si>
  <si>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</si>
  <si>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</si>
  <si>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</si>
  <si>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</si>
  <si>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</si>
  <si>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</si>
  <si>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</si>
  <si>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</si>
  <si>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</si>
  <si>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</si>
  <si>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</si>
  <si>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</si>
  <si>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</si>
  <si>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</si>
  <si>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</si>
  <si>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</si>
  <si>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</si>
  <si>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</si>
  <si>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</si>
  <si>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</si>
  <si>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</si>
  <si>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</si>
  <si>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</si>
  <si>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</si>
  <si>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</si>
  <si>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</si>
  <si>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</si>
  <si>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</si>
  <si>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</si>
  <si>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</si>
  <si>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</si>
  <si>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</si>
  <si>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</si>
  <si>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</si>
  <si>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</si>
  <si>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</si>
  <si>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</si>
  <si>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</si>
  <si>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</si>
  <si>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</si>
  <si>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</si>
  <si>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</si>
  <si>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</si>
  <si>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</si>
  <si>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</si>
  <si>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</si>
  <si>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</si>
  <si>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</si>
  <si>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</si>
  <si>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</si>
  <si>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</si>
  <si>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</si>
  <si>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</si>
  <si>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</si>
  <si>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</si>
  <si>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</si>
  <si>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</si>
  <si>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</si>
  <si>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</si>
  <si>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</si>
  <si>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</si>
  <si>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</si>
  <si>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</si>
  <si>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</si>
  <si>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</si>
  <si>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</si>
  <si>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</si>
  <si>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</si>
  <si>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</si>
  <si>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</si>
  <si>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</si>
  <si>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</si>
  <si>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</si>
  <si>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</si>
  <si>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</si>
  <si>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</si>
  <si>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</si>
  <si>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</si>
  <si>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</si>
  <si>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</si>
  <si>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</si>
  <si>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</si>
  <si>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</si>
  <si>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</si>
  <si>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</si>
  <si>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</si>
  <si>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</si>
  <si>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</si>
  <si>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</si>
  <si>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</si>
  <si>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</si>
  <si>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</si>
  <si>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</si>
  <si>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</si>
  <si>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</si>
  <si>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</si>
  <si>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</si>
  <si>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</si>
  <si>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</si>
  <si>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</si>
  <si>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</si>
  <si>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</si>
  <si>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</si>
  <si>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</si>
  <si>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</si>
  <si>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</si>
  <si>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</si>
  <si>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</si>
  <si>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</si>
  <si>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</si>
  <si>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</si>
  <si>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</si>
  <si>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</si>
  <si>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</si>
  <si>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</si>
  <si>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</si>
  <si>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</si>
  <si>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</si>
  <si>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</si>
  <si>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</si>
  <si>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</si>
  <si>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</si>
  <si>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</si>
  <si>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</si>
  <si>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</si>
  <si>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</si>
  <si>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</si>
  <si>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</si>
  <si>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</si>
  <si>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</si>
  <si>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</si>
  <si>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</si>
  <si>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</si>
  <si>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</si>
  <si>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</si>
  <si>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</si>
  <si>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</si>
  <si>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</si>
  <si>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</si>
  <si>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</si>
  <si>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</si>
  <si>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</si>
  <si>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</si>
  <si>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</si>
  <si>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</si>
  <si>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</si>
  <si>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</si>
  <si>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</si>
  <si>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</si>
  <si>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</si>
  <si>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</si>
  <si>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</si>
  <si>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</si>
  <si>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</si>
  <si>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</si>
  <si>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</si>
  <si>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</si>
  <si>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</si>
  <si>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</si>
  <si>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</si>
  <si>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</si>
  <si>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</si>
  <si>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</si>
  <si>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</si>
  <si>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</si>
  <si>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</si>
  <si>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</si>
  <si>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</si>
  <si>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</si>
  <si>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</si>
  <si>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</si>
  <si>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</si>
  <si>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</si>
  <si>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</si>
  <si>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</si>
  <si>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</si>
  <si>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</si>
  <si>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</si>
  <si>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</si>
  <si>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</si>
  <si>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</si>
  <si>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</si>
  <si>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</si>
  <si>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</si>
  <si>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</si>
  <si>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</si>
  <si>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</si>
  <si>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</si>
  <si>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</si>
  <si>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</si>
  <si>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</si>
  <si>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</si>
  <si>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</si>
  <si>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</si>
  <si>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</si>
  <si>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</si>
  <si>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</si>
  <si>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</si>
  <si>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</si>
  <si>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</si>
  <si>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</si>
  <si>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</si>
  <si>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</si>
  <si>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</si>
  <si>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</si>
  <si>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</si>
  <si>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</si>
  <si>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</si>
  <si>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</si>
  <si>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</si>
  <si>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</si>
  <si>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</si>
  <si>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</si>
  <si>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</si>
  <si>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</si>
  <si>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</si>
  <si>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</si>
  <si>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</si>
  <si>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</si>
  <si>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</si>
  <si>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</si>
  <si>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</si>
  <si>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</si>
  <si>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</si>
  <si>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</si>
  <si>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</si>
  <si>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</si>
  <si>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</si>
  <si>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</si>
  <si>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</si>
  <si>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</si>
  <si>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</si>
  <si>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</si>
  <si>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</si>
  <si>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</si>
  <si>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</si>
  <si>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</si>
  <si>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</si>
  <si>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</si>
  <si>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</si>
  <si>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</si>
  <si>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</si>
  <si>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</si>
  <si>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</si>
  <si>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</si>
  <si>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</si>
  <si>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</si>
  <si>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</si>
  <si>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</si>
  <si>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</si>
  <si>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</si>
  <si>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</si>
  <si>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</si>
  <si>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</si>
  <si>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</si>
  <si>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</si>
  <si>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</si>
  <si>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</si>
  <si>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</si>
  <si>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</si>
  <si>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</si>
  <si>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</si>
  <si>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</si>
  <si>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</si>
  <si>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</si>
  <si>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</si>
  <si>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</si>
  <si>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</si>
  <si>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</si>
  <si>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</si>
  <si>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</si>
  <si>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</si>
  <si>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</si>
  <si>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</si>
  <si>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</si>
  <si>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</si>
  <si>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</si>
  <si>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</si>
  <si>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</si>
  <si>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</si>
  <si>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</si>
  <si>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</si>
  <si>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</si>
  <si>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</si>
  <si>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</si>
  <si>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</si>
  <si>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</si>
  <si>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</si>
  <si>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</si>
  <si>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</si>
  <si>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</si>
  <si>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</si>
  <si>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</si>
  <si>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</si>
  <si>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</si>
  <si>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</si>
  <si>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</si>
  <si>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</si>
  <si>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</si>
  <si>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</si>
  <si>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</si>
  <si>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</si>
  <si>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</si>
  <si>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</si>
  <si>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</si>
  <si>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</si>
  <si>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</si>
  <si>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</si>
  <si>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</si>
  <si>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</si>
  <si>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</si>
  <si>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</si>
  <si>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</si>
  <si>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</si>
  <si>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</si>
  <si>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</si>
  <si>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</si>
  <si>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</si>
  <si>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</si>
  <si>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</si>
  <si>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</si>
  <si>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</si>
  <si>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</si>
  <si>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</si>
  <si>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</si>
  <si>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</si>
  <si>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</si>
  <si>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</si>
  <si>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</si>
  <si>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</si>
  <si>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</si>
  <si>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</si>
  <si>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</si>
  <si>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</si>
  <si>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</si>
  <si>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</si>
  <si>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</si>
  <si>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</si>
  <si>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</si>
  <si>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</si>
  <si>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</si>
  <si>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</si>
  <si>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</si>
  <si>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</si>
  <si>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</si>
  <si>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</si>
  <si>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</si>
  <si>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</si>
  <si>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</si>
  <si>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</si>
  <si>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</si>
  <si>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</si>
  <si>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</si>
  <si>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</si>
  <si>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</si>
  <si>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</si>
  <si>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</si>
  <si>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</si>
  <si>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</si>
  <si>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</si>
  <si>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</si>
  <si>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</si>
  <si>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</si>
  <si>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</si>
  <si>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</si>
  <si>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</si>
  <si>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</si>
  <si>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</si>
  <si>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</si>
  <si>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</si>
  <si>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</si>
  <si>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</si>
  <si>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</si>
  <si>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</si>
  <si>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</si>
  <si>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</si>
  <si>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</si>
  <si>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</si>
  <si>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</si>
  <si>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</si>
  <si>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</si>
  <si>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</si>
  <si>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</si>
  <si>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</si>
  <si>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</si>
  <si>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</si>
  <si>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</si>
  <si>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</si>
  <si>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</si>
  <si>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</si>
  <si>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</si>
  <si>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</si>
  <si>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</si>
  <si>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</si>
  <si>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</si>
  <si>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</si>
  <si>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</si>
  <si>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</si>
  <si>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</si>
  <si>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</si>
  <si>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</si>
  <si>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</si>
  <si>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</si>
  <si>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</si>
  <si>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</si>
  <si>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</si>
  <si>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</si>
  <si>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</si>
  <si>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</si>
  <si>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</si>
  <si>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</si>
  <si>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</si>
  <si>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</si>
  <si>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</si>
  <si>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</si>
  <si>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</si>
  <si>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</si>
  <si>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</si>
  <si>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</si>
  <si>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</si>
  <si>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</si>
  <si>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</si>
  <si>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</si>
  <si>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</si>
  <si>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</si>
  <si>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</si>
  <si>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</si>
  <si>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</si>
  <si>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</si>
  <si>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</si>
  <si>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</si>
  <si>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</si>
  <si>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</si>
  <si>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</si>
  <si>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</si>
  <si>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</si>
  <si>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</si>
  <si>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</si>
  <si>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</si>
  <si>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</si>
  <si>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</si>
  <si>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</si>
  <si>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</si>
  <si>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</si>
  <si>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</si>
  <si>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</si>
  <si>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</si>
  <si>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</si>
  <si>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</si>
  <si>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</si>
  <si>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</si>
  <si>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</si>
  <si>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</si>
  <si>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</si>
  <si>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</si>
  <si>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</si>
  <si>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</si>
  <si>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</si>
  <si>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</si>
  <si>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</si>
  <si>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</si>
  <si>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</si>
  <si>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</si>
  <si>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</si>
  <si>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</si>
  <si>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</si>
  <si>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</si>
  <si>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</si>
  <si>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</si>
  <si>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</si>
  <si>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</si>
  <si>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</si>
  <si>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</si>
  <si>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</si>
  <si>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</si>
  <si>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</si>
  <si>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</si>
  <si>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</si>
  <si>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</si>
  <si>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</si>
  <si>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</si>
  <si>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</si>
  <si>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</si>
  <si>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</si>
  <si>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</si>
  <si>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</si>
  <si>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</si>
  <si>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</si>
  <si>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</si>
  <si>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</si>
  <si>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</si>
  <si>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</si>
  <si>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</si>
  <si>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</si>
  <si>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</si>
  <si>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</si>
  <si>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</si>
  <si>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</si>
  <si>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</si>
  <si>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</si>
  <si>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</si>
  <si>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</si>
  <si>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</si>
  <si>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</si>
  <si>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</si>
  <si>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</si>
  <si>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</si>
  <si>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</si>
  <si>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</si>
  <si>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</si>
  <si>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</si>
  <si>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</si>
  <si>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</si>
  <si>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</si>
  <si>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</si>
  <si>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</si>
  <si>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</si>
  <si>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</si>
  <si>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</si>
  <si>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</si>
  <si>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</si>
  <si>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</si>
  <si>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</si>
  <si>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</si>
  <si>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</si>
  <si>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</si>
  <si>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</si>
  <si>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</si>
  <si>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</si>
  <si>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</si>
  <si>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</si>
  <si>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</si>
  <si>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</si>
  <si>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</si>
  <si>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</si>
  <si>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</si>
  <si>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</si>
  <si>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</si>
  <si>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</si>
  <si>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</si>
  <si>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</si>
  <si>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</si>
  <si>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</si>
  <si>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</si>
  <si>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</si>
  <si>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</si>
  <si>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</si>
  <si>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</si>
  <si>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</si>
  <si>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</si>
  <si>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</si>
  <si>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</si>
  <si>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</si>
  <si>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</si>
  <si>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</si>
  <si>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</si>
  <si>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</si>
  <si>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</si>
  <si>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</si>
  <si>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</si>
  <si>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</si>
  <si>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</si>
  <si>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</si>
  <si>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</si>
  <si>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</si>
  <si>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</si>
  <si>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</si>
  <si>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</si>
  <si>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</si>
  <si>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</si>
  <si>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</si>
  <si>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</si>
  <si>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</si>
  <si>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</si>
  <si>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</si>
  <si>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</si>
  <si>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</si>
  <si>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</si>
  <si>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</si>
  <si>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</si>
  <si>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</si>
  <si>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</si>
  <si>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</si>
  <si>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</si>
  <si>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</si>
  <si>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</si>
  <si>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</si>
  <si>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</si>
  <si>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</si>
  <si>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</si>
  <si>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</si>
  <si>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</si>
  <si>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</si>
  <si>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</si>
  <si>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</si>
  <si>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</si>
  <si>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</si>
  <si>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</si>
  <si>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</si>
  <si>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</si>
  <si>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</si>
  <si>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</si>
  <si>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</si>
  <si>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</si>
  <si>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</si>
  <si>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</si>
  <si>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</si>
  <si>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</si>
  <si>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</si>
  <si>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</si>
  <si>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</si>
  <si>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</si>
  <si>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</si>
  <si>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</si>
  <si>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</si>
  <si>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</si>
  <si>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</si>
  <si>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</si>
  <si>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</si>
  <si>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</si>
  <si>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</si>
  <si>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</si>
  <si>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</si>
  <si>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</si>
  <si>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</si>
  <si>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</si>
  <si>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</si>
  <si>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</si>
  <si>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</si>
  <si>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</si>
  <si>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</si>
  <si>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</si>
  <si>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</si>
  <si>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</si>
  <si>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</si>
  <si>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</si>
  <si>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</si>
  <si>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</si>
  <si>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</si>
  <si>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</si>
  <si>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</si>
  <si>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</si>
  <si>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</si>
  <si>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</si>
  <si>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</si>
  <si>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</si>
  <si>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</si>
  <si>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</si>
  <si>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</si>
  <si>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</si>
  <si>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</si>
  <si>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</si>
  <si>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</si>
  <si>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</si>
  <si>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</si>
  <si>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</si>
  <si>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</si>
  <si>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</si>
  <si>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</si>
  <si>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</si>
  <si>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</si>
  <si>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</si>
  <si>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</si>
  <si>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</si>
  <si>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</si>
  <si>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</si>
  <si>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</si>
  <si>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</si>
  <si>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</si>
  <si>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</si>
  <si>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</si>
  <si>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</si>
  <si>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</si>
  <si>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</si>
  <si>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</si>
  <si>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</si>
  <si>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</si>
  <si>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</si>
  <si>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</si>
  <si>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</si>
  <si>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</si>
  <si>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</si>
  <si>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</si>
  <si>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</si>
  <si>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</si>
  <si>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</si>
  <si>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</si>
  <si>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</si>
  <si>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</si>
  <si>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</si>
  <si>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</si>
  <si>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</si>
  <si>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</si>
  <si>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</si>
  <si>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</si>
  <si>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</si>
  <si>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</si>
  <si>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</si>
  <si>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</si>
  <si>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</si>
  <si>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</si>
  <si>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</si>
  <si>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</si>
  <si>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</si>
  <si>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</si>
  <si>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</si>
  <si>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</si>
  <si>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</si>
  <si>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</si>
  <si>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</si>
  <si>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</si>
  <si>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</si>
  <si>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</si>
  <si>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</si>
  <si>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</si>
  <si>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</si>
  <si>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</si>
  <si>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</si>
  <si>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</si>
  <si>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</si>
  <si>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</si>
  <si>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</si>
  <si>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</si>
  <si>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</si>
  <si>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</si>
  <si>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</si>
  <si>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</si>
  <si>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</si>
  <si>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</si>
  <si>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</si>
  <si>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</si>
  <si>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</si>
  <si>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</si>
  <si>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</si>
  <si>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</si>
  <si>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</si>
  <si>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</si>
  <si>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</si>
  <si>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</si>
  <si>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</si>
  <si>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</si>
  <si>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</si>
  <si>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</si>
  <si>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</si>
  <si>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</si>
  <si>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</si>
  <si>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</si>
  <si>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</si>
  <si>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</si>
  <si>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</si>
  <si>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</si>
  <si>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</si>
  <si>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</si>
  <si>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</si>
  <si>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</si>
  <si>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</si>
  <si>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</si>
  <si>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</si>
  <si>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</si>
  <si>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</si>
  <si>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</si>
  <si>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</si>
  <si>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</si>
  <si>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</si>
  <si>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</si>
  <si>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</si>
  <si>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</si>
  <si>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</si>
  <si>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</si>
  <si>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</si>
  <si>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</si>
  <si>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</si>
  <si>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</si>
  <si>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</si>
  <si>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</si>
  <si>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</si>
  <si>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</si>
  <si>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</si>
  <si>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</si>
  <si>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</si>
  <si>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</si>
  <si>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</si>
  <si>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</si>
  <si>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</si>
  <si>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</si>
  <si>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</si>
  <si>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</si>
  <si>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</si>
  <si>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</si>
  <si>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</si>
  <si>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</si>
  <si>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</si>
  <si>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</si>
  <si>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</si>
  <si>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</si>
  <si>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</si>
  <si>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</si>
  <si>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</si>
  <si>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</si>
  <si>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</si>
  <si>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</si>
  <si>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</si>
  <si>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</si>
  <si>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</si>
  <si>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</si>
  <si>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</si>
  <si>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</si>
  <si>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</si>
  <si>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</si>
  <si>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</si>
  <si>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</si>
  <si>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</si>
  <si>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</si>
  <si>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</si>
  <si>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</si>
  <si>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</si>
  <si>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</si>
  <si>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</si>
  <si>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</si>
  <si>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</si>
  <si>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</si>
  <si>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</si>
  <si>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</si>
  <si>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</si>
  <si>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</si>
  <si>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</si>
  <si>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</si>
  <si>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</si>
  <si>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</si>
  <si>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</si>
  <si>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</si>
  <si>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</si>
  <si>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</si>
  <si>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</si>
  <si>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</si>
  <si>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</si>
  <si>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</si>
  <si>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</si>
  <si>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</si>
  <si>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</si>
  <si>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</si>
  <si>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</si>
  <si>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</si>
  <si>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</si>
  <si>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</si>
  <si>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</si>
  <si>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</si>
  <si>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</si>
  <si>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</si>
  <si>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</si>
  <si>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</si>
  <si>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</si>
  <si>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</si>
  <si>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</si>
  <si>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</si>
  <si>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</si>
  <si>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</si>
  <si>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</si>
  <si>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</si>
  <si>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</si>
  <si>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</si>
  <si>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</si>
  <si>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</si>
  <si>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</si>
  <si>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</si>
  <si>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</si>
  <si>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</si>
  <si>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</si>
  <si>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</si>
  <si>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</si>
  <si>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</si>
  <si>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</si>
  <si>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</si>
  <si>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</si>
  <si>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</si>
  <si>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</si>
  <si>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</si>
  <si>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</si>
  <si>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</si>
  <si>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</si>
  <si>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</si>
  <si>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</si>
  <si>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</si>
  <si>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</si>
  <si>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</si>
  <si>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</si>
  <si>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</si>
  <si>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</si>
  <si>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</si>
  <si>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</si>
  <si>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</si>
  <si>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</si>
  <si>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</si>
  <si>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</si>
  <si>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</si>
  <si>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</si>
  <si>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</si>
  <si>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</si>
  <si>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</si>
  <si>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</si>
  <si>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</si>
  <si>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</si>
  <si>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</si>
  <si>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</si>
  <si>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</si>
  <si>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</si>
  <si>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</si>
  <si>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</si>
  <si>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</si>
  <si>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</si>
  <si>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</si>
  <si>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</si>
  <si>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</si>
  <si>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</si>
  <si>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</si>
  <si>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</si>
  <si>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</si>
  <si>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</si>
  <si>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</si>
  <si>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</si>
  <si>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</si>
  <si>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</si>
  <si>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</si>
  <si>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</si>
  <si>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</si>
  <si>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</si>
  <si>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</si>
  <si>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</si>
  <si>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</si>
  <si>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</si>
  <si>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</si>
  <si>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</si>
  <si>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</si>
  <si>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</si>
  <si>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</si>
  <si>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</si>
  <si>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</si>
  <si>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</si>
  <si>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</si>
  <si>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</si>
  <si>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</si>
  <si>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</si>
  <si>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</si>
  <si>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</si>
  <si>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</si>
  <si>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</si>
  <si>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</si>
  <si>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</si>
  <si>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</si>
  <si>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</si>
  <si>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</si>
  <si>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</si>
  <si>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</si>
  <si>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</si>
  <si>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</si>
  <si>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</si>
  <si>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</si>
  <si>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</si>
  <si>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</si>
  <si>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</si>
  <si>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</si>
  <si>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</si>
  <si>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</si>
  <si>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</si>
  <si>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</si>
  <si>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</si>
  <si>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</si>
  <si>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</si>
  <si>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</si>
  <si>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</si>
  <si>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</si>
  <si>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</si>
  <si>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</si>
  <si>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</si>
  <si>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</si>
  <si>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</si>
  <si>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</si>
  <si>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</si>
  <si>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</si>
  <si>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</si>
  <si>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</si>
  <si>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</si>
  <si>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</si>
  <si>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</si>
  <si>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</si>
  <si>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</si>
  <si>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</si>
  <si>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</si>
  <si>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</si>
  <si>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</si>
  <si>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</si>
  <si>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</si>
  <si>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</si>
  <si>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</si>
  <si>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</si>
  <si>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</si>
  <si>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</si>
  <si>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</si>
  <si>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</si>
  <si>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</si>
  <si>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</si>
  <si>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</si>
  <si>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</si>
  <si>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</si>
  <si>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</si>
  <si>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</si>
  <si>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</si>
  <si>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</si>
  <si>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</si>
  <si>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</si>
  <si>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</si>
  <si>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</si>
  <si>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</si>
  <si>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</si>
  <si>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</si>
  <si>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</si>
  <si>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</si>
  <si>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</si>
  <si>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</si>
  <si>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</si>
  <si>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</si>
  <si>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</si>
  <si>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</si>
  <si>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</si>
  <si>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</si>
  <si>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</si>
  <si>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</si>
  <si>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</si>
  <si>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</si>
  <si>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</si>
  <si>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</si>
  <si>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</si>
  <si>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</si>
  <si>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</si>
  <si>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</si>
  <si>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</si>
  <si>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</si>
  <si>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</si>
  <si>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</si>
  <si>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</si>
  <si>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</si>
  <si>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</si>
  <si>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</si>
  <si>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</si>
  <si>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</si>
  <si>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</si>
  <si>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</si>
  <si>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</si>
  <si>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</si>
  <si>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</si>
  <si>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</si>
  <si>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</si>
  <si>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</si>
  <si>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</si>
  <si>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</si>
  <si>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</si>
  <si>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</si>
  <si>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</si>
  <si>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</si>
  <si>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</si>
  <si>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</si>
  <si>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</si>
  <si>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</si>
  <si>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</si>
  <si>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</si>
  <si>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</si>
  <si>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</si>
  <si>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</si>
  <si>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</si>
  <si>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</si>
  <si>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</si>
  <si>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</si>
  <si>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</si>
  <si>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</si>
  <si>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</si>
  <si>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</si>
  <si>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</si>
  <si>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</si>
  <si>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</si>
  <si>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</si>
  <si>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</si>
  <si>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</si>
  <si>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</si>
  <si>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</si>
  <si>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</si>
  <si>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</si>
  <si>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</si>
  <si>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</si>
  <si>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</si>
  <si>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</si>
  <si>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</si>
  <si>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</si>
  <si>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</si>
  <si>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</si>
  <si>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</si>
  <si>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</si>
  <si>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</si>
  <si>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</si>
  <si>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</si>
  <si>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</si>
  <si>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</si>
  <si>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</si>
  <si>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</si>
  <si>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</si>
  <si>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</si>
  <si>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</si>
  <si>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</si>
  <si>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</si>
  <si>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</si>
  <si>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</si>
  <si>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</si>
  <si>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</si>
  <si>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</si>
  <si>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</si>
  <si>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</si>
  <si>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</si>
  <si>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</si>
  <si>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</si>
  <si>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</si>
  <si>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</si>
  <si>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</si>
  <si>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</si>
  <si>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</si>
  <si>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</si>
  <si>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</si>
  <si>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</si>
  <si>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</si>
  <si>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</si>
  <si>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</si>
  <si>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</si>
  <si>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</si>
  <si>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</si>
  <si>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</si>
  <si>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</si>
  <si>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</si>
  <si>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</si>
  <si>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</si>
  <si>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</si>
  <si>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</si>
  <si>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</si>
  <si>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</si>
  <si>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</si>
  <si>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</si>
  <si>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</si>
  <si>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</si>
  <si>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</si>
  <si>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</si>
  <si>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</si>
  <si>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</si>
  <si>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</si>
  <si>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</si>
  <si>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</si>
  <si>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</si>
  <si>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</si>
  <si>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</si>
  <si>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</si>
  <si>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</si>
  <si>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</si>
  <si>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</si>
  <si>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</si>
  <si>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</si>
  <si>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</si>
  <si>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</si>
  <si>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</si>
  <si>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</si>
  <si>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</si>
  <si>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</si>
  <si>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</si>
  <si>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</si>
  <si>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</si>
  <si>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</si>
  <si>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</si>
  <si>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</si>
  <si>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</si>
  <si>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</si>
  <si>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</si>
  <si>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</si>
  <si>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</si>
  <si>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</si>
  <si>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</si>
  <si>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</si>
  <si>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</si>
  <si>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</si>
  <si>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</si>
  <si>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</si>
  <si>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</si>
  <si>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</si>
  <si>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</si>
  <si>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</si>
  <si>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</si>
  <si>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</si>
  <si>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</si>
  <si>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</si>
  <si>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</si>
  <si>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</si>
  <si>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</si>
  <si>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</si>
  <si>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</si>
  <si>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</si>
  <si>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</si>
  <si>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</si>
  <si>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</si>
  <si>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</si>
  <si>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</si>
  <si>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</si>
  <si>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</si>
  <si>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</si>
  <si>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</si>
  <si>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</si>
  <si>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</si>
  <si>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</si>
  <si>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</si>
  <si>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</si>
  <si>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</si>
  <si>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</si>
  <si>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</si>
  <si>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</si>
  <si>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</si>
  <si>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</si>
  <si>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</si>
  <si>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</si>
  <si>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</si>
  <si>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</si>
  <si>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</si>
  <si>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</si>
  <si>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</si>
  <si>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</si>
  <si>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</si>
  <si>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</si>
  <si>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</si>
  <si>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</si>
  <si>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</si>
  <si>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</si>
  <si>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</si>
  <si>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</si>
  <si>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</si>
  <si>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</si>
  <si>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</si>
  <si>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</si>
  <si>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</si>
  <si>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</si>
  <si>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</si>
  <si>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</si>
  <si>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</si>
  <si>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</si>
  <si>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</si>
  <si>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</si>
  <si>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</si>
  <si>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</si>
  <si>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</si>
  <si>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</si>
  <si>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</si>
  <si>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</si>
  <si>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</si>
  <si>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</si>
  <si>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</si>
  <si>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</si>
  <si>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</si>
  <si>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</si>
  <si>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</si>
  <si>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</si>
  <si>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</si>
  <si>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</si>
  <si>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</si>
  <si>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</si>
  <si>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</si>
  <si>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</si>
  <si>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</si>
  <si>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</si>
  <si>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</si>
  <si>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</si>
  <si>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</si>
  <si>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</si>
  <si>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</si>
  <si>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</si>
  <si>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</si>
  <si>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</si>
  <si>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</si>
  <si>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</si>
  <si>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</si>
  <si>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</si>
  <si>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</si>
  <si>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</si>
  <si>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</si>
  <si>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</si>
  <si>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</si>
  <si>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</si>
  <si>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</si>
  <si>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</si>
  <si>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</si>
  <si>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</si>
  <si>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</si>
  <si>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</si>
  <si>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</si>
  <si>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</si>
  <si>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</si>
  <si>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</si>
  <si>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</si>
  <si>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</si>
  <si>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</si>
  <si>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</si>
  <si>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</si>
  <si>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</si>
  <si>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</si>
  <si>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</si>
  <si>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</si>
  <si>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</si>
  <si>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</si>
  <si>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</si>
  <si>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</si>
  <si>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</si>
  <si>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</si>
  <si>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</si>
  <si>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</si>
  <si>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</si>
  <si>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</si>
  <si>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</si>
  <si>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</si>
  <si>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</si>
  <si>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</si>
  <si>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</si>
  <si>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</si>
  <si>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</si>
  <si>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</si>
  <si>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</si>
  <si>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</si>
  <si>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</si>
  <si>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</si>
  <si>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</si>
  <si>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</si>
  <si>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</si>
  <si>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</si>
  <si>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</si>
  <si>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</si>
  <si>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</si>
  <si>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</si>
  <si>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</si>
  <si>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</si>
  <si>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</si>
  <si>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</si>
  <si>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</si>
  <si>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</si>
  <si>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</si>
  <si>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</si>
  <si>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</si>
  <si>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</si>
  <si>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</si>
  <si>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Kopic Jakub</t>
  </si>
  <si>
    <t>Výdaje</t>
  </si>
  <si>
    <t>Yarushynskyi Vladyslav</t>
  </si>
  <si>
    <t>Gorol Patrik</t>
  </si>
  <si>
    <t>Počet zpožděných našich rozvozů +5 min</t>
  </si>
  <si>
    <t>Počet rozvozů</t>
  </si>
  <si>
    <t xml:space="preserve">Vlastní vůz </t>
  </si>
  <si>
    <t>počet výdajových dokadů</t>
  </si>
  <si>
    <t>Kalina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</si>
  <si>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</si>
  <si>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</si>
  <si>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</si>
  <si>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</si>
  <si>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</si>
  <si>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127:30</t>
  </si>
  <si>
    <t>29:00</t>
  </si>
  <si>
    <t>Reischl Jan</t>
  </si>
  <si>
    <t>Nováková Adéla</t>
  </si>
  <si>
    <t>8:30</t>
  </si>
  <si>
    <t>Hanibal Filip</t>
  </si>
  <si>
    <t>117:30</t>
  </si>
  <si>
    <t>13:30</t>
  </si>
  <si>
    <t>Hendrych Rostislav</t>
  </si>
  <si>
    <t>27:00</t>
  </si>
  <si>
    <t>123:30</t>
  </si>
  <si>
    <t>Dušek Sam</t>
  </si>
  <si>
    <t>26:00</t>
  </si>
  <si>
    <t>115:30</t>
  </si>
  <si>
    <t>7:00</t>
  </si>
  <si>
    <t>50:30</t>
  </si>
  <si>
    <t>48:30</t>
  </si>
  <si>
    <t>Lažek Jaroslav</t>
  </si>
  <si>
    <t>Židek Petr</t>
  </si>
  <si>
    <t>Nedvěd Dominik</t>
  </si>
  <si>
    <t>Weindling Josef</t>
  </si>
  <si>
    <t>9:00</t>
  </si>
  <si>
    <t>12 min 10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</si>
  <si>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</si>
  <si>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</si>
  <si>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</si>
  <si>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</si>
  <si>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11:00 - 23:00 (Kurýr)</t>
  </si>
  <si>
    <t>17:00 - 1:00 (Kurýr)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</si>
  <si>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</si>
  <si>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</si>
  <si>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</si>
  <si>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</si>
  <si>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</si>
  <si>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</si>
  <si>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15:00 - 0:00 (Kurýr)</t>
  </si>
  <si>
    <t>11:00 - 1:00 (Kurýr)</t>
  </si>
  <si>
    <t>Petr Židek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</si>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</sst>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46194.0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Neděle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 t="s">
        <v>1885</v>
      </c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2251.854</v>
      </c>
      <c r="B12" s="51" t="s">
        <v>1955</v>
      </c>
      <c r="C12" s="52" t="s">
        <v>1921</v>
      </c>
      <c r="D12" s="52" t="s">
        <v>68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09:00</v>
      </c>
      <c r="I12" s="21"/>
      <c r="J12" s="36"/>
      <c r="K12" s="21"/>
      <c r="L12" s="55" t="s">
        <v>1956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2408.4</v>
      </c>
      <c r="B13" s="51" t="s">
        <v>1957</v>
      </c>
      <c r="C13" s="52" t="s">
        <v>1921</v>
      </c>
      <c r="D13" s="52" t="s">
        <v>68</v>
      </c>
      <c r="E13" s="53"/>
      <c r="F13" s="54" t="str">
        <f t="shared" si="1"/>
        <v>09:00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 t="s">
        <v>1885</v>
      </c>
      <c r="C14" s="52" t="s">
        <v>41</v>
      </c>
      <c r="D14" s="52" t="s">
        <v>1892</v>
      </c>
      <c r="E14" s="53"/>
      <c r="F14" s="54" t="str">
        <f t="shared" si="1"/>
        <v>19:00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1620.318</v>
      </c>
      <c r="B15" s="51" t="s">
        <v>1958</v>
      </c>
      <c r="C15" s="52" t="s">
        <v>45</v>
      </c>
      <c r="D15" s="52" t="s">
        <v>57</v>
      </c>
      <c r="E15" s="53"/>
      <c r="F15" s="54" t="str">
        <f t="shared" si="1"/>
        <v>07:00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 t="s">
        <v>1957</v>
      </c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1959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1960</v>
      </c>
      <c r="H24" s="80" t="s">
        <v>1961</v>
      </c>
      <c r="I24" s="81" t="s">
        <v>13</v>
      </c>
      <c r="J24" s="82" t="s">
        <v>1962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2777.688</v>
      </c>
      <c r="B25" s="51" t="s">
        <v>1963</v>
      </c>
      <c r="C25" s="66" t="s">
        <v>41</v>
      </c>
      <c r="D25" s="66" t="s">
        <v>42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12:00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51"/>
      <c r="C26" s="66"/>
      <c r="D26" s="66"/>
      <c r="E26" s="88"/>
      <c r="F26" s="54" t="str">
        <f t="shared" si="2"/>
        <v>0:00</v>
      </c>
      <c r="G26" s="84">
        <f>COUNTIF(RestiaCSV!E:E, B26)</f>
        <v>0</v>
      </c>
      <c r="H26" s="85" t="b">
        <v>1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Vladyslav,Židek Petr,Gorol Patrik,Kopic Jakub"</formula1>
    </dataValidation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Josef"</formula1>
    </dataValidation>
    <dataValidation type="list" allowBlank="1" sqref="G11 G19">
      <formula1>"Kopic Jakub,Yarushynskyi Vladyslav,Kinkorová Petra,Gorol Patrik"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46174.0</v>
      </c>
      <c r="D1" s="114" t="s">
        <v>1965</v>
      </c>
      <c r="E1" s="115">
        <v>46193.0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0.25286819862444493</v>
      </c>
      <c r="H2" s="21"/>
      <c r="I2" s="119">
        <v>1025927.6599999999</v>
      </c>
      <c r="K2" s="21"/>
      <c r="L2" s="120" t="s">
        <v>1941</v>
      </c>
      <c r="M2" s="121">
        <v>329015.36000000016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7"/>
      <c r="D3" s="124" t="str">
        <f>CHOOSE(WEEKDAY(E1), "Neděle", "Pondělí", "Úterý", "Středa", "Čtvrtek", "Pátek", "Sobota")</f>
        <v>Sobota</v>
      </c>
      <c r="E3" s="11"/>
      <c r="H3" s="21"/>
      <c r="K3" s="21"/>
      <c r="L3" s="125" t="s">
        <v>1942</v>
      </c>
      <c r="M3" s="126">
        <v>115766.0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216993.42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179253.0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13557.0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319.5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290</v>
      </c>
      <c r="G7" s="13"/>
      <c r="H7" s="13"/>
      <c r="I7" s="13"/>
      <c r="J7" s="134"/>
      <c r="K7" s="134"/>
      <c r="L7" s="135" t="s">
        <v>1947</v>
      </c>
      <c r="M7" s="136">
        <v>30639.379999999997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1960</v>
      </c>
      <c r="J9" s="147">
        <v>1.1200000003664172</v>
      </c>
      <c r="K9" s="11"/>
      <c r="L9" s="148" t="s">
        <v>23</v>
      </c>
      <c r="M9" s="126">
        <v>82656.0</v>
      </c>
      <c r="N9" s="122"/>
    </row>
    <row r="10" ht="18.75" customHeight="1">
      <c r="A10" s="149"/>
      <c r="B10" s="150" t="s">
        <v>1885</v>
      </c>
      <c r="C10" s="151">
        <v>13.0</v>
      </c>
      <c r="D10" s="152" t="s">
        <v>1969</v>
      </c>
      <c r="E10" s="153" t="s">
        <v>1970</v>
      </c>
      <c r="F10" s="150" t="s">
        <v>1971</v>
      </c>
      <c r="G10" s="151">
        <v>3.0</v>
      </c>
      <c r="H10" s="151" t="s">
        <v>70</v>
      </c>
      <c r="I10" s="154">
        <v>9.0</v>
      </c>
      <c r="J10" s="36"/>
      <c r="K10" s="21"/>
      <c r="L10" s="148" t="s">
        <v>24</v>
      </c>
      <c r="M10" s="126">
        <v>300.0</v>
      </c>
      <c r="N10" s="122"/>
    </row>
    <row r="11" ht="18.75" customHeight="1">
      <c r="A11" s="149"/>
      <c r="B11" s="150" t="s">
        <v>1972</v>
      </c>
      <c r="C11" s="151">
        <v>1.0</v>
      </c>
      <c r="D11" s="155" t="s">
        <v>1973</v>
      </c>
      <c r="E11" s="153" t="s">
        <v>49</v>
      </c>
      <c r="F11" s="150" t="s">
        <v>1974</v>
      </c>
      <c r="G11" s="151">
        <v>10.0</v>
      </c>
      <c r="H11" s="151" t="s">
        <v>1975</v>
      </c>
      <c r="I11" s="154">
        <v>110.0</v>
      </c>
      <c r="J11" s="36"/>
      <c r="K11" s="21"/>
      <c r="L11" s="156" t="s">
        <v>25</v>
      </c>
      <c r="M11" s="157">
        <v>77790.0</v>
      </c>
      <c r="N11" s="122"/>
    </row>
    <row r="12" ht="18.75" customHeight="1">
      <c r="A12" s="149"/>
      <c r="B12" s="150" t="s">
        <v>1312</v>
      </c>
      <c r="C12" s="151">
        <v>2.0</v>
      </c>
      <c r="D12" s="155" t="s">
        <v>1976</v>
      </c>
      <c r="E12" s="153" t="s">
        <v>50</v>
      </c>
      <c r="F12" s="150" t="s">
        <v>1977</v>
      </c>
      <c r="G12" s="151">
        <v>3.0</v>
      </c>
      <c r="H12" s="151" t="s">
        <v>1978</v>
      </c>
      <c r="I12" s="154">
        <v>20.0</v>
      </c>
      <c r="J12" s="36"/>
      <c r="K12" s="21"/>
      <c r="L12" s="158" t="s">
        <v>1956</v>
      </c>
      <c r="M12" s="19"/>
      <c r="N12" s="117"/>
    </row>
    <row r="13" ht="18.75" customHeight="1">
      <c r="A13" s="149"/>
      <c r="B13" s="150" t="s">
        <v>1957</v>
      </c>
      <c r="C13" s="151">
        <v>12.0</v>
      </c>
      <c r="D13" s="155" t="s">
        <v>1979</v>
      </c>
      <c r="E13" s="153" t="s">
        <v>50</v>
      </c>
      <c r="F13" s="150" t="s">
        <v>1980</v>
      </c>
      <c r="G13" s="151">
        <v>3.0</v>
      </c>
      <c r="H13" s="151" t="s">
        <v>1981</v>
      </c>
      <c r="I13" s="154">
        <v>37.0</v>
      </c>
      <c r="J13" s="36"/>
      <c r="K13" s="21"/>
      <c r="L13" s="148" t="s">
        <v>29</v>
      </c>
      <c r="M13" s="126">
        <v>4503.0</v>
      </c>
      <c r="N13" s="122"/>
    </row>
    <row r="14" ht="18.75" customHeight="1">
      <c r="A14" s="149"/>
      <c r="B14" s="150" t="s">
        <v>1955</v>
      </c>
      <c r="C14" s="151">
        <v>11.0</v>
      </c>
      <c r="D14" s="151" t="s">
        <v>1982</v>
      </c>
      <c r="E14" s="153" t="s">
        <v>1983</v>
      </c>
      <c r="F14" s="150" t="s">
        <v>1963</v>
      </c>
      <c r="G14" s="151">
        <v>6.0</v>
      </c>
      <c r="H14" s="151" t="s">
        <v>1984</v>
      </c>
      <c r="I14" s="154">
        <v>53.0</v>
      </c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 t="s">
        <v>1924</v>
      </c>
      <c r="C15" s="151">
        <v>7.0</v>
      </c>
      <c r="D15" s="151" t="s">
        <v>1985</v>
      </c>
      <c r="E15" s="153" t="s">
        <v>1983</v>
      </c>
      <c r="F15" s="150" t="s">
        <v>1986</v>
      </c>
      <c r="G15" s="151">
        <v>2.0</v>
      </c>
      <c r="H15" s="151" t="s">
        <v>62</v>
      </c>
      <c r="I15" s="154">
        <v>21.0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1987</v>
      </c>
      <c r="C16" s="151">
        <v>1.0</v>
      </c>
      <c r="D16" s="151" t="s">
        <v>41</v>
      </c>
      <c r="E16" s="160"/>
      <c r="F16" s="150" t="s">
        <v>1988</v>
      </c>
      <c r="G16" s="151">
        <v>2.0</v>
      </c>
      <c r="H16" s="151" t="s">
        <v>42</v>
      </c>
      <c r="I16" s="154">
        <v>34.0</v>
      </c>
      <c r="J16" s="36"/>
      <c r="K16" s="21"/>
      <c r="L16" s="159" t="s">
        <v>32</v>
      </c>
      <c r="M16" s="126">
        <v>1460.0</v>
      </c>
      <c r="N16" s="122"/>
    </row>
    <row r="17" ht="18.75" customHeight="1">
      <c r="A17" s="149"/>
      <c r="B17" s="150"/>
      <c r="C17" s="151"/>
      <c r="D17" s="151"/>
      <c r="E17" s="160"/>
      <c r="F17" s="150" t="s">
        <v>1989</v>
      </c>
      <c r="G17" s="151">
        <v>1.0</v>
      </c>
      <c r="H17" s="151" t="s">
        <v>1990</v>
      </c>
      <c r="I17" s="154">
        <v>9.0</v>
      </c>
      <c r="J17" s="18"/>
      <c r="K17" s="19"/>
      <c r="L17" s="161" t="s">
        <v>33</v>
      </c>
      <c r="M17" s="162">
        <v>4635.0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1959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16.0</v>
      </c>
      <c r="K21" s="173">
        <v>14489.800000000001</v>
      </c>
      <c r="L21" s="174">
        <v>64.0</v>
      </c>
      <c r="M21" s="175" t="s">
        <v>1991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1962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9.0</v>
      </c>
      <c r="K24" s="174">
        <v>2543.0</v>
      </c>
      <c r="L24" s="174">
        <v>437.0</v>
      </c>
      <c r="M24" s="179">
        <v>21.0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6.0</v>
      </c>
      <c r="K27" s="98"/>
      <c r="L27" s="185">
        <v>0.13909035901364783</v>
      </c>
      <c r="M27" s="186">
        <v>19.0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0.8609096409863524</v>
      </c>
      <c r="M30" s="190">
        <v>0.04562516148416406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1992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1993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1994</v>
      </c>
      <c r="C3" s="193"/>
      <c r="D3" s="1" t="s">
        <v>1995</v>
      </c>
      <c r="E3" s="1" t="s">
        <v>1995</v>
      </c>
      <c r="F3" s="1" t="s">
        <v>1995</v>
      </c>
      <c r="G3" s="1" t="s">
        <v>1994</v>
      </c>
      <c r="H3" s="193"/>
    </row>
    <row r="4">
      <c r="A4" s="1" t="s">
        <v>1980</v>
      </c>
      <c r="B4" s="1" t="s">
        <v>1996</v>
      </c>
      <c r="C4" s="193"/>
      <c r="D4" s="193"/>
      <c r="E4" s="1" t="s">
        <v>1997</v>
      </c>
      <c r="F4" s="193"/>
      <c r="G4" s="193"/>
      <c r="H4" s="193"/>
    </row>
    <row r="5">
      <c r="A5" s="1" t="s">
        <v>1963</v>
      </c>
      <c r="B5" s="1" t="s">
        <v>1997</v>
      </c>
      <c r="C5" s="193"/>
      <c r="D5" s="193"/>
      <c r="E5" s="193"/>
      <c r="F5" s="193"/>
      <c r="G5" s="193"/>
      <c r="H5" s="1" t="s">
        <v>1998</v>
      </c>
    </row>
    <row r="6">
      <c r="A6" s="1" t="s">
        <v>1955</v>
      </c>
      <c r="B6" s="193"/>
      <c r="C6" s="1" t="s">
        <v>1994</v>
      </c>
      <c r="D6" s="193"/>
      <c r="E6" s="1" t="s">
        <v>1999</v>
      </c>
      <c r="F6" s="193"/>
      <c r="G6" s="1" t="s">
        <v>2000</v>
      </c>
      <c r="H6" s="1" t="s">
        <v>2001</v>
      </c>
    </row>
    <row r="7">
      <c r="A7" s="1" t="s">
        <v>1971</v>
      </c>
      <c r="B7" s="193"/>
      <c r="C7" s="1" t="s">
        <v>2002</v>
      </c>
      <c r="D7" s="193"/>
      <c r="E7" s="193"/>
      <c r="F7" s="193"/>
      <c r="G7" s="193"/>
      <c r="H7" s="193"/>
    </row>
    <row r="8">
      <c r="A8" s="1" t="s">
        <v>1957</v>
      </c>
      <c r="B8" s="193"/>
      <c r="C8" s="1" t="s">
        <v>1999</v>
      </c>
      <c r="D8" s="1" t="s">
        <v>1999</v>
      </c>
      <c r="E8" s="1" t="s">
        <v>2001</v>
      </c>
      <c r="F8" s="1" t="s">
        <v>2000</v>
      </c>
      <c r="G8" s="193"/>
      <c r="H8" s="1" t="s">
        <v>2003</v>
      </c>
    </row>
    <row r="9">
      <c r="A9" s="1" t="s">
        <v>1988</v>
      </c>
      <c r="B9" s="193"/>
      <c r="C9" s="193"/>
      <c r="D9" s="1" t="s">
        <v>1996</v>
      </c>
      <c r="E9" s="193"/>
      <c r="F9" s="193"/>
      <c r="G9" s="193"/>
      <c r="H9" s="1" t="s">
        <v>2004</v>
      </c>
    </row>
    <row r="10">
      <c r="A10" s="1" t="s">
        <v>1974</v>
      </c>
      <c r="B10" s="193"/>
      <c r="C10" s="193"/>
      <c r="D10" s="1" t="s">
        <v>1997</v>
      </c>
      <c r="E10" s="193"/>
      <c r="F10" s="1" t="s">
        <v>2005</v>
      </c>
      <c r="G10" s="1" t="s">
        <v>2005</v>
      </c>
      <c r="H10" s="193"/>
    </row>
    <row r="11">
      <c r="A11" s="1" t="s">
        <v>1977</v>
      </c>
      <c r="B11" s="193"/>
      <c r="C11" s="193"/>
      <c r="D11" s="1" t="s">
        <v>1997</v>
      </c>
      <c r="E11" s="1" t="s">
        <v>2005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2000</v>
      </c>
      <c r="G12" s="193"/>
      <c r="H12" s="193"/>
    </row>
    <row r="13">
      <c r="A13" s="1" t="s">
        <v>1924</v>
      </c>
      <c r="B13" s="1" t="s">
        <v>2006</v>
      </c>
      <c r="D13" s="193"/>
      <c r="E13" s="193"/>
      <c r="F13" s="1"/>
      <c r="G13" s="1" t="s">
        <v>2000</v>
      </c>
      <c r="H13" s="193"/>
    </row>
    <row r="14">
      <c r="A14" s="1" t="s">
        <v>1989</v>
      </c>
      <c r="B14" s="193"/>
      <c r="F14" s="193"/>
      <c r="G14" s="1" t="s">
        <v>2002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93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93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93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93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93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93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93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93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93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93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93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93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93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93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93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93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93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93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93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93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93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93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93"/>
      <c r="F120" s="1"/>
      <c r="G120" s="1"/>
      <c r="H120" s="1"/>
      <c r="I120" s="1"/>
      <c r="J120" s="1"/>
      <c r="K120" s="193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93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"/>
      <c r="F127" s="1"/>
      <c r="G127" s="1"/>
      <c r="H127" s="1"/>
      <c r="I127" s="1"/>
      <c r="J127" s="1"/>
      <c r="K127" s="193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"/>
      <c r="F128" s="1"/>
      <c r="G128" s="1"/>
      <c r="H128" s="1"/>
      <c r="I128" s="1"/>
      <c r="J128" s="1"/>
      <c r="K128" s="193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"/>
      <c r="B129" s="1"/>
      <c r="C129" s="1"/>
      <c r="D129" s="1"/>
      <c r="E129" s="193"/>
      <c r="F129" s="1"/>
      <c r="G129" s="1"/>
      <c r="H129" s="1"/>
      <c r="I129" s="1"/>
      <c r="J129" s="1"/>
      <c r="K129" s="193"/>
      <c r="L129" s="1"/>
      <c r="M129" s="1"/>
      <c r="N129" s="1"/>
      <c r="O129" s="1"/>
      <c r="P129" s="1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"/>
      <c r="B130" s="194"/>
      <c r="C130" s="1"/>
      <c r="D130" s="1"/>
      <c r="E130" s="193"/>
      <c r="F130" s="1"/>
      <c r="G130" s="1"/>
      <c r="H130" s="1"/>
      <c r="I130" s="1"/>
      <c r="J130" s="1"/>
      <c r="K130" s="193"/>
      <c r="L130" s="1"/>
      <c r="M130" s="1"/>
      <c r="N130" s="1"/>
      <c r="O130" s="1"/>
      <c r="P130" s="1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"/>
      <c r="B131" s="1"/>
      <c r="C131" s="194"/>
      <c r="D131" s="1"/>
      <c r="E131" s="1"/>
      <c r="F131" s="1"/>
      <c r="G131" s="1"/>
      <c r="H131" s="1"/>
      <c r="I131" s="1"/>
      <c r="J131" s="1"/>
      <c r="K131" s="193"/>
      <c r="L131" s="1"/>
      <c r="M131" s="1"/>
      <c r="N131" s="1"/>
      <c r="O131" s="1"/>
      <c r="P131" s="1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"/>
      <c r="B135" s="1"/>
      <c r="C135" s="194"/>
      <c r="D135" s="1"/>
      <c r="E135" s="1"/>
      <c r="F135" s="1"/>
      <c r="G135" s="1"/>
      <c r="H135" s="1"/>
      <c r="I135" s="1"/>
      <c r="J135" s="1"/>
      <c r="K135" s="193"/>
      <c r="L135" s="1"/>
      <c r="M135" s="1"/>
      <c r="N135" s="1"/>
      <c r="O135" s="1"/>
      <c r="P135" s="1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"/>
      <c r="B136" s="1"/>
      <c r="C136" s="194"/>
      <c r="D136" s="1"/>
      <c r="E136" s="193"/>
      <c r="F136" s="1"/>
      <c r="G136" s="1"/>
      <c r="H136" s="1"/>
      <c r="I136" s="1"/>
      <c r="J136" s="1"/>
      <c r="K136" s="193"/>
      <c r="L136" s="1"/>
      <c r="M136" s="1"/>
      <c r="N136" s="1"/>
      <c r="O136" s="1"/>
      <c r="P136" s="1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93"/>
      <c r="L137" s="1"/>
      <c r="M137" s="1"/>
      <c r="N137" s="1"/>
      <c r="O137" s="1"/>
      <c r="P137" s="1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93"/>
      <c r="L138" s="1"/>
      <c r="M138" s="1"/>
      <c r="N138" s="1"/>
      <c r="O138" s="1"/>
      <c r="P138" s="1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"/>
      <c r="B139" s="1"/>
      <c r="C139" s="194"/>
      <c r="D139" s="1"/>
      <c r="E139" s="1"/>
      <c r="F139" s="1"/>
      <c r="G139" s="1"/>
      <c r="H139" s="1"/>
      <c r="I139" s="1"/>
      <c r="J139" s="1"/>
      <c r="K139" s="193"/>
      <c r="L139" s="1"/>
      <c r="M139" s="1"/>
      <c r="N139" s="1"/>
      <c r="O139" s="1"/>
      <c r="P139" s="1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93"/>
      <c r="L140" s="1"/>
      <c r="M140" s="1"/>
      <c r="N140" s="1"/>
      <c r="O140" s="1"/>
      <c r="P140" s="1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"/>
      <c r="B141" s="1"/>
      <c r="C141" s="194"/>
      <c r="D141" s="1"/>
      <c r="E141" s="193"/>
      <c r="F141" s="1"/>
      <c r="G141" s="1"/>
      <c r="H141" s="1"/>
      <c r="I141" s="1"/>
      <c r="J141" s="1"/>
      <c r="K141" s="193"/>
      <c r="L141" s="1"/>
      <c r="M141" s="1"/>
      <c r="N141" s="1"/>
      <c r="O141" s="1"/>
      <c r="P141" s="1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93"/>
      <c r="L143" s="1"/>
      <c r="M143" s="1"/>
      <c r="N143" s="1"/>
      <c r="O143" s="1"/>
      <c r="P143" s="1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"/>
      <c r="B144" s="1"/>
      <c r="C144" s="194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93"/>
      <c r="L145" s="1"/>
      <c r="M145" s="1"/>
      <c r="N145" s="1"/>
      <c r="O145" s="1"/>
      <c r="P145" s="1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"/>
      <c r="B146" s="1"/>
      <c r="C146" s="194"/>
      <c r="D146" s="1"/>
      <c r="E146" s="193"/>
      <c r="F146" s="1"/>
      <c r="G146" s="1"/>
      <c r="H146" s="1"/>
      <c r="I146" s="1"/>
      <c r="J146" s="1"/>
      <c r="K146" s="193"/>
      <c r="L146" s="1"/>
      <c r="M146" s="1"/>
      <c r="N146" s="1"/>
      <c r="O146" s="1"/>
      <c r="P146" s="1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"/>
      <c r="B147" s="1"/>
      <c r="C147" s="1"/>
      <c r="D147" s="1"/>
      <c r="E147" s="193"/>
      <c r="F147" s="1"/>
      <c r="G147" s="1"/>
      <c r="H147" s="1"/>
      <c r="I147" s="1"/>
      <c r="J147" s="1"/>
      <c r="K147" s="193"/>
      <c r="L147" s="1"/>
      <c r="M147" s="1"/>
      <c r="N147" s="1"/>
      <c r="O147" s="1"/>
      <c r="P147" s="1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"/>
      <c r="B149" s="1"/>
      <c r="C149" s="194"/>
      <c r="D149" s="1"/>
      <c r="E149" s="1"/>
      <c r="F149" s="1"/>
      <c r="G149" s="1"/>
      <c r="H149" s="1"/>
      <c r="I149" s="1"/>
      <c r="J149" s="1"/>
      <c r="K149" s="193"/>
      <c r="L149" s="1"/>
      <c r="M149" s="1"/>
      <c r="N149" s="1"/>
      <c r="O149" s="1"/>
      <c r="P149" s="1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"/>
      <c r="B150" s="1"/>
      <c r="C150" s="1"/>
      <c r="D150" s="1"/>
      <c r="E150" s="193"/>
      <c r="F150" s="1"/>
      <c r="G150" s="1"/>
      <c r="H150" s="1"/>
      <c r="I150" s="1"/>
      <c r="J150" s="1"/>
      <c r="K150" s="193"/>
      <c r="L150" s="1"/>
      <c r="M150" s="1"/>
      <c r="N150" s="1"/>
      <c r="O150" s="1"/>
      <c r="P150" s="1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"/>
      <c r="B151" s="1"/>
      <c r="C151" s="194"/>
      <c r="D151" s="1"/>
      <c r="E151" s="1"/>
      <c r="F151" s="1"/>
      <c r="G151" s="1"/>
      <c r="H151" s="1"/>
      <c r="I151" s="1"/>
      <c r="J151" s="1"/>
      <c r="K151" s="193"/>
      <c r="L151" s="1"/>
      <c r="M151" s="1"/>
      <c r="N151" s="1"/>
      <c r="O151" s="1"/>
      <c r="P151" s="1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"/>
      <c r="B152" s="1"/>
      <c r="C152" s="194"/>
      <c r="D152" s="1"/>
      <c r="E152" s="1"/>
      <c r="F152" s="1"/>
      <c r="G152" s="1"/>
      <c r="H152" s="1"/>
      <c r="I152" s="1"/>
      <c r="J152" s="1"/>
      <c r="K152" s="193"/>
      <c r="L152" s="1"/>
      <c r="M152" s="1"/>
      <c r="N152" s="1"/>
      <c r="O152" s="1"/>
      <c r="P152" s="1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"/>
      <c r="B153" s="1"/>
      <c r="C153" s="194"/>
      <c r="D153" s="1"/>
      <c r="E153" s="193"/>
      <c r="F153" s="1"/>
      <c r="G153" s="1"/>
      <c r="H153" s="1"/>
      <c r="I153" s="1"/>
      <c r="J153" s="1"/>
      <c r="K153" s="193"/>
      <c r="L153" s="1"/>
      <c r="M153" s="1"/>
      <c r="N153" s="1"/>
      <c r="O153" s="1"/>
      <c r="P153" s="1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"/>
      <c r="B154" s="194"/>
      <c r="C154" s="1"/>
      <c r="D154" s="1"/>
      <c r="E154" s="1"/>
      <c r="F154" s="1"/>
      <c r="G154" s="1"/>
      <c r="H154" s="1"/>
      <c r="I154" s="1"/>
      <c r="J154" s="1"/>
      <c r="K154" s="193"/>
      <c r="L154" s="1"/>
      <c r="M154" s="1"/>
      <c r="N154" s="1"/>
      <c r="O154" s="1"/>
      <c r="P154" s="1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93"/>
      <c r="L155" s="1"/>
      <c r="M155" s="1"/>
      <c r="N155" s="1"/>
      <c r="O155" s="1"/>
      <c r="P155" s="1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93"/>
      <c r="L156" s="1"/>
      <c r="M156" s="1"/>
      <c r="N156" s="1"/>
      <c r="O156" s="1"/>
      <c r="P156" s="1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"/>
      <c r="B157" s="1"/>
      <c r="C157" s="1"/>
      <c r="D157" s="1"/>
      <c r="E157" s="193"/>
      <c r="F157" s="1"/>
      <c r="G157" s="1"/>
      <c r="H157" s="1"/>
      <c r="I157" s="1"/>
      <c r="J157" s="1"/>
      <c r="K157" s="193"/>
      <c r="L157" s="1"/>
      <c r="M157" s="1"/>
      <c r="N157" s="1"/>
      <c r="O157" s="1"/>
      <c r="P157" s="1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"/>
      <c r="B158" s="1"/>
      <c r="C158" s="1"/>
      <c r="D158" s="1"/>
      <c r="E158" s="193"/>
      <c r="F158" s="1"/>
      <c r="G158" s="1"/>
      <c r="H158" s="1"/>
      <c r="I158" s="1"/>
      <c r="J158" s="1"/>
      <c r="K158" s="193"/>
      <c r="L158" s="1"/>
      <c r="M158" s="1"/>
      <c r="N158" s="1"/>
      <c r="O158" s="1"/>
      <c r="P158" s="1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"/>
      <c r="B160" s="1"/>
      <c r="C160" s="1"/>
      <c r="D160" s="1"/>
      <c r="E160" s="193"/>
      <c r="F160" s="1"/>
      <c r="G160" s="1"/>
      <c r="H160" s="1"/>
      <c r="I160" s="1"/>
      <c r="J160" s="1"/>
      <c r="K160" s="193"/>
      <c r="L160" s="1"/>
      <c r="M160" s="1"/>
      <c r="N160" s="1"/>
      <c r="O160" s="1"/>
      <c r="P160" s="1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"/>
      <c r="B161" s="1"/>
      <c r="C161" s="1"/>
      <c r="D161" s="1"/>
      <c r="E161" s="193"/>
      <c r="F161" s="1"/>
      <c r="G161" s="1"/>
      <c r="H161" s="1"/>
      <c r="I161" s="1"/>
      <c r="J161" s="1"/>
      <c r="K161" s="193"/>
      <c r="L161" s="1"/>
      <c r="M161" s="1"/>
      <c r="N161" s="1"/>
      <c r="O161" s="1"/>
      <c r="P161" s="1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"/>
      <c r="B162" s="1"/>
      <c r="C162" s="1"/>
      <c r="D162" s="1"/>
      <c r="E162" s="193"/>
      <c r="F162" s="1"/>
      <c r="G162" s="1"/>
      <c r="H162" s="1"/>
      <c r="I162" s="1"/>
      <c r="J162" s="1"/>
      <c r="K162" s="193"/>
      <c r="L162" s="1"/>
      <c r="M162" s="1"/>
      <c r="N162" s="1"/>
      <c r="O162" s="1"/>
      <c r="P162" s="1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"/>
      <c r="B164" s="1"/>
      <c r="C164" s="1"/>
      <c r="D164" s="1"/>
      <c r="E164" s="193"/>
      <c r="F164" s="1"/>
      <c r="G164" s="1"/>
      <c r="H164" s="1"/>
      <c r="I164" s="1"/>
      <c r="J164" s="1"/>
      <c r="K164" s="193"/>
      <c r="L164" s="1"/>
      <c r="M164" s="1"/>
      <c r="N164" s="1"/>
      <c r="O164" s="1"/>
      <c r="P164" s="1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93"/>
      <c r="L165" s="1"/>
      <c r="M165" s="1"/>
      <c r="N165" s="1"/>
      <c r="O165" s="1"/>
      <c r="P165" s="1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"/>
      <c r="B166" s="1"/>
      <c r="C166" s="1"/>
      <c r="D166" s="1"/>
      <c r="E166" s="193"/>
      <c r="F166" s="1"/>
      <c r="G166" s="1"/>
      <c r="H166" s="1"/>
      <c r="I166" s="1"/>
      <c r="J166" s="1"/>
      <c r="K166" s="193"/>
      <c r="L166" s="1"/>
      <c r="M166" s="1"/>
      <c r="N166" s="1"/>
      <c r="O166" s="1"/>
      <c r="P166" s="1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"/>
      <c r="B168" s="1"/>
      <c r="C168" s="1"/>
      <c r="D168" s="1"/>
      <c r="E168" s="193"/>
      <c r="F168" s="1"/>
      <c r="G168" s="1"/>
      <c r="H168" s="1"/>
      <c r="I168" s="1"/>
      <c r="J168" s="1"/>
      <c r="K168" s="193"/>
      <c r="L168" s="1"/>
      <c r="M168" s="1"/>
      <c r="N168" s="1"/>
      <c r="O168" s="1"/>
      <c r="P168" s="1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93"/>
      <c r="L170" s="1"/>
      <c r="M170" s="1"/>
      <c r="N170" s="1"/>
      <c r="O170" s="1"/>
      <c r="P170" s="1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"/>
      <c r="B171" s="1"/>
      <c r="C171" s="194"/>
      <c r="D171" s="1"/>
      <c r="E171" s="1"/>
      <c r="F171" s="1"/>
      <c r="G171" s="1"/>
      <c r="H171" s="1"/>
      <c r="I171" s="1"/>
      <c r="J171" s="1"/>
      <c r="K171" s="193"/>
      <c r="L171" s="1"/>
      <c r="M171" s="1"/>
      <c r="N171" s="1"/>
      <c r="O171" s="1"/>
      <c r="P171" s="1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"/>
      <c r="B172" s="1"/>
      <c r="C172" s="1"/>
      <c r="D172" s="1"/>
      <c r="E172" s="193"/>
      <c r="F172" s="1"/>
      <c r="G172" s="1"/>
      <c r="H172" s="1"/>
      <c r="I172" s="1"/>
      <c r="J172" s="1"/>
      <c r="K172" s="193"/>
      <c r="L172" s="1"/>
      <c r="M172" s="1"/>
      <c r="N172" s="1"/>
      <c r="O172" s="1"/>
      <c r="P172" s="1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"/>
      <c r="B174" s="1"/>
      <c r="C174" s="1"/>
      <c r="D174" s="1"/>
      <c r="E174" s="193"/>
      <c r="F174" s="1"/>
      <c r="G174" s="1"/>
      <c r="H174" s="1"/>
      <c r="I174" s="1"/>
      <c r="J174" s="1"/>
      <c r="K174" s="193"/>
      <c r="L174" s="1"/>
      <c r="M174" s="1"/>
      <c r="N174" s="1"/>
      <c r="O174" s="1"/>
      <c r="P174" s="1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"/>
      <c r="B175" s="1"/>
      <c r="C175" s="1"/>
      <c r="D175" s="1"/>
      <c r="E175" s="193"/>
      <c r="F175" s="1"/>
      <c r="G175" s="1"/>
      <c r="H175" s="1"/>
      <c r="I175" s="1"/>
      <c r="J175" s="1"/>
      <c r="K175" s="193"/>
      <c r="L175" s="1"/>
      <c r="M175" s="1"/>
      <c r="N175" s="1"/>
      <c r="O175" s="1"/>
      <c r="P175" s="1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"/>
      <c r="B176" s="1"/>
      <c r="C176" s="194"/>
      <c r="D176" s="1"/>
      <c r="E176" s="1"/>
      <c r="F176" s="1"/>
      <c r="G176" s="1"/>
      <c r="H176" s="1"/>
      <c r="I176" s="1"/>
      <c r="J176" s="1"/>
      <c r="K176" s="193"/>
      <c r="L176" s="1"/>
      <c r="M176" s="1"/>
      <c r="N176" s="1"/>
      <c r="O176" s="1"/>
      <c r="P176" s="1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"/>
      <c r="B177" s="1"/>
      <c r="C177" s="1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2007</v>
      </c>
      <c r="B4" s="200" t="s">
        <v>2008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IFERROR(__xludf.DUMMYFUNCTION("""COMPUTED_VALUE"""),"Zličín")</f>
        <v>Zličín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IFERROR(__xludf.DUMMYFUNCTION("""COMPUTED_VALUE"""),"Bolevec")</f>
        <v>Bolevec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>Židek Petr</v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>Weindling Josef</v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