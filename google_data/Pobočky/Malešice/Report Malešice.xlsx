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<sst xmlns="http://schemas.openxmlformats.org/spreadsheetml/2006/main" count="6938" uniqueCount="2016">
  <si>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</si>
  <si>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</si>
  <si>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</si>
  <si>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</si>
  <si>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</si>
  <si>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</si>
  <si>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</si>
  <si>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</si>
  <si>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</si>
  <si>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</si>
  <si>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</si>
  <si>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</si>
  <si>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</si>
  <si>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</si>
  <si>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</si>
  <si>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</si>
  <si>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</si>
  <si>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</si>
  <si>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</si>
  <si>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</si>
  <si>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</si>
  <si>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</si>
  <si>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</si>
  <si>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</si>
  <si>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</si>
  <si>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</si>
  <si>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</si>
  <si>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</si>
  <si>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</si>
  <si>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</si>
  <si>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</si>
  <si>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</si>
  <si>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</si>
  <si>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</si>
  <si>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</si>
  <si>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</si>
  <si>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</si>
  <si>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</si>
  <si>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</si>
  <si>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</si>
  <si>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</si>
  <si>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</si>
  <si>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</si>
  <si>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</si>
  <si>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</si>
  <si>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</si>
  <si>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</si>
  <si>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</si>
  <si>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</si>
  <si>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</si>
  <si>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</si>
  <si>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</si>
  <si>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</si>
  <si>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</si>
  <si>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</si>
  <si>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</si>
  <si>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</si>
  <si>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</si>
  <si>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</si>
  <si>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</si>
  <si>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</si>
  <si>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</si>
  <si>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</si>
  <si>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</si>
  <si>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</si>
  <si>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</si>
  <si>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</si>
  <si>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</si>
  <si>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</si>
  <si>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</si>
  <si>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</si>
  <si>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</si>
  <si>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</si>
  <si>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</si>
  <si>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</si>
  <si>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</si>
  <si>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</si>
  <si>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</si>
  <si>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</si>
  <si>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</si>
  <si>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</si>
  <si>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</si>
  <si>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</si>
  <si>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</si>
  <si>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</si>
  <si>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</si>
  <si>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</si>
  <si>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</si>
  <si>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</si>
  <si>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</si>
  <si>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</si>
  <si>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</si>
  <si>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</si>
  <si>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</si>
  <si>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</si>
  <si>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</si>
  <si>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</si>
  <si>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</si>
  <si>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</si>
  <si>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</si>
  <si>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</si>
  <si>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</si>
  <si>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</si>
  <si>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</si>
  <si>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</si>
  <si>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</si>
  <si>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</si>
  <si>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</si>
  <si>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</si>
  <si>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</si>
  <si>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</si>
  <si>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</si>
  <si>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</si>
  <si>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</si>
  <si>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</si>
  <si>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</si>
  <si>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</si>
  <si>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</si>
  <si>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</si>
  <si>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</si>
  <si>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</si>
  <si>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</si>
  <si>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</si>
  <si>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</si>
  <si>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</si>
  <si>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</si>
  <si>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</si>
  <si>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</si>
  <si>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</si>
  <si>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</si>
  <si>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</si>
  <si>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</si>
  <si>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</si>
  <si>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</si>
  <si>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</si>
  <si>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</si>
  <si>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</si>
  <si>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</si>
  <si>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</si>
  <si>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</si>
  <si>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</si>
  <si>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</si>
  <si>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</si>
  <si>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</si>
  <si>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</si>
  <si>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</si>
  <si>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</si>
  <si>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</si>
  <si>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</si>
  <si>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</si>
  <si>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</si>
  <si>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</si>
  <si>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</si>
  <si>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</si>
  <si>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</si>
  <si>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</si>
  <si>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</si>
  <si>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</si>
  <si>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</si>
  <si>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</si>
  <si>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</si>
  <si>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</si>
  <si>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</si>
  <si>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</si>
  <si>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</si>
  <si>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</si>
  <si>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</si>
  <si>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</si>
  <si>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</si>
  <si>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</si>
  <si>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</si>
  <si>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</si>
  <si>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</si>
  <si>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</si>
  <si>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</si>
  <si>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</si>
  <si>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</si>
  <si>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</si>
  <si>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</si>
  <si>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</si>
  <si>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</si>
  <si>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</si>
  <si>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</si>
  <si>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</si>
  <si>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</si>
  <si>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</si>
  <si>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</si>
  <si>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</si>
  <si>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</si>
  <si>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</si>
  <si>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</si>
  <si>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</si>
  <si>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</si>
  <si>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</si>
  <si>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</si>
  <si>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</si>
  <si>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</si>
  <si>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</si>
  <si>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</si>
  <si>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</si>
  <si>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</si>
  <si>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</si>
  <si>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</si>
  <si>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</si>
  <si>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</si>
  <si>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</si>
  <si>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</si>
  <si>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</si>
  <si>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</si>
  <si>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</si>
  <si>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</si>
  <si>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</si>
  <si>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</si>
  <si>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</si>
  <si>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</si>
  <si>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</si>
  <si>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</si>
  <si>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</si>
  <si>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</si>
  <si>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</si>
  <si>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</si>
  <si>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</si>
  <si>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</si>
  <si>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</si>
  <si>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</si>
  <si>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</si>
  <si>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</si>
  <si>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</si>
  <si>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</si>
  <si>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</si>
  <si>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</si>
  <si>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</si>
  <si>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</si>
  <si>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</si>
  <si>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</si>
  <si>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</si>
  <si>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</si>
  <si>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</si>
  <si>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</si>
  <si>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</si>
  <si>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</si>
  <si>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</si>
  <si>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</si>
  <si>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</si>
  <si>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</si>
  <si>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</si>
  <si>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</si>
  <si>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</si>
  <si>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</si>
  <si>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</si>
  <si>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</si>
  <si>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</si>
  <si>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</si>
  <si>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</si>
  <si>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</si>
  <si>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</si>
  <si>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</si>
  <si>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</si>
  <si>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</si>
  <si>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</si>
  <si>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</si>
  <si>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</si>
  <si>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</si>
  <si>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</si>
  <si>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</si>
  <si>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</si>
  <si>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</si>
  <si>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</si>
  <si>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</si>
  <si>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</si>
  <si>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</si>
  <si>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</si>
  <si>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</si>
  <si>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</si>
  <si>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</si>
  <si>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</si>
  <si>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</si>
  <si>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</si>
  <si>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</si>
  <si>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</si>
  <si>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</si>
  <si>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</si>
  <si>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</si>
  <si>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</si>
  <si>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</si>
  <si>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</si>
  <si>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</si>
  <si>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</si>
  <si>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</si>
  <si>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</si>
  <si>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</si>
  <si>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</si>
  <si>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</si>
  <si>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</si>
  <si>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</si>
  <si>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</si>
  <si>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</si>
  <si>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</si>
  <si>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</si>
  <si>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</si>
  <si>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</si>
  <si>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</si>
  <si>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</si>
  <si>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</si>
  <si>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</si>
  <si>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</si>
  <si>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</si>
  <si>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</si>
  <si>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</si>
  <si>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</si>
  <si>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</si>
  <si>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</si>
  <si>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</si>
  <si>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</si>
  <si>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</si>
  <si>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</si>
  <si>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</si>
  <si>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</si>
  <si>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</si>
  <si>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</si>
  <si>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</si>
  <si>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</si>
  <si>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</si>
  <si>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</si>
  <si>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</si>
  <si>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</si>
  <si>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</si>
  <si>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</si>
  <si>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</si>
  <si>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</si>
  <si>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</si>
  <si>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</si>
  <si>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</si>
  <si>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</si>
  <si>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</si>
  <si>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</si>
  <si>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</si>
  <si>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</si>
  <si>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</si>
  <si>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</si>
  <si>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</si>
  <si>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</si>
  <si>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</si>
  <si>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</si>
  <si>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</si>
  <si>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</si>
  <si>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</si>
  <si>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</si>
  <si>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</si>
  <si>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</si>
  <si>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</si>
  <si>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</si>
  <si>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</si>
  <si>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</si>
  <si>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</si>
  <si>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</si>
  <si>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</si>
  <si>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</si>
  <si>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</si>
  <si>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</si>
  <si>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</si>
  <si>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</si>
  <si>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</si>
  <si>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</si>
  <si>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</si>
  <si>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</si>
  <si>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</si>
  <si>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</si>
  <si>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</si>
  <si>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</si>
  <si>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</si>
  <si>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</si>
  <si>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</si>
  <si>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</si>
  <si>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</si>
  <si>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</si>
  <si>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</si>
  <si>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</si>
  <si>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</si>
  <si>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</si>
  <si>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</si>
  <si>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</si>
  <si>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</si>
  <si>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</si>
  <si>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</si>
  <si>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</si>
  <si>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</si>
  <si>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</si>
  <si>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</si>
  <si>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</si>
  <si>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</si>
  <si>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</si>
  <si>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</si>
  <si>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</si>
  <si>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</si>
  <si>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</si>
  <si>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</si>
  <si>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</si>
  <si>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</si>
  <si>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</si>
  <si>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</si>
  <si>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</si>
  <si>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</si>
  <si>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</si>
  <si>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</si>
  <si>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</si>
  <si>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</si>
  <si>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</si>
  <si>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</si>
  <si>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</si>
  <si>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</si>
  <si>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</si>
  <si>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</si>
  <si>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</si>
  <si>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</si>
  <si>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</si>
  <si>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</si>
  <si>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</si>
  <si>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</si>
  <si>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</si>
  <si>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</si>
  <si>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</si>
  <si>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</si>
  <si>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</si>
  <si>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</si>
  <si>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</si>
  <si>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</si>
  <si>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</si>
  <si>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</si>
  <si>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</si>
  <si>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</si>
  <si>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</si>
  <si>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</si>
  <si>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</si>
  <si>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</si>
  <si>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</si>
  <si>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</si>
  <si>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</si>
  <si>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</si>
  <si>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</si>
  <si>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</si>
  <si>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</si>
  <si>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</si>
  <si>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</si>
  <si>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</si>
  <si>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</si>
  <si>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</si>
  <si>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</si>
  <si>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</si>
  <si>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</si>
  <si>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</si>
  <si>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</si>
  <si>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</si>
  <si>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</si>
  <si>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</si>
  <si>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</si>
  <si>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</si>
  <si>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</si>
  <si>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</si>
  <si>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</si>
  <si>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</si>
  <si>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</si>
  <si>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</si>
  <si>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</si>
  <si>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</si>
  <si>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</si>
  <si>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</si>
  <si>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</si>
  <si>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</si>
  <si>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</si>
  <si>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</si>
  <si>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</si>
  <si>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</si>
  <si>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</si>
  <si>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</si>
  <si>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</si>
  <si>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</si>
  <si>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</si>
  <si>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</si>
  <si>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</si>
  <si>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</si>
  <si>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</si>
  <si>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</si>
  <si>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</si>
  <si>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</si>
  <si>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</si>
  <si>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</si>
  <si>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</si>
  <si>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</si>
  <si>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</si>
  <si>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</si>
  <si>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</si>
  <si>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</si>
  <si>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</si>
  <si>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</si>
  <si>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</si>
  <si>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</si>
  <si>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</si>
  <si>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</si>
  <si>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</si>
  <si>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</si>
  <si>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</si>
  <si>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</si>
  <si>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</si>
  <si>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</si>
  <si>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</si>
  <si>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</si>
  <si>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</si>
  <si>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</si>
  <si>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</si>
  <si>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</si>
  <si>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</si>
  <si>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</si>
  <si>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</si>
  <si>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</si>
  <si>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</si>
  <si>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</si>
  <si>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</si>
  <si>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</si>
  <si>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</si>
  <si>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</si>
  <si>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</si>
  <si>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</si>
  <si>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</si>
  <si>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</si>
  <si>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</si>
  <si>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</si>
  <si>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</si>
  <si>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</si>
  <si>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</si>
  <si>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</si>
  <si>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</si>
  <si>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</si>
  <si>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</si>
  <si>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</si>
  <si>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</si>
  <si>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</si>
  <si>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</si>
  <si>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</si>
  <si>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</si>
  <si>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</si>
  <si>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</si>
  <si>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</si>
  <si>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</si>
  <si>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</si>
  <si>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</si>
  <si>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</si>
  <si>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</si>
  <si>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</si>
  <si>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</si>
  <si>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</si>
  <si>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</si>
  <si>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</si>
  <si>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</si>
  <si>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</si>
  <si>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</si>
  <si>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</si>
  <si>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</si>
  <si>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</si>
  <si>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</si>
  <si>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</si>
  <si>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</si>
  <si>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</si>
  <si>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</si>
  <si>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</si>
  <si>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</si>
  <si>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</si>
  <si>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</si>
  <si>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</si>
  <si>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</si>
  <si>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</si>
  <si>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</si>
  <si>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</si>
  <si>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</si>
  <si>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</si>
  <si>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</si>
  <si>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</si>
  <si>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</si>
  <si>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</si>
  <si>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</si>
  <si>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</si>
  <si>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</si>
  <si>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</si>
  <si>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</si>
  <si>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</si>
  <si>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</si>
  <si>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</si>
  <si>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</si>
  <si>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</si>
  <si>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</si>
  <si>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</si>
  <si>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</si>
  <si>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</si>
  <si>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</si>
  <si>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</si>
  <si>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</si>
  <si>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</si>
  <si>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</si>
  <si>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</si>
  <si>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</si>
  <si>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</si>
  <si>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</si>
  <si>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</si>
  <si>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</si>
  <si>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</si>
  <si>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</si>
  <si>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</si>
  <si>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</si>
  <si>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</si>
  <si>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</si>
  <si>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</si>
  <si>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</si>
  <si>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</si>
  <si>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</si>
  <si>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</si>
  <si>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</si>
  <si>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</si>
  <si>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</si>
  <si>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</si>
  <si>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</si>
  <si>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</si>
  <si>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</si>
  <si>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</si>
  <si>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</si>
  <si>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</si>
  <si>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</si>
  <si>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</si>
  <si>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</si>
  <si>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</si>
  <si>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</si>
  <si>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</si>
  <si>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</si>
  <si>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</si>
  <si>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</si>
  <si>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</si>
  <si>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</si>
  <si>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</si>
  <si>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</si>
  <si>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</si>
  <si>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</si>
  <si>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</si>
  <si>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</si>
  <si>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</si>
  <si>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</si>
  <si>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</si>
  <si>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</si>
  <si>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</si>
  <si>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</si>
  <si>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</si>
  <si>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</si>
  <si>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</si>
  <si>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</si>
  <si>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</si>
  <si>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</si>
  <si>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</si>
  <si>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</si>
  <si>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</si>
  <si>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</si>
  <si>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</si>
  <si>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</si>
  <si>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</si>
  <si>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</si>
  <si>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</si>
  <si>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</si>
  <si>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</si>
  <si>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</si>
  <si>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</si>
  <si>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</si>
  <si>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</si>
  <si>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</si>
  <si>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</si>
  <si>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</si>
  <si>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</si>
  <si>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</si>
  <si>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</si>
  <si>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</si>
  <si>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</si>
  <si>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</si>
  <si>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</si>
  <si>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</si>
  <si>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</si>
  <si>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</si>
  <si>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</si>
  <si>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</si>
  <si>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</si>
  <si>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</si>
  <si>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</si>
  <si>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</si>
  <si>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</si>
  <si>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</si>
  <si>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</si>
  <si>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</si>
  <si>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</si>
  <si>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</si>
  <si>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</si>
  <si>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</si>
  <si>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</si>
  <si>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</si>
  <si>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</si>
  <si>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</si>
  <si>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</si>
  <si>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</si>
  <si>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</si>
  <si>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</si>
  <si>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</si>
  <si>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</si>
  <si>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</si>
  <si>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</si>
  <si>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</si>
  <si>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</si>
  <si>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</si>
  <si>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</si>
  <si>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</si>
  <si>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</si>
  <si>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</si>
  <si>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</si>
  <si>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</si>
  <si>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</si>
  <si>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</si>
  <si>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</si>
  <si>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</si>
  <si>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</si>
  <si>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</si>
  <si>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</si>
  <si>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</si>
  <si>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</si>
  <si>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</si>
  <si>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</si>
  <si>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</si>
  <si>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</si>
  <si>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</si>
  <si>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</si>
  <si>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</si>
  <si>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</si>
  <si>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</si>
  <si>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</si>
  <si>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</si>
  <si>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</si>
  <si>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</si>
  <si>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</si>
  <si>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</si>
  <si>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</si>
  <si>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</si>
  <si>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</si>
  <si>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</si>
  <si>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</si>
  <si>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</si>
  <si>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</si>
  <si>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</si>
  <si>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</si>
  <si>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</si>
  <si>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</si>
  <si>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</si>
  <si>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</si>
  <si>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</si>
  <si>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</si>
  <si>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</si>
  <si>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</si>
  <si>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</si>
  <si>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</si>
  <si>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</si>
  <si>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</si>
  <si>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</si>
  <si>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</si>
  <si>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</si>
  <si>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</si>
  <si>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</si>
  <si>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</si>
  <si>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</si>
  <si>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</si>
  <si>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</si>
  <si>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</si>
  <si>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</si>
  <si>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</si>
  <si>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</si>
  <si>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</si>
  <si>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</si>
  <si>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</si>
  <si>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</si>
  <si>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</si>
  <si>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</si>
  <si>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</si>
  <si>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</si>
  <si>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</si>
  <si>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</si>
  <si>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</si>
  <si>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</si>
  <si>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</si>
  <si>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</si>
  <si>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</si>
  <si>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</si>
  <si>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</si>
  <si>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</si>
  <si>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</si>
  <si>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</si>
  <si>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</si>
  <si>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</si>
  <si>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</si>
  <si>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</si>
  <si>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</si>
  <si>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</si>
  <si>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</si>
  <si>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</si>
  <si>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</si>
  <si>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</si>
  <si>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</si>
  <si>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</si>
  <si>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</si>
  <si>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</si>
  <si>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</si>
  <si>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</si>
  <si>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</si>
  <si>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</si>
  <si>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</si>
  <si>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</si>
  <si>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</si>
  <si>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</si>
  <si>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</si>
  <si>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</si>
  <si>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</si>
  <si>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</si>
  <si>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</si>
  <si>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</si>
  <si>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</si>
  <si>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</si>
  <si>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</si>
  <si>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</si>
  <si>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</si>
  <si>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</si>
  <si>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</si>
  <si>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</si>
  <si>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</si>
  <si>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</si>
  <si>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</si>
  <si>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</si>
  <si>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</si>
  <si>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</si>
  <si>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</si>
  <si>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</si>
  <si>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</si>
  <si>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</si>
  <si>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</si>
  <si>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</si>
  <si>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</si>
  <si>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</si>
  <si>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</si>
  <si>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</si>
  <si>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</si>
  <si>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</si>
  <si>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</si>
  <si>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</si>
  <si>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</si>
  <si>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</si>
  <si>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</si>
  <si>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</si>
  <si>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</si>
  <si>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</si>
  <si>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</si>
  <si>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</si>
  <si>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</si>
  <si>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</si>
  <si>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</si>
  <si>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</si>
  <si>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</si>
  <si>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</si>
  <si>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</si>
  <si>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</si>
  <si>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</si>
  <si>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</si>
  <si>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</si>
  <si>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</si>
  <si>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</si>
  <si>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</si>
  <si>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</si>
  <si>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</si>
  <si>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</si>
  <si>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</si>
  <si>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</si>
  <si>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</si>
  <si>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</si>
  <si>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</si>
  <si>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</si>
  <si>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</si>
  <si>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</si>
  <si>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</si>
  <si>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</si>
  <si>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</si>
  <si>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</si>
  <si>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</si>
  <si>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</si>
  <si>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</si>
  <si>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</si>
  <si>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</si>
  <si>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</si>
  <si>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</si>
  <si>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</si>
  <si>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</si>
  <si>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</si>
  <si>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</si>
  <si>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</si>
  <si>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</si>
  <si>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</si>
  <si>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</si>
  <si>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</si>
  <si>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</si>
  <si>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</si>
  <si>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</si>
  <si>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</si>
  <si>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</si>
  <si>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</si>
  <si>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</si>
  <si>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</si>
  <si>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</si>
  <si>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</si>
  <si>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</si>
  <si>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</si>
  <si>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</si>
  <si>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</si>
  <si>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</si>
  <si>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</si>
  <si>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</si>
  <si>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</si>
  <si>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</si>
  <si>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</si>
  <si>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</si>
  <si>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</si>
  <si>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</si>
  <si>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</si>
  <si>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</si>
  <si>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</si>
  <si>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</si>
  <si>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</si>
  <si>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</si>
  <si>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</si>
  <si>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</si>
  <si>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</si>
  <si>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</si>
  <si>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</si>
  <si>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</si>
  <si>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</si>
  <si>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</si>
  <si>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</si>
  <si>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</si>
  <si>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</si>
  <si>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</si>
  <si>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</si>
  <si>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</si>
  <si>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</si>
  <si>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</si>
  <si>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</si>
  <si>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</si>
  <si>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</si>
  <si>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</si>
  <si>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</si>
  <si>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</si>
  <si>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</si>
  <si>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</si>
  <si>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</si>
  <si>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</si>
  <si>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</si>
  <si>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</si>
  <si>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</si>
  <si>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</si>
  <si>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</si>
  <si>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</si>
  <si>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</si>
  <si>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</si>
  <si>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</si>
  <si>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</si>
  <si>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</si>
  <si>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</si>
  <si>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</si>
  <si>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</si>
  <si>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</si>
  <si>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</si>
  <si>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</si>
  <si>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</si>
  <si>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</si>
  <si>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</si>
  <si>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</si>
  <si>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</si>
  <si>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</si>
  <si>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</si>
  <si>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</si>
  <si>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</si>
  <si>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</si>
  <si>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</si>
  <si>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</si>
  <si>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</si>
  <si>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</si>
  <si>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</si>
  <si>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</si>
  <si>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</si>
  <si>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</si>
  <si>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</si>
  <si>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</si>
  <si>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</si>
  <si>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</si>
  <si>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</si>
  <si>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</si>
  <si>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</si>
  <si>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</si>
  <si>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</si>
  <si>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</si>
  <si>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</si>
  <si>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</si>
  <si>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</si>
  <si>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</si>
  <si>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</si>
  <si>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</si>
  <si>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</si>
  <si>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</si>
  <si>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</si>
  <si>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</si>
  <si>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</si>
  <si>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</si>
  <si>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</si>
  <si>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</si>
  <si>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</si>
  <si>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</si>
  <si>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</si>
  <si>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</si>
  <si>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</si>
  <si>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</si>
  <si>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</si>
  <si>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</si>
  <si>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</si>
  <si>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</si>
  <si>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</si>
  <si>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</si>
  <si>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</si>
  <si>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</si>
  <si>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</si>
  <si>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</si>
  <si>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</si>
  <si>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</si>
  <si>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</si>
  <si>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</si>
  <si>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</si>
  <si>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</si>
  <si>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</si>
  <si>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</si>
  <si>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</si>
  <si>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</si>
  <si>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</si>
  <si>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</si>
  <si>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</si>
  <si>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</si>
  <si>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</si>
  <si>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</si>
  <si>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</si>
  <si>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</si>
  <si>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</si>
  <si>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</si>
  <si>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</si>
  <si>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</si>
  <si>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</si>
  <si>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</si>
  <si>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</si>
  <si>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</si>
  <si>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</si>
  <si>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</si>
  <si>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</si>
  <si>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</si>
  <si>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</si>
  <si>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</si>
  <si>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</si>
  <si>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</si>
  <si>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</si>
  <si>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</si>
  <si>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</si>
  <si>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</si>
  <si>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</si>
  <si>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</si>
  <si>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</si>
  <si>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</si>
  <si>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</si>
  <si>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</si>
  <si>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</si>
  <si>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</si>
  <si>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</si>
  <si>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</si>
  <si>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</si>
  <si>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</si>
  <si>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</si>
  <si>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</si>
  <si>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</si>
  <si>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</si>
  <si>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</si>
  <si>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</si>
  <si>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</si>
  <si>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</si>
  <si>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</si>
  <si>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</si>
  <si>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</si>
  <si>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</si>
  <si>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</si>
  <si>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</si>
  <si>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</si>
  <si>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</si>
  <si>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</si>
  <si>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</si>
  <si>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</si>
  <si>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</si>
  <si>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</si>
  <si>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</si>
  <si>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</si>
  <si>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</si>
  <si>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</si>
  <si>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</si>
  <si>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</si>
  <si>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</si>
  <si>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</si>
  <si>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</si>
  <si>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</si>
  <si>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</si>
  <si>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</si>
  <si>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</si>
  <si>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</si>
  <si>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</si>
  <si>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</si>
  <si>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</si>
  <si>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</si>
  <si>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</si>
  <si>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</si>
  <si>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</si>
  <si>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</si>
  <si>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</si>
  <si>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</si>
  <si>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</si>
  <si>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</si>
  <si>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</si>
  <si>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</si>
  <si>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</si>
  <si>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</si>
  <si>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</si>
  <si>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</si>
  <si>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</si>
  <si>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</si>
  <si>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</si>
  <si>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</si>
  <si>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</si>
  <si>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</si>
  <si>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</si>
  <si>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</si>
  <si>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</si>
  <si>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</si>
  <si>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</si>
  <si>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</si>
  <si>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</si>
  <si>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</si>
  <si>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</si>
  <si>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</si>
  <si>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</si>
  <si>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</si>
  <si>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</si>
  <si>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</si>
  <si>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</si>
  <si>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</si>
  <si>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</si>
  <si>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</si>
  <si>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</si>
  <si>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</si>
  <si>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</si>
  <si>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</si>
  <si>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</si>
  <si>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</si>
  <si>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</si>
  <si>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</si>
  <si>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</si>
  <si>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</si>
  <si>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</si>
  <si>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</si>
  <si>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</si>
  <si>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</si>
  <si>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</si>
  <si>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</si>
  <si>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</si>
  <si>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</si>
  <si>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</si>
  <si>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</si>
  <si>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</si>
  <si>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</si>
  <si>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</si>
  <si>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</si>
  <si>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</si>
  <si>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</si>
  <si>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</si>
  <si>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</si>
  <si>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</si>
  <si>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</si>
  <si>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</si>
  <si>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</si>
  <si>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</si>
  <si>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</si>
  <si>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</si>
  <si>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</si>
  <si>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</si>
  <si>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</si>
  <si>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</si>
  <si>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</si>
  <si>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</si>
  <si>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</si>
  <si>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</si>
  <si>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</si>
  <si>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</si>
  <si>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</si>
  <si>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</si>
  <si>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</si>
  <si>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</si>
  <si>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</si>
  <si>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</si>
  <si>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</si>
  <si>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</si>
  <si>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</si>
  <si>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</si>
  <si>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</si>
  <si>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</si>
  <si>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</si>
  <si>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</si>
  <si>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</si>
  <si>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</si>
  <si>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</si>
  <si>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</si>
  <si>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</si>
  <si>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</si>
  <si>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</si>
  <si>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</si>
  <si>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</si>
  <si>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</si>
  <si>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</si>
  <si>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</si>
  <si>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</si>
  <si>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</si>
  <si>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</si>
  <si>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</si>
  <si>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</si>
  <si>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</si>
  <si>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</si>
  <si>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</si>
  <si>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</si>
  <si>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</si>
  <si>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</si>
  <si>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</si>
  <si>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</si>
  <si>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</si>
  <si>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</si>
  <si>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</si>
  <si>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</si>
  <si>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</si>
  <si>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</si>
  <si>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</si>
  <si>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</si>
  <si>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</si>
  <si>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</si>
  <si>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</si>
  <si>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</si>
  <si>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</si>
  <si>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</si>
  <si>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</si>
  <si>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</si>
  <si>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</si>
  <si>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</si>
  <si>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</si>
  <si>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</si>
  <si>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</si>
  <si>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</si>
  <si>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</si>
  <si>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</si>
  <si>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</si>
  <si>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</si>
  <si>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</si>
  <si>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</si>
  <si>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</si>
  <si>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</si>
  <si>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</si>
  <si>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</si>
  <si>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</si>
  <si>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</si>
  <si>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</si>
  <si>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</si>
  <si>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</si>
  <si>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</si>
  <si>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</si>
  <si>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</si>
  <si>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</si>
  <si>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</si>
  <si>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</si>
  <si>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</si>
  <si>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</si>
  <si>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</si>
  <si>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</si>
  <si>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</si>
  <si>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</si>
  <si>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</si>
  <si>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</si>
  <si>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</si>
  <si>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</si>
  <si>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</si>
  <si>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</si>
  <si>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</si>
  <si>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</si>
  <si>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</si>
  <si>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</si>
  <si>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</si>
  <si>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</si>
  <si>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</si>
  <si>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</si>
  <si>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</si>
  <si>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</si>
  <si>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</si>
  <si>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</si>
  <si>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</si>
  <si>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</si>
  <si>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</si>
  <si>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</si>
  <si>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</si>
  <si>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</si>
  <si>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</si>
  <si>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</si>
  <si>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</si>
  <si>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</si>
  <si>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</si>
  <si>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</si>
  <si>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</si>
  <si>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</si>
  <si>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</si>
  <si>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</si>
  <si>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</si>
  <si>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</si>
  <si>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</si>
  <si>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</si>
  <si>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</si>
  <si>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</si>
  <si>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</si>
  <si>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</si>
  <si>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</si>
  <si>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</si>
  <si>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</si>
  <si>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</si>
  <si>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</si>
  <si>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</si>
  <si>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</si>
  <si>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</si>
  <si>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</si>
  <si>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</si>
  <si>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</si>
  <si>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</si>
  <si>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</si>
  <si>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</si>
  <si>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</si>
  <si>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</si>
  <si>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</si>
  <si>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</si>
  <si>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</si>
  <si>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</si>
  <si>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</si>
  <si>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</si>
  <si>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</si>
  <si>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</si>
  <si>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</si>
  <si>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</si>
  <si>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</si>
  <si>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</si>
  <si>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</si>
  <si>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</si>
  <si>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</si>
  <si>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</si>
  <si>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</si>
  <si>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</si>
  <si>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</si>
  <si>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</si>
  <si>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</si>
  <si>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</si>
  <si>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</si>
  <si>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</si>
  <si>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</si>
  <si>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</si>
  <si>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</si>
  <si>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</si>
  <si>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</si>
  <si>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</si>
  <si>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</si>
  <si>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</si>
  <si>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</si>
  <si>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</si>
  <si>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</si>
  <si>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</si>
  <si>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</si>
  <si>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</si>
  <si>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</si>
  <si>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</si>
  <si>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</si>
  <si>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</si>
  <si>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</si>
  <si>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</si>
  <si>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</si>
  <si>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</si>
  <si>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</si>
  <si>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</si>
  <si>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</si>
  <si>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</si>
  <si>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</si>
  <si>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</si>
  <si>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</si>
  <si>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</si>
  <si>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</si>
  <si>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</si>
  <si>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</si>
  <si>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</si>
  <si>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</si>
  <si>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</si>
  <si>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</si>
  <si>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</si>
  <si>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</si>
  <si>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</si>
  <si>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</si>
  <si>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</si>
  <si>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</si>
  <si>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</si>
  <si>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</si>
  <si>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</si>
  <si>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</si>
  <si>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</si>
  <si>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</si>
  <si>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</si>
  <si>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</si>
  <si>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</si>
  <si>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</si>
  <si>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</si>
  <si>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</si>
  <si>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</si>
  <si>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</si>
  <si>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</si>
  <si>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</si>
  <si>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</si>
  <si>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</si>
  <si>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</si>
  <si>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</si>
  <si>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</si>
  <si>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</si>
  <si>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</si>
  <si>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</si>
  <si>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</si>
  <si>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</si>
  <si>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</si>
  <si>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</si>
  <si>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</si>
  <si>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</si>
  <si>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</si>
  <si>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</si>
  <si>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</si>
  <si>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</si>
  <si>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</si>
  <si>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</si>
  <si>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</si>
  <si>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</si>
  <si>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</si>
  <si>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</si>
  <si>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</si>
  <si>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</si>
  <si>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</si>
  <si>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</si>
  <si>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</si>
  <si>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</si>
  <si>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</si>
  <si>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</si>
  <si>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</si>
  <si>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</si>
  <si>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</si>
  <si>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</si>
  <si>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</si>
  <si>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</si>
  <si>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</si>
  <si>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</si>
  <si>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</si>
  <si>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</si>
  <si>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</si>
  <si>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</si>
  <si>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</si>
  <si>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</si>
  <si>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</si>
  <si>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</si>
  <si>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</si>
  <si>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</si>
  <si>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</si>
  <si>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</si>
  <si>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</si>
  <si>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</si>
  <si>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</si>
  <si>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</si>
  <si>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</si>
  <si>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</si>
  <si>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</si>
  <si>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</si>
  <si>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</si>
  <si>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</si>
  <si>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</si>
  <si>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</si>
  <si>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</si>
  <si>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</si>
  <si>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</si>
  <si>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</si>
  <si>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</si>
  <si>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</si>
  <si>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</si>
  <si>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</si>
  <si>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</si>
  <si>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</si>
  <si>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</si>
  <si>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</si>
  <si>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</si>
  <si>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</si>
  <si>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</si>
  <si>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</si>
  <si>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</si>
  <si>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</si>
  <si>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</si>
  <si>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</si>
  <si>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</si>
  <si>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</si>
  <si>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</si>
  <si>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</si>
  <si>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</si>
  <si>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</si>
  <si>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</si>
  <si>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</si>
  <si>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</si>
  <si>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</si>
  <si>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</si>
  <si>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</si>
  <si>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</si>
  <si>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</si>
  <si>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</si>
  <si>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</si>
  <si>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</si>
  <si>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</si>
  <si>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</si>
  <si>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</si>
  <si>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</si>
  <si>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</si>
  <si>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</si>
  <si>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</si>
  <si>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</si>
  <si>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</si>
  <si>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</si>
  <si>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</si>
  <si>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</si>
  <si>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</si>
  <si>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</si>
  <si>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</si>
  <si>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</si>
  <si>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</si>
  <si>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</si>
  <si>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</si>
  <si>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</si>
  <si>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</si>
  <si>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</si>
  <si>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</si>
  <si>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</si>
  <si>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</si>
  <si>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</si>
  <si>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</si>
  <si>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</si>
  <si>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</si>
  <si>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</si>
  <si>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</si>
  <si>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</si>
  <si>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</si>
  <si>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</si>
  <si>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</si>
  <si>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</si>
  <si>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</si>
  <si>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</si>
  <si>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</si>
  <si>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</si>
  <si>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</si>
  <si>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</si>
  <si>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</si>
  <si>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</si>
  <si>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</si>
  <si>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</si>
  <si>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</si>
  <si>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</si>
  <si>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</si>
  <si>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</si>
  <si>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</si>
  <si>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</si>
  <si>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</si>
  <si>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</si>
  <si>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</si>
  <si>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</si>
  <si>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</si>
  <si>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</si>
  <si>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</si>
  <si>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</si>
  <si>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</si>
  <si>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</si>
  <si>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</si>
  <si>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</si>
  <si>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</si>
  <si>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</si>
  <si>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</si>
  <si>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</si>
  <si>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</si>
  <si>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</si>
  <si>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</si>
  <si>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</si>
  <si>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</si>
  <si>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</si>
  <si>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</si>
  <si>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</si>
  <si>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</si>
  <si>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</si>
  <si>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</si>
  <si>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</si>
  <si>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</si>
  <si>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</si>
  <si>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</si>
  <si>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</si>
  <si>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</si>
  <si>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</si>
  <si>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</si>
  <si>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</si>
  <si>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</si>
  <si>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</si>
  <si>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</si>
  <si>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</si>
  <si>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</si>
  <si>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</si>
  <si>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</si>
  <si>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</si>
  <si>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</si>
  <si>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</si>
  <si>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</si>
  <si>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</si>
  <si>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</si>
  <si>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</si>
  <si>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</si>
  <si>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</si>
  <si>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</si>
  <si>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</si>
  <si>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</si>
  <si>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</si>
  <si>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</si>
  <si>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</si>
  <si>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</si>
  <si>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</si>
  <si>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</si>
  <si>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</si>
  <si>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</si>
  <si>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</si>
  <si>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</si>
  <si>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</si>
  <si>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</si>
  <si>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</si>
  <si>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</si>
  <si>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</si>
  <si>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</si>
  <si>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</si>
  <si>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</si>
  <si>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</si>
  <si>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</si>
  <si>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</si>
  <si>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</si>
  <si>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</si>
  <si>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</si>
  <si>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</si>
  <si>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</si>
  <si>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</si>
  <si>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</si>
  <si>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</si>
  <si>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</si>
  <si>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</si>
  <si>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</si>
  <si>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</si>
  <si>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</si>
  <si>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</si>
  <si>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</si>
  <si>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</si>
  <si>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</si>
  <si>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</si>
  <si>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</si>
  <si>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</si>
  <si>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</si>
  <si>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</si>
  <si>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</si>
  <si>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</si>
  <si>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</si>
  <si>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</si>
  <si>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</si>
  <si>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</si>
  <si>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</si>
  <si>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</si>
  <si>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</si>
  <si>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</si>
  <si>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</si>
  <si>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</si>
  <si>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</si>
  <si>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</si>
  <si>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</si>
  <si>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</si>
  <si>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</si>
  <si>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</si>
  <si>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</si>
  <si>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</si>
  <si>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</si>
  <si>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</si>
  <si>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</si>
  <si>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</si>
  <si>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</si>
  <si>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</si>
  <si>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</si>
  <si>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</si>
  <si>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</si>
  <si>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</si>
  <si>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</si>
  <si>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</si>
  <si>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</si>
  <si>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</si>
  <si>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</si>
  <si>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</si>
  <si>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</si>
  <si>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</si>
  <si>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</si>
  <si>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</si>
  <si>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</si>
  <si>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</si>
  <si>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</si>
  <si>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</si>
  <si>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</si>
  <si>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</si>
  <si>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</si>
  <si>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</si>
  <si>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</si>
  <si>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</si>
  <si>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</si>
  <si>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</si>
  <si>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</si>
  <si>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</si>
  <si>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</si>
  <si>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</si>
  <si>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</si>
  <si>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</si>
  <si>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</si>
  <si>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</si>
  <si>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</si>
  <si>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</si>
  <si>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</si>
  <si>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</si>
  <si>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</si>
  <si>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</si>
  <si>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</si>
  <si>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</si>
  <si>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</si>
  <si>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</si>
  <si>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</si>
  <si>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</si>
  <si>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</si>
  <si>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</si>
  <si>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</si>
  <si>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</si>
  <si>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</si>
  <si>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</si>
  <si>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</si>
  <si>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</si>
  <si>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</si>
  <si>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</si>
  <si>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</si>
  <si>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</si>
  <si>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</si>
  <si>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</si>
  <si>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</si>
  <si>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</si>
  <si>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</si>
  <si>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</si>
  <si>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</si>
  <si>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</si>
  <si>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</si>
  <si>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</si>
  <si>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</si>
  <si>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</si>
  <si>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</si>
  <si>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</si>
  <si>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</si>
  <si>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</si>
  <si>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</si>
  <si>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</si>
  <si>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</si>
  <si>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</si>
  <si>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</si>
  <si>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</si>
  <si>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</si>
  <si>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</si>
  <si>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</si>
  <si>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</si>
  <si>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</si>
  <si>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</si>
  <si>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</si>
  <si>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</si>
  <si>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</si>
  <si>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</si>
  <si>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</si>
  <si>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</si>
  <si>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</si>
  <si>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</si>
  <si>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</si>
  <si>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</si>
  <si>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</si>
  <si>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</si>
  <si>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</si>
  <si>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</si>
  <si>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</si>
  <si>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</si>
  <si>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</si>
  <si>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</si>
  <si>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</si>
  <si>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</si>
  <si>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</si>
  <si>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</si>
  <si>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</si>
  <si>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</si>
  <si>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</si>
  <si>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</si>
  <si>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</si>
  <si>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</si>
  <si>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</si>
  <si>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</si>
  <si>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</si>
  <si>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</si>
  <si>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</si>
  <si>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</si>
  <si>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</si>
  <si>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</si>
  <si>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</si>
  <si>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</si>
  <si>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</si>
  <si>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</si>
  <si>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</si>
  <si>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</si>
  <si>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</si>
  <si>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</si>
  <si>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</si>
  <si>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</si>
  <si>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</si>
  <si>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</si>
  <si>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</si>
  <si>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</si>
  <si>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</si>
  <si>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</si>
  <si>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</si>
  <si>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</si>
  <si>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</si>
  <si>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</si>
  <si>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</si>
  <si>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</si>
  <si>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</si>
  <si>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</si>
  <si>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</si>
  <si>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</si>
  <si>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</si>
  <si>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</si>
  <si>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</si>
  <si>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</si>
  <si>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</si>
  <si>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</si>
  <si>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</si>
  <si>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</si>
  <si>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</si>
  <si>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</si>
  <si>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</si>
  <si>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</si>
  <si>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</si>
  <si>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</si>
  <si>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</si>
  <si>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</si>
  <si>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</si>
  <si>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</si>
  <si>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</si>
  <si>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</si>
  <si>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</si>
  <si>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</si>
  <si>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</si>
  <si>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</si>
  <si>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</si>
  <si>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</si>
  <si>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</si>
  <si>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</si>
  <si>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</si>
  <si>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</si>
  <si>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</si>
  <si>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</si>
  <si>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</si>
  <si>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</si>
  <si>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</si>
  <si>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</si>
  <si>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</si>
  <si>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</si>
  <si>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</si>
  <si>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</si>
  <si>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</si>
  <si>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</si>
  <si>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</si>
  <si>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</si>
  <si>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</si>
  <si>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</si>
  <si>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</si>
  <si>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</si>
  <si>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</si>
  <si>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</si>
  <si>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</si>
  <si>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</si>
  <si>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</si>
  <si>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</si>
  <si>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</si>
  <si>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</si>
  <si>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</si>
  <si>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</si>
  <si>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</si>
  <si>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</si>
  <si>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</si>
  <si>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</si>
  <si>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</si>
  <si>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</si>
  <si>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</si>
  <si>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</si>
  <si>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</si>
  <si>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</si>
  <si>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</si>
  <si>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</si>
  <si>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</si>
  <si>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</si>
  <si>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</si>
  <si>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</si>
  <si>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</si>
  <si>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</si>
  <si>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</si>
  <si>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</si>
  <si>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</si>
  <si>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</si>
  <si>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</si>
  <si>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</si>
  <si>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</si>
  <si>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</si>
  <si>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</si>
  <si>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</si>
  <si>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</si>
  <si>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</si>
  <si>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</si>
  <si>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</si>
  <si>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</si>
  <si>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</si>
  <si>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</si>
  <si>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</si>
  <si>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</si>
  <si>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Yarushynskyi Vladyslav</t>
  </si>
  <si>
    <t>Výdaje</t>
  </si>
  <si>
    <t>Kopic Jakub</t>
  </si>
  <si>
    <t>Počet zpožděných našich rozvozů +5 min</t>
  </si>
  <si>
    <t>Počet rozvozů</t>
  </si>
  <si>
    <t xml:space="preserve">Vlastní vůz </t>
  </si>
  <si>
    <t>počet výdajových dokadů</t>
  </si>
  <si>
    <t>Hendrych Rostislav</t>
  </si>
  <si>
    <t>Kalina Filip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</si>
  <si>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</si>
  <si>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</si>
  <si>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</si>
  <si>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</si>
  <si>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</si>
  <si>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183:00</t>
  </si>
  <si>
    <t>29:00</t>
  </si>
  <si>
    <t>107:00</t>
  </si>
  <si>
    <t>129:00</t>
  </si>
  <si>
    <t>218:00</t>
  </si>
  <si>
    <t>Lažek Jaroslav</t>
  </si>
  <si>
    <t>8:00</t>
  </si>
  <si>
    <t>Dušek Sam</t>
  </si>
  <si>
    <t>Gorol Patrik</t>
  </si>
  <si>
    <t>82:30</t>
  </si>
  <si>
    <t>Hanibal Filip</t>
  </si>
  <si>
    <t>90:00</t>
  </si>
  <si>
    <t>185:30</t>
  </si>
  <si>
    <t>7:00</t>
  </si>
  <si>
    <t>Jurkovič Martin</t>
  </si>
  <si>
    <t>152:00</t>
  </si>
  <si>
    <t>Reischl Jan</t>
  </si>
  <si>
    <t>24:30</t>
  </si>
  <si>
    <t>33:00</t>
  </si>
  <si>
    <t>36:00</t>
  </si>
  <si>
    <t>Bubník Martin</t>
  </si>
  <si>
    <t>8:30</t>
  </si>
  <si>
    <t>Hegedüs Erik</t>
  </si>
  <si>
    <t>4:00</t>
  </si>
  <si>
    <t>2:00</t>
  </si>
  <si>
    <t>12 min 42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</si>
  <si>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</si>
  <si>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</si>
  <si>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</si>
  <si>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10:00 - 1:00 (Instor)</t>
  </si>
  <si>
    <t>17:00 - 1:00 (Instor)</t>
  </si>
  <si>
    <t>18:00 - 1:00 (Instor)</t>
  </si>
  <si>
    <t>17:00 - 3:00 (Instor)</t>
  </si>
  <si>
    <t>17:00 - 0:00 (Instor)</t>
  </si>
  <si>
    <t>11:00 - 17:00 (Kurýr)</t>
  </si>
  <si>
    <t>17:00 - 1:00 (Kurýr)</t>
  </si>
  <si>
    <t>11:00 - 1:00 (Kurýr)</t>
  </si>
  <si>
    <t>13:00 - 17:00 (Kurýr)</t>
  </si>
  <si>
    <t>19:00 - 0:00 (Instor)</t>
  </si>
  <si>
    <t>11:00 - 17:00 (Instor)</t>
  </si>
  <si>
    <t>11:00 - 23:00 (Kurýr)</t>
  </si>
  <si>
    <t>17:00 - 3:00 (Kurýr)</t>
  </si>
  <si>
    <t>11:00 - 3:00 (Kurýr)</t>
  </si>
  <si>
    <t>17:00 - 22:00 (Kurýr)</t>
  </si>
  <si>
    <t>17:00 - 0:00 (Kurýr)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</si>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</sst>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46177.0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Čtvrtek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 t="s">
        <v>1955</v>
      </c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4281.6</v>
      </c>
      <c r="B12" s="51" t="s">
        <v>1955</v>
      </c>
      <c r="C12" s="52" t="s">
        <v>1916</v>
      </c>
      <c r="D12" s="52" t="s">
        <v>46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16:00</v>
      </c>
      <c r="I12" s="21"/>
      <c r="J12" s="36"/>
      <c r="K12" s="21"/>
      <c r="L12" s="55" t="s">
        <v>1956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1751.442</v>
      </c>
      <c r="B13" s="51" t="s">
        <v>1957</v>
      </c>
      <c r="C13" s="52" t="s">
        <v>70</v>
      </c>
      <c r="D13" s="52" t="s">
        <v>46</v>
      </c>
      <c r="E13" s="53"/>
      <c r="F13" s="54" t="str">
        <f t="shared" si="1"/>
        <v>07:00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648.4617</v>
      </c>
      <c r="B14" s="51" t="s">
        <v>1924</v>
      </c>
      <c r="C14" s="52" t="s">
        <v>1899</v>
      </c>
      <c r="D14" s="52" t="s">
        <v>43</v>
      </c>
      <c r="E14" s="53"/>
      <c r="F14" s="54" t="str">
        <f t="shared" si="1"/>
        <v>01:30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 t="s">
        <v>1955</v>
      </c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3502.884</v>
      </c>
      <c r="B25" s="51" t="s">
        <v>1962</v>
      </c>
      <c r="C25" s="66" t="s">
        <v>63</v>
      </c>
      <c r="D25" s="66" t="s">
        <v>46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1157.37</v>
      </c>
      <c r="B26" s="51" t="s">
        <v>1963</v>
      </c>
      <c r="C26" s="66" t="s">
        <v>45</v>
      </c>
      <c r="D26" s="66" t="s">
        <v>42</v>
      </c>
      <c r="E26" s="88"/>
      <c r="F26" s="54" t="str">
        <f t="shared" si="2"/>
        <v>05:00</v>
      </c>
      <c r="G26" s="84">
        <f>COUNTIF(RestiaCSV!E:E, B26)</f>
        <v>0</v>
      </c>
      <c r="H26" s="85" t="b">
        <v>1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G11 G19">
      <formula1>"Yarushynskyi Vladyslav,Kopic Jakub,Ahurieva Viktoriia"</formula1>
    </dataValidation>
    <dataValidation type="list" allowBlank="1" sqref="B25:B31">
      <formula1>"Jurkovič Martin,Hanibal Filip,Novák Jakub,Lažek Jaroslav,Vychivskyi Volodymyr,Reischl Jan,Kalina Filip,Dušek Sam,Richterová Monika,Serin David,Hendrych Rostislav"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46143.0</v>
      </c>
      <c r="D1" s="114" t="s">
        <v>1965</v>
      </c>
      <c r="E1" s="115">
        <v>46173.0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0.27417790280391197</v>
      </c>
      <c r="H2" s="21"/>
      <c r="I2" s="119">
        <v>1661993.4</v>
      </c>
      <c r="K2" s="21"/>
      <c r="L2" s="120" t="s">
        <v>1941</v>
      </c>
      <c r="M2" s="121">
        <v>500965.19999999995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7"/>
      <c r="D3" s="124" t="str">
        <f>CHOOSE(WEEKDAY(E1), "Neděle", "Pondělí", "Úterý", "Středa", "Čtvrtek", "Pátek", "Sobota")</f>
        <v>Neděle</v>
      </c>
      <c r="E3" s="11"/>
      <c r="H3" s="21"/>
      <c r="K3" s="21"/>
      <c r="L3" s="125" t="s">
        <v>1942</v>
      </c>
      <c r="M3" s="126">
        <v>223119.0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346057.0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284834.5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10732.1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618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535.5</v>
      </c>
      <c r="G7" s="13"/>
      <c r="H7" s="13"/>
      <c r="I7" s="13"/>
      <c r="J7" s="134"/>
      <c r="K7" s="134"/>
      <c r="L7" s="135" t="s">
        <v>1947</v>
      </c>
      <c r="M7" s="136">
        <v>45965.0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4.399999999986903</v>
      </c>
      <c r="K9" s="11"/>
      <c r="L9" s="148" t="s">
        <v>23</v>
      </c>
      <c r="M9" s="126">
        <v>127327.0</v>
      </c>
      <c r="N9" s="122"/>
    </row>
    <row r="10" ht="18.75" customHeight="1">
      <c r="A10" s="149"/>
      <c r="B10" s="150" t="s">
        <v>1885</v>
      </c>
      <c r="C10" s="151">
        <v>18.0</v>
      </c>
      <c r="D10" s="152" t="s">
        <v>1969</v>
      </c>
      <c r="E10" s="153" t="s">
        <v>1970</v>
      </c>
      <c r="F10" s="150" t="s">
        <v>1963</v>
      </c>
      <c r="G10" s="151">
        <v>14.0</v>
      </c>
      <c r="H10" s="151" t="s">
        <v>1971</v>
      </c>
      <c r="I10" s="154">
        <v>126.0</v>
      </c>
      <c r="J10" s="36"/>
      <c r="K10" s="21"/>
      <c r="L10" s="148" t="s">
        <v>24</v>
      </c>
      <c r="M10" s="126">
        <v>180.0</v>
      </c>
      <c r="N10" s="122"/>
    </row>
    <row r="11" ht="18.75" customHeight="1">
      <c r="A11" s="149"/>
      <c r="B11" s="150" t="s">
        <v>1924</v>
      </c>
      <c r="C11" s="151">
        <v>17.0</v>
      </c>
      <c r="D11" s="155" t="s">
        <v>1972</v>
      </c>
      <c r="E11" s="153" t="s">
        <v>49</v>
      </c>
      <c r="F11" s="150" t="s">
        <v>1962</v>
      </c>
      <c r="G11" s="151">
        <v>20.0</v>
      </c>
      <c r="H11" s="151" t="s">
        <v>1973</v>
      </c>
      <c r="I11" s="154">
        <v>232.0</v>
      </c>
      <c r="J11" s="36"/>
      <c r="K11" s="21"/>
      <c r="L11" s="156" t="s">
        <v>25</v>
      </c>
      <c r="M11" s="157">
        <v>130634.0</v>
      </c>
      <c r="N11" s="122"/>
    </row>
    <row r="12" ht="18.75" customHeight="1">
      <c r="A12" s="149"/>
      <c r="B12" s="150" t="s">
        <v>1974</v>
      </c>
      <c r="C12" s="151">
        <v>1.0</v>
      </c>
      <c r="D12" s="155" t="s">
        <v>1975</v>
      </c>
      <c r="E12" s="153" t="s">
        <v>50</v>
      </c>
      <c r="F12" s="150" t="s">
        <v>1976</v>
      </c>
      <c r="G12" s="151">
        <v>4.0</v>
      </c>
      <c r="H12" s="151" t="s">
        <v>1895</v>
      </c>
      <c r="I12" s="154">
        <v>20.0</v>
      </c>
      <c r="J12" s="36"/>
      <c r="K12" s="21"/>
      <c r="L12" s="158" t="s">
        <v>1956</v>
      </c>
      <c r="M12" s="19"/>
      <c r="N12" s="117"/>
    </row>
    <row r="13" ht="18.75" customHeight="1">
      <c r="A13" s="149"/>
      <c r="B13" s="150" t="s">
        <v>1977</v>
      </c>
      <c r="C13" s="151">
        <v>12.0</v>
      </c>
      <c r="D13" s="155" t="s">
        <v>1978</v>
      </c>
      <c r="E13" s="153" t="s">
        <v>50</v>
      </c>
      <c r="F13" s="150" t="s">
        <v>1979</v>
      </c>
      <c r="G13" s="151">
        <v>11.0</v>
      </c>
      <c r="H13" s="151" t="s">
        <v>1980</v>
      </c>
      <c r="I13" s="154">
        <v>90.0</v>
      </c>
      <c r="J13" s="36"/>
      <c r="K13" s="21"/>
      <c r="L13" s="148" t="s">
        <v>29</v>
      </c>
      <c r="M13" s="126">
        <v>16004.0</v>
      </c>
      <c r="N13" s="122"/>
    </row>
    <row r="14" ht="18.75" customHeight="1">
      <c r="A14" s="149"/>
      <c r="B14" s="150" t="s">
        <v>1955</v>
      </c>
      <c r="C14" s="151">
        <v>21.0</v>
      </c>
      <c r="D14" s="151" t="s">
        <v>1981</v>
      </c>
      <c r="E14" s="153" t="s">
        <v>1982</v>
      </c>
      <c r="F14" s="150" t="s">
        <v>1983</v>
      </c>
      <c r="G14" s="151">
        <v>3.0</v>
      </c>
      <c r="H14" s="151" t="s">
        <v>62</v>
      </c>
      <c r="I14" s="154">
        <v>19.0</v>
      </c>
      <c r="J14" s="36"/>
      <c r="K14" s="21"/>
      <c r="L14" s="159" t="s">
        <v>30</v>
      </c>
      <c r="M14" s="126">
        <v>249.0</v>
      </c>
      <c r="N14" s="122"/>
    </row>
    <row r="15" ht="18.75" customHeight="1">
      <c r="A15" s="149"/>
      <c r="B15" s="150" t="s">
        <v>1957</v>
      </c>
      <c r="C15" s="151">
        <v>18.0</v>
      </c>
      <c r="D15" s="151" t="s">
        <v>1984</v>
      </c>
      <c r="E15" s="153" t="s">
        <v>1982</v>
      </c>
      <c r="F15" s="150" t="s">
        <v>1985</v>
      </c>
      <c r="G15" s="151">
        <v>4.0</v>
      </c>
      <c r="H15" s="151" t="s">
        <v>1986</v>
      </c>
      <c r="I15" s="154">
        <v>19.0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1896</v>
      </c>
      <c r="C16" s="151">
        <v>7.0</v>
      </c>
      <c r="D16" s="151" t="s">
        <v>1987</v>
      </c>
      <c r="E16" s="160"/>
      <c r="F16" s="150" t="s">
        <v>65</v>
      </c>
      <c r="G16" s="151">
        <v>1.0</v>
      </c>
      <c r="H16" s="151" t="s">
        <v>63</v>
      </c>
      <c r="I16" s="154">
        <v>15.0</v>
      </c>
      <c r="J16" s="36"/>
      <c r="K16" s="21"/>
      <c r="L16" s="159" t="s">
        <v>32</v>
      </c>
      <c r="M16" s="126">
        <v>13796.0</v>
      </c>
      <c r="N16" s="122"/>
    </row>
    <row r="17" ht="18.75" customHeight="1">
      <c r="A17" s="149"/>
      <c r="B17" s="150" t="s">
        <v>1312</v>
      </c>
      <c r="C17" s="151">
        <v>2.0</v>
      </c>
      <c r="D17" s="151" t="s">
        <v>50</v>
      </c>
      <c r="E17" s="160"/>
      <c r="F17" s="150" t="s">
        <v>1977</v>
      </c>
      <c r="G17" s="151">
        <v>5.0</v>
      </c>
      <c r="H17" s="151" t="s">
        <v>1988</v>
      </c>
      <c r="I17" s="154">
        <v>30.0</v>
      </c>
      <c r="J17" s="18"/>
      <c r="K17" s="19"/>
      <c r="L17" s="161" t="s">
        <v>33</v>
      </c>
      <c r="M17" s="162">
        <v>8100.0</v>
      </c>
      <c r="N17" s="122"/>
    </row>
    <row r="18" ht="18.75" customHeight="1">
      <c r="A18" s="149"/>
      <c r="B18" s="150" t="s">
        <v>1989</v>
      </c>
      <c r="C18" s="151">
        <v>1.0</v>
      </c>
      <c r="D18" s="151" t="s">
        <v>63</v>
      </c>
      <c r="E18" s="160"/>
      <c r="F18" s="150" t="s">
        <v>1312</v>
      </c>
      <c r="G18" s="151">
        <v>2.0</v>
      </c>
      <c r="H18" s="151" t="s">
        <v>1990</v>
      </c>
      <c r="I18" s="154">
        <v>8.0</v>
      </c>
      <c r="J18" s="163"/>
      <c r="K18" s="13"/>
      <c r="L18" s="13"/>
      <c r="M18" s="14"/>
      <c r="N18" s="164"/>
    </row>
    <row r="19" ht="18.75" customHeight="1">
      <c r="A19" s="149"/>
      <c r="B19" s="150" t="s">
        <v>1991</v>
      </c>
      <c r="C19" s="151">
        <v>1.0</v>
      </c>
      <c r="D19" s="151" t="s">
        <v>1992</v>
      </c>
      <c r="E19" s="160"/>
      <c r="F19" s="150" t="s">
        <v>1974</v>
      </c>
      <c r="G19" s="151">
        <v>1.0</v>
      </c>
      <c r="H19" s="151" t="s">
        <v>1993</v>
      </c>
      <c r="I19" s="154">
        <v>0.0</v>
      </c>
      <c r="J19" s="165" t="s">
        <v>34</v>
      </c>
      <c r="K19" s="166" t="s">
        <v>35</v>
      </c>
      <c r="L19" s="167" t="s">
        <v>1958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35.0</v>
      </c>
      <c r="K21" s="173">
        <v>15572.75</v>
      </c>
      <c r="L21" s="174">
        <v>59.0</v>
      </c>
      <c r="M21" s="175" t="s">
        <v>1994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1961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20.0</v>
      </c>
      <c r="K24" s="174">
        <v>4080.0</v>
      </c>
      <c r="L24" s="174">
        <v>671.0</v>
      </c>
      <c r="M24" s="179">
        <v>23.0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5.0</v>
      </c>
      <c r="K27" s="98"/>
      <c r="L27" s="185">
        <v>0.09027316176271313</v>
      </c>
      <c r="M27" s="186">
        <v>12.0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0.9097268382372868</v>
      </c>
      <c r="M30" s="190">
        <v>0.020548517202737683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1995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1996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1997</v>
      </c>
      <c r="C3" s="1" t="s">
        <v>1998</v>
      </c>
      <c r="D3" s="193"/>
      <c r="E3" s="193"/>
      <c r="F3" s="1" t="s">
        <v>1998</v>
      </c>
      <c r="G3" s="1" t="s">
        <v>1997</v>
      </c>
      <c r="H3" s="193"/>
    </row>
    <row r="4">
      <c r="A4" s="1" t="s">
        <v>1955</v>
      </c>
      <c r="B4" s="1" t="s">
        <v>1999</v>
      </c>
      <c r="C4" s="1" t="s">
        <v>2000</v>
      </c>
      <c r="D4" s="193"/>
      <c r="E4" s="1" t="s">
        <v>1998</v>
      </c>
      <c r="F4" s="1" t="s">
        <v>2001</v>
      </c>
      <c r="G4" s="193"/>
      <c r="H4" s="1" t="s">
        <v>2002</v>
      </c>
    </row>
    <row r="5">
      <c r="A5" s="1" t="s">
        <v>1985</v>
      </c>
      <c r="B5" s="1" t="s">
        <v>2003</v>
      </c>
      <c r="C5" s="193"/>
      <c r="D5" s="193"/>
      <c r="E5" s="193"/>
      <c r="F5" s="193"/>
      <c r="G5" s="193"/>
      <c r="H5" s="193"/>
    </row>
    <row r="6">
      <c r="A6" s="1" t="s">
        <v>1979</v>
      </c>
      <c r="B6" s="1" t="s">
        <v>2004</v>
      </c>
      <c r="C6" s="1" t="s">
        <v>2005</v>
      </c>
      <c r="D6" s="193"/>
      <c r="E6" s="193"/>
      <c r="F6" s="1" t="s">
        <v>2005</v>
      </c>
      <c r="G6" s="1" t="s">
        <v>2006</v>
      </c>
      <c r="H6" s="193"/>
    </row>
    <row r="7">
      <c r="A7" s="1" t="s">
        <v>1312</v>
      </c>
      <c r="B7" s="1" t="s">
        <v>2007</v>
      </c>
      <c r="C7" s="193"/>
      <c r="D7" s="193"/>
      <c r="E7" s="193"/>
      <c r="F7" s="193"/>
      <c r="G7" s="193"/>
      <c r="H7" s="1" t="s">
        <v>2008</v>
      </c>
    </row>
    <row r="8">
      <c r="A8" s="1" t="s">
        <v>1957</v>
      </c>
      <c r="B8" s="193"/>
      <c r="C8" s="193"/>
      <c r="D8" s="1" t="s">
        <v>1998</v>
      </c>
      <c r="E8" s="1" t="s">
        <v>2000</v>
      </c>
      <c r="F8" s="193"/>
      <c r="G8" s="1" t="s">
        <v>2001</v>
      </c>
      <c r="H8" s="1" t="s">
        <v>2002</v>
      </c>
    </row>
    <row r="9">
      <c r="A9" s="1" t="s">
        <v>1962</v>
      </c>
      <c r="B9" s="193"/>
      <c r="C9" s="193"/>
      <c r="D9" s="1" t="s">
        <v>2009</v>
      </c>
      <c r="E9" s="1" t="s">
        <v>2005</v>
      </c>
      <c r="F9" s="1" t="s">
        <v>2010</v>
      </c>
      <c r="G9" s="1" t="s">
        <v>2011</v>
      </c>
      <c r="H9" s="1" t="s">
        <v>2009</v>
      </c>
    </row>
    <row r="10">
      <c r="A10" s="1" t="s">
        <v>1924</v>
      </c>
      <c r="B10" s="193"/>
      <c r="C10" s="193"/>
      <c r="D10" s="1" t="s">
        <v>2000</v>
      </c>
      <c r="E10" s="193"/>
      <c r="F10" s="193"/>
      <c r="G10" s="1" t="s">
        <v>2001</v>
      </c>
      <c r="H10" s="1" t="s">
        <v>1997</v>
      </c>
    </row>
    <row r="11">
      <c r="A11" s="1" t="s">
        <v>1976</v>
      </c>
      <c r="B11" s="193"/>
      <c r="C11" s="193"/>
      <c r="D11" s="1" t="s">
        <v>2004</v>
      </c>
      <c r="E11" s="193"/>
      <c r="F11" s="193"/>
      <c r="G11" s="193"/>
      <c r="H11" s="193"/>
    </row>
    <row r="12">
      <c r="A12" s="1" t="s">
        <v>1963</v>
      </c>
      <c r="B12" s="193"/>
      <c r="D12" s="193"/>
      <c r="E12" s="1" t="s">
        <v>2012</v>
      </c>
      <c r="F12" s="193"/>
      <c r="G12" s="193"/>
      <c r="H12" s="1" t="s">
        <v>2013</v>
      </c>
    </row>
    <row r="13">
      <c r="A13" s="1" t="s">
        <v>1974</v>
      </c>
      <c r="B13" s="193"/>
      <c r="D13" s="193"/>
      <c r="E13" s="193"/>
      <c r="F13" s="193"/>
      <c r="G13" s="1" t="s">
        <v>2012</v>
      </c>
      <c r="H13" s="193"/>
    </row>
    <row r="14">
      <c r="A14" s="193"/>
      <c r="B14" s="193"/>
      <c r="F14" s="193"/>
      <c r="G14" s="193"/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"/>
      <c r="F2" s="1"/>
      <c r="G2" s="1"/>
      <c r="H2" s="1"/>
      <c r="I2" s="193"/>
      <c r="J2" s="193"/>
      <c r="K2" s="193"/>
      <c r="L2" s="1"/>
      <c r="M2" s="1"/>
      <c r="N2" s="193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93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93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93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93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93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93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93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93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93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93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93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93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93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93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93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93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93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93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93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93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93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93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93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93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93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93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93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93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93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93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93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93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93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93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93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93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93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93"/>
      <c r="F111" s="1"/>
      <c r="G111" s="1"/>
      <c r="H111" s="1"/>
      <c r="I111" s="193"/>
      <c r="J111" s="193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93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93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93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93"/>
      <c r="F117" s="1"/>
      <c r="G117" s="1"/>
      <c r="H117" s="1"/>
      <c r="I117" s="1"/>
      <c r="J117" s="1"/>
      <c r="K117" s="193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93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93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93"/>
      <c r="B122" s="193"/>
      <c r="C122" s="195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93"/>
      <c r="B123" s="193"/>
      <c r="C123" s="195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93"/>
      <c r="B125" s="193"/>
      <c r="C125" s="195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93"/>
      <c r="B127" s="193"/>
      <c r="C127" s="195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93"/>
      <c r="B128" s="195"/>
      <c r="C128" s="195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2014</v>
      </c>
      <c r="B4" s="200" t="s">
        <v>2015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IFERROR(__xludf.DUMMYFUNCTION("""COMPUTED_VALUE"""),"Stepanenko Solomiia")</f>
        <v>Stepanenko Solomiia</v>
      </c>
      <c r="E18" s="196" t="str">
        <f>IFERROR(__xludf.DUMMYFUNCTION("""COMPUTED_VALUE"""),"Výroba")</f>
        <v>Výroba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IFERROR(__xludf.DUMMYFUNCTION("""COMPUTED_VALUE"""),286.332)</f>
        <v>286.332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IFERROR(__xludf.DUMMYFUNCTION("""COMPUTED_VALUE"""),"Rothová Anastasia")</f>
        <v>Rothová Anastasia</v>
      </c>
      <c r="E19" s="196" t="str">
        <f>IFERROR(__xludf.DUMMYFUNCTION("""COMPUTED_VALUE"""),"Bolevec")</f>
        <v>Bolevec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IFERROR(__xludf.DUMMYFUNCTION("""COMPUTED_VALUE"""),341.19)</f>
        <v>341.19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IFERROR(__xludf.DUMMYFUNCTION("""COMPUTED_VALUE"""),2789.082580645161)</f>
        <v>2789.082581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IFERROR(__xludf.DUMMYFUNCTION("""COMPUTED_VALUE"""),2789.082580645161)</f>
        <v>2789.082581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IFERROR(__xludf.DUMMYFUNCTION("""COMPUTED_VALUE"""),"Raboch Tomáš")</f>
        <v>Raboch Tomáš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IFERROR(__xludf.DUMMYFUNCTION("""COMPUTED_VALUE"""),2494.722580645161)</f>
        <v>2494.722581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IFERROR(__xludf.DUMMYFUNCTION("""COMPUTED_VALUE"""),1596.967741935484)</f>
        <v>1596.967742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IFERROR(__xludf.DUMMYFUNCTION("""COMPUTED_VALUE"""),231.474)</f>
        <v>231.474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IFERROR(__xludf.DUMMYFUNCTION("""COMPUTED_VALUE"""),170.0)</f>
        <v>170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