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<sst xmlns="http://schemas.openxmlformats.org/spreadsheetml/2006/main" count="6897" uniqueCount="1995">
  <si>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</si>
  <si>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</si>
  <si>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</si>
  <si>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</si>
  <si>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</si>
  <si>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</si>
  <si>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</si>
  <si>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</si>
  <si>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</si>
  <si>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</si>
  <si>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</si>
  <si>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</si>
  <si>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</si>
  <si>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</si>
  <si>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</si>
  <si>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</si>
  <si>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</si>
  <si>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</si>
  <si>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</si>
  <si>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</si>
  <si>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</si>
  <si>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</si>
  <si>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</si>
  <si>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</si>
  <si>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</si>
  <si>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</si>
  <si>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</si>
  <si>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</si>
  <si>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</si>
  <si>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</si>
  <si>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</si>
  <si>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</si>
  <si>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</si>
  <si>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</si>
  <si>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</si>
  <si>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</si>
  <si>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</si>
  <si>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</si>
  <si>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</si>
  <si>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</si>
  <si>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</si>
  <si>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</si>
  <si>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</si>
  <si>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</si>
  <si>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</si>
  <si>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</si>
  <si>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</si>
  <si>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</si>
  <si>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</si>
  <si>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</si>
  <si>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</si>
  <si>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</si>
  <si>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</si>
  <si>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</si>
  <si>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</si>
  <si>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</si>
  <si>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</si>
  <si>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</si>
  <si>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</si>
  <si>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</si>
  <si>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</si>
  <si>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</si>
  <si>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</si>
  <si>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</si>
  <si>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</si>
  <si>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</si>
  <si>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</si>
  <si>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</si>
  <si>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</si>
  <si>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</si>
  <si>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</si>
  <si>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</si>
  <si>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</si>
  <si>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</si>
  <si>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</si>
  <si>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</si>
  <si>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</si>
  <si>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</si>
  <si>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</si>
  <si>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</si>
  <si>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</si>
  <si>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</si>
  <si>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</si>
  <si>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</si>
  <si>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</si>
  <si>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</si>
  <si>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</si>
  <si>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</si>
  <si>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</si>
  <si>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</si>
  <si>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</si>
  <si>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</si>
  <si>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</si>
  <si>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</si>
  <si>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</si>
  <si>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</si>
  <si>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</si>
  <si>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</si>
  <si>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</si>
  <si>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</si>
  <si>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</si>
  <si>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</si>
  <si>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</si>
  <si>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</si>
  <si>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</si>
  <si>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</si>
  <si>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</si>
  <si>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</si>
  <si>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</si>
  <si>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</si>
  <si>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</si>
  <si>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</si>
  <si>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</si>
  <si>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</si>
  <si>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</si>
  <si>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</si>
  <si>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</si>
  <si>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</si>
  <si>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</si>
  <si>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</si>
  <si>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</si>
  <si>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</si>
  <si>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</si>
  <si>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</si>
  <si>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</si>
  <si>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</si>
  <si>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</si>
  <si>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</si>
  <si>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</si>
  <si>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</si>
  <si>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</si>
  <si>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</si>
  <si>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</si>
  <si>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</si>
  <si>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</si>
  <si>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</si>
  <si>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</si>
  <si>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</si>
  <si>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</si>
  <si>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</si>
  <si>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</si>
  <si>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</si>
  <si>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</si>
  <si>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</si>
  <si>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</si>
  <si>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</si>
  <si>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</si>
  <si>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</si>
  <si>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</si>
  <si>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</si>
  <si>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</si>
  <si>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</si>
  <si>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</si>
  <si>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</si>
  <si>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</si>
  <si>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</si>
  <si>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</si>
  <si>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</si>
  <si>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</si>
  <si>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</si>
  <si>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</si>
  <si>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</si>
  <si>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</si>
  <si>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</si>
  <si>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</si>
  <si>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</si>
  <si>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</si>
  <si>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</si>
  <si>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</si>
  <si>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</si>
  <si>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</si>
  <si>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</si>
  <si>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</si>
  <si>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</si>
  <si>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</si>
  <si>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</si>
  <si>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</si>
  <si>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</si>
  <si>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</si>
  <si>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</si>
  <si>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</si>
  <si>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</si>
  <si>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</si>
  <si>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</si>
  <si>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</si>
  <si>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</si>
  <si>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</si>
  <si>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</si>
  <si>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</si>
  <si>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</si>
  <si>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</si>
  <si>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</si>
  <si>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</si>
  <si>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</si>
  <si>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</si>
  <si>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</si>
  <si>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</si>
  <si>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</si>
  <si>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</si>
  <si>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</si>
  <si>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</si>
  <si>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</si>
  <si>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</si>
  <si>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</si>
  <si>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</si>
  <si>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</si>
  <si>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</si>
  <si>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</si>
  <si>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</si>
  <si>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</si>
  <si>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</si>
  <si>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</si>
  <si>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</si>
  <si>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</si>
  <si>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</si>
  <si>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</si>
  <si>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</si>
  <si>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</si>
  <si>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</si>
  <si>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</si>
  <si>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</si>
  <si>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</si>
  <si>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</si>
  <si>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</si>
  <si>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</si>
  <si>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</si>
  <si>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</si>
  <si>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</si>
  <si>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</si>
  <si>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</si>
  <si>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</si>
  <si>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</si>
  <si>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</si>
  <si>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</si>
  <si>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</si>
  <si>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</si>
  <si>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</si>
  <si>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</si>
  <si>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</si>
  <si>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</si>
  <si>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</si>
  <si>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</si>
  <si>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</si>
  <si>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</si>
  <si>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</si>
  <si>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</si>
  <si>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</si>
  <si>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</si>
  <si>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</si>
  <si>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</si>
  <si>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</si>
  <si>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</si>
  <si>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</si>
  <si>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</si>
  <si>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</si>
  <si>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</si>
  <si>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</si>
  <si>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</si>
  <si>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</si>
  <si>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</si>
  <si>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</si>
  <si>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</si>
  <si>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</si>
  <si>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</si>
  <si>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</si>
  <si>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</si>
  <si>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</si>
  <si>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</si>
  <si>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</si>
  <si>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</si>
  <si>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</si>
  <si>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</si>
  <si>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</si>
  <si>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</si>
  <si>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</si>
  <si>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</si>
  <si>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</si>
  <si>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</si>
  <si>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</si>
  <si>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</si>
  <si>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</si>
  <si>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</si>
  <si>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</si>
  <si>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</si>
  <si>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</si>
  <si>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</si>
  <si>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</si>
  <si>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</si>
  <si>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</si>
  <si>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</si>
  <si>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</si>
  <si>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</si>
  <si>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</si>
  <si>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</si>
  <si>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</si>
  <si>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</si>
  <si>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</si>
  <si>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</si>
  <si>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</si>
  <si>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</si>
  <si>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</si>
  <si>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</si>
  <si>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</si>
  <si>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</si>
  <si>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</si>
  <si>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</si>
  <si>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</si>
  <si>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</si>
  <si>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</si>
  <si>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</si>
  <si>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</si>
  <si>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</si>
  <si>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</si>
  <si>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</si>
  <si>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</si>
  <si>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</si>
  <si>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</si>
  <si>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</si>
  <si>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</si>
  <si>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</si>
  <si>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</si>
  <si>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</si>
  <si>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</si>
  <si>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</si>
  <si>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</si>
  <si>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</si>
  <si>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</si>
  <si>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</si>
  <si>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</si>
  <si>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</si>
  <si>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</si>
  <si>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</si>
  <si>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</si>
  <si>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</si>
  <si>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</si>
  <si>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</si>
  <si>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</si>
  <si>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</si>
  <si>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</si>
  <si>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</si>
  <si>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</si>
  <si>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</si>
  <si>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</si>
  <si>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</si>
  <si>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</si>
  <si>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</si>
  <si>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</si>
  <si>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</si>
  <si>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</si>
  <si>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</si>
  <si>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</si>
  <si>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</si>
  <si>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</si>
  <si>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</si>
  <si>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</si>
  <si>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</si>
  <si>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</si>
  <si>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</si>
  <si>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</si>
  <si>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</si>
  <si>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</si>
  <si>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</si>
  <si>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</si>
  <si>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</si>
  <si>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</si>
  <si>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</si>
  <si>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</si>
  <si>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</si>
  <si>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</si>
  <si>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</si>
  <si>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</si>
  <si>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</si>
  <si>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</si>
  <si>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</si>
  <si>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</si>
  <si>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</si>
  <si>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</si>
  <si>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</si>
  <si>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</si>
  <si>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</si>
  <si>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</si>
  <si>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</si>
  <si>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</si>
  <si>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</si>
  <si>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</si>
  <si>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</si>
  <si>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</si>
  <si>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</si>
  <si>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</si>
  <si>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</si>
  <si>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</si>
  <si>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</si>
  <si>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</si>
  <si>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</si>
  <si>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</si>
  <si>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</si>
  <si>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</si>
  <si>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</si>
  <si>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</si>
  <si>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</si>
  <si>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</si>
  <si>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</si>
  <si>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</si>
  <si>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</si>
  <si>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</si>
  <si>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</si>
  <si>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</si>
  <si>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</si>
  <si>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</si>
  <si>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</si>
  <si>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</si>
  <si>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</si>
  <si>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</si>
  <si>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</si>
  <si>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</si>
  <si>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</si>
  <si>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</si>
  <si>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</si>
  <si>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</si>
  <si>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</si>
  <si>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</si>
  <si>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</si>
  <si>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</si>
  <si>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</si>
  <si>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</si>
  <si>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</si>
  <si>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</si>
  <si>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</si>
  <si>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</si>
  <si>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</si>
  <si>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</si>
  <si>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</si>
  <si>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</si>
  <si>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</si>
  <si>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</si>
  <si>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</si>
  <si>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</si>
  <si>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</si>
  <si>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</si>
  <si>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</si>
  <si>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</si>
  <si>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</si>
  <si>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</si>
  <si>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</si>
  <si>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</si>
  <si>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</si>
  <si>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</si>
  <si>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</si>
  <si>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</si>
  <si>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</si>
  <si>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</si>
  <si>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</si>
  <si>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</si>
  <si>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</si>
  <si>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</si>
  <si>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</si>
  <si>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</si>
  <si>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</si>
  <si>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</si>
  <si>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</si>
  <si>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</si>
  <si>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</si>
  <si>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</si>
  <si>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</si>
  <si>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</si>
  <si>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</si>
  <si>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</si>
  <si>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</si>
  <si>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</si>
  <si>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</si>
  <si>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</si>
  <si>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</si>
  <si>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</si>
  <si>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</si>
  <si>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</si>
  <si>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</si>
  <si>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</si>
  <si>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</si>
  <si>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</si>
  <si>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</si>
  <si>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</si>
  <si>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</si>
  <si>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</si>
  <si>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</si>
  <si>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</si>
  <si>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</si>
  <si>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</si>
  <si>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</si>
  <si>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</si>
  <si>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</si>
  <si>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</si>
  <si>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</si>
  <si>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</si>
  <si>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</si>
  <si>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</si>
  <si>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</si>
  <si>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</si>
  <si>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</si>
  <si>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</si>
  <si>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</si>
  <si>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</si>
  <si>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</si>
  <si>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</si>
  <si>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</si>
  <si>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</si>
  <si>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</si>
  <si>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</si>
  <si>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</si>
  <si>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</si>
  <si>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</si>
  <si>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</si>
  <si>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</si>
  <si>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</si>
  <si>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</si>
  <si>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</si>
  <si>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</si>
  <si>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</si>
  <si>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</si>
  <si>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</si>
  <si>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</si>
  <si>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</si>
  <si>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</si>
  <si>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</si>
  <si>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</si>
  <si>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</si>
  <si>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</si>
  <si>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</si>
  <si>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</si>
  <si>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</si>
  <si>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</si>
  <si>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</si>
  <si>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</si>
  <si>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</si>
  <si>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</si>
  <si>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</si>
  <si>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</si>
  <si>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</si>
  <si>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</si>
  <si>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</si>
  <si>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</si>
  <si>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</si>
  <si>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</si>
  <si>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</si>
  <si>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</si>
  <si>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</si>
  <si>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</si>
  <si>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</si>
  <si>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</si>
  <si>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</si>
  <si>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</si>
  <si>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</si>
  <si>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</si>
  <si>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</si>
  <si>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</si>
  <si>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</si>
  <si>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</si>
  <si>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</si>
  <si>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</si>
  <si>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</si>
  <si>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</si>
  <si>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</si>
  <si>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</si>
  <si>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</si>
  <si>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</si>
  <si>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</si>
  <si>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</si>
  <si>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</si>
  <si>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</si>
  <si>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</si>
  <si>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</si>
  <si>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</si>
  <si>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</si>
  <si>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</si>
  <si>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</si>
  <si>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</si>
  <si>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</si>
  <si>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</si>
  <si>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</si>
  <si>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</si>
  <si>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</si>
  <si>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</si>
  <si>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</si>
  <si>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</si>
  <si>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</si>
  <si>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</si>
  <si>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</si>
  <si>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</si>
  <si>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</si>
  <si>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</si>
  <si>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</si>
  <si>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</si>
  <si>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</si>
  <si>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</si>
  <si>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</si>
  <si>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</si>
  <si>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</si>
  <si>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</si>
  <si>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</si>
  <si>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</si>
  <si>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</si>
  <si>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</si>
  <si>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</si>
  <si>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</si>
  <si>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</si>
  <si>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</si>
  <si>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</si>
  <si>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</si>
  <si>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</si>
  <si>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</si>
  <si>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</si>
  <si>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</si>
  <si>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</si>
  <si>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</si>
  <si>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</si>
  <si>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</si>
  <si>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</si>
  <si>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</si>
  <si>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</si>
  <si>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</si>
  <si>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</si>
  <si>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</si>
  <si>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</si>
  <si>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</si>
  <si>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</si>
  <si>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</si>
  <si>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</si>
  <si>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</si>
  <si>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</si>
  <si>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</si>
  <si>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</si>
  <si>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</si>
  <si>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</si>
  <si>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</si>
  <si>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</si>
  <si>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</si>
  <si>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</si>
  <si>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</si>
  <si>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</si>
  <si>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</si>
  <si>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</si>
  <si>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</si>
  <si>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</si>
  <si>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</si>
  <si>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</si>
  <si>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</si>
  <si>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</si>
  <si>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</si>
  <si>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</si>
  <si>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</si>
  <si>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</si>
  <si>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</si>
  <si>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</si>
  <si>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</si>
  <si>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</si>
  <si>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</si>
  <si>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</si>
  <si>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</si>
  <si>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</si>
  <si>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</si>
  <si>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</si>
  <si>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</si>
  <si>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</si>
  <si>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</si>
  <si>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</si>
  <si>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</si>
  <si>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</si>
  <si>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</si>
  <si>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</si>
  <si>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</si>
  <si>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</si>
  <si>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</si>
  <si>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</si>
  <si>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</si>
  <si>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</si>
  <si>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</si>
  <si>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</si>
  <si>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</si>
  <si>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</si>
  <si>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</si>
  <si>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</si>
  <si>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</si>
  <si>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</si>
  <si>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</si>
  <si>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</si>
  <si>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</si>
  <si>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</si>
  <si>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</si>
  <si>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</si>
  <si>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</si>
  <si>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</si>
  <si>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</si>
  <si>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</si>
  <si>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</si>
  <si>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</si>
  <si>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</si>
  <si>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</si>
  <si>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</si>
  <si>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</si>
  <si>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</si>
  <si>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</si>
  <si>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</si>
  <si>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</si>
  <si>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</si>
  <si>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</si>
  <si>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</si>
  <si>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</si>
  <si>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</si>
  <si>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</si>
  <si>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</si>
  <si>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</si>
  <si>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</si>
  <si>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</si>
  <si>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</si>
  <si>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</si>
  <si>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</si>
  <si>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</si>
  <si>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</si>
  <si>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</si>
  <si>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</si>
  <si>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</si>
  <si>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</si>
  <si>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</si>
  <si>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</si>
  <si>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</si>
  <si>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</si>
  <si>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</si>
  <si>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</si>
  <si>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</si>
  <si>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</si>
  <si>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</si>
  <si>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</si>
  <si>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</si>
  <si>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</si>
  <si>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</si>
  <si>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</si>
  <si>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</si>
  <si>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</si>
  <si>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</si>
  <si>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</si>
  <si>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</si>
  <si>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</si>
  <si>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</si>
  <si>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</si>
  <si>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</si>
  <si>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</si>
  <si>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</si>
  <si>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</si>
  <si>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</si>
  <si>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</si>
  <si>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</si>
  <si>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</si>
  <si>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</si>
  <si>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</si>
  <si>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</si>
  <si>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</si>
  <si>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</si>
  <si>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</si>
  <si>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</si>
  <si>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</si>
  <si>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</si>
  <si>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</si>
  <si>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</si>
  <si>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</si>
  <si>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</si>
  <si>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</si>
  <si>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</si>
  <si>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</si>
  <si>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</si>
  <si>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</si>
  <si>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</si>
  <si>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</si>
  <si>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</si>
  <si>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</si>
  <si>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</si>
  <si>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</si>
  <si>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</si>
  <si>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</si>
  <si>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</si>
  <si>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</si>
  <si>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</si>
  <si>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</si>
  <si>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</si>
  <si>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</si>
  <si>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</si>
  <si>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</si>
  <si>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</si>
  <si>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</si>
  <si>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</si>
  <si>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</si>
  <si>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</si>
  <si>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</si>
  <si>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</si>
  <si>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</si>
  <si>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</si>
  <si>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</si>
  <si>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</si>
  <si>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</si>
  <si>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</si>
  <si>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</si>
  <si>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</si>
  <si>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</si>
  <si>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</si>
  <si>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</si>
  <si>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</si>
  <si>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</si>
  <si>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</si>
  <si>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</si>
  <si>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</si>
  <si>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</si>
  <si>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</si>
  <si>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</si>
  <si>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</si>
  <si>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</si>
  <si>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</si>
  <si>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</si>
  <si>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</si>
  <si>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</si>
  <si>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</si>
  <si>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</si>
  <si>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</si>
  <si>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</si>
  <si>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</si>
  <si>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</si>
  <si>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</si>
  <si>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</si>
  <si>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</si>
  <si>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</si>
  <si>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</si>
  <si>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</si>
  <si>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</si>
  <si>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</si>
  <si>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</si>
  <si>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</si>
  <si>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</si>
  <si>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</si>
  <si>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</si>
  <si>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</si>
  <si>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</si>
  <si>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</si>
  <si>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</si>
  <si>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</si>
  <si>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</si>
  <si>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</si>
  <si>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</si>
  <si>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</si>
  <si>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</si>
  <si>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</si>
  <si>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</si>
  <si>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</si>
  <si>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</si>
  <si>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</si>
  <si>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</si>
  <si>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</si>
  <si>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</si>
  <si>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</si>
  <si>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</si>
  <si>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</si>
  <si>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</si>
  <si>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</si>
  <si>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</si>
  <si>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</si>
  <si>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</si>
  <si>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</si>
  <si>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</si>
  <si>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</si>
  <si>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</si>
  <si>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</si>
  <si>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</si>
  <si>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</si>
  <si>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</si>
  <si>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</si>
  <si>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</si>
  <si>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</si>
  <si>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</si>
  <si>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</si>
  <si>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</si>
  <si>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</si>
  <si>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</si>
  <si>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</si>
  <si>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</si>
  <si>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</si>
  <si>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</si>
  <si>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</si>
  <si>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</si>
  <si>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</si>
  <si>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</si>
  <si>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</si>
  <si>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</si>
  <si>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</si>
  <si>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</si>
  <si>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</si>
  <si>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</si>
  <si>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</si>
  <si>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</si>
  <si>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</si>
  <si>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</si>
  <si>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</si>
  <si>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</si>
  <si>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</si>
  <si>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</si>
  <si>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</si>
  <si>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</si>
  <si>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</si>
  <si>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</si>
  <si>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</si>
  <si>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</si>
  <si>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</si>
  <si>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</si>
  <si>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</si>
  <si>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</si>
  <si>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</si>
  <si>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</si>
  <si>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</si>
  <si>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</si>
  <si>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</si>
  <si>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</si>
  <si>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</si>
  <si>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</si>
  <si>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</si>
  <si>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</si>
  <si>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</si>
  <si>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</si>
  <si>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</si>
  <si>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</si>
  <si>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</si>
  <si>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</si>
  <si>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</si>
  <si>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</si>
  <si>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</si>
  <si>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</si>
  <si>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</si>
  <si>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</si>
  <si>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</si>
  <si>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</si>
  <si>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</si>
  <si>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</si>
  <si>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</si>
  <si>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</si>
  <si>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</si>
  <si>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</si>
  <si>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</si>
  <si>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</si>
  <si>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</si>
  <si>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</si>
  <si>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</si>
  <si>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</si>
  <si>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</si>
  <si>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</si>
  <si>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</si>
  <si>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</si>
  <si>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</si>
  <si>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</si>
  <si>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</si>
  <si>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</si>
  <si>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</si>
  <si>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</si>
  <si>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</si>
  <si>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</si>
  <si>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</si>
  <si>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</si>
  <si>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</si>
  <si>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</si>
  <si>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</si>
  <si>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</si>
  <si>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</si>
  <si>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</si>
  <si>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</si>
  <si>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</si>
  <si>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</si>
  <si>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</si>
  <si>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</si>
  <si>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</si>
  <si>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</si>
  <si>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</si>
  <si>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</si>
  <si>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</si>
  <si>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</si>
  <si>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</si>
  <si>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</si>
  <si>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</si>
  <si>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</si>
  <si>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</si>
  <si>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</si>
  <si>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</si>
  <si>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</si>
  <si>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</si>
  <si>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</si>
  <si>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</si>
  <si>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</si>
  <si>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</si>
  <si>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</si>
  <si>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</si>
  <si>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</si>
  <si>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</si>
  <si>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</si>
  <si>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</si>
  <si>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</si>
  <si>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</si>
  <si>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</si>
  <si>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</si>
  <si>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</si>
  <si>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</si>
  <si>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</si>
  <si>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</si>
  <si>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</si>
  <si>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</si>
  <si>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</si>
  <si>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</si>
  <si>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</si>
  <si>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</si>
  <si>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</si>
  <si>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</si>
  <si>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</si>
  <si>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</si>
  <si>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</si>
  <si>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</si>
  <si>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</si>
  <si>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</si>
  <si>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</si>
  <si>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</si>
  <si>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</si>
  <si>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</si>
  <si>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</si>
  <si>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</si>
  <si>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</si>
  <si>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</si>
  <si>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</si>
  <si>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</si>
  <si>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</si>
  <si>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</si>
  <si>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</si>
  <si>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</si>
  <si>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</si>
  <si>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</si>
  <si>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</si>
  <si>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</si>
  <si>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</si>
  <si>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</si>
  <si>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</si>
  <si>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</si>
  <si>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</si>
  <si>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</si>
  <si>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</si>
  <si>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</si>
  <si>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</si>
  <si>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</si>
  <si>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</si>
  <si>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</si>
  <si>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</si>
  <si>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</si>
  <si>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</si>
  <si>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</si>
  <si>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</si>
  <si>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</si>
  <si>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</si>
  <si>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</si>
  <si>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</si>
  <si>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</si>
  <si>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</si>
  <si>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</si>
  <si>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</si>
  <si>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</si>
  <si>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</si>
  <si>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</si>
  <si>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</si>
  <si>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</si>
  <si>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</si>
  <si>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</si>
  <si>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</si>
  <si>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</si>
  <si>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</si>
  <si>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</si>
  <si>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</si>
  <si>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</si>
  <si>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</si>
  <si>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</si>
  <si>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</si>
  <si>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</si>
  <si>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</si>
  <si>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</si>
  <si>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</si>
  <si>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</si>
  <si>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</si>
  <si>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</si>
  <si>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</si>
  <si>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</si>
  <si>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</si>
  <si>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</si>
  <si>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</si>
  <si>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</si>
  <si>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</si>
  <si>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</si>
  <si>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</si>
  <si>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</si>
  <si>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</si>
  <si>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</si>
  <si>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</si>
  <si>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</si>
  <si>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</si>
  <si>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</si>
  <si>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</si>
  <si>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</si>
  <si>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</si>
  <si>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</si>
  <si>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</si>
  <si>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</si>
  <si>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</si>
  <si>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</si>
  <si>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</si>
  <si>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</si>
  <si>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</si>
  <si>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</si>
  <si>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</si>
  <si>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</si>
  <si>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</si>
  <si>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</si>
  <si>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</si>
  <si>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</si>
  <si>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</si>
  <si>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</si>
  <si>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</si>
  <si>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</si>
  <si>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</si>
  <si>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</si>
  <si>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</si>
  <si>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</si>
  <si>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</si>
  <si>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</si>
  <si>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</si>
  <si>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</si>
  <si>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</si>
  <si>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</si>
  <si>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</si>
  <si>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</si>
  <si>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</si>
  <si>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</si>
  <si>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</si>
  <si>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</si>
  <si>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</si>
  <si>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</si>
  <si>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</si>
  <si>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</si>
  <si>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</si>
  <si>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</si>
  <si>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</si>
  <si>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</si>
  <si>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</si>
  <si>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</si>
  <si>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</si>
  <si>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</si>
  <si>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</si>
  <si>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</si>
  <si>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</si>
  <si>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</si>
  <si>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</si>
  <si>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</si>
  <si>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</si>
  <si>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</si>
  <si>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</si>
  <si>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</si>
  <si>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</si>
  <si>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</si>
  <si>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</si>
  <si>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</si>
  <si>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</si>
  <si>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</si>
  <si>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</si>
  <si>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</si>
  <si>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</si>
  <si>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</si>
  <si>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</si>
  <si>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</si>
  <si>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</si>
  <si>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</si>
  <si>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</si>
  <si>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</si>
  <si>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</si>
  <si>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</si>
  <si>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</si>
  <si>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</si>
  <si>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</si>
  <si>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</si>
  <si>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</si>
  <si>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</si>
  <si>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</si>
  <si>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</si>
  <si>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</si>
  <si>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</si>
  <si>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</si>
  <si>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</si>
  <si>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</si>
  <si>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</si>
  <si>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</si>
  <si>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</si>
  <si>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</si>
  <si>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</si>
  <si>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</si>
  <si>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</si>
  <si>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</si>
  <si>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</si>
  <si>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</si>
  <si>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</si>
  <si>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</si>
  <si>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</si>
  <si>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</si>
  <si>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</si>
  <si>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</si>
  <si>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</si>
  <si>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</si>
  <si>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</si>
  <si>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</si>
  <si>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</si>
  <si>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</si>
  <si>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</si>
  <si>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</si>
  <si>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</si>
  <si>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</si>
  <si>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</si>
  <si>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</si>
  <si>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</si>
  <si>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</si>
  <si>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</si>
  <si>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</si>
  <si>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</si>
  <si>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</si>
  <si>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</si>
  <si>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</si>
  <si>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</si>
  <si>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</si>
  <si>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</si>
  <si>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</si>
  <si>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</si>
  <si>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</si>
  <si>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</si>
  <si>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</si>
  <si>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</si>
  <si>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</si>
  <si>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</si>
  <si>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</si>
  <si>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</si>
  <si>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</si>
  <si>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</si>
  <si>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</si>
  <si>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</si>
  <si>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</si>
  <si>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</si>
  <si>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</si>
  <si>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</si>
  <si>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</si>
  <si>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</si>
  <si>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</si>
  <si>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</si>
  <si>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</si>
  <si>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</si>
  <si>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</si>
  <si>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</si>
  <si>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</si>
  <si>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</si>
  <si>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</si>
  <si>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</si>
  <si>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</si>
  <si>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</si>
  <si>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</si>
  <si>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</si>
  <si>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</si>
  <si>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</si>
  <si>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</si>
  <si>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</si>
  <si>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</si>
  <si>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</si>
  <si>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</si>
  <si>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</si>
  <si>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</si>
  <si>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</si>
  <si>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</si>
  <si>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</si>
  <si>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</si>
  <si>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</si>
  <si>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</si>
  <si>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</si>
  <si>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</si>
  <si>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</si>
  <si>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</si>
  <si>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</si>
  <si>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</si>
  <si>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</si>
  <si>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</si>
  <si>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</si>
  <si>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</si>
  <si>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</si>
  <si>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</si>
  <si>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</si>
  <si>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</si>
  <si>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</si>
  <si>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</si>
  <si>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</si>
  <si>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</si>
  <si>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</si>
  <si>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</si>
  <si>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</si>
  <si>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</si>
  <si>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</si>
  <si>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</si>
  <si>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</si>
  <si>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</si>
  <si>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</si>
  <si>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</si>
  <si>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</si>
  <si>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</si>
  <si>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</si>
  <si>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</si>
  <si>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</si>
  <si>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</si>
  <si>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</si>
  <si>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</si>
  <si>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</si>
  <si>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</si>
  <si>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</si>
  <si>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</si>
  <si>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</si>
  <si>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</si>
  <si>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</si>
  <si>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</si>
  <si>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</si>
  <si>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</si>
  <si>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</si>
  <si>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</si>
  <si>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</si>
  <si>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</si>
  <si>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</si>
  <si>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</si>
  <si>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</si>
  <si>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</si>
  <si>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</si>
  <si>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</si>
  <si>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</si>
  <si>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</si>
  <si>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</si>
  <si>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</si>
  <si>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</si>
  <si>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</si>
  <si>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</si>
  <si>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</si>
  <si>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</si>
  <si>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</si>
  <si>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</si>
  <si>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</si>
  <si>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</si>
  <si>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</si>
  <si>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</si>
  <si>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</si>
  <si>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</si>
  <si>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</si>
  <si>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</si>
  <si>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</si>
  <si>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</si>
  <si>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</si>
  <si>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</si>
  <si>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</si>
  <si>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</si>
  <si>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</si>
  <si>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</si>
  <si>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</si>
  <si>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</si>
  <si>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</si>
  <si>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</si>
  <si>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</si>
  <si>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</si>
  <si>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</si>
  <si>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</si>
  <si>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</si>
  <si>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</si>
  <si>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</si>
  <si>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</si>
  <si>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</si>
  <si>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</si>
  <si>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</si>
  <si>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</si>
  <si>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</si>
  <si>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</si>
  <si>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</si>
  <si>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</si>
  <si>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</si>
  <si>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</si>
  <si>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</si>
  <si>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</si>
  <si>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</si>
  <si>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</si>
  <si>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</si>
  <si>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</si>
  <si>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</si>
  <si>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</si>
  <si>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</si>
  <si>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</si>
  <si>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</si>
  <si>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</si>
  <si>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</si>
  <si>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</si>
  <si>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</si>
  <si>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</si>
  <si>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</si>
  <si>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</si>
  <si>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</si>
  <si>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</si>
  <si>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</si>
  <si>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</si>
  <si>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</si>
  <si>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</si>
  <si>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</si>
  <si>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</si>
  <si>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</si>
  <si>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</si>
  <si>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</si>
  <si>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</si>
  <si>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</si>
  <si>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</si>
  <si>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</si>
  <si>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</si>
  <si>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</si>
  <si>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</si>
  <si>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</si>
  <si>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</si>
  <si>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</si>
  <si>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</si>
  <si>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</si>
  <si>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</si>
  <si>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</si>
  <si>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</si>
  <si>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</si>
  <si>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</si>
  <si>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</si>
  <si>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</si>
  <si>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</si>
  <si>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</si>
  <si>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</si>
  <si>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</si>
  <si>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</si>
  <si>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</si>
  <si>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</si>
  <si>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</si>
  <si>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</si>
  <si>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</si>
  <si>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</si>
  <si>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</si>
  <si>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</si>
  <si>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</si>
  <si>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</si>
  <si>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</si>
  <si>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</si>
  <si>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</si>
  <si>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</si>
  <si>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</si>
  <si>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</si>
  <si>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</si>
  <si>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</si>
  <si>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</si>
  <si>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</si>
  <si>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</si>
  <si>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</si>
  <si>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</si>
  <si>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</si>
  <si>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</si>
  <si>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</si>
  <si>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</si>
  <si>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</si>
  <si>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</si>
  <si>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</si>
  <si>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</si>
  <si>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</si>
  <si>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</si>
  <si>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</si>
  <si>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</si>
  <si>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</si>
  <si>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</si>
  <si>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</si>
  <si>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</si>
  <si>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</si>
  <si>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</si>
  <si>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</si>
  <si>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</si>
  <si>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</si>
  <si>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</si>
  <si>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</si>
  <si>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</si>
  <si>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</si>
  <si>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</si>
  <si>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</si>
  <si>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</si>
  <si>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</si>
  <si>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</si>
  <si>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</si>
  <si>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</si>
  <si>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</si>
  <si>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</si>
  <si>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</si>
  <si>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</si>
  <si>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</si>
  <si>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</si>
  <si>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</si>
  <si>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</si>
  <si>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</si>
  <si>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</si>
  <si>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</si>
  <si>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</si>
  <si>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</si>
  <si>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</si>
  <si>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</si>
  <si>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</si>
  <si>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</si>
  <si>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</si>
  <si>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</si>
  <si>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</si>
  <si>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</si>
  <si>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</si>
  <si>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</si>
  <si>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</si>
  <si>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</si>
  <si>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</si>
  <si>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</si>
  <si>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</si>
  <si>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</si>
  <si>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</si>
  <si>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</si>
  <si>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</si>
  <si>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</si>
  <si>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</si>
  <si>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</si>
  <si>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</si>
  <si>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</si>
  <si>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</si>
  <si>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</si>
  <si>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</si>
  <si>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</si>
  <si>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</si>
  <si>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</si>
  <si>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</si>
  <si>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</si>
  <si>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</si>
  <si>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</si>
  <si>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</si>
  <si>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</si>
  <si>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</si>
  <si>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</si>
  <si>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</si>
  <si>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</si>
  <si>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</si>
  <si>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</si>
  <si>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</si>
  <si>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</si>
  <si>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</si>
  <si>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</si>
  <si>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</si>
  <si>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</si>
  <si>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</si>
  <si>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</si>
  <si>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</si>
  <si>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</si>
  <si>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</si>
  <si>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</si>
  <si>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</si>
  <si>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</si>
  <si>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</si>
  <si>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</si>
  <si>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</si>
  <si>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</si>
  <si>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</si>
  <si>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</si>
  <si>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</si>
  <si>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</si>
  <si>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</si>
  <si>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</si>
  <si>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</si>
  <si>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</si>
  <si>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</si>
  <si>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</si>
  <si>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</si>
  <si>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</si>
  <si>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</si>
  <si>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</si>
  <si>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</si>
  <si>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</si>
  <si>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</si>
  <si>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</si>
  <si>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</si>
  <si>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</si>
  <si>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</si>
  <si>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</si>
  <si>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</si>
  <si>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</si>
  <si>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</si>
  <si>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</si>
  <si>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</si>
  <si>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</si>
  <si>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</si>
  <si>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</si>
  <si>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</si>
  <si>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</si>
  <si>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</si>
  <si>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</si>
  <si>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</si>
  <si>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</si>
  <si>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</si>
  <si>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</si>
  <si>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</si>
  <si>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</si>
  <si>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</si>
  <si>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</si>
  <si>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</si>
  <si>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</si>
  <si>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</si>
  <si>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</si>
  <si>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</si>
  <si>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</si>
  <si>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</si>
  <si>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</si>
  <si>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</si>
  <si>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</si>
  <si>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</si>
  <si>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</si>
  <si>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</si>
  <si>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</si>
  <si>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</si>
  <si>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</si>
  <si>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</si>
  <si>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</si>
  <si>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</si>
  <si>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</si>
  <si>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</si>
  <si>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</si>
  <si>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</si>
  <si>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</si>
  <si>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</si>
  <si>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</si>
  <si>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</si>
  <si>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</si>
  <si>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</si>
  <si>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</si>
  <si>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</si>
  <si>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</si>
  <si>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</si>
  <si>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</si>
  <si>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</si>
  <si>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</si>
  <si>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</si>
  <si>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</si>
  <si>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</si>
  <si>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</si>
  <si>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</si>
  <si>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</si>
  <si>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</si>
  <si>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</si>
  <si>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</si>
  <si>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</si>
  <si>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</si>
  <si>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</si>
  <si>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</si>
  <si>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</si>
  <si>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</si>
  <si>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</si>
  <si>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</si>
  <si>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</si>
  <si>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</si>
  <si>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</si>
  <si>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</si>
  <si>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</si>
  <si>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</si>
  <si>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</si>
  <si>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</si>
  <si>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</si>
  <si>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</si>
  <si>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</si>
  <si>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</si>
  <si>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</si>
  <si>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</si>
  <si>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</si>
  <si>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</si>
  <si>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</si>
  <si>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</si>
  <si>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</si>
  <si>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</si>
  <si>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</si>
  <si>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</si>
  <si>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</si>
  <si>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</si>
  <si>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</si>
  <si>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</si>
  <si>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</si>
  <si>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</si>
  <si>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</si>
  <si>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</si>
  <si>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</si>
  <si>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</si>
  <si>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</si>
  <si>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</si>
  <si>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</si>
  <si>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</si>
  <si>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</si>
  <si>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</si>
  <si>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</si>
  <si>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</si>
  <si>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</si>
  <si>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</si>
  <si>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</si>
  <si>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</si>
  <si>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</si>
  <si>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</si>
  <si>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</si>
  <si>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</si>
  <si>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</si>
  <si>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</si>
  <si>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</si>
  <si>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</si>
  <si>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</si>
  <si>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</si>
  <si>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</si>
  <si>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</si>
  <si>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</si>
  <si>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</si>
  <si>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</si>
  <si>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</si>
  <si>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</si>
  <si>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</si>
  <si>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</si>
  <si>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</si>
  <si>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</si>
  <si>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</si>
  <si>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</si>
  <si>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</si>
  <si>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</si>
  <si>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</si>
  <si>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</si>
  <si>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</si>
  <si>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</si>
  <si>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</si>
  <si>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</si>
  <si>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</si>
  <si>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</si>
  <si>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</si>
  <si>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</si>
  <si>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</si>
  <si>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</si>
  <si>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</si>
  <si>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</si>
  <si>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</si>
  <si>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</si>
  <si>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</si>
  <si>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</si>
  <si>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</si>
  <si>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</si>
  <si>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</si>
  <si>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</si>
  <si>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</si>
  <si>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</si>
  <si>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</si>
  <si>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</si>
  <si>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</si>
  <si>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</si>
  <si>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</si>
  <si>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</si>
  <si>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</si>
  <si>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</si>
  <si>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</si>
  <si>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</si>
  <si>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</si>
  <si>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</si>
  <si>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</si>
  <si>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</si>
  <si>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</si>
  <si>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</si>
  <si>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</si>
  <si>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</si>
  <si>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</si>
  <si>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</si>
  <si>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</si>
  <si>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</si>
  <si>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</si>
  <si>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</si>
  <si>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</si>
  <si>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</si>
  <si>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</si>
  <si>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</si>
  <si>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</si>
  <si>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</si>
  <si>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</si>
  <si>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</si>
  <si>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</si>
  <si>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</si>
  <si>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</si>
  <si>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</si>
  <si>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</si>
  <si>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</si>
  <si>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</si>
  <si>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</si>
  <si>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</si>
  <si>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</si>
  <si>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</si>
  <si>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</si>
  <si>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</si>
  <si>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</si>
  <si>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</si>
  <si>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</si>
  <si>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</si>
  <si>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</si>
  <si>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</si>
  <si>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</si>
  <si>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</si>
  <si>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</si>
  <si>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</si>
  <si>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</si>
  <si>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</si>
  <si>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</si>
  <si>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</si>
  <si>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</si>
  <si>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</si>
  <si>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</si>
  <si>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</si>
  <si>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</si>
  <si>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</si>
  <si>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</si>
  <si>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</si>
  <si>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</si>
  <si>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</si>
  <si>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</si>
  <si>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</si>
  <si>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</si>
  <si>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</si>
  <si>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</si>
  <si>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</si>
  <si>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</si>
  <si>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</si>
  <si>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</si>
  <si>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</si>
  <si>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</si>
  <si>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</si>
  <si>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</si>
  <si>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</si>
  <si>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</si>
  <si>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</si>
  <si>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</si>
  <si>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</si>
  <si>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</si>
  <si>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</si>
  <si>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</si>
  <si>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</si>
  <si>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</si>
  <si>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</si>
  <si>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</si>
  <si>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</si>
  <si>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</si>
  <si>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</si>
  <si>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</si>
  <si>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</si>
  <si>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</si>
  <si>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</si>
  <si>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</si>
  <si>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</si>
  <si>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</si>
  <si>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</si>
  <si>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</si>
  <si>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</si>
  <si>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</si>
  <si>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</si>
  <si>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</si>
  <si>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</si>
  <si>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</si>
  <si>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</si>
  <si>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</si>
  <si>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</si>
  <si>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</si>
  <si>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</si>
  <si>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</si>
  <si>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</si>
  <si>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</si>
  <si>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</si>
  <si>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</si>
  <si>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</si>
  <si>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</si>
  <si>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</si>
  <si>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</si>
  <si>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</si>
  <si>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</si>
  <si>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</si>
  <si>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</si>
  <si>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</si>
  <si>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</si>
  <si>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</si>
  <si>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</si>
  <si>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</si>
  <si>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</si>
  <si>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</si>
  <si>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</si>
  <si>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</si>
  <si>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</si>
  <si>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</si>
  <si>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</si>
  <si>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</si>
  <si>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</si>
  <si>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</si>
  <si>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</si>
  <si>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</si>
  <si>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</si>
  <si>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</si>
  <si>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</si>
  <si>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</si>
  <si>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</si>
  <si>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</si>
  <si>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</si>
  <si>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</si>
  <si>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</si>
  <si>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</si>
  <si>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</si>
  <si>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</si>
  <si>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</si>
  <si>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</si>
  <si>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</si>
  <si>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</si>
  <si>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</si>
  <si>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</si>
  <si>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</si>
  <si>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</si>
  <si>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</si>
  <si>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</si>
  <si>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</si>
  <si>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</si>
  <si>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</si>
  <si>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</si>
  <si>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</si>
  <si>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</si>
  <si>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</si>
  <si>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</si>
  <si>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</si>
  <si>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</si>
  <si>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</si>
  <si>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</si>
  <si>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</si>
  <si>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</si>
  <si>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</si>
  <si>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</si>
  <si>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</si>
  <si>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</si>
  <si>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</si>
  <si>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</si>
  <si>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</si>
  <si>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</si>
  <si>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</si>
  <si>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</si>
  <si>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</si>
  <si>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</si>
  <si>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</si>
  <si>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</si>
  <si>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</si>
  <si>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</si>
  <si>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</si>
  <si>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</si>
  <si>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</si>
  <si>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</si>
  <si>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Yarushynskyi Vladyslav</t>
  </si>
  <si>
    <t>Počet zpožděných našich rozvozů +5 min</t>
  </si>
  <si>
    <t>Počet rozvozů</t>
  </si>
  <si>
    <t xml:space="preserve">Vlastní vůz </t>
  </si>
  <si>
    <t>počet výdajových dokadů</t>
  </si>
  <si>
    <t>Reischl Jan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</si>
  <si>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</si>
  <si>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</si>
  <si>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</si>
  <si>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</si>
  <si>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</si>
  <si>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Kopic Jakub</t>
  </si>
  <si>
    <t>7:00</t>
  </si>
  <si>
    <t>29:00</t>
  </si>
  <si>
    <t>Kalina Filip</t>
  </si>
  <si>
    <t>14:00</t>
  </si>
  <si>
    <t>Nedvěd Dominik</t>
  </si>
  <si>
    <t>11 min 40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</si>
  <si>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</si>
  <si>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</si>
  <si>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10:00 - 1:00 (Instor)</t>
  </si>
  <si>
    <t>10:00 - 17:00 (Instor)</t>
  </si>
  <si>
    <t>Dušek Sam</t>
  </si>
  <si>
    <t>11:00 - 23:00 (Kurýr)</t>
  </si>
  <si>
    <t>17:00 - 1:00 (Kurýr)</t>
  </si>
  <si>
    <t>11:00 - 0:00 (Kurýr)</t>
  </si>
  <si>
    <t>17:00 - 1:00 (Instor)</t>
  </si>
  <si>
    <t>17:00 - 3:00 (Instor)</t>
  </si>
  <si>
    <t>17:00 - 0:00 (Instor)</t>
  </si>
  <si>
    <t>11:00 - 17:00 (Kurýr)</t>
  </si>
  <si>
    <t>10:00 - 0:00 (Instor)</t>
  </si>
  <si>
    <t>15:00 - 0:00 (Kurýr)</t>
  </si>
  <si>
    <t>Hanibal Filip</t>
  </si>
  <si>
    <t>11:00 - 1:00 (Kurýr)</t>
  </si>
  <si>
    <t>Hendrych Rostislav</t>
  </si>
  <si>
    <t>Petr Židek</t>
  </si>
  <si>
    <t>Weindling Josef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</si>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</sst>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Border="1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46189.0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SUMIFS(RestiaCSV!C:C, RestiaCSV!B:B, "&lt;&gt;canceled", RestiaCSV!B:B, "&lt;&gt;expired")</f>
        <v>0</v>
      </c>
      <c r="K2" s="21"/>
      <c r="L2" s="23" t="s">
        <v>1941</v>
      </c>
      <c r="M2" s="24">
        <f>SUMIFS(RestiaCSV!C:C, RestiaCSV!A:A, Report!L2, RestiaCSV!B:B, "&lt;&gt;canceled", RestiaCSV!B:B, "&lt;&gt;expired")</f>
        <v>0</v>
      </c>
    </row>
    <row r="3">
      <c r="A3" s="25"/>
      <c r="B3" s="26" t="str">
        <f>CHOOSE(WEEKDAY(D1), "Neděle", "Pondělí", "Úterý", "Středa", "Čtvrtek", "Pátek", "Sobota")</f>
        <v>Úterý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0</v>
      </c>
      <c r="B12" s="51" t="s">
        <v>1885</v>
      </c>
      <c r="C12" s="52" t="s">
        <v>41</v>
      </c>
      <c r="D12" s="52" t="s">
        <v>70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08:00</v>
      </c>
      <c r="I12" s="21"/>
      <c r="J12" s="36"/>
      <c r="K12" s="21"/>
      <c r="L12" s="55" t="s">
        <v>1955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2140.8</v>
      </c>
      <c r="B13" s="51" t="s">
        <v>1956</v>
      </c>
      <c r="C13" s="52" t="s">
        <v>45</v>
      </c>
      <c r="D13" s="52" t="s">
        <v>46</v>
      </c>
      <c r="E13" s="53"/>
      <c r="F13" s="54" t="str">
        <f t="shared" si="1"/>
        <v>08:00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0</v>
      </c>
      <c r="B14" s="51"/>
      <c r="C14" s="52"/>
      <c r="D14" s="52"/>
      <c r="E14" s="53"/>
      <c r="F14" s="54" t="str">
        <f t="shared" si="1"/>
        <v>0:00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/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1957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1958</v>
      </c>
      <c r="H24" s="80" t="s">
        <v>1959</v>
      </c>
      <c r="I24" s="81" t="s">
        <v>13</v>
      </c>
      <c r="J24" s="82" t="s">
        <v>1960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1284.48</v>
      </c>
      <c r="B25" s="51" t="s">
        <v>1961</v>
      </c>
      <c r="C25" s="66" t="s">
        <v>63</v>
      </c>
      <c r="D25" s="66" t="s">
        <v>45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06:00</v>
      </c>
      <c r="G25" s="84">
        <f>COUNTIF(RestiaCSV!E:E, B25)</f>
        <v>0</v>
      </c>
      <c r="H25" s="85" t="b">
        <v>0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0</v>
      </c>
      <c r="B26" s="51"/>
      <c r="C26" s="66"/>
      <c r="D26" s="66"/>
      <c r="E26" s="88"/>
      <c r="F26" s="54" t="str">
        <f t="shared" si="2"/>
        <v>0:00</v>
      </c>
      <c r="G26" s="84">
        <f>COUNTIF(RestiaCSV!E:E, B26)</f>
        <v>0</v>
      </c>
      <c r="H26" s="85" t="b">
        <v>0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1962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Viktoriia,Šebesta Tomáš,Veselý Ondřej,Coufal Jakub,Kinkorová Petra,Nováková Adéla,Hegedüs Erik,Bubník Martin,Mirga Simon,Yarushynskyi Vladyslav,Židek Petr,Gorol Patrik,Kopic Jakub"</formula1>
    </dataValidation>
    <dataValidation type="list" allowBlank="1" sqref="G11 G19">
      <formula1>"Kinkorová Petra,Yarushynskyi Vladyslav"</formula1>
    </dataValidation>
    <dataValidation type="list" allowBlank="1" sqref="B25:B31">
      <formula1>"Jurkovič Martin,Hanibal Filip,Novák Jakub,Nedvěd Dominik,Lažek Jaroslav,Vychivskyi Volodymyr,Reischl Jan,Kalina Filip,Dušek Sam,Richterová Monika,Serin David,Hendrych Rostislav,Weindling Josef"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46187.0</v>
      </c>
      <c r="D1" s="114" t="s">
        <v>1963</v>
      </c>
      <c r="E1" s="115">
        <v>46187.0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0.2900453812210521</v>
      </c>
      <c r="H2" s="21"/>
      <c r="I2" s="119">
        <v>56610.19999999998</v>
      </c>
      <c r="K2" s="21"/>
      <c r="L2" s="120" t="s">
        <v>1941</v>
      </c>
      <c r="M2" s="121">
        <v>14920.200000000004</v>
      </c>
      <c r="N2" s="122"/>
    </row>
    <row r="3">
      <c r="A3" s="123"/>
      <c r="B3" s="124" t="str">
        <f>CHOOSE(WEEKDAY(C1), "Neděle", "Pondělí", "Úterý", "Středa", "Čtvrtek", "Pátek", "Sobota")</f>
        <v>Neděle</v>
      </c>
      <c r="C3" s="27"/>
      <c r="D3" s="124" t="str">
        <f>CHOOSE(WEEKDAY(E1), "Neděle", "Pondělí", "Úterý", "Středa", "Čtvrtek", "Pátek", "Sobota")</f>
        <v>Neděle</v>
      </c>
      <c r="E3" s="11"/>
      <c r="H3" s="21"/>
      <c r="K3" s="21"/>
      <c r="L3" s="125" t="s">
        <v>1942</v>
      </c>
      <c r="M3" s="126">
        <v>8171.0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10053.0</v>
      </c>
      <c r="N4" s="122"/>
    </row>
    <row r="5">
      <c r="A5" s="127"/>
      <c r="B5" s="128" t="s">
        <v>1964</v>
      </c>
      <c r="C5" s="27"/>
      <c r="D5" s="27"/>
      <c r="E5" s="11"/>
      <c r="F5" s="129" t="s">
        <v>1965</v>
      </c>
      <c r="G5" s="27"/>
      <c r="H5" s="27"/>
      <c r="I5" s="27"/>
      <c r="J5" s="27"/>
      <c r="K5" s="11"/>
      <c r="L5" s="130" t="s">
        <v>1945</v>
      </c>
      <c r="M5" s="126">
        <v>11984.0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0.0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14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25</v>
      </c>
      <c r="G7" s="13"/>
      <c r="H7" s="13"/>
      <c r="I7" s="13"/>
      <c r="J7" s="134"/>
      <c r="K7" s="134"/>
      <c r="L7" s="135" t="s">
        <v>1947</v>
      </c>
      <c r="M7" s="136">
        <v>1933.0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1966</v>
      </c>
      <c r="D9" s="144" t="s">
        <v>1954</v>
      </c>
      <c r="E9" s="145"/>
      <c r="F9" s="143" t="s">
        <v>1950</v>
      </c>
      <c r="G9" s="144" t="s">
        <v>1966</v>
      </c>
      <c r="H9" s="144" t="s">
        <v>1954</v>
      </c>
      <c r="I9" s="146" t="s">
        <v>1958</v>
      </c>
      <c r="J9" s="147">
        <v>2.1827872842550278E-11</v>
      </c>
      <c r="K9" s="11"/>
      <c r="L9" s="148" t="s">
        <v>23</v>
      </c>
      <c r="M9" s="126">
        <v>4547.0</v>
      </c>
      <c r="N9" s="122"/>
    </row>
    <row r="10" ht="18.75" customHeight="1">
      <c r="A10" s="149"/>
      <c r="B10" s="150" t="s">
        <v>1967</v>
      </c>
      <c r="C10" s="151">
        <v>1.0</v>
      </c>
      <c r="D10" s="152" t="s">
        <v>1968</v>
      </c>
      <c r="E10" s="153" t="s">
        <v>1969</v>
      </c>
      <c r="F10" s="150" t="s">
        <v>1970</v>
      </c>
      <c r="G10" s="151">
        <v>1.0</v>
      </c>
      <c r="H10" s="151" t="s">
        <v>50</v>
      </c>
      <c r="I10" s="154">
        <v>16.0</v>
      </c>
      <c r="J10" s="36"/>
      <c r="K10" s="21"/>
      <c r="L10" s="148" t="s">
        <v>24</v>
      </c>
      <c r="M10" s="126">
        <v>300.0</v>
      </c>
      <c r="N10" s="122"/>
    </row>
    <row r="11" ht="18.75" customHeight="1">
      <c r="A11" s="149"/>
      <c r="B11" s="150" t="s">
        <v>1956</v>
      </c>
      <c r="C11" s="151">
        <v>1.0</v>
      </c>
      <c r="D11" s="155" t="s">
        <v>1971</v>
      </c>
      <c r="E11" s="153" t="s">
        <v>49</v>
      </c>
      <c r="F11" s="150" t="s">
        <v>1972</v>
      </c>
      <c r="G11" s="151">
        <v>1.0</v>
      </c>
      <c r="H11" s="151" t="s">
        <v>43</v>
      </c>
      <c r="I11" s="154">
        <v>13.0</v>
      </c>
      <c r="J11" s="36"/>
      <c r="K11" s="21"/>
      <c r="L11" s="156" t="s">
        <v>25</v>
      </c>
      <c r="M11" s="157">
        <v>5415.0</v>
      </c>
      <c r="N11" s="122"/>
    </row>
    <row r="12" ht="18.75" customHeight="1">
      <c r="A12" s="149"/>
      <c r="B12" s="150"/>
      <c r="C12" s="151"/>
      <c r="D12" s="155"/>
      <c r="E12" s="153" t="s">
        <v>50</v>
      </c>
      <c r="F12" s="150"/>
      <c r="G12" s="151"/>
      <c r="H12" s="151"/>
      <c r="I12" s="154"/>
      <c r="J12" s="36"/>
      <c r="K12" s="21"/>
      <c r="L12" s="158" t="s">
        <v>1955</v>
      </c>
      <c r="M12" s="19"/>
      <c r="N12" s="117"/>
    </row>
    <row r="13" ht="18.75" customHeight="1">
      <c r="A13" s="149"/>
      <c r="B13" s="150"/>
      <c r="C13" s="151"/>
      <c r="D13" s="155"/>
      <c r="E13" s="153" t="s">
        <v>50</v>
      </c>
      <c r="F13" s="150"/>
      <c r="G13" s="151"/>
      <c r="H13" s="151"/>
      <c r="I13" s="154"/>
      <c r="J13" s="36"/>
      <c r="K13" s="21"/>
      <c r="L13" s="148" t="s">
        <v>29</v>
      </c>
      <c r="M13" s="126">
        <v>500.0</v>
      </c>
      <c r="N13" s="122"/>
    </row>
    <row r="14" ht="18.75" customHeight="1">
      <c r="A14" s="149"/>
      <c r="B14" s="150"/>
      <c r="C14" s="151"/>
      <c r="D14" s="151"/>
      <c r="E14" s="153" t="s">
        <v>1968</v>
      </c>
      <c r="F14" s="150"/>
      <c r="G14" s="151"/>
      <c r="H14" s="151"/>
      <c r="I14" s="154"/>
      <c r="J14" s="36"/>
      <c r="K14" s="21"/>
      <c r="L14" s="159" t="s">
        <v>30</v>
      </c>
      <c r="M14" s="126">
        <v>0.0</v>
      </c>
      <c r="N14" s="122"/>
    </row>
    <row r="15" ht="18.75" customHeight="1">
      <c r="A15" s="149"/>
      <c r="B15" s="150"/>
      <c r="C15" s="151"/>
      <c r="D15" s="151"/>
      <c r="E15" s="153" t="s">
        <v>1968</v>
      </c>
      <c r="F15" s="150"/>
      <c r="G15" s="151"/>
      <c r="H15" s="151"/>
      <c r="I15" s="154"/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/>
      <c r="C16" s="151"/>
      <c r="D16" s="151"/>
      <c r="E16" s="160"/>
      <c r="F16" s="150"/>
      <c r="G16" s="151"/>
      <c r="H16" s="151"/>
      <c r="I16" s="154"/>
      <c r="J16" s="36"/>
      <c r="K16" s="21"/>
      <c r="L16" s="159" t="s">
        <v>32</v>
      </c>
      <c r="M16" s="126">
        <v>0.0</v>
      </c>
      <c r="N16" s="122"/>
    </row>
    <row r="17" ht="18.75" customHeight="1">
      <c r="A17" s="149"/>
      <c r="B17" s="150"/>
      <c r="C17" s="151"/>
      <c r="D17" s="151"/>
      <c r="E17" s="160"/>
      <c r="F17" s="150"/>
      <c r="G17" s="151"/>
      <c r="H17" s="151"/>
      <c r="I17" s="154"/>
      <c r="J17" s="18"/>
      <c r="K17" s="19"/>
      <c r="L17" s="161" t="s">
        <v>33</v>
      </c>
      <c r="M17" s="162">
        <v>720.0</v>
      </c>
      <c r="N17" s="122"/>
    </row>
    <row r="18" ht="18.75" customHeight="1">
      <c r="A18" s="149"/>
      <c r="B18" s="150"/>
      <c r="C18" s="151"/>
      <c r="D18" s="151"/>
      <c r="E18" s="160"/>
      <c r="F18" s="150"/>
      <c r="G18" s="151"/>
      <c r="H18" s="151"/>
      <c r="I18" s="154"/>
      <c r="J18" s="163"/>
      <c r="K18" s="13"/>
      <c r="L18" s="13"/>
      <c r="M18" s="14"/>
      <c r="N18" s="164"/>
    </row>
    <row r="19" ht="18.75" customHeight="1">
      <c r="A19" s="149"/>
      <c r="B19" s="150"/>
      <c r="C19" s="151"/>
      <c r="D19" s="151"/>
      <c r="E19" s="160"/>
      <c r="F19" s="150"/>
      <c r="G19" s="151"/>
      <c r="H19" s="151"/>
      <c r="I19" s="154"/>
      <c r="J19" s="165" t="s">
        <v>34</v>
      </c>
      <c r="K19" s="166" t="s">
        <v>35</v>
      </c>
      <c r="L19" s="167" t="s">
        <v>1957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0.0</v>
      </c>
      <c r="K21" s="173">
        <v>0.0</v>
      </c>
      <c r="L21" s="174">
        <v>5.0</v>
      </c>
      <c r="M21" s="175" t="s">
        <v>1973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1960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1.0</v>
      </c>
      <c r="K24" s="174">
        <v>143.0</v>
      </c>
      <c r="L24" s="174">
        <v>32.0</v>
      </c>
      <c r="M24" s="179">
        <v>0.0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1962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0.0</v>
      </c>
      <c r="K27" s="98"/>
      <c r="L27" s="185">
        <v>0.15625</v>
      </c>
      <c r="M27" s="186">
        <v>1.0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0.84375</v>
      </c>
      <c r="M30" s="190">
        <v>0.03125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1974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1975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1885</v>
      </c>
      <c r="B3" s="1" t="s">
        <v>1976</v>
      </c>
      <c r="C3" s="193"/>
      <c r="D3" s="1" t="s">
        <v>1977</v>
      </c>
      <c r="E3" s="1" t="s">
        <v>1977</v>
      </c>
      <c r="F3" s="1" t="s">
        <v>1977</v>
      </c>
      <c r="G3" s="1" t="s">
        <v>1976</v>
      </c>
      <c r="H3" s="193"/>
    </row>
    <row r="4">
      <c r="A4" s="1" t="s">
        <v>1978</v>
      </c>
      <c r="B4" s="1" t="s">
        <v>1979</v>
      </c>
      <c r="C4" s="193"/>
      <c r="D4" s="193"/>
      <c r="E4" s="1" t="s">
        <v>1980</v>
      </c>
      <c r="F4" s="193"/>
      <c r="G4" s="193"/>
      <c r="H4" s="193"/>
    </row>
    <row r="5">
      <c r="A5" s="1" t="s">
        <v>1970</v>
      </c>
      <c r="B5" s="1" t="s">
        <v>1980</v>
      </c>
      <c r="C5" s="193"/>
      <c r="D5" s="193"/>
      <c r="E5" s="193"/>
      <c r="F5" s="193"/>
      <c r="G5" s="193"/>
      <c r="H5" s="1" t="s">
        <v>1981</v>
      </c>
    </row>
    <row r="6">
      <c r="A6" s="1" t="s">
        <v>1967</v>
      </c>
      <c r="B6" s="193"/>
      <c r="C6" s="1" t="s">
        <v>1976</v>
      </c>
      <c r="D6" s="193"/>
      <c r="E6" s="1" t="s">
        <v>1982</v>
      </c>
      <c r="F6" s="193"/>
      <c r="G6" s="1" t="s">
        <v>1983</v>
      </c>
      <c r="H6" s="1" t="s">
        <v>1984</v>
      </c>
    </row>
    <row r="7">
      <c r="A7" s="1" t="s">
        <v>1961</v>
      </c>
      <c r="B7" s="193"/>
      <c r="C7" s="1" t="s">
        <v>1985</v>
      </c>
      <c r="D7" s="193"/>
      <c r="E7" s="193"/>
      <c r="F7" s="193"/>
      <c r="G7" s="193"/>
      <c r="H7" s="193"/>
    </row>
    <row r="8">
      <c r="A8" s="1" t="s">
        <v>1956</v>
      </c>
      <c r="B8" s="193"/>
      <c r="C8" s="1" t="s">
        <v>1982</v>
      </c>
      <c r="D8" s="1" t="s">
        <v>1982</v>
      </c>
      <c r="E8" s="1" t="s">
        <v>1984</v>
      </c>
      <c r="F8" s="1" t="s">
        <v>1983</v>
      </c>
      <c r="G8" s="193"/>
      <c r="H8" s="1" t="s">
        <v>1986</v>
      </c>
    </row>
    <row r="9">
      <c r="A9" s="1" t="s">
        <v>1972</v>
      </c>
      <c r="B9" s="193"/>
      <c r="C9" s="193"/>
      <c r="D9" s="1" t="s">
        <v>1979</v>
      </c>
      <c r="E9" s="193"/>
      <c r="F9" s="193"/>
      <c r="G9" s="193"/>
      <c r="H9" s="1" t="s">
        <v>1987</v>
      </c>
    </row>
    <row r="10">
      <c r="A10" s="1" t="s">
        <v>1988</v>
      </c>
      <c r="B10" s="193"/>
      <c r="C10" s="193"/>
      <c r="D10" s="1" t="s">
        <v>1980</v>
      </c>
      <c r="E10" s="193"/>
      <c r="F10" s="1" t="s">
        <v>1989</v>
      </c>
      <c r="G10" s="1" t="s">
        <v>1989</v>
      </c>
      <c r="H10" s="193"/>
    </row>
    <row r="11">
      <c r="A11" s="1" t="s">
        <v>1990</v>
      </c>
      <c r="B11" s="193"/>
      <c r="C11" s="193"/>
      <c r="D11" s="1" t="s">
        <v>1980</v>
      </c>
      <c r="E11" s="1" t="s">
        <v>1989</v>
      </c>
      <c r="F11" s="193"/>
      <c r="G11" s="193"/>
      <c r="H11" s="193"/>
    </row>
    <row r="12">
      <c r="A12" s="1" t="s">
        <v>1924</v>
      </c>
      <c r="B12" s="193"/>
      <c r="D12" s="193"/>
      <c r="E12" s="193"/>
      <c r="F12" s="1" t="s">
        <v>1983</v>
      </c>
      <c r="G12" s="193"/>
      <c r="H12" s="193"/>
    </row>
    <row r="13">
      <c r="A13" s="1" t="s">
        <v>1924</v>
      </c>
      <c r="B13" s="1" t="s">
        <v>1991</v>
      </c>
      <c r="D13" s="193"/>
      <c r="E13" s="193"/>
      <c r="F13" s="1"/>
      <c r="G13" s="1" t="s">
        <v>1983</v>
      </c>
      <c r="H13" s="193"/>
    </row>
    <row r="14">
      <c r="A14" s="1" t="s">
        <v>1992</v>
      </c>
      <c r="B14" s="193"/>
      <c r="F14" s="193"/>
      <c r="G14" s="1" t="s">
        <v>1985</v>
      </c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"/>
      <c r="F2" s="1"/>
      <c r="G2" s="1"/>
      <c r="H2" s="1"/>
      <c r="I2" s="1"/>
      <c r="J2" s="1"/>
      <c r="K2" s="193"/>
      <c r="L2" s="1"/>
      <c r="M2" s="1"/>
      <c r="N2" s="1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93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93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93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93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93"/>
      <c r="F13" s="1"/>
      <c r="G13" s="1"/>
      <c r="H13" s="1"/>
      <c r="I13" s="1"/>
      <c r="J13" s="1"/>
      <c r="K13" s="193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93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93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94"/>
      <c r="C16" s="194"/>
      <c r="D16" s="1"/>
      <c r="E16" s="1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93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93"/>
      <c r="F21" s="1"/>
      <c r="G21" s="1"/>
      <c r="H21" s="1"/>
      <c r="I21" s="1"/>
      <c r="J21" s="1"/>
      <c r="K21" s="193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"/>
      <c r="F23" s="1"/>
      <c r="G23" s="1"/>
      <c r="H23" s="1"/>
      <c r="I23" s="1"/>
      <c r="J23" s="1"/>
      <c r="K23" s="193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93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"/>
      <c r="F26" s="1"/>
      <c r="G26" s="1"/>
      <c r="H26" s="1"/>
      <c r="I26" s="1"/>
      <c r="J26" s="1"/>
      <c r="K26" s="193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93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"/>
      <c r="F29" s="1"/>
      <c r="G29" s="1"/>
      <c r="H29" s="1"/>
      <c r="I29" s="1"/>
      <c r="J29" s="1"/>
      <c r="K29" s="193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93"/>
      <c r="F30" s="1"/>
      <c r="G30" s="1"/>
      <c r="H30" s="1"/>
      <c r="I30" s="1"/>
      <c r="J30" s="1"/>
      <c r="K30" s="193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93"/>
      <c r="F31" s="1"/>
      <c r="G31" s="1"/>
      <c r="H31" s="1"/>
      <c r="I31" s="1"/>
      <c r="J31" s="1"/>
      <c r="K31" s="193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93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93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93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93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93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93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93"/>
      <c r="F43" s="1"/>
      <c r="G43" s="1"/>
      <c r="H43" s="1"/>
      <c r="I43" s="1"/>
      <c r="J43" s="1"/>
      <c r="K43" s="193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93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93"/>
      <c r="F50" s="1"/>
      <c r="G50" s="1"/>
      <c r="H50" s="1"/>
      <c r="I50" s="1"/>
      <c r="J50" s="1"/>
      <c r="K50" s="193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93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93"/>
      <c r="F53" s="1"/>
      <c r="G53" s="1"/>
      <c r="H53" s="1"/>
      <c r="I53" s="1"/>
      <c r="J53" s="1"/>
      <c r="K53" s="193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93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93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"/>
      <c r="F58" s="1"/>
      <c r="G58" s="1"/>
      <c r="H58" s="1"/>
      <c r="I58" s="1"/>
      <c r="J58" s="1"/>
      <c r="K58" s="193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93"/>
      <c r="F59" s="1"/>
      <c r="G59" s="1"/>
      <c r="H59" s="1"/>
      <c r="I59" s="1"/>
      <c r="J59" s="1"/>
      <c r="K59" s="193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93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"/>
      <c r="F61" s="1"/>
      <c r="G61" s="1"/>
      <c r="H61" s="1"/>
      <c r="I61" s="1"/>
      <c r="J61" s="1"/>
      <c r="K61" s="193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93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93"/>
      <c r="F69" s="1"/>
      <c r="G69" s="1"/>
      <c r="H69" s="1"/>
      <c r="I69" s="1"/>
      <c r="J69" s="1"/>
      <c r="K69" s="193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93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94"/>
      <c r="D71" s="1"/>
      <c r="E71" s="193"/>
      <c r="F71" s="1"/>
      <c r="G71" s="1"/>
      <c r="H71" s="1"/>
      <c r="I71" s="1"/>
      <c r="J71" s="1"/>
      <c r="K71" s="193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93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"/>
      <c r="F74" s="1"/>
      <c r="G74" s="1"/>
      <c r="H74" s="1"/>
      <c r="I74" s="1"/>
      <c r="J74" s="1"/>
      <c r="K74" s="193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93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93"/>
      <c r="F78" s="1"/>
      <c r="G78" s="1"/>
      <c r="H78" s="1"/>
      <c r="I78" s="1"/>
      <c r="J78" s="1"/>
      <c r="K78" s="193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93"/>
      <c r="F80" s="1"/>
      <c r="G80" s="1"/>
      <c r="H80" s="1"/>
      <c r="I80" s="1"/>
      <c r="J80" s="1"/>
      <c r="K80" s="193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"/>
      <c r="F84" s="1"/>
      <c r="G84" s="1"/>
      <c r="H84" s="1"/>
      <c r="I84" s="1"/>
      <c r="J84" s="1"/>
      <c r="K84" s="193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93"/>
      <c r="F85" s="1"/>
      <c r="G85" s="1"/>
      <c r="H85" s="1"/>
      <c r="I85" s="1"/>
      <c r="J85" s="1"/>
      <c r="K85" s="193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"/>
      <c r="F87" s="1"/>
      <c r="G87" s="1"/>
      <c r="H87" s="1"/>
      <c r="I87" s="1"/>
      <c r="J87" s="1"/>
      <c r="K87" s="193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"/>
      <c r="F88" s="1"/>
      <c r="G88" s="1"/>
      <c r="H88" s="1"/>
      <c r="I88" s="1"/>
      <c r="J88" s="1"/>
      <c r="K88" s="193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93"/>
      <c r="F90" s="1"/>
      <c r="G90" s="1"/>
      <c r="H90" s="1"/>
      <c r="I90" s="1"/>
      <c r="J90" s="1"/>
      <c r="K90" s="193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93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93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93"/>
      <c r="F96" s="1"/>
      <c r="G96" s="1"/>
      <c r="H96" s="1"/>
      <c r="I96" s="1"/>
      <c r="J96" s="1"/>
      <c r="K96" s="193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"/>
      <c r="F98" s="1"/>
      <c r="G98" s="1"/>
      <c r="H98" s="1"/>
      <c r="I98" s="1"/>
      <c r="J98" s="1"/>
      <c r="K98" s="193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93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"/>
      <c r="F101" s="1"/>
      <c r="G101" s="1"/>
      <c r="H101" s="1"/>
      <c r="I101" s="1"/>
      <c r="J101" s="1"/>
      <c r="K101" s="193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"/>
      <c r="F104" s="1"/>
      <c r="G104" s="1"/>
      <c r="H104" s="1"/>
      <c r="I104" s="1"/>
      <c r="J104" s="1"/>
      <c r="K104" s="193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"/>
      <c r="B105" s="1"/>
      <c r="C105" s="194"/>
      <c r="D105" s="1"/>
      <c r="E105" s="1"/>
      <c r="F105" s="1"/>
      <c r="G105" s="1"/>
      <c r="H105" s="1"/>
      <c r="I105" s="1"/>
      <c r="J105" s="1"/>
      <c r="K105" s="193"/>
      <c r="L105" s="1"/>
      <c r="M105" s="1"/>
      <c r="N105" s="1"/>
      <c r="O105" s="1"/>
      <c r="P105" s="1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"/>
      <c r="B106" s="1"/>
      <c r="C106" s="194"/>
      <c r="D106" s="1"/>
      <c r="E106" s="1"/>
      <c r="F106" s="1"/>
      <c r="G106" s="1"/>
      <c r="H106" s="1"/>
      <c r="I106" s="1"/>
      <c r="J106" s="1"/>
      <c r="K106" s="193"/>
      <c r="L106" s="1"/>
      <c r="M106" s="1"/>
      <c r="N106" s="1"/>
      <c r="O106" s="1"/>
      <c r="P106" s="1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"/>
      <c r="B107" s="1"/>
      <c r="C107" s="1"/>
      <c r="D107" s="1"/>
      <c r="E107" s="193"/>
      <c r="F107" s="1"/>
      <c r="G107" s="1"/>
      <c r="H107" s="1"/>
      <c r="I107" s="1"/>
      <c r="J107" s="1"/>
      <c r="K107" s="193"/>
      <c r="L107" s="1"/>
      <c r="M107" s="1"/>
      <c r="N107" s="1"/>
      <c r="O107" s="1"/>
      <c r="P107" s="1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93"/>
      <c r="L108" s="1"/>
      <c r="M108" s="1"/>
      <c r="N108" s="1"/>
      <c r="O108" s="1"/>
      <c r="P108" s="1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"/>
      <c r="B109" s="1"/>
      <c r="C109" s="1"/>
      <c r="D109" s="1"/>
      <c r="E109" s="193"/>
      <c r="F109" s="1"/>
      <c r="G109" s="1"/>
      <c r="H109" s="1"/>
      <c r="I109" s="1"/>
      <c r="J109" s="1"/>
      <c r="K109" s="193"/>
      <c r="L109" s="1"/>
      <c r="M109" s="1"/>
      <c r="N109" s="1"/>
      <c r="O109" s="1"/>
      <c r="P109" s="1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"/>
      <c r="B110" s="1"/>
      <c r="C110" s="194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"/>
      <c r="B111" s="1"/>
      <c r="C111" s="194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"/>
      <c r="B112" s="1"/>
      <c r="C112" s="194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"/>
      <c r="B114" s="1"/>
      <c r="C114" s="194"/>
      <c r="D114" s="1"/>
      <c r="E114" s="1"/>
      <c r="F114" s="1"/>
      <c r="G114" s="1"/>
      <c r="H114" s="1"/>
      <c r="I114" s="1"/>
      <c r="J114" s="1"/>
      <c r="K114" s="193"/>
      <c r="L114" s="1"/>
      <c r="M114" s="1"/>
      <c r="N114" s="1"/>
      <c r="O114" s="1"/>
      <c r="P114" s="1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"/>
      <c r="B115" s="1"/>
      <c r="C115" s="194"/>
      <c r="D115" s="1"/>
      <c r="E115" s="1"/>
      <c r="F115" s="1"/>
      <c r="G115" s="1"/>
      <c r="H115" s="1"/>
      <c r="I115" s="1"/>
      <c r="J115" s="1"/>
      <c r="K115" s="193"/>
      <c r="L115" s="1"/>
      <c r="M115" s="1"/>
      <c r="N115" s="1"/>
      <c r="O115" s="1"/>
      <c r="P115" s="1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"/>
      <c r="B116" s="1"/>
      <c r="C116" s="1"/>
      <c r="D116" s="1"/>
      <c r="E116" s="193"/>
      <c r="F116" s="1"/>
      <c r="G116" s="1"/>
      <c r="H116" s="1"/>
      <c r="I116" s="1"/>
      <c r="J116" s="1"/>
      <c r="K116" s="193"/>
      <c r="L116" s="1"/>
      <c r="M116" s="1"/>
      <c r="N116" s="1"/>
      <c r="O116" s="1"/>
      <c r="P116" s="1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"/>
      <c r="B117" s="1"/>
      <c r="C117" s="194"/>
      <c r="D117" s="1"/>
      <c r="E117" s="1"/>
      <c r="F117" s="1"/>
      <c r="G117" s="1"/>
      <c r="H117" s="1"/>
      <c r="I117" s="1"/>
      <c r="J117" s="1"/>
      <c r="K117" s="193"/>
      <c r="L117" s="1"/>
      <c r="M117" s="1"/>
      <c r="N117" s="1"/>
      <c r="O117" s="1"/>
      <c r="P117" s="1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"/>
      <c r="B118" s="1"/>
      <c r="C118" s="194"/>
      <c r="D118" s="1"/>
      <c r="E118" s="1"/>
      <c r="F118" s="1"/>
      <c r="G118" s="1"/>
      <c r="H118" s="1"/>
      <c r="I118" s="1"/>
      <c r="J118" s="1"/>
      <c r="K118" s="193"/>
      <c r="L118" s="1"/>
      <c r="M118" s="1"/>
      <c r="N118" s="1"/>
      <c r="O118" s="1"/>
      <c r="P118" s="1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93"/>
      <c r="L119" s="1"/>
      <c r="M119" s="1"/>
      <c r="N119" s="1"/>
      <c r="O119" s="1"/>
      <c r="P119" s="1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93"/>
      <c r="L120" s="1"/>
      <c r="M120" s="1"/>
      <c r="N120" s="1"/>
      <c r="O120" s="1"/>
      <c r="P120" s="1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93"/>
      <c r="L121" s="1"/>
      <c r="M121" s="1"/>
      <c r="N121" s="1"/>
      <c r="O121" s="1"/>
      <c r="P121" s="1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"/>
      <c r="B122" s="1"/>
      <c r="C122" s="194"/>
      <c r="D122" s="1"/>
      <c r="E122" s="1"/>
      <c r="F122" s="1"/>
      <c r="G122" s="1"/>
      <c r="H122" s="1"/>
      <c r="I122" s="1"/>
      <c r="J122" s="1"/>
      <c r="K122" s="193"/>
      <c r="L122" s="1"/>
      <c r="M122" s="1"/>
      <c r="N122" s="1"/>
      <c r="O122" s="1"/>
      <c r="P122" s="1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"/>
      <c r="B123" s="1"/>
      <c r="C123" s="194"/>
      <c r="D123" s="1"/>
      <c r="E123" s="193"/>
      <c r="F123" s="1"/>
      <c r="G123" s="1"/>
      <c r="H123" s="1"/>
      <c r="I123" s="1"/>
      <c r="J123" s="1"/>
      <c r="K123" s="193"/>
      <c r="L123" s="1"/>
      <c r="M123" s="1"/>
      <c r="N123" s="1"/>
      <c r="O123" s="1"/>
      <c r="P123" s="1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93"/>
      <c r="L124" s="1"/>
      <c r="M124" s="1"/>
      <c r="N124" s="1"/>
      <c r="O124" s="1"/>
      <c r="P124" s="1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"/>
      <c r="B125" s="1"/>
      <c r="C125" s="194"/>
      <c r="D125" s="1"/>
      <c r="E125" s="1"/>
      <c r="F125" s="1"/>
      <c r="G125" s="1"/>
      <c r="H125" s="1"/>
      <c r="I125" s="1"/>
      <c r="J125" s="1"/>
      <c r="K125" s="193"/>
      <c r="L125" s="1"/>
      <c r="M125" s="1"/>
      <c r="N125" s="1"/>
      <c r="O125" s="1"/>
      <c r="P125" s="1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93"/>
      <c r="B127" s="193"/>
      <c r="C127" s="195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93"/>
      <c r="B128" s="195"/>
      <c r="C128" s="195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93"/>
      <c r="B130" s="195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93"/>
      <c r="B131" s="193"/>
      <c r="C131" s="195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93"/>
      <c r="B135" s="193"/>
      <c r="C135" s="195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93"/>
      <c r="B136" s="193"/>
      <c r="C136" s="195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N136" s="193"/>
      <c r="O136" s="193"/>
      <c r="P136" s="193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93"/>
      <c r="B139" s="193"/>
      <c r="C139" s="195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93"/>
      <c r="B141" s="193"/>
      <c r="C141" s="195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93"/>
      <c r="B144" s="193"/>
      <c r="C144" s="195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93"/>
      <c r="B146" s="193"/>
      <c r="C146" s="195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93"/>
      <c r="B149" s="193"/>
      <c r="C149" s="195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93"/>
      <c r="B151" s="193"/>
      <c r="C151" s="195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93"/>
      <c r="B152" s="193"/>
      <c r="C152" s="195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93"/>
      <c r="B153" s="193"/>
      <c r="C153" s="195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93"/>
      <c r="B154" s="195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""Mzdy!ac1:ad200"")"),30.0)</f>
        <v>30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1993</v>
      </c>
      <c r="B4" s="200" t="s">
        <v>1994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IFERROR(__xludf.DUMMYFUNCTION("""COMPUTED_VALUE"""),2882.052)</f>
        <v>2882.052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IFERROR(__xludf.DUMMYFUNCTION("""COMPUTED_VALUE"""),2882.052)</f>
        <v>2882.052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IFERROR(__xludf.DUMMYFUNCTION("""COMPUTED_VALUE"""),2274.6)</f>
        <v>2274.6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IFERROR(__xludf.DUMMYFUNCTION("""COMPUTED_VALUE"""),"Výroba")</f>
        <v>Výroba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IFERROR(__xludf.DUMMYFUNCTION("""COMPUTED_VALUE"""),2882.052)</f>
        <v>2882.052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IFERROR(__xludf.DUMMYFUNCTION("""COMPUTED_VALUE"""),2274.6)</f>
        <v>2274.6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IFERROR(__xludf.DUMMYFUNCTION("""COMPUTED_VALUE"""),2882.052)</f>
        <v>2882.052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IFERROR(__xludf.DUMMYFUNCTION("""COMPUTED_VALUE"""),2274.6)</f>
        <v>2274.6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IFERROR(__xludf.DUMMYFUNCTION("""COMPUTED_VALUE"""),2274.6)</f>
        <v>2274.6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IFERROR(__xludf.DUMMYFUNCTION("""COMPUTED_VALUE"""),2274.6)</f>
        <v>2274.6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/>
      <c r="E18" s="196"/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IFERROR(__xludf.DUMMYFUNCTION("""COMPUTED_VALUE"""),0.0)</f>
        <v>0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/>
      <c r="E19" s="196"/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IFERROR(__xludf.DUMMYFUNCTION("""COMPUTED_VALUE"""),0.0)</f>
        <v>0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 t="str">
        <f>IFERROR(__xludf.DUMMYFUNCTION("""COMPUTED_VALUE"""),"Zličín")</f>
        <v>Zličín</v>
      </c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IFERROR(__xludf.DUMMYFUNCTION("""COMPUTED_VALUE"""),2882.052)</f>
        <v>2882.052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IFERROR(__xludf.DUMMYFUNCTION("""COMPUTED_VALUE"""),2882.052)</f>
        <v>2882.052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Mirga Simon</v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IFERROR(__xludf.DUMMYFUNCTION("""COMPUTED_VALUE"""),"Malešice")</f>
        <v>Malešice</v>
      </c>
      <c r="F28" s="196" t="str">
        <f>IFERROR(__xludf.DUMMYFUNCTION("""COMPUTED_VALUE"""),"Chodov")</f>
        <v>Chodov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/>
      <c r="E29" s="196"/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IFERROR(__xludf.DUMMYFUNCTION("""COMPUTED_VALUE"""),0.0)</f>
        <v>0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>Židek Petr</v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 t="str">
        <f>IFERROR(__xludf.DUMMYFUNCTION("""COMPUTED_VALUE"""),"Malešice")</f>
        <v>Malešice</v>
      </c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 t="str">
        <f>IFERROR(__xludf.DUMMYFUNCTION("""COMPUTED_VALUE"""),"Prošek Václav")</f>
        <v>Prošek Václav</v>
      </c>
      <c r="E42" s="196" t="str">
        <f>IFERROR(__xludf.DUMMYFUNCTION("""COMPUTED_VALUE"""),"Libuš")</f>
        <v>Libuš</v>
      </c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IFERROR(__xludf.DUMMYFUNCTION("""COMPUTED_VALUE"""),250.20600000000002)</f>
        <v>250.206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>Nedvěd Dominik</v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 t="str">
        <f>IFERROR(__xludf.DUMMYFUNCTION("""COMPUTED_VALUE"""),"Malešice")</f>
        <v>Malešice</v>
      </c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/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IFERROR(__xludf.DUMMYFUNCTION("""COMPUTED_VALUE"""),2577.8799999999997)</f>
        <v>2577.88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>Richterová Monika</v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>Hendrych Rostislav</v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IFERROR(__xludf.DUMMYFUNCTION("""COMPUTED_VALUE"""),1650.2)</f>
        <v>1650.2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IFERROR(__xludf.DUMMYFUNCTION("""COMPUTED_VALUE"""),250.20600000000002)</f>
        <v>250.206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IFERROR(__xludf.DUMMYFUNCTION("""COMPUTED_VALUE"""),"Břicháč Pavel")</f>
        <v>Břicháč Pavel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 t="str">
        <f>IFERROR(__xludf.DUMMYFUNCTION("""COMPUTED_VALUE"""),"Čerešňák Michal")</f>
        <v>Čerešňák Michal</v>
      </c>
      <c r="E127" s="196" t="str">
        <f>IFERROR(__xludf.DUMMYFUNCTION("""COMPUTED_VALUE"""),"Zličín")</f>
        <v>Zličín</v>
      </c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IFERROR(__xludf.DUMMYFUNCTION("""COMPUTED_VALUE"""),170.0)</f>
        <v>170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>Weindling Josef</v>
      </c>
      <c r="C128" s="196" t="b">
        <f>IFERROR(__xludf.DUMMYFUNCTION("""COMPUTED_VALUE"""),FALSE)</f>
        <v>0</v>
      </c>
      <c r="D128" s="196" t="str">
        <f>IFERROR(__xludf.DUMMYFUNCTION("""COMPUTED_VALUE"""),"Weindling Josef")</f>
        <v>Weindling Josef</v>
      </c>
      <c r="E128" s="196" t="str">
        <f>IFERROR(__xludf.DUMMYFUNCTION("""COMPUTED_VALUE"""),"Libuš")</f>
        <v>Libuš</v>
      </c>
      <c r="F128" s="196" t="str">
        <f>IFERROR(__xludf.DUMMYFUNCTION("""COMPUTED_VALUE"""),"Malešice")</f>
        <v>Malešice</v>
      </c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IFERROR(__xludf.DUMMYFUNCTION("""COMPUTED_VALUE"""),231.474)</f>
        <v>231.474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 t="str">
        <f>IFERROR(__xludf.DUMMYFUNCTION("""COMPUTED_VALUE"""),"Fux Vojtěch")</f>
        <v>Fux Vojtěch</v>
      </c>
      <c r="E129" s="196" t="str">
        <f>IFERROR(__xludf.DUMMYFUNCTION("""COMPUTED_VALUE"""),"Chodov")</f>
        <v>Chodov</v>
      </c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IFERROR(__xludf.DUMMYFUNCTION("""COMPUTED_VALUE"""),200.0)</f>
        <v>200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 t="str">
        <f>IFERROR(__xludf.DUMMYFUNCTION("""COMPUTED_VALUE"""),"Kumar Jatinder")</f>
        <v>Kumar Jatinder</v>
      </c>
      <c r="E130" s="196" t="str">
        <f>IFERROR(__xludf.DUMMYFUNCTION("""COMPUTED_VALUE"""),"Libuš")</f>
        <v>Libuš</v>
      </c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IFERROR(__xludf.DUMMYFUNCTION("""COMPUTED_VALUE"""),231.474)</f>
        <v>231.474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 t="str">
        <f>IFERROR(__xludf.DUMMYFUNCTION("""COMPUTED_VALUE"""),"Stehlíková Magdaléna")</f>
        <v>Stehlíková Magdaléna</v>
      </c>
      <c r="E131" s="196" t="str">
        <f>IFERROR(__xludf.DUMMYFUNCTION("""COMPUTED_VALUE"""),"Bolevec")</f>
        <v>Bolevec</v>
      </c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9">
        <f>IFERROR(__xludf.DUMMYFUNCTION("""COMPUTED_VALUE"""),214.08)</f>
        <v>214.08</v>
      </c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 t="str">
        <f>IFERROR(__xludf.DUMMYFUNCTION("""COMPUTED_VALUE"""),"Dragoun Alfréd")</f>
        <v>Dragoun Alfréd</v>
      </c>
      <c r="E132" s="196" t="str">
        <f>IFERROR(__xludf.DUMMYFUNCTION("""COMPUTED_VALUE"""),"Zličín")</f>
        <v>Zličín</v>
      </c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IFERROR(__xludf.DUMMYFUNCTION("""COMPUTED_VALUE"""),250.20600000000002)</f>
        <v>250.206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