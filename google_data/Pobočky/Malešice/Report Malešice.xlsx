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<sst xmlns="http://schemas.openxmlformats.org/spreadsheetml/2006/main" count="6905" uniqueCount="1997">
  <si>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</si>
  <si>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</si>
  <si>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</si>
  <si>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</si>
  <si>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</si>
  <si>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</si>
  <si>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</si>
  <si>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</si>
  <si>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</si>
  <si>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</si>
  <si>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</si>
  <si>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</si>
  <si>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</si>
  <si>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</si>
  <si>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</si>
  <si>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</si>
  <si>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</si>
  <si>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</si>
  <si>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</si>
  <si>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</si>
  <si>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</si>
  <si>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</si>
  <si>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</si>
  <si>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</si>
  <si>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</si>
  <si>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</si>
  <si>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</si>
  <si>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</si>
  <si>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</si>
  <si>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</si>
  <si>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</si>
  <si>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</si>
  <si>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</si>
  <si>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</si>
  <si>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</si>
  <si>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</si>
  <si>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</si>
  <si>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</si>
  <si>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</si>
  <si>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</si>
  <si>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</si>
  <si>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</si>
  <si>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</si>
  <si>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</si>
  <si>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</si>
  <si>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</si>
  <si>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</si>
  <si>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</si>
  <si>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</si>
  <si>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</si>
  <si>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</si>
  <si>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</si>
  <si>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</si>
  <si>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</si>
  <si>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</si>
  <si>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</si>
  <si>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</si>
  <si>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</si>
  <si>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</si>
  <si>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</si>
  <si>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</si>
  <si>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</si>
  <si>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</si>
  <si>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</si>
  <si>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</si>
  <si>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</si>
  <si>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</si>
  <si>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</si>
  <si>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</si>
  <si>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</si>
  <si>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</si>
  <si>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</si>
  <si>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</si>
  <si>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</si>
  <si>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</si>
  <si>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</si>
  <si>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</si>
  <si>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</si>
  <si>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</si>
  <si>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</si>
  <si>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</si>
  <si>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</si>
  <si>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</si>
  <si>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</si>
  <si>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</si>
  <si>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</si>
  <si>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</si>
  <si>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</si>
  <si>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</si>
  <si>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</si>
  <si>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</si>
  <si>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</si>
  <si>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</si>
  <si>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</si>
  <si>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</si>
  <si>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</si>
  <si>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</si>
  <si>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</si>
  <si>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</si>
  <si>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</si>
  <si>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</si>
  <si>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</si>
  <si>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</si>
  <si>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</si>
  <si>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</si>
  <si>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</si>
  <si>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</si>
  <si>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</si>
  <si>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</si>
  <si>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</si>
  <si>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</si>
  <si>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</si>
  <si>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</si>
  <si>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</si>
  <si>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</si>
  <si>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</si>
  <si>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</si>
  <si>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</si>
  <si>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</si>
  <si>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</si>
  <si>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</si>
  <si>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</si>
  <si>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</si>
  <si>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</si>
  <si>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</si>
  <si>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</si>
  <si>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</si>
  <si>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</si>
  <si>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</si>
  <si>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</si>
  <si>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</si>
  <si>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</si>
  <si>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</si>
  <si>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</si>
  <si>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</si>
  <si>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</si>
  <si>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</si>
  <si>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</si>
  <si>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</si>
  <si>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</si>
  <si>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</si>
  <si>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</si>
  <si>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</si>
  <si>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</si>
  <si>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</si>
  <si>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</si>
  <si>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</si>
  <si>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</si>
  <si>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</si>
  <si>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</si>
  <si>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</si>
  <si>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</si>
  <si>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</si>
  <si>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</si>
  <si>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</si>
  <si>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</si>
  <si>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</si>
  <si>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</si>
  <si>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</si>
  <si>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</si>
  <si>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</si>
  <si>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</si>
  <si>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</si>
  <si>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</si>
  <si>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</si>
  <si>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</si>
  <si>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</si>
  <si>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</si>
  <si>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</si>
  <si>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</si>
  <si>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</si>
  <si>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</si>
  <si>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</si>
  <si>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</si>
  <si>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</si>
  <si>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</si>
  <si>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</si>
  <si>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</si>
  <si>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</si>
  <si>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</si>
  <si>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</si>
  <si>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</si>
  <si>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</si>
  <si>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</si>
  <si>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</si>
  <si>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</si>
  <si>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</si>
  <si>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</si>
  <si>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</si>
  <si>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</si>
  <si>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</si>
  <si>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</si>
  <si>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</si>
  <si>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</si>
  <si>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</si>
  <si>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</si>
  <si>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</si>
  <si>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</si>
  <si>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</si>
  <si>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</si>
  <si>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</si>
  <si>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</si>
  <si>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</si>
  <si>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</si>
  <si>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</si>
  <si>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</si>
  <si>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</si>
  <si>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</si>
  <si>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</si>
  <si>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</si>
  <si>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</si>
  <si>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</si>
  <si>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</si>
  <si>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</si>
  <si>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</si>
  <si>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</si>
  <si>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</si>
  <si>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</si>
  <si>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</si>
  <si>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</si>
  <si>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</si>
  <si>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</si>
  <si>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</si>
  <si>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</si>
  <si>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</si>
  <si>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</si>
  <si>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</si>
  <si>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</si>
  <si>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</si>
  <si>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</si>
  <si>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</si>
  <si>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</si>
  <si>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</si>
  <si>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</si>
  <si>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</si>
  <si>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</si>
  <si>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</si>
  <si>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</si>
  <si>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</si>
  <si>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</si>
  <si>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</si>
  <si>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</si>
  <si>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</si>
  <si>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</si>
  <si>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</si>
  <si>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</si>
  <si>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</si>
  <si>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</si>
  <si>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</si>
  <si>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</si>
  <si>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</si>
  <si>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</si>
  <si>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</si>
  <si>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</si>
  <si>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</si>
  <si>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</si>
  <si>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</si>
  <si>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</si>
  <si>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</si>
  <si>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</si>
  <si>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</si>
  <si>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</si>
  <si>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</si>
  <si>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</si>
  <si>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</si>
  <si>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</si>
  <si>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</si>
  <si>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</si>
  <si>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</si>
  <si>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</si>
  <si>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</si>
  <si>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</si>
  <si>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</si>
  <si>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</si>
  <si>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</si>
  <si>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</si>
  <si>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</si>
  <si>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</si>
  <si>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</si>
  <si>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</si>
  <si>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</si>
  <si>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</si>
  <si>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</si>
  <si>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</si>
  <si>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</si>
  <si>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</si>
  <si>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</si>
  <si>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</si>
  <si>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</si>
  <si>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</si>
  <si>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</si>
  <si>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</si>
  <si>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</si>
  <si>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</si>
  <si>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</si>
  <si>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</si>
  <si>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</si>
  <si>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</si>
  <si>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</si>
  <si>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</si>
  <si>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</si>
  <si>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</si>
  <si>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</si>
  <si>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</si>
  <si>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</si>
  <si>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</si>
  <si>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</si>
  <si>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</si>
  <si>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</si>
  <si>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</si>
  <si>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</si>
  <si>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</si>
  <si>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</si>
  <si>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</si>
  <si>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</si>
  <si>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</si>
  <si>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</si>
  <si>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</si>
  <si>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</si>
  <si>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</si>
  <si>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</si>
  <si>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</si>
  <si>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</si>
  <si>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</si>
  <si>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</si>
  <si>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</si>
  <si>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</si>
  <si>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</si>
  <si>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</si>
  <si>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</si>
  <si>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</si>
  <si>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</si>
  <si>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</si>
  <si>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</si>
  <si>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</si>
  <si>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</si>
  <si>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</si>
  <si>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</si>
  <si>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</si>
  <si>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</si>
  <si>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</si>
  <si>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</si>
  <si>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</si>
  <si>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</si>
  <si>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</si>
  <si>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</si>
  <si>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</si>
  <si>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</si>
  <si>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</si>
  <si>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</si>
  <si>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</si>
  <si>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</si>
  <si>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</si>
  <si>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</si>
  <si>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</si>
  <si>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</si>
  <si>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</si>
  <si>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</si>
  <si>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</si>
  <si>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</si>
  <si>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</si>
  <si>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</si>
  <si>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</si>
  <si>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</si>
  <si>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</si>
  <si>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</si>
  <si>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</si>
  <si>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</si>
  <si>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</si>
  <si>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</si>
  <si>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</si>
  <si>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</si>
  <si>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</si>
  <si>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</si>
  <si>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</si>
  <si>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</si>
  <si>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</si>
  <si>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</si>
  <si>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</si>
  <si>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</si>
  <si>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</si>
  <si>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</si>
  <si>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</si>
  <si>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</si>
  <si>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</si>
  <si>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</si>
  <si>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</si>
  <si>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</si>
  <si>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</si>
  <si>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</si>
  <si>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</si>
  <si>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</si>
  <si>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</si>
  <si>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</si>
  <si>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</si>
  <si>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</si>
  <si>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</si>
  <si>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</si>
  <si>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</si>
  <si>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</si>
  <si>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</si>
  <si>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</si>
  <si>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</si>
  <si>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</si>
  <si>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</si>
  <si>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</si>
  <si>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</si>
  <si>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</si>
  <si>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</si>
  <si>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</si>
  <si>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</si>
  <si>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</si>
  <si>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</si>
  <si>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</si>
  <si>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</si>
  <si>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</si>
  <si>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</si>
  <si>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</si>
  <si>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</si>
  <si>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</si>
  <si>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</si>
  <si>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</si>
  <si>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</si>
  <si>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</si>
  <si>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</si>
  <si>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</si>
  <si>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</si>
  <si>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</si>
  <si>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</si>
  <si>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</si>
  <si>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</si>
  <si>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</si>
  <si>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</si>
  <si>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</si>
  <si>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</si>
  <si>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</si>
  <si>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</si>
  <si>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</si>
  <si>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</si>
  <si>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</si>
  <si>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</si>
  <si>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</si>
  <si>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</si>
  <si>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</si>
  <si>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</si>
  <si>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</si>
  <si>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</si>
  <si>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</si>
  <si>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</si>
  <si>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</si>
  <si>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</si>
  <si>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</si>
  <si>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</si>
  <si>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</si>
  <si>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</si>
  <si>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</si>
  <si>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</si>
  <si>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</si>
  <si>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</si>
  <si>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</si>
  <si>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</si>
  <si>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</si>
  <si>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</si>
  <si>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</si>
  <si>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</si>
  <si>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</si>
  <si>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</si>
  <si>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</si>
  <si>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</si>
  <si>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</si>
  <si>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</si>
  <si>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</si>
  <si>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</si>
  <si>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</si>
  <si>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</si>
  <si>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</si>
  <si>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</si>
  <si>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</si>
  <si>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</si>
  <si>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</si>
  <si>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</si>
  <si>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</si>
  <si>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</si>
  <si>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</si>
  <si>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</si>
  <si>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</si>
  <si>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</si>
  <si>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</si>
  <si>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</si>
  <si>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</si>
  <si>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</si>
  <si>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</si>
  <si>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</si>
  <si>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</si>
  <si>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</si>
  <si>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</si>
  <si>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</si>
  <si>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</si>
  <si>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</si>
  <si>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</si>
  <si>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</si>
  <si>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</si>
  <si>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</si>
  <si>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</si>
  <si>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</si>
  <si>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</si>
  <si>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</si>
  <si>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</si>
  <si>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</si>
  <si>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</si>
  <si>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</si>
  <si>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</si>
  <si>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</si>
  <si>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</si>
  <si>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</si>
  <si>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</si>
  <si>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</si>
  <si>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</si>
  <si>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</si>
  <si>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</si>
  <si>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</si>
  <si>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</si>
  <si>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</si>
  <si>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</si>
  <si>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</si>
  <si>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</si>
  <si>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</si>
  <si>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</si>
  <si>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</si>
  <si>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</si>
  <si>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</si>
  <si>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</si>
  <si>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</si>
  <si>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</si>
  <si>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</si>
  <si>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</si>
  <si>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</si>
  <si>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</si>
  <si>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</si>
  <si>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</si>
  <si>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</si>
  <si>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</si>
  <si>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</si>
  <si>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</si>
  <si>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</si>
  <si>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</si>
  <si>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</si>
  <si>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</si>
  <si>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</si>
  <si>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</si>
  <si>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</si>
  <si>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</si>
  <si>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</si>
  <si>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</si>
  <si>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</si>
  <si>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</si>
  <si>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</si>
  <si>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</si>
  <si>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</si>
  <si>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</si>
  <si>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</si>
  <si>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</si>
  <si>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</si>
  <si>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</si>
  <si>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</si>
  <si>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</si>
  <si>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</si>
  <si>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</si>
  <si>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</si>
  <si>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</si>
  <si>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</si>
  <si>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</si>
  <si>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</si>
  <si>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</si>
  <si>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</si>
  <si>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</si>
  <si>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</si>
  <si>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</si>
  <si>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</si>
  <si>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</si>
  <si>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</si>
  <si>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</si>
  <si>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</si>
  <si>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</si>
  <si>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</si>
  <si>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</si>
  <si>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</si>
  <si>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</si>
  <si>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</si>
  <si>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</si>
  <si>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</si>
  <si>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</si>
  <si>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</si>
  <si>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</si>
  <si>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</si>
  <si>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</si>
  <si>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</si>
  <si>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</si>
  <si>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</si>
  <si>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</si>
  <si>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</si>
  <si>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</si>
  <si>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</si>
  <si>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</si>
  <si>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</si>
  <si>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</si>
  <si>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</si>
  <si>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</si>
  <si>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</si>
  <si>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</si>
  <si>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</si>
  <si>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</si>
  <si>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</si>
  <si>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</si>
  <si>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</si>
  <si>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</si>
  <si>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</si>
  <si>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</si>
  <si>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</si>
  <si>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</si>
  <si>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</si>
  <si>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</si>
  <si>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</si>
  <si>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</si>
  <si>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</si>
  <si>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</si>
  <si>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</si>
  <si>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</si>
  <si>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</si>
  <si>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</si>
  <si>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</si>
  <si>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</si>
  <si>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</si>
  <si>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</si>
  <si>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</si>
  <si>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</si>
  <si>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</si>
  <si>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</si>
  <si>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</si>
  <si>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</si>
  <si>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</si>
  <si>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</si>
  <si>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</si>
  <si>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</si>
  <si>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</si>
  <si>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</si>
  <si>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</si>
  <si>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</si>
  <si>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</si>
  <si>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</si>
  <si>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</si>
  <si>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</si>
  <si>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</si>
  <si>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</si>
  <si>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</si>
  <si>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</si>
  <si>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</si>
  <si>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</si>
  <si>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</si>
  <si>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</si>
  <si>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</si>
  <si>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</si>
  <si>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</si>
  <si>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</si>
  <si>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</si>
  <si>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</si>
  <si>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</si>
  <si>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</si>
  <si>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</si>
  <si>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</si>
  <si>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</si>
  <si>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</si>
  <si>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</si>
  <si>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</si>
  <si>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</si>
  <si>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</si>
  <si>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</si>
  <si>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</si>
  <si>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</si>
  <si>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</si>
  <si>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</si>
  <si>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</si>
  <si>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</si>
  <si>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</si>
  <si>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</si>
  <si>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</si>
  <si>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</si>
  <si>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</si>
  <si>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</si>
  <si>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</si>
  <si>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</si>
  <si>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</si>
  <si>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</si>
  <si>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</si>
  <si>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</si>
  <si>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</si>
  <si>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</si>
  <si>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</si>
  <si>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</si>
  <si>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</si>
  <si>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</si>
  <si>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</si>
  <si>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</si>
  <si>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</si>
  <si>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</si>
  <si>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</si>
  <si>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</si>
  <si>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</si>
  <si>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</si>
  <si>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</si>
  <si>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</si>
  <si>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</si>
  <si>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</si>
  <si>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</si>
  <si>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</si>
  <si>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</si>
  <si>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</si>
  <si>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</si>
  <si>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</si>
  <si>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</si>
  <si>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</si>
  <si>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</si>
  <si>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</si>
  <si>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</si>
  <si>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</si>
  <si>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</si>
  <si>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</si>
  <si>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</si>
  <si>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</si>
  <si>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</si>
  <si>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</si>
  <si>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</si>
  <si>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</si>
  <si>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</si>
  <si>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</si>
  <si>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</si>
  <si>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</si>
  <si>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</si>
  <si>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</si>
  <si>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</si>
  <si>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</si>
  <si>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</si>
  <si>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</si>
  <si>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</si>
  <si>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</si>
  <si>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</si>
  <si>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</si>
  <si>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</si>
  <si>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</si>
  <si>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</si>
  <si>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</si>
  <si>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</si>
  <si>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</si>
  <si>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</si>
  <si>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</si>
  <si>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</si>
  <si>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</si>
  <si>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</si>
  <si>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</si>
  <si>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</si>
  <si>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</si>
  <si>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</si>
  <si>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</si>
  <si>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</si>
  <si>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</si>
  <si>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</si>
  <si>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</si>
  <si>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</si>
  <si>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</si>
  <si>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</si>
  <si>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</si>
  <si>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</si>
  <si>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</si>
  <si>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</si>
  <si>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</si>
  <si>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</si>
  <si>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</si>
  <si>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</si>
  <si>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</si>
  <si>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</si>
  <si>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</si>
  <si>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</si>
  <si>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</si>
  <si>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</si>
  <si>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</si>
  <si>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</si>
  <si>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</si>
  <si>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</si>
  <si>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</si>
  <si>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</si>
  <si>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</si>
  <si>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</si>
  <si>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</si>
  <si>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</si>
  <si>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</si>
  <si>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</si>
  <si>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</si>
  <si>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</si>
  <si>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</si>
  <si>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</si>
  <si>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</si>
  <si>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</si>
  <si>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</si>
  <si>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</si>
  <si>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</si>
  <si>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</si>
  <si>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</si>
  <si>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</si>
  <si>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</si>
  <si>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</si>
  <si>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</si>
  <si>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</si>
  <si>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</si>
  <si>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</si>
  <si>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</si>
  <si>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</si>
  <si>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</si>
  <si>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</si>
  <si>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</si>
  <si>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</si>
  <si>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</si>
  <si>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</si>
  <si>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</si>
  <si>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</si>
  <si>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</si>
  <si>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</si>
  <si>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</si>
  <si>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</si>
  <si>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</si>
  <si>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</si>
  <si>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</si>
  <si>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</si>
  <si>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</si>
  <si>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</si>
  <si>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</si>
  <si>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</si>
  <si>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</si>
  <si>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</si>
  <si>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</si>
  <si>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</si>
  <si>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</si>
  <si>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</si>
  <si>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</si>
  <si>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</si>
  <si>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</si>
  <si>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</si>
  <si>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</si>
  <si>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</si>
  <si>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</si>
  <si>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</si>
  <si>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</si>
  <si>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</si>
  <si>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</si>
  <si>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</si>
  <si>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</si>
  <si>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</si>
  <si>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</si>
  <si>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</si>
  <si>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</si>
  <si>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</si>
  <si>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</si>
  <si>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</si>
  <si>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</si>
  <si>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</si>
  <si>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</si>
  <si>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</si>
  <si>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</si>
  <si>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</si>
  <si>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</si>
  <si>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</si>
  <si>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</si>
  <si>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</si>
  <si>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</si>
  <si>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</si>
  <si>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</si>
  <si>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</si>
  <si>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</si>
  <si>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</si>
  <si>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</si>
  <si>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</si>
  <si>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</si>
  <si>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</si>
  <si>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</si>
  <si>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</si>
  <si>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</si>
  <si>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</si>
  <si>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</si>
  <si>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</si>
  <si>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</si>
  <si>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</si>
  <si>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</si>
  <si>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</si>
  <si>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</si>
  <si>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</si>
  <si>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</si>
  <si>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</si>
  <si>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</si>
  <si>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</si>
  <si>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</si>
  <si>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</si>
  <si>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</si>
  <si>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</si>
  <si>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</si>
  <si>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</si>
  <si>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</si>
  <si>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</si>
  <si>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</si>
  <si>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</si>
  <si>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</si>
  <si>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</si>
  <si>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</si>
  <si>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</si>
  <si>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</si>
  <si>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</si>
  <si>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</si>
  <si>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</si>
  <si>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</si>
  <si>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</si>
  <si>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</si>
  <si>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</si>
  <si>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</si>
  <si>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</si>
  <si>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</si>
  <si>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</si>
  <si>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</si>
  <si>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</si>
  <si>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</si>
  <si>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</si>
  <si>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</si>
  <si>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</si>
  <si>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</si>
  <si>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</si>
  <si>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</si>
  <si>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</si>
  <si>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</si>
  <si>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</si>
  <si>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</si>
  <si>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</si>
  <si>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</si>
  <si>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</si>
  <si>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</si>
  <si>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</si>
  <si>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</si>
  <si>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</si>
  <si>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</si>
  <si>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</si>
  <si>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</si>
  <si>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</si>
  <si>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</si>
  <si>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</si>
  <si>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</si>
  <si>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</si>
  <si>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</si>
  <si>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</si>
  <si>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</si>
  <si>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</si>
  <si>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</si>
  <si>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</si>
  <si>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</si>
  <si>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</si>
  <si>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</si>
  <si>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</si>
  <si>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</si>
  <si>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</si>
  <si>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</si>
  <si>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</si>
  <si>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</si>
  <si>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</si>
  <si>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</si>
  <si>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</si>
  <si>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</si>
  <si>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</si>
  <si>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</si>
  <si>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</si>
  <si>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</si>
  <si>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</si>
  <si>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</si>
  <si>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</si>
  <si>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</si>
  <si>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</si>
  <si>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</si>
  <si>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</si>
  <si>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</si>
  <si>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</si>
  <si>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</si>
  <si>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</si>
  <si>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</si>
  <si>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</si>
  <si>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</si>
  <si>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</si>
  <si>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</si>
  <si>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</si>
  <si>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</si>
  <si>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</si>
  <si>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</si>
  <si>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</si>
  <si>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</si>
  <si>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</si>
  <si>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</si>
  <si>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</si>
  <si>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</si>
  <si>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</si>
  <si>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</si>
  <si>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</si>
  <si>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</si>
  <si>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</si>
  <si>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</si>
  <si>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</si>
  <si>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</si>
  <si>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</si>
  <si>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</si>
  <si>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</si>
  <si>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</si>
  <si>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</si>
  <si>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</si>
  <si>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</si>
  <si>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</si>
  <si>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</si>
  <si>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</si>
  <si>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</si>
  <si>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</si>
  <si>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</si>
  <si>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</si>
  <si>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</si>
  <si>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</si>
  <si>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</si>
  <si>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</si>
  <si>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</si>
  <si>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</si>
  <si>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</si>
  <si>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</si>
  <si>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</si>
  <si>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</si>
  <si>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</si>
  <si>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</si>
  <si>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</si>
  <si>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</si>
  <si>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</si>
  <si>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</si>
  <si>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</si>
  <si>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</si>
  <si>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</si>
  <si>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</si>
  <si>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</si>
  <si>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</si>
  <si>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</si>
  <si>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</si>
  <si>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</si>
  <si>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</si>
  <si>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</si>
  <si>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</si>
  <si>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</si>
  <si>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</si>
  <si>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</si>
  <si>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</si>
  <si>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</si>
  <si>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</si>
  <si>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</si>
  <si>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</si>
  <si>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</si>
  <si>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</si>
  <si>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</si>
  <si>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</si>
  <si>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</si>
  <si>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</si>
  <si>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</si>
  <si>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</si>
  <si>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</si>
  <si>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</si>
  <si>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</si>
  <si>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</si>
  <si>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</si>
  <si>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</si>
  <si>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</si>
  <si>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</si>
  <si>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</si>
  <si>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</si>
  <si>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</si>
  <si>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</si>
  <si>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</si>
  <si>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</si>
  <si>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</si>
  <si>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</si>
  <si>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</si>
  <si>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</si>
  <si>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</si>
  <si>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</si>
  <si>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</si>
  <si>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</si>
  <si>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</si>
  <si>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</si>
  <si>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</si>
  <si>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</si>
  <si>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</si>
  <si>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</si>
  <si>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</si>
  <si>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</si>
  <si>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</si>
  <si>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</si>
  <si>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</si>
  <si>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</si>
  <si>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</si>
  <si>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</si>
  <si>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</si>
  <si>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</si>
  <si>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</si>
  <si>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</si>
  <si>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</si>
  <si>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</si>
  <si>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</si>
  <si>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</si>
  <si>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</si>
  <si>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</si>
  <si>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</si>
  <si>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</si>
  <si>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</si>
  <si>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</si>
  <si>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</si>
  <si>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</si>
  <si>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</si>
  <si>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</si>
  <si>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</si>
  <si>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</si>
  <si>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</si>
  <si>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</si>
  <si>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</si>
  <si>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</si>
  <si>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</si>
  <si>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</si>
  <si>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</si>
  <si>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</si>
  <si>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</si>
  <si>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</si>
  <si>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</si>
  <si>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</si>
  <si>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</si>
  <si>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</si>
  <si>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</si>
  <si>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</si>
  <si>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</si>
  <si>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</si>
  <si>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</si>
  <si>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</si>
  <si>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</si>
  <si>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</si>
  <si>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</si>
  <si>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</si>
  <si>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</si>
  <si>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</si>
  <si>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</si>
  <si>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</si>
  <si>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</si>
  <si>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</si>
  <si>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</si>
  <si>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</si>
  <si>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</si>
  <si>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</si>
  <si>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</si>
  <si>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</si>
  <si>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</si>
  <si>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</si>
  <si>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</si>
  <si>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</si>
  <si>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</si>
  <si>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</si>
  <si>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</si>
  <si>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</si>
  <si>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</si>
  <si>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</si>
  <si>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</si>
  <si>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</si>
  <si>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</si>
  <si>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</si>
  <si>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</si>
  <si>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</si>
  <si>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</si>
  <si>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</si>
  <si>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</si>
  <si>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</si>
  <si>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</si>
  <si>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</si>
  <si>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</si>
  <si>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</si>
  <si>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</si>
  <si>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</si>
  <si>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</si>
  <si>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</si>
  <si>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</si>
  <si>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</si>
  <si>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</si>
  <si>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</si>
  <si>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</si>
  <si>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</si>
  <si>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</si>
  <si>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</si>
  <si>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</si>
  <si>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</si>
  <si>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</si>
  <si>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</si>
  <si>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</si>
  <si>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</si>
  <si>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</si>
  <si>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</si>
  <si>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</si>
  <si>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</si>
  <si>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</si>
  <si>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</si>
  <si>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</si>
  <si>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</si>
  <si>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</si>
  <si>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</si>
  <si>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</si>
  <si>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</si>
  <si>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</si>
  <si>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</si>
  <si>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</si>
  <si>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</si>
  <si>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</si>
  <si>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</si>
  <si>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</si>
  <si>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</si>
  <si>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</si>
  <si>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</si>
  <si>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</si>
  <si>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</si>
  <si>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</si>
  <si>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</si>
  <si>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</si>
  <si>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</si>
  <si>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</si>
  <si>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</si>
  <si>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</si>
  <si>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</si>
  <si>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</si>
  <si>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</si>
  <si>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</si>
  <si>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</si>
  <si>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</si>
  <si>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</si>
  <si>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</si>
  <si>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</si>
  <si>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</si>
  <si>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</si>
  <si>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</si>
  <si>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</si>
  <si>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</si>
  <si>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</si>
  <si>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</si>
  <si>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</si>
  <si>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</si>
  <si>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</si>
  <si>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</si>
  <si>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</si>
  <si>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</si>
  <si>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</si>
  <si>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</si>
  <si>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</si>
  <si>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</si>
  <si>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</si>
  <si>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</si>
  <si>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</si>
  <si>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</si>
  <si>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</si>
  <si>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</si>
  <si>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</si>
  <si>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</si>
  <si>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</si>
  <si>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</si>
  <si>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</si>
  <si>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</si>
  <si>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</si>
  <si>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</si>
  <si>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</si>
  <si>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</si>
  <si>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</si>
  <si>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</si>
  <si>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</si>
  <si>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</si>
  <si>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</si>
  <si>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</si>
  <si>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</si>
  <si>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</si>
  <si>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</si>
  <si>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</si>
  <si>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</si>
  <si>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</si>
  <si>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</si>
  <si>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</si>
  <si>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</si>
  <si>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</si>
  <si>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</si>
  <si>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</si>
  <si>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</si>
  <si>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</si>
  <si>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</si>
  <si>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</si>
  <si>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</si>
  <si>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</si>
  <si>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</si>
  <si>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</si>
  <si>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</si>
  <si>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</si>
  <si>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</si>
  <si>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</si>
  <si>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</si>
  <si>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</si>
  <si>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</si>
  <si>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</si>
  <si>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</si>
  <si>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</si>
  <si>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</si>
  <si>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</si>
  <si>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</si>
  <si>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</si>
  <si>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</si>
  <si>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</si>
  <si>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</si>
  <si>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</si>
  <si>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</si>
  <si>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</si>
  <si>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</si>
  <si>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</si>
  <si>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</si>
  <si>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</si>
  <si>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</si>
  <si>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</si>
  <si>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</si>
  <si>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</si>
  <si>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</si>
  <si>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</si>
  <si>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</si>
  <si>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</si>
  <si>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</si>
  <si>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</si>
  <si>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</si>
  <si>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</si>
  <si>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</si>
  <si>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</si>
  <si>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</si>
  <si>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</si>
  <si>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</si>
  <si>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</si>
  <si>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</si>
  <si>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</si>
  <si>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</si>
  <si>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</si>
  <si>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</si>
  <si>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</si>
  <si>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</si>
  <si>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</si>
  <si>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</si>
  <si>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</si>
  <si>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</si>
  <si>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</si>
  <si>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</si>
  <si>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</si>
  <si>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</si>
  <si>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</si>
  <si>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</si>
  <si>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</si>
  <si>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</si>
  <si>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</si>
  <si>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</si>
  <si>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</si>
  <si>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</si>
  <si>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</si>
  <si>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</si>
  <si>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</si>
  <si>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</si>
  <si>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</si>
  <si>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</si>
  <si>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</si>
  <si>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</si>
  <si>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</si>
  <si>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</si>
  <si>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</si>
  <si>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</si>
  <si>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</si>
  <si>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</si>
  <si>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</si>
  <si>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</si>
  <si>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</si>
  <si>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</si>
  <si>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</si>
  <si>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</si>
  <si>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</si>
  <si>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</si>
  <si>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</si>
  <si>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</si>
  <si>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</si>
  <si>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</si>
  <si>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</si>
  <si>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</si>
  <si>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</si>
  <si>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</si>
  <si>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</si>
  <si>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</si>
  <si>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</si>
  <si>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</si>
  <si>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</si>
  <si>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</si>
  <si>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</si>
  <si>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</si>
  <si>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</si>
  <si>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</si>
  <si>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</si>
  <si>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</si>
  <si>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</si>
  <si>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</si>
  <si>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</si>
  <si>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</si>
  <si>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</si>
  <si>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</si>
  <si>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</si>
  <si>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</si>
  <si>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</si>
  <si>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</si>
  <si>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</si>
  <si>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</si>
  <si>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</si>
  <si>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</si>
  <si>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</si>
  <si>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</si>
  <si>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</si>
  <si>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</si>
  <si>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</si>
  <si>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</si>
  <si>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</si>
  <si>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</si>
  <si>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</si>
  <si>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</si>
  <si>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</si>
  <si>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</si>
  <si>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</si>
  <si>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</si>
  <si>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</si>
  <si>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</si>
  <si>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</si>
  <si>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</si>
  <si>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</si>
  <si>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</si>
  <si>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</si>
  <si>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</si>
  <si>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</si>
  <si>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</si>
  <si>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</si>
  <si>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</si>
  <si>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</si>
  <si>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</si>
  <si>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</si>
  <si>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</si>
  <si>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</si>
  <si>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</si>
  <si>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</si>
  <si>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</si>
  <si>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</si>
  <si>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</si>
  <si>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</si>
  <si>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</si>
  <si>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</si>
  <si>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</si>
  <si>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</si>
  <si>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</si>
  <si>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</si>
  <si>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</si>
  <si>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</si>
  <si>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</si>
  <si>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</si>
  <si>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</si>
  <si>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</si>
  <si>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</si>
  <si>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</si>
  <si>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</si>
  <si>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</si>
  <si>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</si>
  <si>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</si>
  <si>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</si>
  <si>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</si>
  <si>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</si>
  <si>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</si>
  <si>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</si>
  <si>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</si>
  <si>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</si>
  <si>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</si>
  <si>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</si>
  <si>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</si>
  <si>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</si>
  <si>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</si>
  <si>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</si>
  <si>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</si>
  <si>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</si>
  <si>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</si>
  <si>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</si>
  <si>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</si>
  <si>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</si>
  <si>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</si>
  <si>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</si>
  <si>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</si>
  <si>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</si>
  <si>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</si>
  <si>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</si>
  <si>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</si>
  <si>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</si>
  <si>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</si>
  <si>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</si>
  <si>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</si>
  <si>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</si>
  <si>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</si>
  <si>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</si>
  <si>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</si>
  <si>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</si>
  <si>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</si>
  <si>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</si>
  <si>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</si>
  <si>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</si>
  <si>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</si>
  <si>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</si>
  <si>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</si>
  <si>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</si>
  <si>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</si>
  <si>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</si>
  <si>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</si>
  <si>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</si>
  <si>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</si>
  <si>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</si>
  <si>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</si>
  <si>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</si>
  <si>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</si>
  <si>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</si>
  <si>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</si>
  <si>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</si>
  <si>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</si>
  <si>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</si>
  <si>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</si>
  <si>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</si>
  <si>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</si>
  <si>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</si>
  <si>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</si>
  <si>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</si>
  <si>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</si>
  <si>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</si>
  <si>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</si>
  <si>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</si>
  <si>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</si>
  <si>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</si>
  <si>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</si>
  <si>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</si>
  <si>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</si>
  <si>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</si>
  <si>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</si>
  <si>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</si>
  <si>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</si>
  <si>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</si>
  <si>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</si>
  <si>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</si>
  <si>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</si>
  <si>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</si>
  <si>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</si>
  <si>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</si>
  <si>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</si>
  <si>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</si>
  <si>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</si>
  <si>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</si>
  <si>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</si>
  <si>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</si>
  <si>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</si>
  <si>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</si>
  <si>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</si>
  <si>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</si>
  <si>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</si>
  <si>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</si>
  <si>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</si>
  <si>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</si>
  <si>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</si>
  <si>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</si>
  <si>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</si>
  <si>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</si>
  <si>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</si>
  <si>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</si>
  <si>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</si>
  <si>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</si>
  <si>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</si>
  <si>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</si>
  <si>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</si>
  <si>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</si>
  <si>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</si>
  <si>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</si>
  <si>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</si>
  <si>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</si>
  <si>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</si>
  <si>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</si>
  <si>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</si>
  <si>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</si>
  <si>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</si>
  <si>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</si>
  <si>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</si>
  <si>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</si>
  <si>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</si>
  <si>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</si>
  <si>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</si>
  <si>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</si>
  <si>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</si>
  <si>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</si>
  <si>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</si>
  <si>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</si>
  <si>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</si>
  <si>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</si>
  <si>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</si>
  <si>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</si>
  <si>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</si>
  <si>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</si>
  <si>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</si>
  <si>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</si>
  <si>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</si>
  <si>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</si>
  <si>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</si>
  <si>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</si>
  <si>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</si>
  <si>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</si>
  <si>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</si>
  <si>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</si>
  <si>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</si>
  <si>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</si>
  <si>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</si>
  <si>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</si>
  <si>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</si>
  <si>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</si>
  <si>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</si>
  <si>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</si>
  <si>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</si>
  <si>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</si>
  <si>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</si>
  <si>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</si>
  <si>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</si>
  <si>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</si>
  <si>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</si>
  <si>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</si>
  <si>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</si>
  <si>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</si>
  <si>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</si>
  <si>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</si>
  <si>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</si>
  <si>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</si>
  <si>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</si>
  <si>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</si>
  <si>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</si>
  <si>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</si>
  <si>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</si>
  <si>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</si>
  <si>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</si>
  <si>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</si>
  <si>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</si>
  <si>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</si>
  <si>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</si>
  <si>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</si>
  <si>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</si>
  <si>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</si>
  <si>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</si>
  <si>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</si>
  <si>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</si>
  <si>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</si>
  <si>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</si>
  <si>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</si>
  <si>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</si>
  <si>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</si>
  <si>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</si>
  <si>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</si>
  <si>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</si>
  <si>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</si>
  <si>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</si>
  <si>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</si>
  <si>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</si>
  <si>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</si>
  <si>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</si>
  <si>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</si>
  <si>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</si>
  <si>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</si>
  <si>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</si>
  <si>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</si>
  <si>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</si>
  <si>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</si>
  <si>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</si>
  <si>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</si>
  <si>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</si>
  <si>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</si>
  <si>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</si>
  <si>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</si>
  <si>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</si>
  <si>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</si>
  <si>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</si>
  <si>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</si>
  <si>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</si>
  <si>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</si>
  <si>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</si>
  <si>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</si>
  <si>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</si>
  <si>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</si>
  <si>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</si>
  <si>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</si>
  <si>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</si>
  <si>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</si>
  <si>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</si>
  <si>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</si>
  <si>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</si>
  <si>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</si>
  <si>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</si>
  <si>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</si>
  <si>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</si>
  <si>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</si>
  <si>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</si>
  <si>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</si>
  <si>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</si>
  <si>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</si>
  <si>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</si>
  <si>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</si>
  <si>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</si>
  <si>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</si>
  <si>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</si>
  <si>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</si>
  <si>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</si>
  <si>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</si>
  <si>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</si>
  <si>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</si>
  <si>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</si>
  <si>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</si>
  <si>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</si>
  <si>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</si>
  <si>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</si>
  <si>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</si>
  <si>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</si>
  <si>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</si>
  <si>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</si>
  <si>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</si>
  <si>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</si>
  <si>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</si>
  <si>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</si>
  <si>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</si>
  <si>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</si>
  <si>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</si>
  <si>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</si>
  <si>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</si>
  <si>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</si>
  <si>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</si>
  <si>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</si>
  <si>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</si>
  <si>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</si>
  <si>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</si>
  <si>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</si>
  <si>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</si>
  <si>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</si>
  <si>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</si>
  <si>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</si>
  <si>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</si>
  <si>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</si>
  <si>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</si>
  <si>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</si>
  <si>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</si>
  <si>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</si>
  <si>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</si>
  <si>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</si>
  <si>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</si>
  <si>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</si>
  <si>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</si>
  <si>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</si>
  <si>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</si>
  <si>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</si>
  <si>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</si>
  <si>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</si>
  <si>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</si>
  <si>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</si>
  <si>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</si>
  <si>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</si>
  <si>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</si>
  <si>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</si>
  <si>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</si>
  <si>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</si>
  <si>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</si>
  <si>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</si>
  <si>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</si>
  <si>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</si>
  <si>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</si>
  <si>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</si>
  <si>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</si>
  <si>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</si>
  <si>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</si>
  <si>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</si>
  <si>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</si>
  <si>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</si>
  <si>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</si>
  <si>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</si>
  <si>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</si>
  <si>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</si>
  <si>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</si>
  <si>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</si>
  <si>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</si>
  <si>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</si>
  <si>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</si>
  <si>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</si>
  <si>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</si>
  <si>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</si>
  <si>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</si>
  <si>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</si>
  <si>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</si>
  <si>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</si>
  <si>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</si>
  <si>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</si>
  <si>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</si>
  <si>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</si>
  <si>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</si>
  <si>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</si>
  <si>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</si>
  <si>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</si>
  <si>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</si>
  <si>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</si>
  <si>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</si>
  <si>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</si>
  <si>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</si>
  <si>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</si>
  <si>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</si>
  <si>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</si>
  <si>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</si>
  <si>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</si>
  <si>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</si>
  <si>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</si>
  <si>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</si>
  <si>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</si>
  <si>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</si>
  <si>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</si>
  <si>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</si>
  <si>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</si>
  <si>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</si>
  <si>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</si>
  <si>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</si>
  <si>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</si>
  <si>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</si>
  <si>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</si>
  <si>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</si>
  <si>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</si>
  <si>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</si>
  <si>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</si>
  <si>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</si>
  <si>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</si>
  <si>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</si>
  <si>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</si>
  <si>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</si>
  <si>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</si>
  <si>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</si>
  <si>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</si>
  <si>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</si>
  <si>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</si>
  <si>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</si>
  <si>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</si>
  <si>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</si>
  <si>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</si>
  <si>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</si>
  <si>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</si>
  <si>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</si>
  <si>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</si>
  <si>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</si>
  <si>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</si>
  <si>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</si>
  <si>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</si>
  <si>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</si>
  <si>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</si>
  <si>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</si>
  <si>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</si>
  <si>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</si>
  <si>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</si>
  <si>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</si>
  <si>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</si>
  <si>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</si>
  <si>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</si>
  <si>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</si>
  <si>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</si>
  <si>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</si>
  <si>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</si>
  <si>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</si>
  <si>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</si>
  <si>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</si>
  <si>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</si>
  <si>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</si>
  <si>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</si>
  <si>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</si>
  <si>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</si>
  <si>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</si>
  <si>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</si>
  <si>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</si>
  <si>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</si>
  <si>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</si>
  <si>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</si>
  <si>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</si>
  <si>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</si>
  <si>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</si>
  <si>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</si>
  <si>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</si>
  <si>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</si>
  <si>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</si>
  <si>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</si>
  <si>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</si>
  <si>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</si>
  <si>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</si>
  <si>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</si>
  <si>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</si>
  <si>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</si>
  <si>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</si>
  <si>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</si>
  <si>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</si>
  <si>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</si>
  <si>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</si>
  <si>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</si>
  <si>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</si>
  <si>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</si>
  <si>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</si>
  <si>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</si>
  <si>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</si>
  <si>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</si>
  <si>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</si>
  <si>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</si>
  <si>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</si>
  <si>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</si>
  <si>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</si>
  <si>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</si>
  <si>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</si>
  <si>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</si>
  <si>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</si>
  <si>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</si>
  <si>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</si>
  <si>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</si>
  <si>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</si>
  <si>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</si>
  <si>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</si>
  <si>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</si>
  <si>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</si>
  <si>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</si>
  <si>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</si>
  <si>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</si>
  <si>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</si>
  <si>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</si>
  <si>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</si>
  <si>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</si>
  <si>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</si>
  <si>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</si>
  <si>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</si>
  <si>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</si>
  <si>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</si>
  <si>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</si>
  <si>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</si>
  <si>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</si>
  <si>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</si>
  <si>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</si>
  <si>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</si>
  <si>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</si>
  <si>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</si>
  <si>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</si>
  <si>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</si>
  <si>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</si>
  <si>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Kopic Jakub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</si>
  <si>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</si>
  <si>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</si>
  <si>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</si>
  <si>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</si>
  <si>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</si>
  <si>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Dušek Sam</t>
  </si>
  <si>
    <t>Hendrych Rostislav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</si>
  <si>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</si>
  <si>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</si>
  <si>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</si>
  <si>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</si>
  <si>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</si>
  <si>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8:00</t>
  </si>
  <si>
    <t>29:00</t>
  </si>
  <si>
    <t>Hanibal Filip</t>
  </si>
  <si>
    <t>9:00</t>
  </si>
  <si>
    <t>Kalina Filip</t>
  </si>
  <si>
    <t>Reischl Jan</t>
  </si>
  <si>
    <t>6:00</t>
  </si>
  <si>
    <t>7:00</t>
  </si>
  <si>
    <t>13 min 53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</si>
  <si>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</si>
  <si>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</si>
  <si>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</si>
  <si>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</si>
  <si>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11:00 - 23:00 (Kurýr)</t>
  </si>
  <si>
    <t>17:00 - 1:00 (Kurýr)</t>
  </si>
  <si>
    <t>11:00 - 0:00 (Kurýr)</t>
  </si>
  <si>
    <t>17:00 - 1:00 (Instor)</t>
  </si>
  <si>
    <t>17:00 - 3:00 (Instor)</t>
  </si>
  <si>
    <t>17:00 - 0:00 (Instor)</t>
  </si>
  <si>
    <t>11:00 - 17:00 (Kurýr)</t>
  </si>
  <si>
    <t>10:00 - 0:00 (Instor)</t>
  </si>
  <si>
    <t>Nedvěd Dominik</t>
  </si>
  <si>
    <t>15:00 - 0:00 (Kurýr)</t>
  </si>
  <si>
    <t>11:00 - 1:00 (Kurýr)</t>
  </si>
  <si>
    <t>Petr Židek</t>
  </si>
  <si>
    <t>Weindling Josef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</si>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</sst>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46191.0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1941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45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2001.648</v>
      </c>
      <c r="B13" s="51" t="s">
        <v>1956</v>
      </c>
      <c r="C13" s="52" t="s">
        <v>45</v>
      </c>
      <c r="D13" s="52" t="s">
        <v>46</v>
      </c>
      <c r="E13" s="53"/>
      <c r="F13" s="54" t="str">
        <f t="shared" si="1"/>
        <v>08:00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1873.2</v>
      </c>
      <c r="B14" s="51" t="s">
        <v>1957</v>
      </c>
      <c r="C14" s="52" t="s">
        <v>45</v>
      </c>
      <c r="D14" s="52" t="s">
        <v>68</v>
      </c>
      <c r="E14" s="53"/>
      <c r="F14" s="54" t="str">
        <f t="shared" si="1"/>
        <v>07:00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2001.648</v>
      </c>
      <c r="B25" s="51" t="s">
        <v>1962</v>
      </c>
      <c r="C25" s="66" t="s">
        <v>45</v>
      </c>
      <c r="D25" s="66" t="s">
        <v>46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3502.884</v>
      </c>
      <c r="B26" s="51" t="s">
        <v>1963</v>
      </c>
      <c r="C26" s="66" t="s">
        <v>63</v>
      </c>
      <c r="D26" s="66" t="s">
        <v>46</v>
      </c>
      <c r="E26" s="88"/>
      <c r="F26" s="54" t="str">
        <f t="shared" si="2"/>
        <v>14:00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Vladyslav,Židek Petr,Gorol Patrik,Kopic Jakub"</formula1>
    </dataValidation>
    <dataValidation type="list" allowBlank="1" sqref="B25:B31">
      <formula1>"Jurkovič Martin,Hanibal Filip,Novák Jakub,Nedvěd Dominik,Lažek Jaroslav,Vychivskyi Volodymyr,Reischl Jan,Kalina Filip,Dušek Sam,Richterová Monika,Serin David,Hendrych Rostislav,Weindling Josef"</formula1>
    </dataValidation>
    <dataValidation type="list" allowBlank="1" sqref="G11 G19">
      <formula1>"Kinkorová Petra,Kopic Jakub,Yarushynskyi Vladyslav"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46189.0</v>
      </c>
      <c r="D1" s="114" t="s">
        <v>1965</v>
      </c>
      <c r="E1" s="115">
        <v>46189.0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0.23565649335155425</v>
      </c>
      <c r="H2" s="21"/>
      <c r="I2" s="119">
        <v>50711.1</v>
      </c>
      <c r="K2" s="21"/>
      <c r="L2" s="120" t="s">
        <v>1941</v>
      </c>
      <c r="M2" s="121">
        <v>23718.600000000013</v>
      </c>
      <c r="N2" s="122"/>
    </row>
    <row r="3">
      <c r="A3" s="123"/>
      <c r="B3" s="124" t="str">
        <f>CHOOSE(WEEKDAY(C1), "Neděle", "Pondělí", "Úterý", "Středa", "Čtvrtek", "Pátek", "Sobota")</f>
        <v>Úterý</v>
      </c>
      <c r="C3" s="27"/>
      <c r="D3" s="124" t="str">
        <f>CHOOSE(WEEKDAY(E1), "Neděle", "Pondělí", "Úterý", "Středa", "Čtvrtek", "Pátek", "Sobota")</f>
        <v>Úterý</v>
      </c>
      <c r="E3" s="11"/>
      <c r="H3" s="21"/>
      <c r="K3" s="21"/>
      <c r="L3" s="125" t="s">
        <v>1942</v>
      </c>
      <c r="M3" s="126">
        <v>3992.0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8190.0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5434.0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287.0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8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24</v>
      </c>
      <c r="G7" s="13"/>
      <c r="H7" s="13"/>
      <c r="I7" s="13"/>
      <c r="J7" s="134"/>
      <c r="K7" s="134"/>
      <c r="L7" s="135" t="s">
        <v>1947</v>
      </c>
      <c r="M7" s="136">
        <v>2032.0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-0.4999999999854481</v>
      </c>
      <c r="K9" s="11"/>
      <c r="L9" s="148" t="s">
        <v>23</v>
      </c>
      <c r="M9" s="126">
        <v>4477.0</v>
      </c>
      <c r="N9" s="122"/>
    </row>
    <row r="10" ht="18.75" customHeight="1">
      <c r="A10" s="149"/>
      <c r="B10" s="150" t="s">
        <v>1885</v>
      </c>
      <c r="C10" s="151">
        <v>1.0</v>
      </c>
      <c r="D10" s="152" t="s">
        <v>1969</v>
      </c>
      <c r="E10" s="153" t="s">
        <v>1970</v>
      </c>
      <c r="F10" s="150" t="s">
        <v>1971</v>
      </c>
      <c r="G10" s="151">
        <v>1.0</v>
      </c>
      <c r="H10" s="151" t="s">
        <v>1972</v>
      </c>
      <c r="I10" s="154">
        <v>0.0</v>
      </c>
      <c r="J10" s="36"/>
      <c r="K10" s="21"/>
      <c r="L10" s="148" t="s">
        <v>24</v>
      </c>
      <c r="M10" s="126">
        <v>0.0</v>
      </c>
      <c r="N10" s="122"/>
    </row>
    <row r="11" ht="18.75" customHeight="1">
      <c r="A11" s="149"/>
      <c r="B11" s="150" t="s">
        <v>1957</v>
      </c>
      <c r="C11" s="151">
        <v>1.0</v>
      </c>
      <c r="D11" s="155" t="s">
        <v>1969</v>
      </c>
      <c r="E11" s="153" t="s">
        <v>49</v>
      </c>
      <c r="F11" s="150" t="s">
        <v>1973</v>
      </c>
      <c r="G11" s="151">
        <v>1.0</v>
      </c>
      <c r="H11" s="151" t="s">
        <v>1972</v>
      </c>
      <c r="I11" s="154">
        <v>5.0</v>
      </c>
      <c r="J11" s="36"/>
      <c r="K11" s="21"/>
      <c r="L11" s="156" t="s">
        <v>25</v>
      </c>
      <c r="M11" s="157">
        <v>4612.0</v>
      </c>
      <c r="N11" s="122"/>
    </row>
    <row r="12" ht="18.75" customHeight="1">
      <c r="A12" s="149"/>
      <c r="B12" s="150"/>
      <c r="C12" s="151"/>
      <c r="D12" s="155"/>
      <c r="E12" s="153" t="s">
        <v>50</v>
      </c>
      <c r="F12" s="150" t="s">
        <v>1974</v>
      </c>
      <c r="G12" s="151">
        <v>1.0</v>
      </c>
      <c r="H12" s="151" t="s">
        <v>1975</v>
      </c>
      <c r="I12" s="154">
        <v>4.0</v>
      </c>
      <c r="J12" s="36"/>
      <c r="K12" s="21"/>
      <c r="L12" s="158" t="s">
        <v>1955</v>
      </c>
      <c r="M12" s="19"/>
      <c r="N12" s="117"/>
    </row>
    <row r="13" ht="18.75" customHeight="1">
      <c r="A13" s="149"/>
      <c r="B13" s="150"/>
      <c r="C13" s="151"/>
      <c r="D13" s="155"/>
      <c r="E13" s="153" t="s">
        <v>50</v>
      </c>
      <c r="F13" s="150"/>
      <c r="G13" s="151"/>
      <c r="H13" s="151"/>
      <c r="I13" s="154"/>
      <c r="J13" s="36"/>
      <c r="K13" s="21"/>
      <c r="L13" s="148" t="s">
        <v>29</v>
      </c>
      <c r="M13" s="126">
        <v>0.0</v>
      </c>
      <c r="N13" s="122"/>
    </row>
    <row r="14" ht="18.75" customHeight="1">
      <c r="A14" s="149"/>
      <c r="B14" s="150"/>
      <c r="C14" s="151"/>
      <c r="D14" s="151"/>
      <c r="E14" s="153" t="s">
        <v>1976</v>
      </c>
      <c r="F14" s="150"/>
      <c r="G14" s="151"/>
      <c r="H14" s="151"/>
      <c r="I14" s="154"/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3" t="s">
        <v>1976</v>
      </c>
      <c r="F15" s="150"/>
      <c r="G15" s="151"/>
      <c r="H15" s="151"/>
      <c r="I15" s="154"/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/>
      <c r="G16" s="151"/>
      <c r="H16" s="151"/>
      <c r="I16" s="154"/>
      <c r="J16" s="36"/>
      <c r="K16" s="21"/>
      <c r="L16" s="159" t="s">
        <v>32</v>
      </c>
      <c r="M16" s="126">
        <v>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4"/>
      <c r="J17" s="18"/>
      <c r="K17" s="19"/>
      <c r="L17" s="161" t="s">
        <v>33</v>
      </c>
      <c r="M17" s="162">
        <v>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1958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3.0</v>
      </c>
      <c r="K21" s="173">
        <v>1166.0</v>
      </c>
      <c r="L21" s="174">
        <v>2.0</v>
      </c>
      <c r="M21" s="175" t="s">
        <v>1977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1961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0.0</v>
      </c>
      <c r="K24" s="174">
        <v>131.0</v>
      </c>
      <c r="L24" s="174">
        <v>14.0</v>
      </c>
      <c r="M24" s="179">
        <v>1.0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0.0</v>
      </c>
      <c r="K27" s="98"/>
      <c r="L27" s="185">
        <v>0.14285714285714285</v>
      </c>
      <c r="M27" s="186">
        <v>1.0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0.8571428571428572</v>
      </c>
      <c r="M30" s="190">
        <v>0.07142857142857142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1978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1979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1980</v>
      </c>
      <c r="C3" s="193"/>
      <c r="D3" s="1" t="s">
        <v>1981</v>
      </c>
      <c r="E3" s="1" t="s">
        <v>1981</v>
      </c>
      <c r="F3" s="1" t="s">
        <v>1981</v>
      </c>
      <c r="G3" s="1" t="s">
        <v>1980</v>
      </c>
      <c r="H3" s="193"/>
    </row>
    <row r="4">
      <c r="A4" s="1" t="s">
        <v>1962</v>
      </c>
      <c r="B4" s="1" t="s">
        <v>1982</v>
      </c>
      <c r="C4" s="193"/>
      <c r="D4" s="193"/>
      <c r="E4" s="1" t="s">
        <v>1983</v>
      </c>
      <c r="F4" s="193"/>
      <c r="G4" s="193"/>
      <c r="H4" s="193"/>
    </row>
    <row r="5">
      <c r="A5" s="1" t="s">
        <v>1973</v>
      </c>
      <c r="B5" s="1" t="s">
        <v>1983</v>
      </c>
      <c r="C5" s="193"/>
      <c r="D5" s="193"/>
      <c r="E5" s="193"/>
      <c r="F5" s="193"/>
      <c r="G5" s="193"/>
      <c r="H5" s="1" t="s">
        <v>1984</v>
      </c>
    </row>
    <row r="6">
      <c r="A6" s="1" t="s">
        <v>1956</v>
      </c>
      <c r="B6" s="193"/>
      <c r="C6" s="1" t="s">
        <v>1980</v>
      </c>
      <c r="D6" s="193"/>
      <c r="E6" s="1" t="s">
        <v>1985</v>
      </c>
      <c r="F6" s="193"/>
      <c r="G6" s="1" t="s">
        <v>1986</v>
      </c>
      <c r="H6" s="1" t="s">
        <v>1987</v>
      </c>
    </row>
    <row r="7">
      <c r="A7" s="1" t="s">
        <v>1974</v>
      </c>
      <c r="B7" s="193"/>
      <c r="C7" s="1" t="s">
        <v>1988</v>
      </c>
      <c r="D7" s="193"/>
      <c r="E7" s="193"/>
      <c r="F7" s="193"/>
      <c r="G7" s="193"/>
      <c r="H7" s="193"/>
    </row>
    <row r="8">
      <c r="A8" s="1" t="s">
        <v>1957</v>
      </c>
      <c r="B8" s="193"/>
      <c r="C8" s="1" t="s">
        <v>1985</v>
      </c>
      <c r="D8" s="1" t="s">
        <v>1985</v>
      </c>
      <c r="E8" s="1" t="s">
        <v>1987</v>
      </c>
      <c r="F8" s="1" t="s">
        <v>1986</v>
      </c>
      <c r="G8" s="193"/>
      <c r="H8" s="1" t="s">
        <v>1989</v>
      </c>
    </row>
    <row r="9">
      <c r="A9" s="1" t="s">
        <v>1990</v>
      </c>
      <c r="B9" s="193"/>
      <c r="C9" s="193"/>
      <c r="D9" s="1" t="s">
        <v>1982</v>
      </c>
      <c r="E9" s="193"/>
      <c r="F9" s="193"/>
      <c r="G9" s="193"/>
      <c r="H9" s="1" t="s">
        <v>1991</v>
      </c>
    </row>
    <row r="10">
      <c r="A10" s="1" t="s">
        <v>1971</v>
      </c>
      <c r="B10" s="193"/>
      <c r="C10" s="193"/>
      <c r="D10" s="1" t="s">
        <v>1983</v>
      </c>
      <c r="E10" s="193"/>
      <c r="F10" s="1" t="s">
        <v>1992</v>
      </c>
      <c r="G10" s="1" t="s">
        <v>1992</v>
      </c>
      <c r="H10" s="193"/>
    </row>
    <row r="11">
      <c r="A11" s="1" t="s">
        <v>1963</v>
      </c>
      <c r="B11" s="193"/>
      <c r="C11" s="193"/>
      <c r="D11" s="1" t="s">
        <v>1983</v>
      </c>
      <c r="E11" s="1" t="s">
        <v>1992</v>
      </c>
      <c r="F11" s="193"/>
      <c r="G11" s="193"/>
      <c r="H11" s="193"/>
    </row>
    <row r="12">
      <c r="A12" s="1" t="s">
        <v>1924</v>
      </c>
      <c r="B12" s="193"/>
      <c r="D12" s="193"/>
      <c r="E12" s="193"/>
      <c r="F12" s="1" t="s">
        <v>1986</v>
      </c>
      <c r="G12" s="193"/>
      <c r="H12" s="193"/>
    </row>
    <row r="13">
      <c r="A13" s="1" t="s">
        <v>1924</v>
      </c>
      <c r="B13" s="1" t="s">
        <v>1993</v>
      </c>
      <c r="D13" s="193"/>
      <c r="E13" s="193"/>
      <c r="F13" s="1"/>
      <c r="G13" s="1" t="s">
        <v>1986</v>
      </c>
      <c r="H13" s="193"/>
    </row>
    <row r="14">
      <c r="A14" s="1" t="s">
        <v>1994</v>
      </c>
      <c r="B14" s="193"/>
      <c r="F14" s="193"/>
      <c r="G14" s="1" t="s">
        <v>1988</v>
      </c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93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93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93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93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93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93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93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93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93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93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93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93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93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93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93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93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93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93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93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93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93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93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93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93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93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93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93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93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93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93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93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93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93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93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93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93"/>
      <c r="F113" s="1"/>
      <c r="G113" s="1"/>
      <c r="H113" s="1"/>
      <c r="I113" s="1"/>
      <c r="J113" s="1"/>
      <c r="K113" s="193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93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93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93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93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93"/>
      <c r="F125" s="1"/>
      <c r="G125" s="1"/>
      <c r="H125" s="1"/>
      <c r="I125" s="1"/>
      <c r="J125" s="1"/>
      <c r="K125" s="193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93"/>
      <c r="L126" s="1"/>
      <c r="M126" s="1"/>
      <c r="N126" s="1"/>
      <c r="O126" s="1"/>
      <c r="P126" s="1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"/>
      <c r="B127" s="1"/>
      <c r="C127" s="194"/>
      <c r="D127" s="1"/>
      <c r="E127" s="193"/>
      <c r="F127" s="1"/>
      <c r="G127" s="1"/>
      <c r="H127" s="1"/>
      <c r="I127" s="1"/>
      <c r="J127" s="1"/>
      <c r="K127" s="193"/>
      <c r="L127" s="1"/>
      <c r="M127" s="1"/>
      <c r="N127" s="1"/>
      <c r="O127" s="1"/>
      <c r="P127" s="1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"/>
      <c r="B128" s="194"/>
      <c r="C128" s="194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5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1995</v>
      </c>
      <c r="B4" s="200" t="s">
        <v>1996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IFERROR(__xludf.DUMMYFUNCTION("""COMPUTED_VALUE"""),0.0)</f>
        <v>0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IFERROR(__xludf.DUMMYFUNCTION("""COMPUTED_VALUE"""),0.0)</f>
        <v>0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IFERROR(__xludf.DUMMYFUNCTION("""COMPUTED_VALUE"""),0.0)</f>
        <v>0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>Židek Petr</v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 t="str">
        <f>IFERROR(__xludf.DUMMYFUNCTION("""COMPUTED_VALUE"""),"Malešice")</f>
        <v>Malešice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 t="str">
        <f>IFERROR(__xludf.DUMMYFUNCTION("""COMPUTED_VALUE"""),"Prošek Václav")</f>
        <v>Prošek Václav</v>
      </c>
      <c r="E42" s="196" t="str">
        <f>IFERROR(__xludf.DUMMYFUNCTION("""COMPUTED_VALUE"""),"Libuš")</f>
        <v>Libuš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IFERROR(__xludf.DUMMYFUNCTION("""COMPUTED_VALUE"""),250.20600000000002)</f>
        <v>250.206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IFERROR(__xludf.DUMMYFUNCTION("""COMPUTED_VALUE"""),250.20600000000002)</f>
        <v>250.206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>Weindling Josef</v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 t="str">
        <f>IFERROR(__xludf.DUMMYFUNCTION("""COMPUTED_VALUE"""),"Malešice")</f>
        <v>Malešice</v>
      </c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 t="str">
        <f>IFERROR(__xludf.DUMMYFUNCTION("""COMPUTED_VALUE"""),"Kumar Jatinder")</f>
        <v>Kumar Jatinder</v>
      </c>
      <c r="E130" s="196" t="str">
        <f>IFERROR(__xludf.DUMMYFUNCTION("""COMPUTED_VALUE"""),"Libuš")</f>
        <v>Libuš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IFERROR(__xludf.DUMMYFUNCTION("""COMPUTED_VALUE"""),"Stehlíková Magdaléna")</f>
        <v>Stehlíková Magdaléna</v>
      </c>
      <c r="E131" s="196" t="str">
        <f>IFERROR(__xludf.DUMMYFUNCTION("""COMPUTED_VALUE"""),"Bolevec")</f>
        <v>Bolevec</v>
      </c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IFERROR(__xludf.DUMMYFUNCTION("""COMPUTED_VALUE"""),214.08)</f>
        <v>214.08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 t="str">
        <f>IFERROR(__xludf.DUMMYFUNCTION("""COMPUTED_VALUE"""),"Dragoun Alfréd")</f>
        <v>Dragoun Alfréd</v>
      </c>
      <c r="E132" s="196" t="str">
        <f>IFERROR(__xludf.DUMMYFUNCTION("""COMPUTED_VALUE"""),"Zličín")</f>
        <v>Zličín</v>
      </c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IFERROR(__xludf.DUMMYFUNCTION("""COMPUTED_VALUE"""),250.20600000000002)</f>
        <v>250.206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