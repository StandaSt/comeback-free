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<sst xmlns="http://schemas.openxmlformats.org/spreadsheetml/2006/main" count="6933" uniqueCount="2013">
  <si>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</si>
  <si>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</si>
  <si>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</si>
  <si>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</si>
  <si>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</si>
  <si>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</si>
  <si>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</si>
  <si>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</si>
  <si>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</si>
  <si>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</si>
  <si>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</si>
  <si>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</si>
  <si>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</si>
  <si>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</si>
  <si>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</si>
  <si>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</si>
  <si>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</si>
  <si>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</si>
  <si>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</si>
  <si>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</si>
  <si>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</si>
  <si>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</si>
  <si>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</si>
  <si>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</si>
  <si>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</si>
  <si>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</si>
  <si>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</si>
  <si>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</si>
  <si>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</si>
  <si>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</si>
  <si>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</si>
  <si>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</si>
  <si>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</si>
  <si>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</si>
  <si>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</si>
  <si>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</si>
  <si>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</si>
  <si>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</si>
  <si>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</si>
  <si>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</si>
  <si>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</si>
  <si>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</si>
  <si>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</si>
  <si>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</si>
  <si>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</si>
  <si>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</si>
  <si>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</si>
  <si>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</si>
  <si>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</si>
  <si>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</si>
  <si>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</si>
  <si>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</si>
  <si>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</si>
  <si>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</si>
  <si>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</si>
  <si>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</si>
  <si>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</si>
  <si>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</si>
  <si>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</si>
  <si>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</si>
  <si>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</si>
  <si>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</si>
  <si>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</si>
  <si>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</si>
  <si>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</si>
  <si>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</si>
  <si>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</si>
  <si>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</si>
  <si>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</si>
  <si>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</si>
  <si>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</si>
  <si>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</si>
  <si>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</si>
  <si>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</si>
  <si>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</si>
  <si>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</si>
  <si>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</si>
  <si>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</si>
  <si>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</si>
  <si>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</si>
  <si>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</si>
  <si>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</si>
  <si>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</si>
  <si>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</si>
  <si>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</si>
  <si>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</si>
  <si>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</si>
  <si>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</si>
  <si>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</si>
  <si>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</si>
  <si>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</si>
  <si>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</si>
  <si>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</si>
  <si>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</si>
  <si>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</si>
  <si>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</si>
  <si>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</si>
  <si>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</si>
  <si>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</si>
  <si>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</si>
  <si>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</si>
  <si>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</si>
  <si>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</si>
  <si>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</si>
  <si>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</si>
  <si>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</si>
  <si>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</si>
  <si>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</si>
  <si>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</si>
  <si>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</si>
  <si>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</si>
  <si>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</si>
  <si>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</si>
  <si>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</si>
  <si>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</si>
  <si>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</si>
  <si>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</si>
  <si>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</si>
  <si>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</si>
  <si>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</si>
  <si>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</si>
  <si>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</si>
  <si>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</si>
  <si>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</si>
  <si>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</si>
  <si>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</si>
  <si>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</si>
  <si>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</si>
  <si>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</si>
  <si>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</si>
  <si>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</si>
  <si>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</si>
  <si>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</si>
  <si>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</si>
  <si>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</si>
  <si>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</si>
  <si>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</si>
  <si>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</si>
  <si>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</si>
  <si>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</si>
  <si>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</si>
  <si>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</si>
  <si>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</si>
  <si>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</si>
  <si>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</si>
  <si>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</si>
  <si>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</si>
  <si>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</si>
  <si>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</si>
  <si>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</si>
  <si>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</si>
  <si>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</si>
  <si>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</si>
  <si>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</si>
  <si>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</si>
  <si>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</si>
  <si>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</si>
  <si>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</si>
  <si>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</si>
  <si>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</si>
  <si>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</si>
  <si>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</si>
  <si>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</si>
  <si>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</si>
  <si>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</si>
  <si>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</si>
  <si>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</si>
  <si>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</si>
  <si>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</si>
  <si>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</si>
  <si>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</si>
  <si>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</si>
  <si>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</si>
  <si>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</si>
  <si>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</si>
  <si>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</si>
  <si>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</si>
  <si>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</si>
  <si>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</si>
  <si>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</si>
  <si>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</si>
  <si>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</si>
  <si>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</si>
  <si>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</si>
  <si>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</si>
  <si>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</si>
  <si>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</si>
  <si>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</si>
  <si>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</si>
  <si>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</si>
  <si>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</si>
  <si>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</si>
  <si>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</si>
  <si>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</si>
  <si>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</si>
  <si>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</si>
  <si>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</si>
  <si>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</si>
  <si>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</si>
  <si>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</si>
  <si>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</si>
  <si>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</si>
  <si>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</si>
  <si>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</si>
  <si>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</si>
  <si>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</si>
  <si>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</si>
  <si>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</si>
  <si>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</si>
  <si>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</si>
  <si>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</si>
  <si>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</si>
  <si>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</si>
  <si>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</si>
  <si>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</si>
  <si>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</si>
  <si>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</si>
  <si>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</si>
  <si>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</si>
  <si>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</si>
  <si>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</si>
  <si>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</si>
  <si>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</si>
  <si>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</si>
  <si>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</si>
  <si>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</si>
  <si>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</si>
  <si>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</si>
  <si>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</si>
  <si>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</si>
  <si>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</si>
  <si>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</si>
  <si>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</si>
  <si>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</si>
  <si>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</si>
  <si>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</si>
  <si>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</si>
  <si>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</si>
  <si>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</si>
  <si>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</si>
  <si>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</si>
  <si>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</si>
  <si>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</si>
  <si>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</si>
  <si>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</si>
  <si>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</si>
  <si>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</si>
  <si>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</si>
  <si>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</si>
  <si>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</si>
  <si>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</si>
  <si>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</si>
  <si>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</si>
  <si>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</si>
  <si>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</si>
  <si>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</si>
  <si>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</si>
  <si>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</si>
  <si>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</si>
  <si>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</si>
  <si>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</si>
  <si>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</si>
  <si>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</si>
  <si>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</si>
  <si>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</si>
  <si>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</si>
  <si>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</si>
  <si>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</si>
  <si>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</si>
  <si>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</si>
  <si>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</si>
  <si>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</si>
  <si>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</si>
  <si>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</si>
  <si>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</si>
  <si>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</si>
  <si>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</si>
  <si>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</si>
  <si>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</si>
  <si>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</si>
  <si>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</si>
  <si>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</si>
  <si>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</si>
  <si>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</si>
  <si>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</si>
  <si>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</si>
  <si>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</si>
  <si>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</si>
  <si>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</si>
  <si>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</si>
  <si>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</si>
  <si>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</si>
  <si>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</si>
  <si>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</si>
  <si>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</si>
  <si>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</si>
  <si>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</si>
  <si>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</si>
  <si>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</si>
  <si>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</si>
  <si>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</si>
  <si>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</si>
  <si>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</si>
  <si>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</si>
  <si>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</si>
  <si>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</si>
  <si>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</si>
  <si>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</si>
  <si>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</si>
  <si>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</si>
  <si>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</si>
  <si>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</si>
  <si>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</si>
  <si>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</si>
  <si>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</si>
  <si>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</si>
  <si>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</si>
  <si>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</si>
  <si>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</si>
  <si>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</si>
  <si>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</si>
  <si>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</si>
  <si>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</si>
  <si>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</si>
  <si>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</si>
  <si>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</si>
  <si>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</si>
  <si>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</si>
  <si>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</si>
  <si>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</si>
  <si>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</si>
  <si>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</si>
  <si>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</si>
  <si>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</si>
  <si>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</si>
  <si>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</si>
  <si>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</si>
  <si>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</si>
  <si>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</si>
  <si>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</si>
  <si>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</si>
  <si>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</si>
  <si>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</si>
  <si>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</si>
  <si>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</si>
  <si>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</si>
  <si>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</si>
  <si>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</si>
  <si>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</si>
  <si>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</si>
  <si>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</si>
  <si>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</si>
  <si>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</si>
  <si>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</si>
  <si>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</si>
  <si>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</si>
  <si>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</si>
  <si>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</si>
  <si>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</si>
  <si>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</si>
  <si>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</si>
  <si>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</si>
  <si>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</si>
  <si>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</si>
  <si>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</si>
  <si>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</si>
  <si>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</si>
  <si>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</si>
  <si>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</si>
  <si>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</si>
  <si>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</si>
  <si>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</si>
  <si>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</si>
  <si>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</si>
  <si>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</si>
  <si>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</si>
  <si>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</si>
  <si>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</si>
  <si>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</si>
  <si>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</si>
  <si>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</si>
  <si>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</si>
  <si>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</si>
  <si>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</si>
  <si>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</si>
  <si>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</si>
  <si>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</si>
  <si>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</si>
  <si>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</si>
  <si>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</si>
  <si>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</si>
  <si>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</si>
  <si>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</si>
  <si>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</si>
  <si>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</si>
  <si>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</si>
  <si>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</si>
  <si>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</si>
  <si>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</si>
  <si>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</si>
  <si>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</si>
  <si>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</si>
  <si>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</si>
  <si>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</si>
  <si>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</si>
  <si>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</si>
  <si>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</si>
  <si>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</si>
  <si>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</si>
  <si>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</si>
  <si>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</si>
  <si>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</si>
  <si>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</si>
  <si>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</si>
  <si>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</si>
  <si>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</si>
  <si>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</si>
  <si>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</si>
  <si>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</si>
  <si>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</si>
  <si>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</si>
  <si>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</si>
  <si>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</si>
  <si>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</si>
  <si>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</si>
  <si>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</si>
  <si>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</si>
  <si>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</si>
  <si>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</si>
  <si>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</si>
  <si>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</si>
  <si>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</si>
  <si>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</si>
  <si>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</si>
  <si>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</si>
  <si>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</si>
  <si>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</si>
  <si>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</si>
  <si>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</si>
  <si>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</si>
  <si>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</si>
  <si>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</si>
  <si>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</si>
  <si>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</si>
  <si>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</si>
  <si>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</si>
  <si>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</si>
  <si>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</si>
  <si>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</si>
  <si>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</si>
  <si>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</si>
  <si>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</si>
  <si>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</si>
  <si>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</si>
  <si>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</si>
  <si>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</si>
  <si>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</si>
  <si>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</si>
  <si>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</si>
  <si>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</si>
  <si>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</si>
  <si>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</si>
  <si>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</si>
  <si>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</si>
  <si>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</si>
  <si>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</si>
  <si>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</si>
  <si>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</si>
  <si>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</si>
  <si>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</si>
  <si>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</si>
  <si>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</si>
  <si>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</si>
  <si>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</si>
  <si>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</si>
  <si>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</si>
  <si>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</si>
  <si>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</si>
  <si>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</si>
  <si>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</si>
  <si>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</si>
  <si>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</si>
  <si>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</si>
  <si>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</si>
  <si>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</si>
  <si>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</si>
  <si>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</si>
  <si>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</si>
  <si>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</si>
  <si>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</si>
  <si>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</si>
  <si>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</si>
  <si>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</si>
  <si>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</si>
  <si>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</si>
  <si>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</si>
  <si>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</si>
  <si>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</si>
  <si>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</si>
  <si>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</si>
  <si>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</si>
  <si>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</si>
  <si>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</si>
  <si>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</si>
  <si>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</si>
  <si>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</si>
  <si>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</si>
  <si>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</si>
  <si>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</si>
  <si>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</si>
  <si>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</si>
  <si>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</si>
  <si>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</si>
  <si>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</si>
  <si>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</si>
  <si>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</si>
  <si>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</si>
  <si>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</si>
  <si>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</si>
  <si>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</si>
  <si>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</si>
  <si>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</si>
  <si>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</si>
  <si>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</si>
  <si>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</si>
  <si>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</si>
  <si>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</si>
  <si>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</si>
  <si>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</si>
  <si>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</si>
  <si>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</si>
  <si>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</si>
  <si>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</si>
  <si>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</si>
  <si>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</si>
  <si>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</si>
  <si>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</si>
  <si>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</si>
  <si>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</si>
  <si>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</si>
  <si>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</si>
  <si>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</si>
  <si>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</si>
  <si>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</si>
  <si>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</si>
  <si>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</si>
  <si>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</si>
  <si>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</si>
  <si>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</si>
  <si>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</si>
  <si>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</si>
  <si>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</si>
  <si>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</si>
  <si>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</si>
  <si>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</si>
  <si>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</si>
  <si>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</si>
  <si>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</si>
  <si>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</si>
  <si>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</si>
  <si>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</si>
  <si>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</si>
  <si>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</si>
  <si>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</si>
  <si>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</si>
  <si>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</si>
  <si>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</si>
  <si>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</si>
  <si>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</si>
  <si>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</si>
  <si>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</si>
  <si>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</si>
  <si>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</si>
  <si>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</si>
  <si>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</si>
  <si>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</si>
  <si>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</si>
  <si>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</si>
  <si>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</si>
  <si>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</si>
  <si>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</si>
  <si>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</si>
  <si>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</si>
  <si>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</si>
  <si>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</si>
  <si>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</si>
  <si>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</si>
  <si>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</si>
  <si>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</si>
  <si>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</si>
  <si>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</si>
  <si>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</si>
  <si>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</si>
  <si>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</si>
  <si>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</si>
  <si>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</si>
  <si>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</si>
  <si>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</si>
  <si>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</si>
  <si>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</si>
  <si>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</si>
  <si>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</si>
  <si>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</si>
  <si>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</si>
  <si>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</si>
  <si>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</si>
  <si>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</si>
  <si>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</si>
  <si>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</si>
  <si>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</si>
  <si>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</si>
  <si>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</si>
  <si>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</si>
  <si>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</si>
  <si>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</si>
  <si>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</si>
  <si>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</si>
  <si>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</si>
  <si>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</si>
  <si>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</si>
  <si>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</si>
  <si>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</si>
  <si>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</si>
  <si>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</si>
  <si>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</si>
  <si>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</si>
  <si>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</si>
  <si>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</si>
  <si>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</si>
  <si>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</si>
  <si>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</si>
  <si>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</si>
  <si>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</si>
  <si>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</si>
  <si>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</si>
  <si>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</si>
  <si>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</si>
  <si>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</si>
  <si>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</si>
  <si>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</si>
  <si>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</si>
  <si>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</si>
  <si>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</si>
  <si>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</si>
  <si>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</si>
  <si>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</si>
  <si>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</si>
  <si>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</si>
  <si>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</si>
  <si>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</si>
  <si>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</si>
  <si>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</si>
  <si>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</si>
  <si>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</si>
  <si>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</si>
  <si>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</si>
  <si>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</si>
  <si>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</si>
  <si>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</si>
  <si>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</si>
  <si>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</si>
  <si>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</si>
  <si>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</si>
  <si>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</si>
  <si>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</si>
  <si>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</si>
  <si>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</si>
  <si>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</si>
  <si>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</si>
  <si>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</si>
  <si>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</si>
  <si>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</si>
  <si>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</si>
  <si>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</si>
  <si>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</si>
  <si>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</si>
  <si>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</si>
  <si>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</si>
  <si>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</si>
  <si>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</si>
  <si>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</si>
  <si>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</si>
  <si>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</si>
  <si>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</si>
  <si>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</si>
  <si>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</si>
  <si>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</si>
  <si>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</si>
  <si>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</si>
  <si>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</si>
  <si>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</si>
  <si>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</si>
  <si>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</si>
  <si>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</si>
  <si>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</si>
  <si>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</si>
  <si>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</si>
  <si>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</si>
  <si>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</si>
  <si>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</si>
  <si>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</si>
  <si>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</si>
  <si>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</si>
  <si>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</si>
  <si>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</si>
  <si>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</si>
  <si>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</si>
  <si>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</si>
  <si>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</si>
  <si>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</si>
  <si>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</si>
  <si>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</si>
  <si>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</si>
  <si>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</si>
  <si>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</si>
  <si>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</si>
  <si>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</si>
  <si>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</si>
  <si>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</si>
  <si>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</si>
  <si>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</si>
  <si>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</si>
  <si>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</si>
  <si>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</si>
  <si>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</si>
  <si>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</si>
  <si>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</si>
  <si>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</si>
  <si>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</si>
  <si>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</si>
  <si>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</si>
  <si>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</si>
  <si>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</si>
  <si>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</si>
  <si>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</si>
  <si>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</si>
  <si>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</si>
  <si>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</si>
  <si>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</si>
  <si>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</si>
  <si>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</si>
  <si>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</si>
  <si>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</si>
  <si>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</si>
  <si>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</si>
  <si>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</si>
  <si>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</si>
  <si>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</si>
  <si>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</si>
  <si>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</si>
  <si>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</si>
  <si>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</si>
  <si>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</si>
  <si>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</si>
  <si>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</si>
  <si>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</si>
  <si>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</si>
  <si>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</si>
  <si>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</si>
  <si>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</si>
  <si>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</si>
  <si>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</si>
  <si>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</si>
  <si>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</si>
  <si>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</si>
  <si>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</si>
  <si>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</si>
  <si>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</si>
  <si>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</si>
  <si>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</si>
  <si>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</si>
  <si>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</si>
  <si>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</si>
  <si>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</si>
  <si>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</si>
  <si>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</si>
  <si>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</si>
  <si>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</si>
  <si>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</si>
  <si>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</si>
  <si>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</si>
  <si>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</si>
  <si>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</si>
  <si>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</si>
  <si>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</si>
  <si>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</si>
  <si>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</si>
  <si>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</si>
  <si>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</si>
  <si>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</si>
  <si>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</si>
  <si>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</si>
  <si>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</si>
  <si>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</si>
  <si>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</si>
  <si>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</si>
  <si>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</si>
  <si>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</si>
  <si>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</si>
  <si>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</si>
  <si>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</si>
  <si>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</si>
  <si>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</si>
  <si>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</si>
  <si>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</si>
  <si>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</si>
  <si>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</si>
  <si>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</si>
  <si>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</si>
  <si>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</si>
  <si>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</si>
  <si>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</si>
  <si>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</si>
  <si>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</si>
  <si>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</si>
  <si>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</si>
  <si>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</si>
  <si>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</si>
  <si>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</si>
  <si>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</si>
  <si>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</si>
  <si>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</si>
  <si>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</si>
  <si>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</si>
  <si>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</si>
  <si>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</si>
  <si>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</si>
  <si>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</si>
  <si>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</si>
  <si>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</si>
  <si>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</si>
  <si>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</si>
  <si>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</si>
  <si>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</si>
  <si>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</si>
  <si>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</si>
  <si>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</si>
  <si>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</si>
  <si>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</si>
  <si>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</si>
  <si>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</si>
  <si>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</si>
  <si>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</si>
  <si>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</si>
  <si>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</si>
  <si>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</si>
  <si>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</si>
  <si>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</si>
  <si>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</si>
  <si>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</si>
  <si>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</si>
  <si>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</si>
  <si>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</si>
  <si>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</si>
  <si>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</si>
  <si>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</si>
  <si>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</si>
  <si>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</si>
  <si>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</si>
  <si>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</si>
  <si>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</si>
  <si>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</si>
  <si>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</si>
  <si>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</si>
  <si>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</si>
  <si>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</si>
  <si>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</si>
  <si>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</si>
  <si>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</si>
  <si>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</si>
  <si>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</si>
  <si>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</si>
  <si>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</si>
  <si>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</si>
  <si>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</si>
  <si>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</si>
  <si>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</si>
  <si>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</si>
  <si>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</si>
  <si>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</si>
  <si>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</si>
  <si>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</si>
  <si>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</si>
  <si>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</si>
  <si>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</si>
  <si>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</si>
  <si>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</si>
  <si>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</si>
  <si>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</si>
  <si>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</si>
  <si>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</si>
  <si>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</si>
  <si>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</si>
  <si>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</si>
  <si>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</si>
  <si>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</si>
  <si>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</si>
  <si>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</si>
  <si>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</si>
  <si>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</si>
  <si>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</si>
  <si>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</si>
  <si>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</si>
  <si>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</si>
  <si>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</si>
  <si>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</si>
  <si>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</si>
  <si>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</si>
  <si>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</si>
  <si>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</si>
  <si>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</si>
  <si>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</si>
  <si>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</si>
  <si>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</si>
  <si>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</si>
  <si>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</si>
  <si>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</si>
  <si>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</si>
  <si>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</si>
  <si>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</si>
  <si>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</si>
  <si>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</si>
  <si>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</si>
  <si>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</si>
  <si>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</si>
  <si>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</si>
  <si>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</si>
  <si>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</si>
  <si>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</si>
  <si>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</si>
  <si>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</si>
  <si>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</si>
  <si>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</si>
  <si>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</si>
  <si>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</si>
  <si>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</si>
  <si>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</si>
  <si>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</si>
  <si>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</si>
  <si>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</si>
  <si>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</si>
  <si>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</si>
  <si>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</si>
  <si>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</si>
  <si>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</si>
  <si>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</si>
  <si>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</si>
  <si>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</si>
  <si>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</si>
  <si>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</si>
  <si>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</si>
  <si>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</si>
  <si>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</si>
  <si>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</si>
  <si>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</si>
  <si>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</si>
  <si>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</si>
  <si>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</si>
  <si>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</si>
  <si>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</si>
  <si>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</si>
  <si>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</si>
  <si>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</si>
  <si>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</si>
  <si>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</si>
  <si>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</si>
  <si>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</si>
  <si>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</si>
  <si>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</si>
  <si>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</si>
  <si>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</si>
  <si>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</si>
  <si>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</si>
  <si>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</si>
  <si>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</si>
  <si>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</si>
  <si>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</si>
  <si>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</si>
  <si>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</si>
  <si>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</si>
  <si>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</si>
  <si>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</si>
  <si>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</si>
  <si>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</si>
  <si>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</si>
  <si>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</si>
  <si>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</si>
  <si>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</si>
  <si>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</si>
  <si>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</si>
  <si>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</si>
  <si>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</si>
  <si>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</si>
  <si>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</si>
  <si>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</si>
  <si>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</si>
  <si>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</si>
  <si>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</si>
  <si>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</si>
  <si>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</si>
  <si>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</si>
  <si>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</si>
  <si>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</si>
  <si>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</si>
  <si>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</si>
  <si>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</si>
  <si>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</si>
  <si>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</si>
  <si>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</si>
  <si>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</si>
  <si>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</si>
  <si>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</si>
  <si>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</si>
  <si>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</si>
  <si>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</si>
  <si>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</si>
  <si>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</si>
  <si>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</si>
  <si>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</si>
  <si>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</si>
  <si>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</si>
  <si>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</si>
  <si>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</si>
  <si>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</si>
  <si>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</si>
  <si>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</si>
  <si>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</si>
  <si>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</si>
  <si>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</si>
  <si>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</si>
  <si>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</si>
  <si>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</si>
  <si>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</si>
  <si>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</si>
  <si>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</si>
  <si>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</si>
  <si>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</si>
  <si>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</si>
  <si>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</si>
  <si>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</si>
  <si>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</si>
  <si>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</si>
  <si>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</si>
  <si>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</si>
  <si>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</si>
  <si>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</si>
  <si>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</si>
  <si>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</si>
  <si>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</si>
  <si>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</si>
  <si>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</si>
  <si>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</si>
  <si>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</si>
  <si>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</si>
  <si>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</si>
  <si>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</si>
  <si>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</si>
  <si>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</si>
  <si>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</si>
  <si>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</si>
  <si>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</si>
  <si>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</si>
  <si>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</si>
  <si>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</si>
  <si>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</si>
  <si>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</si>
  <si>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</si>
  <si>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</si>
  <si>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</si>
  <si>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</si>
  <si>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</si>
  <si>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</si>
  <si>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</si>
  <si>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</si>
  <si>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</si>
  <si>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</si>
  <si>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</si>
  <si>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</si>
  <si>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</si>
  <si>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</si>
  <si>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</si>
  <si>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</si>
  <si>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</si>
  <si>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</si>
  <si>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</si>
  <si>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</si>
  <si>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</si>
  <si>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</si>
  <si>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</si>
  <si>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</si>
  <si>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</si>
  <si>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</si>
  <si>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</si>
  <si>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</si>
  <si>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</si>
  <si>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</si>
  <si>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</si>
  <si>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</si>
  <si>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</si>
  <si>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</si>
  <si>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</si>
  <si>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</si>
  <si>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</si>
  <si>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</si>
  <si>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</si>
  <si>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</si>
  <si>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</si>
  <si>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</si>
  <si>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</si>
  <si>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</si>
  <si>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</si>
  <si>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</si>
  <si>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</si>
  <si>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</si>
  <si>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</si>
  <si>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</si>
  <si>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</si>
  <si>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</si>
  <si>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</si>
  <si>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</si>
  <si>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</si>
  <si>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</si>
  <si>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</si>
  <si>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</si>
  <si>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</si>
  <si>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</si>
  <si>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</si>
  <si>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</si>
  <si>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</si>
  <si>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</si>
  <si>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</si>
  <si>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</si>
  <si>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</si>
  <si>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</si>
  <si>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</si>
  <si>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</si>
  <si>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</si>
  <si>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</si>
  <si>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</si>
  <si>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</si>
  <si>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</si>
  <si>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</si>
  <si>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</si>
  <si>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</si>
  <si>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</si>
  <si>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</si>
  <si>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</si>
  <si>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</si>
  <si>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</si>
  <si>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</si>
  <si>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</si>
  <si>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</si>
  <si>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</si>
  <si>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</si>
  <si>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</si>
  <si>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</si>
  <si>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</si>
  <si>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</si>
  <si>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</si>
  <si>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</si>
  <si>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</si>
  <si>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</si>
  <si>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</si>
  <si>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</si>
  <si>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</si>
  <si>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</si>
  <si>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</si>
  <si>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</si>
  <si>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</si>
  <si>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</si>
  <si>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</si>
  <si>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</si>
  <si>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</si>
  <si>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</si>
  <si>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</si>
  <si>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</si>
  <si>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</si>
  <si>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</si>
  <si>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</si>
  <si>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</si>
  <si>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</si>
  <si>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</si>
  <si>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</si>
  <si>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</si>
  <si>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</si>
  <si>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</si>
  <si>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</si>
  <si>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</si>
  <si>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</si>
  <si>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</si>
  <si>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</si>
  <si>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</si>
  <si>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</si>
  <si>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</si>
  <si>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</si>
  <si>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</si>
  <si>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</si>
  <si>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</si>
  <si>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</si>
  <si>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</si>
  <si>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</si>
  <si>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</si>
  <si>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</si>
  <si>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</si>
  <si>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</si>
  <si>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</si>
  <si>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</si>
  <si>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</si>
  <si>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</si>
  <si>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</si>
  <si>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</si>
  <si>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</si>
  <si>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</si>
  <si>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</si>
  <si>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</si>
  <si>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</si>
  <si>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</si>
  <si>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</si>
  <si>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</si>
  <si>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</si>
  <si>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</si>
  <si>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</si>
  <si>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</si>
  <si>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</si>
  <si>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</si>
  <si>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</si>
  <si>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</si>
  <si>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</si>
  <si>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</si>
  <si>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</si>
  <si>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</si>
  <si>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</si>
  <si>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</si>
  <si>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</si>
  <si>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</si>
  <si>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</si>
  <si>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</si>
  <si>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</si>
  <si>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</si>
  <si>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</si>
  <si>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</si>
  <si>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</si>
  <si>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</si>
  <si>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</si>
  <si>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</si>
  <si>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</si>
  <si>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</si>
  <si>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</si>
  <si>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</si>
  <si>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</si>
  <si>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</si>
  <si>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</si>
  <si>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</si>
  <si>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</si>
  <si>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</si>
  <si>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</si>
  <si>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</si>
  <si>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</si>
  <si>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</si>
  <si>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</si>
  <si>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</si>
  <si>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</si>
  <si>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</si>
  <si>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</si>
  <si>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</si>
  <si>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</si>
  <si>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</si>
  <si>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</si>
  <si>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</si>
  <si>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</si>
  <si>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</si>
  <si>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</si>
  <si>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</si>
  <si>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</si>
  <si>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</si>
  <si>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</si>
  <si>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</si>
  <si>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</si>
  <si>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</si>
  <si>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</si>
  <si>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</si>
  <si>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</si>
  <si>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</si>
  <si>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</si>
  <si>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</si>
  <si>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</si>
  <si>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</si>
  <si>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</si>
  <si>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</si>
  <si>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</si>
  <si>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</si>
  <si>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</si>
  <si>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</si>
  <si>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</si>
  <si>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</si>
  <si>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</si>
  <si>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</si>
  <si>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</si>
  <si>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</si>
  <si>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</si>
  <si>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</si>
  <si>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</si>
  <si>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</si>
  <si>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</si>
  <si>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</si>
  <si>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</si>
  <si>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</si>
  <si>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</si>
  <si>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</si>
  <si>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</si>
  <si>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</si>
  <si>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</si>
  <si>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</si>
  <si>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</si>
  <si>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</si>
  <si>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</si>
  <si>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</si>
  <si>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</si>
  <si>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</si>
  <si>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</si>
  <si>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</si>
  <si>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</si>
  <si>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</si>
  <si>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</si>
  <si>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</si>
  <si>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</si>
  <si>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</si>
  <si>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</si>
  <si>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</si>
  <si>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</si>
  <si>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</si>
  <si>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</si>
  <si>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</si>
  <si>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</si>
  <si>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</si>
  <si>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</si>
  <si>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</si>
  <si>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</si>
  <si>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</si>
  <si>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</si>
  <si>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</si>
  <si>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</si>
  <si>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</si>
  <si>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</si>
  <si>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</si>
  <si>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</si>
  <si>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</si>
  <si>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</si>
  <si>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</si>
  <si>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</si>
  <si>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</si>
  <si>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</si>
  <si>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</si>
  <si>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</si>
  <si>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</si>
  <si>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</si>
  <si>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</si>
  <si>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</si>
  <si>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</si>
  <si>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</si>
  <si>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</si>
  <si>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</si>
  <si>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</si>
  <si>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</si>
  <si>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</si>
  <si>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</si>
  <si>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</si>
  <si>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</si>
  <si>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</si>
  <si>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</si>
  <si>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</si>
  <si>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</si>
  <si>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</si>
  <si>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</si>
  <si>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</si>
  <si>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</si>
  <si>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</si>
  <si>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</si>
  <si>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</si>
  <si>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</si>
  <si>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</si>
  <si>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</si>
  <si>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</si>
  <si>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</si>
  <si>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</si>
  <si>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</si>
  <si>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</si>
  <si>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</si>
  <si>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</si>
  <si>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</si>
  <si>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</si>
  <si>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</si>
  <si>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</si>
  <si>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</si>
  <si>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</si>
  <si>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</si>
  <si>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</si>
  <si>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</si>
  <si>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</si>
  <si>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</si>
  <si>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</si>
  <si>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</si>
  <si>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</si>
  <si>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</si>
  <si>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</si>
  <si>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</si>
  <si>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</si>
  <si>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</si>
  <si>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</si>
  <si>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</si>
  <si>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</si>
  <si>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</si>
  <si>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</si>
  <si>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</si>
  <si>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</si>
  <si>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</si>
  <si>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</si>
  <si>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</si>
  <si>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</si>
  <si>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</si>
  <si>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</si>
  <si>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</si>
  <si>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</si>
  <si>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</si>
  <si>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</si>
  <si>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</si>
  <si>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</si>
  <si>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</si>
  <si>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</si>
  <si>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</si>
  <si>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</si>
  <si>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</si>
  <si>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</si>
  <si>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</si>
  <si>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</si>
  <si>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</si>
  <si>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</si>
  <si>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</si>
  <si>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</si>
  <si>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</si>
  <si>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</si>
  <si>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</si>
  <si>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</si>
  <si>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</si>
  <si>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</si>
  <si>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</si>
  <si>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</si>
  <si>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</si>
  <si>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</si>
  <si>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</si>
  <si>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</si>
  <si>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</si>
  <si>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</si>
  <si>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</si>
  <si>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</si>
  <si>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</si>
  <si>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</si>
  <si>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</si>
  <si>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</si>
  <si>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</si>
  <si>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</si>
  <si>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</si>
  <si>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</si>
  <si>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</si>
  <si>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</si>
  <si>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</si>
  <si>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</si>
  <si>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</si>
  <si>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</si>
  <si>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</si>
  <si>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</si>
  <si>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</si>
  <si>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</si>
  <si>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</si>
  <si>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</si>
  <si>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</si>
  <si>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</si>
  <si>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</si>
  <si>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</si>
  <si>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</si>
  <si>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</si>
  <si>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</si>
  <si>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</si>
  <si>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</si>
  <si>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</si>
  <si>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</si>
  <si>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</si>
  <si>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</si>
  <si>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</si>
  <si>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</si>
  <si>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</si>
  <si>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</si>
  <si>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</si>
  <si>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</si>
  <si>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</si>
  <si>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</si>
  <si>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</si>
  <si>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</si>
  <si>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</si>
  <si>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</si>
  <si>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</si>
  <si>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</si>
  <si>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</si>
  <si>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</si>
  <si>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</si>
  <si>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</si>
  <si>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</si>
  <si>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</si>
  <si>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</si>
  <si>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</si>
  <si>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</si>
  <si>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</si>
  <si>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</si>
  <si>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</si>
  <si>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</si>
  <si>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</si>
  <si>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</si>
  <si>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</si>
  <si>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</si>
  <si>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</si>
  <si>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</si>
  <si>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</si>
  <si>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</si>
  <si>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</si>
  <si>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</si>
  <si>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</si>
  <si>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</si>
  <si>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</si>
  <si>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</si>
  <si>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</si>
  <si>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</si>
  <si>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</si>
  <si>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</si>
  <si>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</si>
  <si>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</si>
  <si>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</si>
  <si>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</si>
  <si>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</si>
  <si>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</si>
  <si>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</si>
  <si>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</si>
  <si>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</si>
  <si>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</si>
  <si>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</si>
  <si>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</si>
  <si>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</si>
  <si>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</si>
  <si>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</si>
  <si>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</si>
  <si>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</si>
  <si>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</si>
  <si>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</si>
  <si>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</si>
  <si>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</si>
  <si>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</si>
  <si>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</si>
  <si>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</si>
  <si>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</si>
  <si>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</si>
  <si>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</si>
  <si>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</si>
  <si>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</si>
  <si>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</si>
  <si>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</si>
  <si>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</si>
  <si>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</si>
  <si>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</si>
  <si>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</si>
  <si>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</si>
  <si>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</si>
  <si>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</si>
  <si>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</si>
  <si>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</si>
  <si>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</si>
  <si>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</si>
  <si>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</si>
  <si>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</si>
  <si>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</si>
  <si>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</si>
  <si>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</si>
  <si>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</si>
  <si>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</si>
  <si>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</si>
  <si>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</si>
  <si>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</si>
  <si>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</si>
  <si>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</si>
  <si>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</si>
  <si>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</si>
  <si>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</si>
  <si>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</si>
  <si>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</si>
  <si>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</si>
  <si>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</si>
  <si>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</si>
  <si>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</si>
  <si>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</si>
  <si>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</si>
  <si>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</si>
  <si>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</si>
  <si>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</si>
  <si>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</si>
  <si>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</si>
  <si>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</si>
  <si>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</si>
  <si>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</si>
  <si>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</si>
  <si>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</si>
  <si>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</si>
  <si>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</si>
  <si>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</si>
  <si>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</si>
  <si>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</si>
  <si>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</si>
  <si>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</si>
  <si>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</si>
  <si>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</si>
  <si>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</si>
  <si>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</si>
  <si>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</si>
  <si>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</si>
  <si>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</si>
  <si>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</si>
  <si>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</si>
  <si>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</si>
  <si>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</si>
  <si>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</si>
  <si>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</si>
  <si>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</si>
  <si>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</si>
  <si>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</si>
  <si>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</si>
  <si>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</si>
  <si>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</si>
  <si>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</si>
  <si>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</si>
  <si>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</si>
  <si>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</si>
  <si>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</si>
  <si>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</si>
  <si>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</si>
  <si>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</si>
  <si>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</si>
  <si>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</si>
  <si>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</si>
  <si>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</si>
  <si>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</si>
  <si>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</si>
  <si>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</si>
  <si>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</si>
  <si>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</si>
  <si>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</si>
  <si>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</si>
  <si>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</si>
  <si>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</si>
  <si>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</si>
  <si>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</si>
  <si>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</si>
  <si>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</si>
  <si>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</si>
  <si>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</si>
  <si>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</si>
  <si>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</si>
  <si>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</si>
  <si>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</si>
  <si>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</si>
  <si>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</si>
  <si>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</si>
  <si>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</si>
  <si>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</si>
  <si>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</si>
  <si>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</si>
  <si>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</si>
  <si>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</si>
  <si>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</si>
  <si>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</si>
  <si>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</si>
  <si>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</si>
  <si>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</si>
  <si>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</si>
  <si>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</si>
  <si>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</si>
  <si>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</si>
  <si>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</si>
  <si>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</si>
  <si>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</si>
  <si>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</si>
  <si>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</si>
  <si>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</si>
  <si>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</si>
  <si>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</si>
  <si>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</si>
  <si>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</si>
  <si>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</si>
  <si>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</si>
  <si>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</si>
  <si>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</si>
  <si>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</si>
  <si>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</si>
  <si>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</si>
  <si>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</si>
  <si>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</si>
  <si>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</si>
  <si>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</si>
  <si>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</si>
  <si>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</si>
  <si>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</si>
  <si>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</si>
  <si>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</si>
  <si>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</si>
  <si>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</si>
  <si>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</si>
  <si>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</si>
  <si>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</si>
  <si>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</si>
  <si>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</si>
  <si>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</si>
  <si>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</si>
  <si>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</si>
  <si>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</si>
  <si>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</si>
  <si>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</si>
  <si>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</si>
  <si>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</si>
  <si>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</si>
  <si>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</si>
  <si>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</si>
  <si>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</si>
  <si>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</si>
  <si>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</si>
  <si>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</si>
  <si>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</si>
  <si>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</si>
  <si>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</si>
  <si>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</si>
  <si>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</si>
  <si>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</si>
  <si>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</si>
  <si>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</si>
  <si>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</si>
  <si>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</si>
  <si>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</si>
  <si>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</si>
  <si>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</si>
  <si>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</si>
  <si>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</si>
  <si>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</si>
  <si>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</si>
  <si>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</si>
  <si>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</si>
  <si>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</si>
  <si>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</si>
  <si>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</si>
  <si>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</si>
  <si>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</si>
  <si>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</si>
  <si>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</si>
  <si>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</si>
  <si>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</si>
  <si>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</si>
  <si>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</si>
  <si>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</si>
  <si>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</si>
  <si>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</si>
  <si>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</si>
  <si>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</si>
  <si>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</si>
  <si>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</si>
  <si>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</si>
  <si>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</si>
  <si>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</si>
  <si>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</si>
  <si>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</si>
  <si>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</si>
  <si>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</si>
  <si>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</si>
  <si>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</si>
  <si>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</si>
  <si>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</si>
  <si>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</si>
  <si>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</si>
  <si>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</si>
  <si>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</si>
  <si>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</si>
  <si>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</si>
  <si>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</si>
  <si>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</si>
  <si>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</si>
  <si>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</si>
  <si>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</si>
  <si>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</si>
  <si>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</si>
  <si>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</si>
  <si>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</si>
  <si>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</si>
  <si>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</si>
  <si>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</si>
  <si>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</si>
  <si>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</si>
  <si>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</si>
  <si>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</si>
  <si>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</si>
  <si>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</si>
  <si>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</si>
  <si>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</si>
  <si>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</si>
  <si>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</si>
  <si>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</si>
  <si>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</si>
  <si>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</si>
  <si>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</si>
  <si>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</si>
  <si>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</si>
  <si>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</si>
  <si>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</si>
  <si>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</si>
  <si>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</si>
  <si>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</si>
  <si>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</si>
  <si>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</si>
  <si>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</si>
  <si>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</si>
  <si>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</si>
  <si>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</si>
  <si>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</si>
  <si>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</si>
  <si>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</si>
  <si>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</si>
  <si>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</si>
  <si>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</si>
  <si>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</si>
  <si>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</si>
  <si>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</si>
  <si>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</si>
  <si>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</si>
  <si>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</si>
  <si>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</si>
  <si>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</si>
  <si>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</si>
  <si>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</si>
  <si>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</si>
  <si>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</si>
  <si>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</si>
  <si>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</si>
  <si>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</si>
  <si>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</si>
  <si>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</si>
  <si>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</si>
  <si>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</si>
  <si>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</si>
  <si>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</si>
  <si>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</si>
  <si>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</si>
  <si>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</si>
  <si>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</si>
  <si>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</si>
  <si>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</si>
  <si>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</si>
  <si>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</si>
  <si>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</si>
  <si>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</si>
  <si>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</si>
  <si>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</si>
  <si>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</si>
  <si>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</si>
  <si>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</si>
  <si>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</si>
  <si>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</si>
  <si>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</si>
  <si>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</si>
  <si>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</si>
  <si>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</si>
  <si>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</si>
  <si>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</si>
  <si>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</si>
  <si>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</si>
  <si>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</si>
  <si>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</si>
  <si>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</si>
  <si>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</si>
  <si>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</si>
  <si>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</si>
  <si>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</si>
  <si>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</si>
  <si>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</si>
  <si>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</si>
  <si>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</si>
  <si>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</si>
  <si>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</si>
  <si>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</si>
  <si>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</si>
  <si>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</si>
  <si>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</si>
  <si>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</si>
  <si>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</si>
  <si>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</si>
  <si>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</si>
  <si>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</si>
  <si>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</si>
  <si>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</si>
  <si>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</si>
  <si>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</si>
  <si>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</si>
  <si>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</si>
  <si>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</si>
  <si>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</si>
  <si>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</si>
  <si>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</si>
  <si>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</si>
  <si>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</si>
  <si>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</si>
  <si>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</si>
  <si>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</si>
  <si>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</si>
  <si>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</si>
  <si>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</si>
  <si>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</si>
  <si>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</si>
  <si>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</si>
  <si>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</si>
  <si>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</si>
  <si>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</si>
  <si>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</si>
  <si>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</si>
  <si>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</si>
  <si>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</si>
  <si>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</si>
  <si>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</si>
  <si>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</si>
  <si>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</si>
  <si>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</si>
  <si>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</si>
  <si>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</si>
  <si>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</si>
  <si>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</si>
  <si>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</si>
  <si>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</si>
  <si>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</si>
  <si>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</si>
  <si>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</si>
  <si>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</si>
  <si>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</si>
  <si>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</si>
  <si>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</si>
  <si>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</si>
  <si>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</si>
  <si>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</si>
  <si>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</si>
  <si>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</si>
  <si>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</si>
  <si>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</si>
  <si>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</si>
  <si>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</si>
  <si>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</si>
  <si>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</si>
  <si>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</si>
  <si>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Kopic Jakub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</si>
  <si>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</si>
  <si>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</si>
  <si>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</si>
  <si>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</si>
  <si>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</si>
  <si>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Dušek Sam</t>
  </si>
  <si>
    <t>Hendrych Rostislav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</si>
  <si>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</si>
  <si>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</si>
  <si>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</si>
  <si>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</si>
  <si>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</si>
  <si>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202:00</t>
  </si>
  <si>
    <t>29:00</t>
  </si>
  <si>
    <t>Reischl Jan</t>
  </si>
  <si>
    <t>Nováková Adéla</t>
  </si>
  <si>
    <t>8:30</t>
  </si>
  <si>
    <t>Hanibal Filip</t>
  </si>
  <si>
    <t>154:00</t>
  </si>
  <si>
    <t>13:30</t>
  </si>
  <si>
    <t>27:00</t>
  </si>
  <si>
    <t>216:30</t>
  </si>
  <si>
    <t>32:00</t>
  </si>
  <si>
    <t>186:30</t>
  </si>
  <si>
    <t>7:00</t>
  </si>
  <si>
    <t>Kalina Filip</t>
  </si>
  <si>
    <t>113:00</t>
  </si>
  <si>
    <t>55:30</t>
  </si>
  <si>
    <t>Lažek Jaroslav</t>
  </si>
  <si>
    <t>29:30</t>
  </si>
  <si>
    <t>Židek Petr</t>
  </si>
  <si>
    <t>Nedvěd Dominik</t>
  </si>
  <si>
    <t>Gorol Patrik</t>
  </si>
  <si>
    <t>31:00</t>
  </si>
  <si>
    <t>Weindling Josef</t>
  </si>
  <si>
    <t>9:00</t>
  </si>
  <si>
    <t>Dragoun Alfréd</t>
  </si>
  <si>
    <t>6:00</t>
  </si>
  <si>
    <t>12 min 54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</si>
  <si>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</si>
  <si>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</si>
  <si>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</si>
  <si>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</si>
  <si>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11:00 - 23:00 (Kurýr)</t>
  </si>
  <si>
    <t>17:00 - 1:00 (Kurýr)</t>
  </si>
  <si>
    <t>11:00 - 0:00 (Kurýr)</t>
  </si>
  <si>
    <t>17:00 - 1:00 (Instor)</t>
  </si>
  <si>
    <t>17:00 - 3:00 (Instor)</t>
  </si>
  <si>
    <t>17:00 - 0:00 (Instor)</t>
  </si>
  <si>
    <t>11:00 - 17:00 (Kurýr)</t>
  </si>
  <si>
    <t>10:00 - 0:00 (Instor)</t>
  </si>
  <si>
    <t>15:00 - 0:00 (Kurýr)</t>
  </si>
  <si>
    <t>11:00 - 1:00 (Kurýr)</t>
  </si>
  <si>
    <t>Petr Židek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</si>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</sst>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2" fillId="9" fontId="2" numFmtId="49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Alignment="1" applyBorder="1" applyFont="1" applyNumberFormat="1">
      <alignment readingOrder="0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46205.0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1941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45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2001.648</v>
      </c>
      <c r="B13" s="51" t="s">
        <v>1956</v>
      </c>
      <c r="C13" s="52" t="s">
        <v>45</v>
      </c>
      <c r="D13" s="56" t="s">
        <v>46</v>
      </c>
      <c r="E13" s="53"/>
      <c r="F13" s="54" t="str">
        <f t="shared" si="1"/>
        <v>08:00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1873.2</v>
      </c>
      <c r="B14" s="51" t="s">
        <v>1957</v>
      </c>
      <c r="C14" s="52" t="s">
        <v>45</v>
      </c>
      <c r="D14" s="56" t="s">
        <v>68</v>
      </c>
      <c r="E14" s="53"/>
      <c r="F14" s="54" t="str">
        <f t="shared" si="1"/>
        <v>07:00</v>
      </c>
      <c r="G14" s="57"/>
      <c r="I14" s="21"/>
      <c r="J14" s="36"/>
      <c r="K14" s="21"/>
      <c r="L14" s="58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8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9"/>
      <c r="F16" s="54" t="str">
        <f t="shared" si="1"/>
        <v>0:00</v>
      </c>
      <c r="I16" s="21"/>
      <c r="J16" s="36"/>
      <c r="K16" s="21"/>
      <c r="L16" s="58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60" t="s">
        <v>33</v>
      </c>
      <c r="M17" s="61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9"/>
      <c r="F18" s="54" t="str">
        <f t="shared" si="1"/>
        <v>0:00</v>
      </c>
      <c r="G18" s="55" t="s">
        <v>16</v>
      </c>
      <c r="H18" s="28"/>
      <c r="I18" s="19"/>
      <c r="J18" s="62"/>
      <c r="M18" s="63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9"/>
      <c r="F19" s="54" t="str">
        <f t="shared" si="1"/>
        <v>0:00</v>
      </c>
      <c r="G19" s="46"/>
      <c r="I19" s="21"/>
      <c r="M19" s="63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4"/>
      <c r="D20" s="65"/>
      <c r="E20" s="59"/>
      <c r="F20" s="54" t="str">
        <f t="shared" si="1"/>
        <v>0:00</v>
      </c>
      <c r="I20" s="21"/>
      <c r="M20" s="63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56"/>
      <c r="D21" s="67"/>
      <c r="E21" s="68"/>
      <c r="F21" s="69" t="str">
        <f t="shared" si="1"/>
        <v>0:00</v>
      </c>
      <c r="G21" s="28"/>
      <c r="H21" s="28"/>
      <c r="I21" s="19"/>
      <c r="M21" s="63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2001.648</v>
      </c>
      <c r="B25" s="51" t="s">
        <v>1962</v>
      </c>
      <c r="C25" s="56" t="s">
        <v>45</v>
      </c>
      <c r="D25" s="56" t="s">
        <v>46</v>
      </c>
      <c r="E25" s="5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4">
        <f>COUNTIF(RestiaCSV!E:E, B25)</f>
        <v>0</v>
      </c>
      <c r="H25" s="85" t="b">
        <v>0</v>
      </c>
      <c r="I25" s="86">
        <f>IF(H25,G25*40,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3502.884</v>
      </c>
      <c r="B26" s="51" t="s">
        <v>1963</v>
      </c>
      <c r="C26" s="56" t="s">
        <v>63</v>
      </c>
      <c r="D26" s="56" t="s">
        <v>46</v>
      </c>
      <c r="E26" s="88"/>
      <c r="F26" s="54" t="str">
        <f t="shared" si="2"/>
        <v>14:00</v>
      </c>
      <c r="G26" s="84">
        <f>COUNTIF(RestiaCSV!E:E, B26)</f>
        <v>0</v>
      </c>
      <c r="H26" s="85" t="b">
        <v>0</v>
      </c>
      <c r="I26" s="86">
        <f t="shared" ref="I26:I31" si="3">IF(H26,G26*45, 0)</f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6"/>
      <c r="D27" s="5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56"/>
      <c r="D28" s="5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5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"Jurkovič Martin,Hanibal Filip,Novák Jakub,Nedvěd Dominik,Lažek Jaroslav,Vychivskyi Volodymyr,Reischl Jan,Kalina Filip,Dušek Sam,Richterová Monika,Serin David,Hendrych Rostislav,Weindling Josef,Dragoun Alfréd"</formula1>
    </dataValidation>
    <dataValidation type="list" allowBlank="1" sqref="G11 G19">
      <formula1>"Kinkorová Petra,Kopic Jakub,Yarushynskyi Vladyslav"</formula1>
    </dataValidation>
    <dataValidation type="list" allowBlank="1" sqref="B12:B21">
      <formula1>"Nedbal Michal,Ahurieva Viktoriia,Šebesta Tomáš,Veselý Ondřej,Coufal Jakub,Kinkorová Petra,Nováková Adéla,Hegedüs Erik,Bubník Martin,Yarushynskyi Vladyslav,Židek Petr,Gorol Patrik,Kopic Jakub"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46174.0</v>
      </c>
      <c r="D1" s="114" t="s">
        <v>1965</v>
      </c>
      <c r="E1" s="115">
        <v>46203.0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0.24096814014552873</v>
      </c>
      <c r="H2" s="21"/>
      <c r="I2" s="119">
        <v>1683650.259999999</v>
      </c>
      <c r="K2" s="21"/>
      <c r="L2" s="120" t="s">
        <v>1941</v>
      </c>
      <c r="M2" s="121">
        <v>567707.7600000004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7"/>
      <c r="D3" s="124" t="str">
        <f>CHOOSE(WEEKDAY(E1), "Neděle", "Pondělí", "Úterý", "Středa", "Čtvrtek", "Pátek", "Sobota")</f>
        <v>Úterý</v>
      </c>
      <c r="E3" s="11"/>
      <c r="H3" s="21"/>
      <c r="K3" s="21"/>
      <c r="L3" s="125" t="s">
        <v>1942</v>
      </c>
      <c r="M3" s="126">
        <v>195125.0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360605.42000000004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291416.8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23808.0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521.5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435</v>
      </c>
      <c r="G7" s="13"/>
      <c r="H7" s="13"/>
      <c r="I7" s="13"/>
      <c r="J7" s="134"/>
      <c r="K7" s="134"/>
      <c r="L7" s="135" t="s">
        <v>1947</v>
      </c>
      <c r="M7" s="136">
        <v>47354.77999999999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0.7200000008015195</v>
      </c>
      <c r="K9" s="11"/>
      <c r="L9" s="148" t="s">
        <v>23</v>
      </c>
      <c r="M9" s="126">
        <v>117741.0</v>
      </c>
      <c r="N9" s="122"/>
    </row>
    <row r="10" ht="18.75" customHeight="1">
      <c r="A10" s="149"/>
      <c r="B10" s="150" t="s">
        <v>1885</v>
      </c>
      <c r="C10" s="151">
        <v>22.0</v>
      </c>
      <c r="D10" s="152" t="s">
        <v>1969</v>
      </c>
      <c r="E10" s="153" t="s">
        <v>1970</v>
      </c>
      <c r="F10" s="150" t="s">
        <v>1971</v>
      </c>
      <c r="G10" s="151">
        <v>4.0</v>
      </c>
      <c r="H10" s="151" t="s">
        <v>42</v>
      </c>
      <c r="I10" s="154">
        <v>13.0</v>
      </c>
      <c r="J10" s="36"/>
      <c r="K10" s="21"/>
      <c r="L10" s="148" t="s">
        <v>24</v>
      </c>
      <c r="M10" s="126">
        <v>300.0</v>
      </c>
      <c r="N10" s="122"/>
    </row>
    <row r="11" ht="18.75" customHeight="1">
      <c r="A11" s="149"/>
      <c r="B11" s="150" t="s">
        <v>1972</v>
      </c>
      <c r="C11" s="151">
        <v>1.0</v>
      </c>
      <c r="D11" s="155" t="s">
        <v>1973</v>
      </c>
      <c r="E11" s="153" t="s">
        <v>49</v>
      </c>
      <c r="F11" s="150" t="s">
        <v>1974</v>
      </c>
      <c r="G11" s="151">
        <v>14.0</v>
      </c>
      <c r="H11" s="151" t="s">
        <v>1975</v>
      </c>
      <c r="I11" s="154">
        <v>128.0</v>
      </c>
      <c r="J11" s="36"/>
      <c r="K11" s="21"/>
      <c r="L11" s="156" t="s">
        <v>25</v>
      </c>
      <c r="M11" s="157">
        <v>107459.0</v>
      </c>
      <c r="N11" s="122"/>
    </row>
    <row r="12" ht="18.75" customHeight="1">
      <c r="A12" s="149"/>
      <c r="B12" s="150" t="s">
        <v>1312</v>
      </c>
      <c r="C12" s="151">
        <v>2.0</v>
      </c>
      <c r="D12" s="155" t="s">
        <v>1976</v>
      </c>
      <c r="E12" s="153" t="s">
        <v>50</v>
      </c>
      <c r="F12" s="150" t="s">
        <v>1963</v>
      </c>
      <c r="G12" s="151">
        <v>3.0</v>
      </c>
      <c r="H12" s="151" t="s">
        <v>1977</v>
      </c>
      <c r="I12" s="154">
        <v>20.0</v>
      </c>
      <c r="J12" s="36"/>
      <c r="K12" s="21"/>
      <c r="L12" s="158" t="s">
        <v>1955</v>
      </c>
      <c r="M12" s="19"/>
      <c r="N12" s="117"/>
    </row>
    <row r="13" ht="18.75" customHeight="1">
      <c r="A13" s="149"/>
      <c r="B13" s="150" t="s">
        <v>1957</v>
      </c>
      <c r="C13" s="151">
        <v>21.0</v>
      </c>
      <c r="D13" s="155" t="s">
        <v>1978</v>
      </c>
      <c r="E13" s="153" t="s">
        <v>50</v>
      </c>
      <c r="F13" s="150" t="s">
        <v>1962</v>
      </c>
      <c r="G13" s="151">
        <v>4.0</v>
      </c>
      <c r="H13" s="151" t="s">
        <v>1979</v>
      </c>
      <c r="I13" s="154">
        <v>37.0</v>
      </c>
      <c r="J13" s="36"/>
      <c r="K13" s="21"/>
      <c r="L13" s="148" t="s">
        <v>29</v>
      </c>
      <c r="M13" s="126">
        <v>7503.0</v>
      </c>
      <c r="N13" s="122"/>
    </row>
    <row r="14" ht="18.75" customHeight="1">
      <c r="A14" s="149"/>
      <c r="B14" s="150" t="s">
        <v>1956</v>
      </c>
      <c r="C14" s="151">
        <v>18.0</v>
      </c>
      <c r="D14" s="151" t="s">
        <v>1980</v>
      </c>
      <c r="E14" s="153" t="s">
        <v>1981</v>
      </c>
      <c r="F14" s="150" t="s">
        <v>1982</v>
      </c>
      <c r="G14" s="151">
        <v>13.0</v>
      </c>
      <c r="H14" s="151" t="s">
        <v>1983</v>
      </c>
      <c r="I14" s="154">
        <v>110.0</v>
      </c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 t="s">
        <v>1924</v>
      </c>
      <c r="C15" s="151">
        <v>9.0</v>
      </c>
      <c r="D15" s="151" t="s">
        <v>1984</v>
      </c>
      <c r="E15" s="153" t="s">
        <v>1981</v>
      </c>
      <c r="F15" s="150" t="s">
        <v>1985</v>
      </c>
      <c r="G15" s="151">
        <v>4.0</v>
      </c>
      <c r="H15" s="151" t="s">
        <v>1986</v>
      </c>
      <c r="I15" s="154">
        <v>31.0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1987</v>
      </c>
      <c r="C16" s="151">
        <v>1.0</v>
      </c>
      <c r="D16" s="151" t="s">
        <v>41</v>
      </c>
      <c r="E16" s="160"/>
      <c r="F16" s="150" t="s">
        <v>1988</v>
      </c>
      <c r="G16" s="151">
        <v>2.0</v>
      </c>
      <c r="H16" s="151" t="s">
        <v>42</v>
      </c>
      <c r="I16" s="154">
        <v>34.0</v>
      </c>
      <c r="J16" s="36"/>
      <c r="K16" s="21"/>
      <c r="L16" s="159" t="s">
        <v>32</v>
      </c>
      <c r="M16" s="126">
        <v>3885.0</v>
      </c>
      <c r="N16" s="122"/>
    </row>
    <row r="17" ht="18.75" customHeight="1">
      <c r="A17" s="149"/>
      <c r="B17" s="150" t="s">
        <v>1989</v>
      </c>
      <c r="C17" s="151">
        <v>4.0</v>
      </c>
      <c r="D17" s="151" t="s">
        <v>1990</v>
      </c>
      <c r="E17" s="160"/>
      <c r="F17" s="150" t="s">
        <v>1991</v>
      </c>
      <c r="G17" s="151">
        <v>1.0</v>
      </c>
      <c r="H17" s="151" t="s">
        <v>1992</v>
      </c>
      <c r="I17" s="154">
        <v>9.0</v>
      </c>
      <c r="J17" s="18"/>
      <c r="K17" s="19"/>
      <c r="L17" s="161" t="s">
        <v>33</v>
      </c>
      <c r="M17" s="162">
        <v>8100.0</v>
      </c>
      <c r="N17" s="122"/>
    </row>
    <row r="18" ht="18.75" customHeight="1">
      <c r="A18" s="149"/>
      <c r="B18" s="150"/>
      <c r="C18" s="151"/>
      <c r="D18" s="151"/>
      <c r="E18" s="160"/>
      <c r="F18" s="150" t="s">
        <v>1993</v>
      </c>
      <c r="G18" s="151">
        <v>1.0</v>
      </c>
      <c r="H18" s="151" t="s">
        <v>1994</v>
      </c>
      <c r="I18" s="154">
        <v>0.0</v>
      </c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 t="s">
        <v>1989</v>
      </c>
      <c r="G19" s="151">
        <v>1.0</v>
      </c>
      <c r="H19" s="151" t="s">
        <v>1973</v>
      </c>
      <c r="I19" s="154">
        <v>12.0</v>
      </c>
      <c r="J19" s="165" t="s">
        <v>34</v>
      </c>
      <c r="K19" s="166" t="s">
        <v>35</v>
      </c>
      <c r="L19" s="167" t="s">
        <v>1958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 t="s">
        <v>65</v>
      </c>
      <c r="G20" s="169">
        <v>2.0</v>
      </c>
      <c r="H20" s="151" t="s">
        <v>43</v>
      </c>
      <c r="I20" s="154">
        <v>10.0</v>
      </c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27.0</v>
      </c>
      <c r="K21" s="173">
        <v>18436.2</v>
      </c>
      <c r="L21" s="174">
        <v>94.0</v>
      </c>
      <c r="M21" s="175" t="s">
        <v>1995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1961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18.0</v>
      </c>
      <c r="K24" s="174">
        <v>4202.0</v>
      </c>
      <c r="L24" s="174">
        <v>675.0</v>
      </c>
      <c r="M24" s="179">
        <v>40.0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11.0</v>
      </c>
      <c r="K27" s="98"/>
      <c r="L27" s="185">
        <v>0.12805676893838552</v>
      </c>
      <c r="M27" s="186">
        <v>32.0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0.8719432310616145</v>
      </c>
      <c r="M30" s="190">
        <v>0.04593637973041469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1996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1997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1998</v>
      </c>
      <c r="C3" s="193"/>
      <c r="D3" s="1" t="s">
        <v>1999</v>
      </c>
      <c r="E3" s="1" t="s">
        <v>1999</v>
      </c>
      <c r="F3" s="1" t="s">
        <v>1999</v>
      </c>
      <c r="G3" s="1" t="s">
        <v>1998</v>
      </c>
      <c r="H3" s="193"/>
    </row>
    <row r="4">
      <c r="A4" s="1" t="s">
        <v>1962</v>
      </c>
      <c r="B4" s="1" t="s">
        <v>2000</v>
      </c>
      <c r="C4" s="193"/>
      <c r="D4" s="193"/>
      <c r="E4" s="1" t="s">
        <v>2001</v>
      </c>
      <c r="F4" s="193"/>
      <c r="G4" s="193"/>
      <c r="H4" s="193"/>
    </row>
    <row r="5">
      <c r="A5" s="1" t="s">
        <v>1982</v>
      </c>
      <c r="B5" s="1" t="s">
        <v>2001</v>
      </c>
      <c r="C5" s="193"/>
      <c r="D5" s="193"/>
      <c r="E5" s="193"/>
      <c r="F5" s="193"/>
      <c r="G5" s="193"/>
      <c r="H5" s="1" t="s">
        <v>2002</v>
      </c>
    </row>
    <row r="6">
      <c r="A6" s="1" t="s">
        <v>1956</v>
      </c>
      <c r="B6" s="193"/>
      <c r="C6" s="1" t="s">
        <v>1998</v>
      </c>
      <c r="D6" s="193"/>
      <c r="E6" s="1" t="s">
        <v>2003</v>
      </c>
      <c r="F6" s="193"/>
      <c r="G6" s="1" t="s">
        <v>2004</v>
      </c>
      <c r="H6" s="1" t="s">
        <v>2005</v>
      </c>
    </row>
    <row r="7">
      <c r="A7" s="1" t="s">
        <v>1971</v>
      </c>
      <c r="B7" s="193"/>
      <c r="C7" s="1" t="s">
        <v>2006</v>
      </c>
      <c r="D7" s="193"/>
      <c r="E7" s="193"/>
      <c r="F7" s="193"/>
      <c r="G7" s="193"/>
      <c r="H7" s="193"/>
    </row>
    <row r="8">
      <c r="A8" s="1" t="s">
        <v>1957</v>
      </c>
      <c r="B8" s="193"/>
      <c r="C8" s="1" t="s">
        <v>2003</v>
      </c>
      <c r="D8" s="1" t="s">
        <v>2003</v>
      </c>
      <c r="E8" s="1" t="s">
        <v>2005</v>
      </c>
      <c r="F8" s="1" t="s">
        <v>2004</v>
      </c>
      <c r="G8" s="193"/>
      <c r="H8" s="1" t="s">
        <v>2007</v>
      </c>
    </row>
    <row r="9">
      <c r="A9" s="1" t="s">
        <v>1988</v>
      </c>
      <c r="B9" s="193"/>
      <c r="C9" s="193"/>
      <c r="D9" s="1" t="s">
        <v>2000</v>
      </c>
      <c r="E9" s="193"/>
      <c r="F9" s="193"/>
      <c r="G9" s="193"/>
      <c r="H9" s="1" t="s">
        <v>2008</v>
      </c>
    </row>
    <row r="10">
      <c r="A10" s="1" t="s">
        <v>1974</v>
      </c>
      <c r="B10" s="193"/>
      <c r="C10" s="193"/>
      <c r="D10" s="1" t="s">
        <v>2001</v>
      </c>
      <c r="E10" s="193"/>
      <c r="F10" s="1" t="s">
        <v>2009</v>
      </c>
      <c r="G10" s="1" t="s">
        <v>2009</v>
      </c>
      <c r="H10" s="193"/>
    </row>
    <row r="11">
      <c r="A11" s="1" t="s">
        <v>1963</v>
      </c>
      <c r="B11" s="193"/>
      <c r="C11" s="193"/>
      <c r="D11" s="1" t="s">
        <v>2001</v>
      </c>
      <c r="E11" s="1" t="s">
        <v>2009</v>
      </c>
      <c r="F11" s="193"/>
      <c r="G11" s="193"/>
      <c r="H11" s="193"/>
    </row>
    <row r="12">
      <c r="A12" s="1" t="s">
        <v>1924</v>
      </c>
      <c r="B12" s="193"/>
      <c r="D12" s="193"/>
      <c r="E12" s="193"/>
      <c r="F12" s="1" t="s">
        <v>2004</v>
      </c>
      <c r="G12" s="193"/>
      <c r="H12" s="193"/>
    </row>
    <row r="13">
      <c r="A13" s="1" t="s">
        <v>1924</v>
      </c>
      <c r="B13" s="1" t="s">
        <v>2010</v>
      </c>
      <c r="D13" s="193"/>
      <c r="E13" s="193"/>
      <c r="F13" s="1"/>
      <c r="G13" s="1" t="s">
        <v>2004</v>
      </c>
      <c r="H13" s="193"/>
    </row>
    <row r="14">
      <c r="A14" s="1" t="s">
        <v>1991</v>
      </c>
      <c r="B14" s="193"/>
      <c r="F14" s="193"/>
      <c r="G14" s="1" t="s">
        <v>2006</v>
      </c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93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93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93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93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93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93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93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93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93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93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93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93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93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93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93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93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93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93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93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93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93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93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93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93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93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93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93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93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93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93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93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3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93"/>
      <c r="F120" s="1"/>
      <c r="G120" s="1"/>
      <c r="H120" s="1"/>
      <c r="I120" s="1"/>
      <c r="J120" s="1"/>
      <c r="K120" s="193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"/>
      <c r="F125" s="1"/>
      <c r="G125" s="1"/>
      <c r="H125" s="1"/>
      <c r="I125" s="1"/>
      <c r="J125" s="1"/>
      <c r="K125" s="193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93"/>
      <c r="L126" s="1"/>
      <c r="M126" s="1"/>
      <c r="N126" s="1"/>
      <c r="O126" s="1"/>
      <c r="P126" s="1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"/>
      <c r="B127" s="1"/>
      <c r="C127" s="194"/>
      <c r="D127" s="1"/>
      <c r="E127" s="1"/>
      <c r="F127" s="1"/>
      <c r="G127" s="1"/>
      <c r="H127" s="1"/>
      <c r="I127" s="1"/>
      <c r="J127" s="1"/>
      <c r="K127" s="193"/>
      <c r="L127" s="1"/>
      <c r="M127" s="1"/>
      <c r="N127" s="1"/>
      <c r="O127" s="1"/>
      <c r="P127" s="1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"/>
      <c r="B128" s="194"/>
      <c r="C128" s="194"/>
      <c r="D128" s="1"/>
      <c r="E128" s="193"/>
      <c r="F128" s="1"/>
      <c r="G128" s="1"/>
      <c r="H128" s="1"/>
      <c r="I128" s="1"/>
      <c r="J128" s="1"/>
      <c r="K128" s="193"/>
      <c r="L128" s="1"/>
      <c r="M128" s="1"/>
      <c r="N128" s="1"/>
      <c r="O128" s="1"/>
      <c r="P128" s="1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"/>
      <c r="B129" s="1"/>
      <c r="C129" s="1"/>
      <c r="D129" s="1"/>
      <c r="E129" s="193"/>
      <c r="F129" s="1"/>
      <c r="G129" s="1"/>
      <c r="H129" s="1"/>
      <c r="I129" s="1"/>
      <c r="J129" s="1"/>
      <c r="K129" s="193"/>
      <c r="L129" s="1"/>
      <c r="M129" s="1"/>
      <c r="N129" s="1"/>
      <c r="O129" s="1"/>
      <c r="P129" s="1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"/>
      <c r="B130" s="194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"/>
      <c r="B131" s="1"/>
      <c r="C131" s="194"/>
      <c r="D131" s="1"/>
      <c r="E131" s="193"/>
      <c r="F131" s="1"/>
      <c r="G131" s="1"/>
      <c r="H131" s="1"/>
      <c r="I131" s="1"/>
      <c r="J131" s="1"/>
      <c r="K131" s="193"/>
      <c r="L131" s="1"/>
      <c r="M131" s="1"/>
      <c r="N131" s="1"/>
      <c r="O131" s="1"/>
      <c r="P131" s="1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"/>
      <c r="B132" s="1"/>
      <c r="C132" s="1"/>
      <c r="D132" s="1"/>
      <c r="E132" s="193"/>
      <c r="F132" s="1"/>
      <c r="G132" s="1"/>
      <c r="H132" s="1"/>
      <c r="I132" s="1"/>
      <c r="J132" s="1"/>
      <c r="K132" s="193"/>
      <c r="L132" s="1"/>
      <c r="M132" s="1"/>
      <c r="N132" s="1"/>
      <c r="O132" s="1"/>
      <c r="P132" s="1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93"/>
      <c r="L133" s="1"/>
      <c r="M133" s="1"/>
      <c r="N133" s="1"/>
      <c r="O133" s="1"/>
      <c r="P133" s="1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93"/>
      <c r="L134" s="1"/>
      <c r="M134" s="1"/>
      <c r="N134" s="1"/>
      <c r="O134" s="1"/>
      <c r="P134" s="1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"/>
      <c r="B135" s="1"/>
      <c r="C135" s="194"/>
      <c r="D135" s="1"/>
      <c r="E135" s="193"/>
      <c r="F135" s="1"/>
      <c r="G135" s="1"/>
      <c r="H135" s="1"/>
      <c r="I135" s="1"/>
      <c r="J135" s="1"/>
      <c r="K135" s="193"/>
      <c r="L135" s="1"/>
      <c r="M135" s="1"/>
      <c r="N135" s="1"/>
      <c r="O135" s="1"/>
      <c r="P135" s="1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"/>
      <c r="B136" s="1"/>
      <c r="C136" s="194"/>
      <c r="D136" s="1"/>
      <c r="E136" s="193"/>
      <c r="F136" s="1"/>
      <c r="G136" s="1"/>
      <c r="H136" s="1"/>
      <c r="I136" s="1"/>
      <c r="J136" s="1"/>
      <c r="K136" s="193"/>
      <c r="L136" s="1"/>
      <c r="M136" s="1"/>
      <c r="N136" s="1"/>
      <c r="O136" s="1"/>
      <c r="P136" s="1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"/>
      <c r="B137" s="1"/>
      <c r="C137" s="1"/>
      <c r="D137" s="1"/>
      <c r="E137" s="193"/>
      <c r="F137" s="1"/>
      <c r="G137" s="1"/>
      <c r="H137" s="1"/>
      <c r="I137" s="1"/>
      <c r="J137" s="1"/>
      <c r="K137" s="193"/>
      <c r="L137" s="1"/>
      <c r="M137" s="1"/>
      <c r="N137" s="1"/>
      <c r="O137" s="1"/>
      <c r="P137" s="1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93"/>
      <c r="L138" s="1"/>
      <c r="M138" s="1"/>
      <c r="N138" s="1"/>
      <c r="O138" s="1"/>
      <c r="P138" s="1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"/>
      <c r="B139" s="1"/>
      <c r="C139" s="194"/>
      <c r="D139" s="1"/>
      <c r="E139" s="193"/>
      <c r="F139" s="1"/>
      <c r="G139" s="1"/>
      <c r="H139" s="1"/>
      <c r="I139" s="1"/>
      <c r="J139" s="1"/>
      <c r="K139" s="193"/>
      <c r="L139" s="1"/>
      <c r="M139" s="1"/>
      <c r="N139" s="1"/>
      <c r="O139" s="1"/>
      <c r="P139" s="1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"/>
      <c r="B140" s="1"/>
      <c r="C140" s="1"/>
      <c r="D140" s="1"/>
      <c r="E140" s="193"/>
      <c r="F140" s="1"/>
      <c r="G140" s="1"/>
      <c r="H140" s="1"/>
      <c r="I140" s="1"/>
      <c r="J140" s="1"/>
      <c r="K140" s="193"/>
      <c r="L140" s="1"/>
      <c r="M140" s="1"/>
      <c r="N140" s="1"/>
      <c r="O140" s="1"/>
      <c r="P140" s="1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"/>
      <c r="B141" s="1"/>
      <c r="C141" s="194"/>
      <c r="D141" s="1"/>
      <c r="E141" s="193"/>
      <c r="F141" s="1"/>
      <c r="G141" s="1"/>
      <c r="H141" s="1"/>
      <c r="I141" s="1"/>
      <c r="J141" s="1"/>
      <c r="K141" s="193"/>
      <c r="L141" s="1"/>
      <c r="M141" s="1"/>
      <c r="N141" s="1"/>
      <c r="O141" s="1"/>
      <c r="P141" s="1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93"/>
      <c r="L142" s="1"/>
      <c r="M142" s="1"/>
      <c r="N142" s="1"/>
      <c r="O142" s="1"/>
      <c r="P142" s="1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5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2011</v>
      </c>
      <c r="B4" s="200" t="s">
        <v>2012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IFERROR(__xludf.DUMMYFUNCTION("""COMPUTED_VALUE"""),"Bolevec")</f>
        <v>Bolevec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IFERROR(__xludf.DUMMYFUNCTION("""COMPUTED_VALUE"""),"Pánková Vendula")</f>
        <v>Pánková Vendula</v>
      </c>
      <c r="E18" s="196" t="str">
        <f>IFERROR(__xludf.DUMMYFUNCTION("""COMPUTED_VALUE"""),"Zličín")</f>
        <v>Zličín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IFERROR(__xludf.DUMMYFUNCTION("""COMPUTED_VALUE"""),267.6)</f>
        <v>267.6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>Hegedüs Erik</v>
      </c>
      <c r="C19" s="196" t="b">
        <f>IFERROR(__xludf.DUMMYFUNCTION("""COMPUTED_VALUE"""),TRUE)</f>
        <v>1</v>
      </c>
      <c r="D19" s="196" t="str">
        <f>IFERROR(__xludf.DUMMYFUNCTION("""COMPUTED_VALUE"""),"Hegedüs Erik")</f>
        <v>Hegedüs Erik</v>
      </c>
      <c r="E19" s="196" t="str">
        <f>IFERROR(__xludf.DUMMYFUNCTION("""COMPUTED_VALUE"""),"Libuš")</f>
        <v>Libuš</v>
      </c>
      <c r="F19" s="196" t="str">
        <f>IFERROR(__xludf.DUMMYFUNCTION("""COMPUTED_VALUE"""),"Chodov")</f>
        <v>Chodov</v>
      </c>
      <c r="G19" s="196" t="str">
        <f>IFERROR(__xludf.DUMMYFUNCTION("""COMPUTED_VALUE"""),"Malešice")</f>
        <v>Malešice</v>
      </c>
      <c r="H19" s="196" t="str">
        <f>IFERROR(__xludf.DUMMYFUNCTION("""COMPUTED_VALUE"""),"Zličín")</f>
        <v>Zličín</v>
      </c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IFERROR(__xludf.DUMMYFUNCTION("""COMPUTED_VALUE"""),432.3078)</f>
        <v>432.3078</v>
      </c>
      <c r="W19" s="199">
        <f>IFERROR(__xludf.DUMMYFUNCTION("""COMPUTED_VALUE"""),2789.082580645161)</f>
        <v>2789.082581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IFERROR(__xludf.DUMMYFUNCTION("""COMPUTED_VALUE"""),TRUE)</f>
        <v>1</v>
      </c>
      <c r="D20" s="196" t="str">
        <f>IFERROR(__xludf.DUMMYFUNCTION("""COMPUTED_VALUE"""),"Roth Stanislav ml.")</f>
        <v>Roth Stanislav ml.</v>
      </c>
      <c r="E20" s="196" t="str">
        <f>IFERROR(__xludf.DUMMYFUNCTION("""COMPUTED_VALUE"""),"Bolevec")</f>
        <v>Bolevec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IFERROR(__xludf.DUMMYFUNCTION("""COMPUTED_VALUE"""),432.3078)</f>
        <v>432.3078</v>
      </c>
      <c r="W20" s="199">
        <f>IFERROR(__xludf.DUMMYFUNCTION("""COMPUTED_VALUE"""),2789.082580645161)</f>
        <v>2789.082581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Bubník Martin</v>
      </c>
      <c r="C21" s="196" t="b">
        <f>IFERROR(__xludf.DUMMYFUNCTION("""COMPUTED_VALUE"""),FALSE)</f>
        <v>0</v>
      </c>
      <c r="D21" s="196" t="str">
        <f>IFERROR(__xludf.DUMMYFUNCTION("""COMPUTED_VALUE"""),"Bubník Martin")</f>
        <v>Bubník Martin</v>
      </c>
      <c r="E21" s="196" t="str">
        <f>IFERROR(__xludf.DUMMYFUNCTION("""COMPUTED_VALUE"""),"Libuš")</f>
        <v>Libuš</v>
      </c>
      <c r="F21" s="196" t="str">
        <f>IFERROR(__xludf.DUMMYFUNCTION("""COMPUTED_VALUE"""),"Malešice")</f>
        <v>Malešice</v>
      </c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IFERROR(__xludf.DUMMYFUNCTION("""COMPUTED_VALUE"""),267.6)</f>
        <v>267.6</v>
      </c>
      <c r="W21" s="199">
        <f>IFERROR(__xludf.DUMMYFUNCTION("""COMPUTED_VALUE"""),0.0)</f>
        <v>0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IFERROR(__xludf.DUMMYFUNCTION("""COMPUTED_VALUE"""),FALSE)</f>
        <v>0</v>
      </c>
      <c r="D22" s="196" t="str">
        <f>IFERROR(__xludf.DUMMYFUNCTION("""COMPUTED_VALUE"""),"Berdar Vasyl")</f>
        <v>Berdar Vasyl</v>
      </c>
      <c r="E22" s="196" t="str">
        <f>IFERROR(__xludf.DUMMYFUNCTION("""COMPUTED_VALUE"""),"Libuš")</f>
        <v>Libuš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IFERROR(__xludf.DUMMYFUNCTION("""COMPUTED_VALUE"""),286.332)</f>
        <v>286.332</v>
      </c>
      <c r="W22" s="199">
        <f>IFERROR(__xludf.DUMMYFUNCTION("""COMPUTED_VALUE"""),0.0)</f>
        <v>0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>Yarushynskyi Vladyslav</v>
      </c>
      <c r="C23" s="196" t="b">
        <f>IFERROR(__xludf.DUMMYFUNCTION("""COMPUTED_VALUE"""),FALSE)</f>
        <v>0</v>
      </c>
      <c r="D23" s="196" t="str">
        <f>IFERROR(__xludf.DUMMYFUNCTION("""COMPUTED_VALUE"""),"Yarushynskyi Vladyslav")</f>
        <v>Yarushynskyi Vladyslav</v>
      </c>
      <c r="E23" s="196" t="str">
        <f>IFERROR(__xludf.DUMMYFUNCTION("""COMPUTED_VALUE"""),"Malešice")</f>
        <v>Malešice</v>
      </c>
      <c r="F23" s="196" t="str">
        <f>IFERROR(__xludf.DUMMYFUNCTION("""COMPUTED_VALUE"""),"Chodov")</f>
        <v>Chodov</v>
      </c>
      <c r="G23" s="196" t="str">
        <f>IFERROR(__xludf.DUMMYFUNCTION("""COMPUTED_VALUE"""),"Zličín")</f>
        <v>Zličín</v>
      </c>
      <c r="H23" s="196" t="str">
        <f>IFERROR(__xludf.DUMMYFUNCTION("""COMPUTED_VALUE"""),"Prosek")</f>
        <v>Prosek</v>
      </c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IFERROR(__xludf.DUMMYFUNCTION("""COMPUTED_VALUE"""),267.6)</f>
        <v>267.6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Židek Petr</v>
      </c>
      <c r="C24" s="196" t="b">
        <f>IFERROR(__xludf.DUMMYFUNCTION("""COMPUTED_VALUE"""),FALSE)</f>
        <v>0</v>
      </c>
      <c r="D24" s="196" t="str">
        <f>IFERROR(__xludf.DUMMYFUNCTION("""COMPUTED_VALUE"""),"Židek Petr")</f>
        <v>Židek Petr</v>
      </c>
      <c r="E24" s="196" t="str">
        <f>IFERROR(__xludf.DUMMYFUNCTION("""COMPUTED_VALUE"""),"Chodov")</f>
        <v>Chodov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IFERROR(__xludf.DUMMYFUNCTION("""COMPUTED_VALUE"""),250.20600000000002)</f>
        <v>250.206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Gorol Patrik</v>
      </c>
      <c r="C25" s="196" t="b">
        <f>IFERROR(__xludf.DUMMYFUNCTION("""COMPUTED_VALUE"""),FALSE)</f>
        <v>0</v>
      </c>
      <c r="D25" s="196" t="str">
        <f>IFERROR(__xludf.DUMMYFUNCTION("""COMPUTED_VALUE"""),"Gorol Patrik")</f>
        <v>Gorol Patrik</v>
      </c>
      <c r="E25" s="196" t="str">
        <f>IFERROR(__xludf.DUMMYFUNCTION("""COMPUTED_VALUE"""),"Malešice")</f>
        <v>Malešice</v>
      </c>
      <c r="F25" s="196" t="str">
        <f>IFERROR(__xludf.DUMMYFUNCTION("""COMPUTED_VALUE"""),"Libuš")</f>
        <v>Libuš</v>
      </c>
      <c r="G25" s="196" t="str">
        <f>IFERROR(__xludf.DUMMYFUNCTION("""COMPUTED_VALUE"""),"Prosek")</f>
        <v>Prosek</v>
      </c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 t="str">
        <f>IFERROR(__xludf.DUMMYFUNCTION("""COMPUTED_VALUE"""),"Hegedüs Gergö")</f>
        <v>Hegedüs Gergö</v>
      </c>
      <c r="E26" s="196" t="str">
        <f>IFERROR(__xludf.DUMMYFUNCTION("""COMPUTED_VALUE"""),"Libuš")</f>
        <v>Libuš</v>
      </c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IFERROR(__xludf.DUMMYFUNCTION("""COMPUTED_VALUE"""),214.08)</f>
        <v>214.08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IFERROR(__xludf.DUMMYFUNCTION("""COMPUTED_VALUE"""),"Barvínková Eliška")</f>
        <v>Barvínková Eliška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IFERROR(__xludf.DUMMYFUNCTION("""COMPUTED_VALUE"""),231.474)</f>
        <v>231.474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/>
      </c>
      <c r="C28" s="196" t="b">
        <f>IFERROR(__xludf.DUMMYFUNCTION("""COMPUTED_VALUE"""),FALSE)</f>
        <v>0</v>
      </c>
      <c r="D28" s="196" t="str">
        <f>IFERROR(__xludf.DUMMYFUNCTION("""COMPUTED_VALUE"""),"Kursheva Diana")</f>
        <v>Kursheva Diana</v>
      </c>
      <c r="E28" s="196" t="str">
        <f>IFERROR(__xludf.DUMMYFUNCTION("""COMPUTED_VALUE"""),"Výroba")</f>
        <v>Výroba</v>
      </c>
      <c r="F28" s="196" t="str">
        <f>IFERROR(__xludf.DUMMYFUNCTION("""COMPUTED_VALUE"""),"Chodov")</f>
        <v>Chodov</v>
      </c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IFERROR(__xludf.DUMMYFUNCTION("""COMPUTED_VALUE"""),250.20600000000002)</f>
        <v>250.206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IFERROR(__xludf.DUMMYFUNCTION("""COMPUTED_VALUE"""),"Kubík Martin")</f>
        <v>Kubík Martin</v>
      </c>
      <c r="E29" s="196" t="str">
        <f>IFERROR(__xludf.DUMMYFUNCTION("""COMPUTED_VALUE"""),"Libuš")</f>
        <v>Libuš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IFERROR(__xludf.DUMMYFUNCTION("""COMPUTED_VALUE"""),"Putna Jaroslav")</f>
        <v>Putna Jaroslav</v>
      </c>
      <c r="E30" s="196" t="str">
        <f>IFERROR(__xludf.DUMMYFUNCTION("""COMPUTED_VALUE"""),"Zličín")</f>
        <v>Zličín</v>
      </c>
      <c r="F30" s="196" t="str">
        <f>IFERROR(__xludf.DUMMYFUNCTION("""COMPUTED_VALUE"""),"Prosek")</f>
        <v>Prosek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Kopic Jakub</v>
      </c>
      <c r="C31" s="196" t="b">
        <f>IFERROR(__xludf.DUMMYFUNCTION("""COMPUTED_VALUE"""),FALSE)</f>
        <v>0</v>
      </c>
      <c r="D31" s="196" t="str">
        <f>IFERROR(__xludf.DUMMYFUNCTION("""COMPUTED_VALUE"""),"Kopic Jakub")</f>
        <v>Kopic Jakub</v>
      </c>
      <c r="E31" s="196" t="str">
        <f>IFERROR(__xludf.DUMMYFUNCTION("""COMPUTED_VALUE"""),"Malešice")</f>
        <v>Malešice</v>
      </c>
      <c r="F31" s="196" t="str">
        <f>IFERROR(__xludf.DUMMYFUNCTION("""COMPUTED_VALUE"""),"Prosek")</f>
        <v>Prosek</v>
      </c>
      <c r="G31" s="196" t="str">
        <f>IFERROR(__xludf.DUMMYFUNCTION("""COMPUTED_VALUE"""),"Libuš")</f>
        <v>Libuš</v>
      </c>
      <c r="H31" s="196" t="str">
        <f>IFERROR(__xludf.DUMMYFUNCTION("""COMPUTED_VALUE"""),"Prosek")</f>
        <v>Prosek</v>
      </c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IFERROR(__xludf.DUMMYFUNCTION("""COMPUTED_VALUE"""),250.20600000000002)</f>
        <v>250.206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IFERROR(__xludf.DUMMYFUNCTION("""COMPUTED_VALUE"""),"Fáberová Kateřina")</f>
        <v>Fáberová Kateřina</v>
      </c>
      <c r="E32" s="196" t="str">
        <f>IFERROR(__xludf.DUMMYFUNCTION("""COMPUTED_VALUE"""),"Prosek")</f>
        <v>Prosek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IFERROR(__xludf.DUMMYFUNCTION("""COMPUTED_VALUE"""),250.20600000000002)</f>
        <v>250.206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IFERROR(__xludf.DUMMYFUNCTION("""COMPUTED_VALUE"""),"Chlubnová Adéla")</f>
        <v>Chlubnová Adéla</v>
      </c>
      <c r="E33" s="196" t="str">
        <f>IFERROR(__xludf.DUMMYFUNCTION("""COMPUTED_VALUE"""),"Chodov")</f>
        <v>Chodov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IFERROR(__xludf.DUMMYFUNCTION("""COMPUTED_VALUE"""),250.20600000000002)</f>
        <v>250.206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IFERROR(__xludf.DUMMYFUNCTION("""COMPUTED_VALUE"""),"Prošek Václav")</f>
        <v>Prošek Václav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IFERROR(__xludf.DUMMYFUNCTION("""COMPUTED_VALUE"""),250.20600000000002)</f>
        <v>250.206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IFERROR(__xludf.DUMMYFUNCTION("""COMPUTED_VALUE"""),"Millington Emmanuel")</f>
        <v>Millington Emmanuel</v>
      </c>
      <c r="E35" s="196" t="str">
        <f>IFERROR(__xludf.DUMMYFUNCTION("""COMPUTED_VALUE"""),"Libuš")</f>
        <v>Libuš</v>
      </c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IFERROR(__xludf.DUMMYFUNCTION("""COMPUTED_VALUE"""),"Kašpárek Jan")</f>
        <v>Kašpárek Jan</v>
      </c>
      <c r="E36" s="196" t="str">
        <f>IFERROR(__xludf.DUMMYFUNCTION("""COMPUTED_VALUE"""),"Libuš")</f>
        <v>Libuš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IFERROR(__xludf.DUMMYFUNCTION("""COMPUTED_VALUE"""),"Koteliuk Maryna")</f>
        <v>Koteliuk Maryna</v>
      </c>
      <c r="E37" s="196" t="str">
        <f>IFERROR(__xludf.DUMMYFUNCTION("""COMPUTED_VALUE"""),"Výroba")</f>
        <v>Výroba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IFERROR(__xludf.DUMMYFUNCTION("""COMPUTED_VALUE"""),"Remač Jiří")</f>
        <v>Remač Jiří</v>
      </c>
      <c r="E38" s="196" t="str">
        <f>IFERROR(__xludf.DUMMYFUNCTION("""COMPUTED_VALUE"""),"Libuš")</f>
        <v>Libuš</v>
      </c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/>
      </c>
      <c r="C39" s="196" t="b">
        <f>IFERROR(__xludf.DUMMYFUNCTION("""COMPUTED_VALUE"""),FALSE)</f>
        <v>0</v>
      </c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IFERROR(__xludf.DUMMYFUNCTION("""COMPUTED_VALUE"""),0.0)</f>
        <v>0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IFERROR(__xludf.DUMMYFUNCTION("""COMPUTED_VALUE"""),0.0)</f>
        <v>0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IFERROR(__xludf.DUMMYFUNCTION("""COMPUTED_VALUE"""),0.0)</f>
        <v>0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IFERROR(__xludf.DUMMYFUNCTION("""COMPUTED_VALUE"""),"Hyský Aleš")</f>
        <v>Hyský Aleš</v>
      </c>
      <c r="E86" s="196" t="str">
        <f>IFERROR(__xludf.DUMMYFUNCTION("""COMPUTED_VALUE"""),"Chodov")</f>
        <v>Chodov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IFERROR(__xludf.DUMMYFUNCTION("""COMPUTED_VALUE"""),231.474)</f>
        <v>231.474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>Lažek Jaroslav</v>
      </c>
      <c r="C87" s="196" t="b">
        <f>IFERROR(__xludf.DUMMYFUNCTION("""COMPUTED_VALUE"""),FALSE)</f>
        <v>0</v>
      </c>
      <c r="D87" s="196" t="str">
        <f>IFERROR(__xludf.DUMMYFUNCTION("""COMPUTED_VALUE"""),"Lažek Jaroslav")</f>
        <v>Lažek Jaroslav</v>
      </c>
      <c r="E87" s="196" t="str">
        <f>IFERROR(__xludf.DUMMYFUNCTION("""COMPUTED_VALUE"""),"Libuš")</f>
        <v>Libuš</v>
      </c>
      <c r="F87" s="196" t="str">
        <f>IFERROR(__xludf.DUMMYFUNCTION("""COMPUTED_VALUE"""),"Chodov")</f>
        <v>Chodov</v>
      </c>
      <c r="G87" s="196" t="str">
        <f>IFERROR(__xludf.DUMMYFUNCTION("""COMPUTED_VALUE"""),"Malešice")</f>
        <v>Malešice</v>
      </c>
      <c r="H87" s="196" t="str">
        <f>IFERROR(__xludf.DUMMYFUNCTION("""COMPUTED_VALUE"""),"Výroba")</f>
        <v>Výroba</v>
      </c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IFERROR(__xludf.DUMMYFUNCTION("""COMPUTED_VALUE"""),170.0)</f>
        <v>170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IFERROR(__xludf.DUMMYFUNCTION("""COMPUTED_VALUE"""),"Kormash Liubov")</f>
        <v>Kormash Liubov</v>
      </c>
      <c r="E88" s="196" t="str">
        <f>IFERROR(__xludf.DUMMYFUNCTION("""COMPUTED_VALUE"""),"Zličín")</f>
        <v>Zličín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IFERROR(__xludf.DUMMYFUNCTION("""COMPUTED_VALUE"""),160.0)</f>
        <v>160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/>
      </c>
      <c r="C89" s="196" t="b">
        <f>IFERROR(__xludf.DUMMYFUNCTION("""COMPUTED_VALUE"""),FALSE)</f>
        <v>0</v>
      </c>
      <c r="D89" s="196" t="str">
        <f>IFERROR(__xludf.DUMMYFUNCTION("""COMPUTED_VALUE"""),"Chlubna Tomáš")</f>
        <v>Chlubna Tomáš</v>
      </c>
      <c r="E89" s="196" t="str">
        <f>IFERROR(__xludf.DUMMYFUNCTION("""COMPUTED_VALUE"""),"Chodov")</f>
        <v>Chodov</v>
      </c>
      <c r="F89" s="196" t="str">
        <f>IFERROR(__xludf.DUMMYFUNCTION("""COMPUTED_VALUE"""),"Libuš")</f>
        <v>Libuš</v>
      </c>
      <c r="G89" s="196" t="str">
        <f>IFERROR(__xludf.DUMMYFUNCTION("""COMPUTED_VALUE"""),"Výroba")</f>
        <v>Výroba</v>
      </c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IFERROR(__xludf.DUMMYFUNCTION("""COMPUTED_VALUE"""),250.20600000000002)</f>
        <v>250.206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>Vychivskyi Volodymyr</v>
      </c>
      <c r="C90" s="196" t="b">
        <f>IFERROR(__xludf.DUMMYFUNCTION("""COMPUTED_VALUE"""),FALSE)</f>
        <v>0</v>
      </c>
      <c r="D90" s="196" t="str">
        <f>IFERROR(__xludf.DUMMYFUNCTION("""COMPUTED_VALUE"""),"Vychivskyi Volodymyr")</f>
        <v>Vychivskyi Volodymyr</v>
      </c>
      <c r="E90" s="196" t="str">
        <f>IFERROR(__xludf.DUMMYFUNCTION("""COMPUTED_VALUE"""),"Malešice")</f>
        <v>Malešice</v>
      </c>
      <c r="F90" s="196" t="str">
        <f>IFERROR(__xludf.DUMMYFUNCTION("""COMPUTED_VALUE"""),"Prosek")</f>
        <v>Prosek</v>
      </c>
      <c r="G90" s="196" t="str">
        <f>IFERROR(__xludf.DUMMYFUNCTION("""COMPUTED_VALUE"""),"Zličín")</f>
        <v>Zličín</v>
      </c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IFERROR(__xludf.DUMMYFUNCTION("""COMPUTED_VALUE"""),250.20600000000002)</f>
        <v>250.206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 t="str">
        <f>IFERROR(__xludf.DUMMYFUNCTION("""COMPUTED_VALUE"""),"Hřebík Martin")</f>
        <v>Hřebík Martin</v>
      </c>
      <c r="E91" s="196" t="str">
        <f>IFERROR(__xludf.DUMMYFUNCTION("""COMPUTED_VALUE"""),"Výroba")</f>
        <v>Výroba</v>
      </c>
      <c r="F91" s="196" t="str">
        <f>IFERROR(__xludf.DUMMYFUNCTION("""COMPUTED_VALUE"""),"Chodov")</f>
        <v>Chodov</v>
      </c>
      <c r="G91" s="196" t="str">
        <f>IFERROR(__xludf.DUMMYFUNCTION("""COMPUTED_VALUE"""),"Prosek")</f>
        <v>Prosek</v>
      </c>
      <c r="H91" s="196" t="str">
        <f>IFERROR(__xludf.DUMMYFUNCTION("""COMPUTED_VALUE"""),"Libuš")</f>
        <v>Libuš</v>
      </c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IFERROR(__xludf.DUMMYFUNCTION("""COMPUTED_VALUE"""),386.68199999999996)</f>
        <v>386.682</v>
      </c>
      <c r="W91" s="199">
        <f>IFERROR(__xludf.DUMMYFUNCTION("""COMPUTED_VALUE"""),2494.722580645161)</f>
        <v>2494.722581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 t="str">
        <f>IFERROR(__xludf.DUMMYFUNCTION("""COMPUTED_VALUE"""),"Eszenyiová Patrícia")</f>
        <v>Eszenyiová Patrícia</v>
      </c>
      <c r="E92" s="196" t="str">
        <f>IFERROR(__xludf.DUMMYFUNCTION("""COMPUTED_VALUE"""),"Libuš")</f>
        <v>Libuš</v>
      </c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IFERROR(__xludf.DUMMYFUNCTION("""COMPUTED_VALUE"""),250.20600000000002)</f>
        <v>250.206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>Reischl Jan</v>
      </c>
      <c r="C93" s="196" t="b">
        <f>IFERROR(__xludf.DUMMYFUNCTION("""COMPUTED_VALUE"""),FALSE)</f>
        <v>0</v>
      </c>
      <c r="D93" s="196" t="str">
        <f>IFERROR(__xludf.DUMMYFUNCTION("""COMPUTED_VALUE"""),"Reischl Jan")</f>
        <v>Reischl Jan</v>
      </c>
      <c r="E93" s="196" t="str">
        <f>IFERROR(__xludf.DUMMYFUNCTION("""COMPUTED_VALUE"""),"Malešice")</f>
        <v>Malešice</v>
      </c>
      <c r="F93" s="196" t="str">
        <f>IFERROR(__xludf.DUMMYFUNCTION("""COMPUTED_VALUE"""),"Chodov")</f>
        <v>Chodov</v>
      </c>
      <c r="G93" s="196" t="str">
        <f>IFERROR(__xludf.DUMMYFUNCTION("""COMPUTED_VALUE"""),"Libuš")</f>
        <v>Libuš</v>
      </c>
      <c r="H93" s="196" t="str">
        <f>IFERROR(__xludf.DUMMYFUNCTION("""COMPUTED_VALUE"""),"Prosek")</f>
        <v>Prosek</v>
      </c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IFERROR(__xludf.DUMMYFUNCTION("""COMPUTED_VALUE"""),214.08)</f>
        <v>214.08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/>
      </c>
      <c r="C94" s="196" t="b">
        <f>IFERROR(__xludf.DUMMYFUNCTION("""COMPUTED_VALUE"""),FALSE)</f>
        <v>0</v>
      </c>
      <c r="D94" s="196" t="str">
        <f>IFERROR(__xludf.DUMMYFUNCTION("""COMPUTED_VALUE"""),"Mikešová Adéla")</f>
        <v>Mikešová Adéla</v>
      </c>
      <c r="E94" s="196" t="str">
        <f>IFERROR(__xludf.DUMMYFUNCTION("""COMPUTED_VALUE"""),"Bolevec")</f>
        <v>Bolevec</v>
      </c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IFERROR(__xludf.DUMMYFUNCTION("""COMPUTED_VALUE"""),214.08)</f>
        <v>214.08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 t="str">
        <f>IFERROR(__xludf.DUMMYFUNCTION("""COMPUTED_VALUE"""),"Chyský David")</f>
        <v>Chyský David</v>
      </c>
      <c r="E95" s="196" t="str">
        <f>IFERROR(__xludf.DUMMYFUNCTION("""COMPUTED_VALUE"""),"Chodov")</f>
        <v>Chodov</v>
      </c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IFERROR(__xludf.DUMMYFUNCTION("""COMPUTED_VALUE"""),231.474)</f>
        <v>231.474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Kalina Filip</v>
      </c>
      <c r="C96" s="196" t="b">
        <f>IFERROR(__xludf.DUMMYFUNCTION("""COMPUTED_VALUE"""),FALSE)</f>
        <v>0</v>
      </c>
      <c r="D96" s="196" t="str">
        <f>IFERROR(__xludf.DUMMYFUNCTION("""COMPUTED_VALUE"""),"Kalina Filip")</f>
        <v>Kalina Filip</v>
      </c>
      <c r="E96" s="196" t="str">
        <f>IFERROR(__xludf.DUMMYFUNCTION("""COMPUTED_VALUE"""),"Malešice")</f>
        <v>Malešice</v>
      </c>
      <c r="F96" s="196" t="str">
        <f>IFERROR(__xludf.DUMMYFUNCTION("""COMPUTED_VALUE"""),"Libuš")</f>
        <v>Libuš</v>
      </c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IFERROR(__xludf.DUMMYFUNCTION("""COMPUTED_VALUE"""),231.474)</f>
        <v>231.474</v>
      </c>
      <c r="W96" s="199">
        <f>IFERROR(__xludf.DUMMYFUNCTION("""COMPUTED_VALUE"""),0.0)</f>
        <v>0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IFERROR(__xludf.DUMMYFUNCTION("""COMPUTED_VALUE"""),"Kaločai Rudolf")</f>
        <v>Kaločai Rudolf</v>
      </c>
      <c r="E97" s="196" t="str">
        <f>IFERROR(__xludf.DUMMYFUNCTION("""COMPUTED_VALUE"""),"Bolevec")</f>
        <v>Bolevec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IFERROR(__xludf.DUMMYFUNCTION("""COMPUTED_VALUE"""),140.0)</f>
        <v>140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Dušek Sam</v>
      </c>
      <c r="C98" s="196" t="b">
        <f>IFERROR(__xludf.DUMMYFUNCTION("""COMPUTED_VALUE"""),FALSE)</f>
        <v>0</v>
      </c>
      <c r="D98" s="196" t="str">
        <f>IFERROR(__xludf.DUMMYFUNCTION("""COMPUTED_VALUE"""),"Dušek Sam")</f>
        <v>Dušek Sam</v>
      </c>
      <c r="E98" s="196" t="str">
        <f>IFERROR(__xludf.DUMMYFUNCTION("""COMPUTED_VALUE"""),"Libuš")</f>
        <v>Libuš</v>
      </c>
      <c r="F98" s="196" t="str">
        <f>IFERROR(__xludf.DUMMYFUNCTION("""COMPUTED_VALUE"""),"Malešice")</f>
        <v>Malešice</v>
      </c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IFERROR(__xludf.DUMMYFUNCTION("""COMPUTED_VALUE"""),250.20600000000002)</f>
        <v>250.206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IFERROR(__xludf.DUMMYFUNCTION("""COMPUTED_VALUE"""),"Banga Adam")</f>
        <v>Banga Adam</v>
      </c>
      <c r="E99" s="196" t="str">
        <f>IFERROR(__xludf.DUMMYFUNCTION("""COMPUTED_VALUE"""),"Zličín")</f>
        <v>Zličín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IFERROR(__xludf.DUMMYFUNCTION("""COMPUTED_VALUE"""),231.474)</f>
        <v>231.474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IFERROR(__xludf.DUMMYFUNCTION("""COMPUTED_VALUE"""),"Vopatová Anna")</f>
        <v>Vopatová Anna</v>
      </c>
      <c r="E100" s="196" t="str">
        <f>IFERROR(__xludf.DUMMYFUNCTION("""COMPUTED_VALUE"""),"Bolevec")</f>
        <v>Bolevec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IFERROR(__xludf.DUMMYFUNCTION("""COMPUTED_VALUE"""),214.08)</f>
        <v>214.08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IFERROR(__xludf.DUMMYFUNCTION("""COMPUTED_VALUE"""),"Vopatová Šárka")</f>
        <v>Vopatová Šárka</v>
      </c>
      <c r="E101" s="196" t="str">
        <f>IFERROR(__xludf.DUMMYFUNCTION("""COMPUTED_VALUE"""),"Bolevec")</f>
        <v>Bolevec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IFERROR(__xludf.DUMMYFUNCTION("""COMPUTED_VALUE"""),214.08)</f>
        <v>214.08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>Richterová Monika</v>
      </c>
      <c r="C102" s="196" t="b">
        <f>IFERROR(__xludf.DUMMYFUNCTION("""COMPUTED_VALUE"""),FALSE)</f>
        <v>0</v>
      </c>
      <c r="D102" s="196" t="str">
        <f>IFERROR(__xludf.DUMMYFUNCTION("""COMPUTED_VALUE"""),"Richterová Monika")</f>
        <v>Richterová Monika</v>
      </c>
      <c r="E102" s="196" t="str">
        <f>IFERROR(__xludf.DUMMYFUNCTION("""COMPUTED_VALUE"""),"Malešice")</f>
        <v>Malešice</v>
      </c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IFERROR(__xludf.DUMMYFUNCTION("""COMPUTED_VALUE"""),214.08)</f>
        <v>214.08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>Serin David</v>
      </c>
      <c r="C103" s="196" t="b">
        <f>IFERROR(__xludf.DUMMYFUNCTION("""COMPUTED_VALUE"""),FALSE)</f>
        <v>0</v>
      </c>
      <c r="D103" s="196" t="str">
        <f>IFERROR(__xludf.DUMMYFUNCTION("""COMPUTED_VALUE"""),"Serin David")</f>
        <v>Serin David</v>
      </c>
      <c r="E103" s="196" t="str">
        <f>IFERROR(__xludf.DUMMYFUNCTION("""COMPUTED_VALUE"""),"Libuš")</f>
        <v>Libuš</v>
      </c>
      <c r="F103" s="196" t="str">
        <f>IFERROR(__xludf.DUMMYFUNCTION("""COMPUTED_VALUE"""),"Malešice")</f>
        <v>Malešice</v>
      </c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IFERROR(__xludf.DUMMYFUNCTION("""COMPUTED_VALUE"""),250.20600000000002)</f>
        <v>250.206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IFERROR(__xludf.DUMMYFUNCTION("""COMPUTED_VALUE"""),"Fabera Tomáš")</f>
        <v>Fabera Tomáš</v>
      </c>
      <c r="E104" s="196" t="str">
        <f>IFERROR(__xludf.DUMMYFUNCTION("""COMPUTED_VALUE"""),"Chodov")</f>
        <v>Chodov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Hendrych Rostislav</v>
      </c>
      <c r="C105" s="196" t="b">
        <f>IFERROR(__xludf.DUMMYFUNCTION("""COMPUTED_VALUE"""),FALSE)</f>
        <v>0</v>
      </c>
      <c r="D105" s="196" t="str">
        <f>IFERROR(__xludf.DUMMYFUNCTION("""COMPUTED_VALUE"""),"Hendrych Rostislav")</f>
        <v>Hendrych Rostislav</v>
      </c>
      <c r="E105" s="196" t="str">
        <f>IFERROR(__xludf.DUMMYFUNCTION("""COMPUTED_VALUE"""),"Malešice")</f>
        <v>Malešice</v>
      </c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IFERROR(__xludf.DUMMYFUNCTION("""COMPUTED_VALUE"""),250.20600000000002)</f>
        <v>250.206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 t="str">
        <f>IFERROR(__xludf.DUMMYFUNCTION("""COMPUTED_VALUE"""),"Světlík František")</f>
        <v>Světlík František</v>
      </c>
      <c r="E106" s="196" t="str">
        <f>IFERROR(__xludf.DUMMYFUNCTION("""COMPUTED_VALUE"""),"Bolevec")</f>
        <v>Bolevec</v>
      </c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IFERROR(__xludf.DUMMYFUNCTION("""COMPUTED_VALUE"""),214.08)</f>
        <v>214.08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IFERROR(__xludf.DUMMYFUNCTION("""COMPUTED_VALUE"""),"Ženíšek Lukáš")</f>
        <v>Ženíšek Lukáš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IFERROR(__xludf.DUMMYFUNCTION("""COMPUTED_VALUE"""),214.08)</f>
        <v>214.08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/>
      </c>
      <c r="C108" s="196" t="b">
        <f>IFERROR(__xludf.DUMMYFUNCTION("""COMPUTED_VALUE"""),FALSE)</f>
        <v>0</v>
      </c>
      <c r="D108" s="196" t="str">
        <f>IFERROR(__xludf.DUMMYFUNCTION("""COMPUTED_VALUE"""),"Roth Stanislav st.")</f>
        <v>Roth Stanislav st.</v>
      </c>
      <c r="E108" s="196" t="str">
        <f>IFERROR(__xludf.DUMMYFUNCTION("""COMPUTED_VALUE"""),"Bolevec")</f>
        <v>Bolevec</v>
      </c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IFERROR(__xludf.DUMMYFUNCTION("""COMPUTED_VALUE"""),49506.0)</f>
        <v>49506</v>
      </c>
      <c r="W108" s="199">
        <f>IFERROR(__xludf.DUMMYFUNCTION("""COMPUTED_VALUE"""),1596.967741935484)</f>
        <v>1596.967742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IFERROR(__xludf.DUMMYFUNCTION("""COMPUTED_VALUE"""),"Vaníková Anna")</f>
        <v>Vaníková Anna</v>
      </c>
      <c r="E109" s="196" t="str">
        <f>IFERROR(__xludf.DUMMYFUNCTION("""COMPUTED_VALUE"""),"Zličín")</f>
        <v>Zličín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IFERROR(__xludf.DUMMYFUNCTION("""COMPUTED_VALUE"""),250.20600000000002)</f>
        <v>250.206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IFERROR(__xludf.DUMMYFUNCTION("""COMPUTED_VALUE"""),"Břicháč Pavel")</f>
        <v>Břicháč Pavel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IFERROR(__xludf.DUMMYFUNCTION("""COMPUTED_VALUE"""),231.474)</f>
        <v>231.474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IFERROR(__xludf.DUMMYFUNCTION("""COMPUTED_VALUE"""),"Čerešňák Michal")</f>
        <v>Čerešňák Michal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IFERROR(__xludf.DUMMYFUNCTION("""COMPUTED_VALUE"""),170.0)</f>
        <v>170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>Weindling Josef</v>
      </c>
      <c r="C112" s="196" t="b">
        <f>IFERROR(__xludf.DUMMYFUNCTION("""COMPUTED_VALUE"""),FALSE)</f>
        <v>0</v>
      </c>
      <c r="D112" s="196" t="str">
        <f>IFERROR(__xludf.DUMMYFUNCTION("""COMPUTED_VALUE"""),"Weindling Josef")</f>
        <v>Weindling Josef</v>
      </c>
      <c r="E112" s="196" t="str">
        <f>IFERROR(__xludf.DUMMYFUNCTION("""COMPUTED_VALUE"""),"Libuš")</f>
        <v>Libuš</v>
      </c>
      <c r="F112" s="196" t="str">
        <f>IFERROR(__xludf.DUMMYFUNCTION("""COMPUTED_VALUE"""),"Malešice")</f>
        <v>Malešice</v>
      </c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IFERROR(__xludf.DUMMYFUNCTION("""COMPUTED_VALUE"""),231.474)</f>
        <v>231.474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IFERROR(__xludf.DUMMYFUNCTION("""COMPUTED_VALUE"""),"Fux Vojtěch")</f>
        <v>Fux Vojtěch</v>
      </c>
      <c r="E113" s="196" t="str">
        <f>IFERROR(__xludf.DUMMYFUNCTION("""COMPUTED_VALUE"""),"Chodov")</f>
        <v>Chodov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IFERROR(__xludf.DUMMYFUNCTION("""COMPUTED_VALUE"""),200.0)</f>
        <v>200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 t="str">
        <f>IFERROR(__xludf.DUMMYFUNCTION("""COMPUTED_VALUE"""),"Kumar Jatinder")</f>
        <v>Kumar Jatinder</v>
      </c>
      <c r="E114" s="196" t="str">
        <f>IFERROR(__xludf.DUMMYFUNCTION("""COMPUTED_VALUE"""),"Libuš")</f>
        <v>Libuš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IFERROR(__xludf.DUMMYFUNCTION("""COMPUTED_VALUE"""),231.474)</f>
        <v>231.474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/>
      </c>
      <c r="C115" s="196" t="b">
        <f>IFERROR(__xludf.DUMMYFUNCTION("""COMPUTED_VALUE"""),FALSE)</f>
        <v>0</v>
      </c>
      <c r="D115" s="196" t="str">
        <f>IFERROR(__xludf.DUMMYFUNCTION("""COMPUTED_VALUE"""),"Stehlíková Magdaléna")</f>
        <v>Stehlíková Magdaléna</v>
      </c>
      <c r="E115" s="196" t="str">
        <f>IFERROR(__xludf.DUMMYFUNCTION("""COMPUTED_VALUE"""),"Bolevec")</f>
        <v>Bolevec</v>
      </c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IFERROR(__xludf.DUMMYFUNCTION("""COMPUTED_VALUE"""),214.08)</f>
        <v>214.08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>Dragoun Alfréd</v>
      </c>
      <c r="C116" s="196" t="b">
        <f>IFERROR(__xludf.DUMMYFUNCTION("""COMPUTED_VALUE"""),FALSE)</f>
        <v>0</v>
      </c>
      <c r="D116" s="196" t="str">
        <f>IFERROR(__xludf.DUMMYFUNCTION("""COMPUTED_VALUE"""),"Dragoun Alfréd")</f>
        <v>Dragoun Alfréd</v>
      </c>
      <c r="E116" s="196" t="str">
        <f>IFERROR(__xludf.DUMMYFUNCTION("""COMPUTED_VALUE"""),"Zličín")</f>
        <v>Zličín</v>
      </c>
      <c r="F116" s="196" t="str">
        <f>IFERROR(__xludf.DUMMYFUNCTION("""COMPUTED_VALUE"""),"Malešice")</f>
        <v>Malešice</v>
      </c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IFERROR(__xludf.DUMMYFUNCTION("""COMPUTED_VALUE"""),250.20600000000002)</f>
        <v>250.206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IFERROR(__xludf.DUMMYFUNCTION("""COMPUTED_VALUE"""),0.0)</f>
        <v>0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IFERROR(__xludf.DUMMYFUNCTION("""COMPUTED_VALUE"""),0.0)</f>
        <v>0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IFERROR(__xludf.DUMMYFUNCTION("""COMPUTED_VALUE"""),0.0)</f>
        <v>0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IFERROR(__xludf.DUMMYFUNCTION("""COMPUTED_VALUE"""),0.0)</f>
        <v>0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IFERROR(__xludf.DUMMYFUNCTION("""COMPUTED_VALUE"""),0.0)</f>
        <v>0</v>
      </c>
      <c r="W122" s="199">
        <f>IFERROR(__xludf.DUMMYFUNCTION("""COMPUTED_VALUE"""),0.0)</f>
        <v>0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IFERROR(__xludf.DUMMYFUNCTION("""COMPUTED_VALUE"""),0.0)</f>
        <v>0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IFERROR(__xludf.DUMMYFUNCTION("""COMPUTED_VALUE"""),0.0)</f>
        <v>0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 t="str">
        <f>IFERROR(__xludf.DUMMYFUNCTION("""COMPUTED_VALUE"""),"Chodov")</f>
        <v>Chodov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IFERROR(__xludf.DUMMYFUNCTION("""COMPUTED_VALUE"""),0.0)</f>
        <v>0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